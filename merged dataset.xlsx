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esktop\"/>
    </mc:Choice>
  </mc:AlternateContent>
  <xr:revisionPtr revIDLastSave="0" documentId="13_ncr:1_{276E9D3A-4D70-4E41-8C24-AF60B0AAB203}" xr6:coauthVersionLast="47" xr6:coauthVersionMax="47" xr10:uidLastSave="{00000000-0000-0000-0000-000000000000}"/>
  <bookViews>
    <workbookView xWindow="-108" yWindow="-108" windowWidth="23256" windowHeight="12456" xr2:uid="{A2DDB2EE-F7DF-426A-A9C4-C118891AD5A4}"/>
  </bookViews>
  <sheets>
    <sheet name="Sheet3" sheetId="3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O498" i="1"/>
  <c r="Q498" i="1" s="1"/>
  <c r="O946" i="1"/>
  <c r="Q946" i="1" s="1"/>
  <c r="N2" i="1"/>
  <c r="O2" i="1" s="1"/>
  <c r="Q2" i="1" s="1"/>
  <c r="N3" i="1"/>
  <c r="O3" i="1" s="1"/>
  <c r="Q3" i="1" s="1"/>
  <c r="N4" i="1"/>
  <c r="O4" i="1" s="1"/>
  <c r="Q4" i="1" s="1"/>
  <c r="N5" i="1"/>
  <c r="O5" i="1" s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12" i="1"/>
  <c r="O12" i="1" s="1"/>
  <c r="Q12" i="1" s="1"/>
  <c r="N13" i="1"/>
  <c r="O13" i="1" s="1"/>
  <c r="Q13" i="1" s="1"/>
  <c r="N14" i="1"/>
  <c r="O14" i="1" s="1"/>
  <c r="Q14" i="1" s="1"/>
  <c r="N15" i="1"/>
  <c r="O15" i="1" s="1"/>
  <c r="Q15" i="1" s="1"/>
  <c r="N16" i="1"/>
  <c r="O16" i="1" s="1"/>
  <c r="Q16" i="1" s="1"/>
  <c r="N17" i="1"/>
  <c r="O17" i="1" s="1"/>
  <c r="Q17" i="1" s="1"/>
  <c r="N18" i="1"/>
  <c r="O18" i="1" s="1"/>
  <c r="Q18" i="1" s="1"/>
  <c r="N19" i="1"/>
  <c r="O19" i="1" s="1"/>
  <c r="Q19" i="1" s="1"/>
  <c r="N20" i="1"/>
  <c r="O20" i="1" s="1"/>
  <c r="Q20" i="1" s="1"/>
  <c r="N21" i="1"/>
  <c r="O21" i="1" s="1"/>
  <c r="Q21" i="1" s="1"/>
  <c r="N22" i="1"/>
  <c r="O22" i="1" s="1"/>
  <c r="Q22" i="1" s="1"/>
  <c r="N23" i="1"/>
  <c r="O23" i="1" s="1"/>
  <c r="Q23" i="1" s="1"/>
  <c r="N24" i="1"/>
  <c r="O24" i="1" s="1"/>
  <c r="Q24" i="1" s="1"/>
  <c r="N25" i="1"/>
  <c r="O25" i="1" s="1"/>
  <c r="Q25" i="1" s="1"/>
  <c r="N26" i="1"/>
  <c r="O26" i="1" s="1"/>
  <c r="Q26" i="1" s="1"/>
  <c r="N27" i="1"/>
  <c r="O27" i="1" s="1"/>
  <c r="Q27" i="1" s="1"/>
  <c r="N28" i="1"/>
  <c r="O28" i="1" s="1"/>
  <c r="Q28" i="1" s="1"/>
  <c r="N29" i="1"/>
  <c r="O29" i="1" s="1"/>
  <c r="Q29" i="1" s="1"/>
  <c r="N30" i="1"/>
  <c r="O30" i="1" s="1"/>
  <c r="Q30" i="1" s="1"/>
  <c r="N31" i="1"/>
  <c r="O31" i="1" s="1"/>
  <c r="Q31" i="1" s="1"/>
  <c r="N32" i="1"/>
  <c r="O32" i="1" s="1"/>
  <c r="Q32" i="1" s="1"/>
  <c r="N33" i="1"/>
  <c r="O33" i="1" s="1"/>
  <c r="Q33" i="1" s="1"/>
  <c r="N34" i="1"/>
  <c r="O34" i="1" s="1"/>
  <c r="Q34" i="1" s="1"/>
  <c r="N35" i="1"/>
  <c r="O35" i="1" s="1"/>
  <c r="Q35" i="1" s="1"/>
  <c r="N36" i="1"/>
  <c r="O36" i="1" s="1"/>
  <c r="Q36" i="1" s="1"/>
  <c r="N37" i="1"/>
  <c r="O37" i="1" s="1"/>
  <c r="Q37" i="1" s="1"/>
  <c r="N38" i="1"/>
  <c r="O38" i="1" s="1"/>
  <c r="Q38" i="1" s="1"/>
  <c r="N39" i="1"/>
  <c r="O39" i="1" s="1"/>
  <c r="Q39" i="1" s="1"/>
  <c r="N40" i="1"/>
  <c r="O40" i="1" s="1"/>
  <c r="Q40" i="1" s="1"/>
  <c r="N41" i="1"/>
  <c r="O41" i="1" s="1"/>
  <c r="Q41" i="1" s="1"/>
  <c r="N42" i="1"/>
  <c r="O42" i="1" s="1"/>
  <c r="Q42" i="1" s="1"/>
  <c r="N43" i="1"/>
  <c r="O43" i="1" s="1"/>
  <c r="Q43" i="1" s="1"/>
  <c r="N44" i="1"/>
  <c r="O44" i="1" s="1"/>
  <c r="Q44" i="1" s="1"/>
  <c r="N45" i="1"/>
  <c r="O45" i="1" s="1"/>
  <c r="Q45" i="1" s="1"/>
  <c r="N46" i="1"/>
  <c r="O46" i="1" s="1"/>
  <c r="Q46" i="1" s="1"/>
  <c r="N47" i="1"/>
  <c r="O47" i="1" s="1"/>
  <c r="Q47" i="1" s="1"/>
  <c r="N48" i="1"/>
  <c r="O48" i="1" s="1"/>
  <c r="Q48" i="1" s="1"/>
  <c r="N49" i="1"/>
  <c r="O49" i="1" s="1"/>
  <c r="Q49" i="1" s="1"/>
  <c r="N50" i="1"/>
  <c r="O50" i="1" s="1"/>
  <c r="Q50" i="1" s="1"/>
  <c r="N51" i="1"/>
  <c r="O51" i="1" s="1"/>
  <c r="Q51" i="1" s="1"/>
  <c r="N52" i="1"/>
  <c r="O52" i="1" s="1"/>
  <c r="Q52" i="1" s="1"/>
  <c r="N53" i="1"/>
  <c r="O53" i="1" s="1"/>
  <c r="Q53" i="1" s="1"/>
  <c r="N54" i="1"/>
  <c r="O54" i="1" s="1"/>
  <c r="Q54" i="1" s="1"/>
  <c r="N55" i="1"/>
  <c r="O55" i="1" s="1"/>
  <c r="Q55" i="1" s="1"/>
  <c r="N56" i="1"/>
  <c r="O56" i="1" s="1"/>
  <c r="Q56" i="1" s="1"/>
  <c r="N57" i="1"/>
  <c r="O57" i="1" s="1"/>
  <c r="Q57" i="1" s="1"/>
  <c r="N58" i="1"/>
  <c r="O58" i="1" s="1"/>
  <c r="Q58" i="1" s="1"/>
  <c r="N59" i="1"/>
  <c r="O59" i="1" s="1"/>
  <c r="Q59" i="1" s="1"/>
  <c r="N60" i="1"/>
  <c r="O60" i="1" s="1"/>
  <c r="Q60" i="1" s="1"/>
  <c r="N61" i="1"/>
  <c r="O61" i="1" s="1"/>
  <c r="Q61" i="1" s="1"/>
  <c r="N62" i="1"/>
  <c r="O62" i="1" s="1"/>
  <c r="Q62" i="1" s="1"/>
  <c r="N63" i="1"/>
  <c r="O63" i="1" s="1"/>
  <c r="Q63" i="1" s="1"/>
  <c r="N64" i="1"/>
  <c r="O64" i="1" s="1"/>
  <c r="Q64" i="1" s="1"/>
  <c r="N65" i="1"/>
  <c r="O65" i="1" s="1"/>
  <c r="Q65" i="1" s="1"/>
  <c r="N66" i="1"/>
  <c r="O66" i="1" s="1"/>
  <c r="Q66" i="1" s="1"/>
  <c r="N67" i="1"/>
  <c r="O67" i="1" s="1"/>
  <c r="Q67" i="1" s="1"/>
  <c r="N68" i="1"/>
  <c r="O68" i="1" s="1"/>
  <c r="Q68" i="1" s="1"/>
  <c r="N69" i="1"/>
  <c r="O69" i="1" s="1"/>
  <c r="Q69" i="1" s="1"/>
  <c r="N70" i="1"/>
  <c r="O70" i="1" s="1"/>
  <c r="Q70" i="1" s="1"/>
  <c r="N71" i="1"/>
  <c r="O71" i="1" s="1"/>
  <c r="Q71" i="1" s="1"/>
  <c r="N72" i="1"/>
  <c r="O72" i="1" s="1"/>
  <c r="Q72" i="1" s="1"/>
  <c r="N73" i="1"/>
  <c r="O73" i="1" s="1"/>
  <c r="Q73" i="1" s="1"/>
  <c r="N74" i="1"/>
  <c r="O74" i="1" s="1"/>
  <c r="Q74" i="1" s="1"/>
  <c r="N75" i="1"/>
  <c r="O75" i="1" s="1"/>
  <c r="Q75" i="1" s="1"/>
  <c r="N76" i="1"/>
  <c r="O76" i="1" s="1"/>
  <c r="Q76" i="1" s="1"/>
  <c r="N77" i="1"/>
  <c r="O77" i="1" s="1"/>
  <c r="Q77" i="1" s="1"/>
  <c r="N78" i="1"/>
  <c r="O78" i="1" s="1"/>
  <c r="Q78" i="1" s="1"/>
  <c r="N79" i="1"/>
  <c r="O79" i="1" s="1"/>
  <c r="Q79" i="1" s="1"/>
  <c r="N80" i="1"/>
  <c r="O80" i="1" s="1"/>
  <c r="Q80" i="1" s="1"/>
  <c r="N81" i="1"/>
  <c r="O81" i="1" s="1"/>
  <c r="Q81" i="1" s="1"/>
  <c r="N82" i="1"/>
  <c r="O82" i="1" s="1"/>
  <c r="Q82" i="1" s="1"/>
  <c r="N83" i="1"/>
  <c r="O83" i="1" s="1"/>
  <c r="Q83" i="1" s="1"/>
  <c r="N84" i="1"/>
  <c r="O84" i="1" s="1"/>
  <c r="Q84" i="1" s="1"/>
  <c r="N85" i="1"/>
  <c r="O85" i="1" s="1"/>
  <c r="Q85" i="1" s="1"/>
  <c r="N86" i="1"/>
  <c r="O86" i="1" s="1"/>
  <c r="Q86" i="1" s="1"/>
  <c r="N87" i="1"/>
  <c r="O87" i="1" s="1"/>
  <c r="Q87" i="1" s="1"/>
  <c r="N88" i="1"/>
  <c r="O88" i="1" s="1"/>
  <c r="Q88" i="1" s="1"/>
  <c r="N89" i="1"/>
  <c r="O89" i="1" s="1"/>
  <c r="Q89" i="1" s="1"/>
  <c r="N90" i="1"/>
  <c r="O90" i="1" s="1"/>
  <c r="Q90" i="1" s="1"/>
  <c r="N91" i="1"/>
  <c r="O91" i="1" s="1"/>
  <c r="Q91" i="1" s="1"/>
  <c r="N92" i="1"/>
  <c r="O92" i="1" s="1"/>
  <c r="Q92" i="1" s="1"/>
  <c r="N93" i="1"/>
  <c r="O93" i="1" s="1"/>
  <c r="Q93" i="1" s="1"/>
  <c r="N94" i="1"/>
  <c r="O94" i="1" s="1"/>
  <c r="Q94" i="1" s="1"/>
  <c r="N95" i="1"/>
  <c r="O95" i="1" s="1"/>
  <c r="Q95" i="1" s="1"/>
  <c r="N96" i="1"/>
  <c r="O96" i="1" s="1"/>
  <c r="Q96" i="1" s="1"/>
  <c r="N97" i="1"/>
  <c r="O97" i="1" s="1"/>
  <c r="Q97" i="1" s="1"/>
  <c r="N98" i="1"/>
  <c r="O98" i="1" s="1"/>
  <c r="Q98" i="1" s="1"/>
  <c r="N99" i="1"/>
  <c r="O99" i="1" s="1"/>
  <c r="Q99" i="1" s="1"/>
  <c r="N100" i="1"/>
  <c r="O100" i="1" s="1"/>
  <c r="Q100" i="1" s="1"/>
  <c r="N101" i="1"/>
  <c r="O101" i="1" s="1"/>
  <c r="Q101" i="1" s="1"/>
  <c r="N102" i="1"/>
  <c r="O102" i="1" s="1"/>
  <c r="Q102" i="1" s="1"/>
  <c r="N103" i="1"/>
  <c r="O103" i="1" s="1"/>
  <c r="Q103" i="1" s="1"/>
  <c r="N104" i="1"/>
  <c r="O104" i="1" s="1"/>
  <c r="Q104" i="1" s="1"/>
  <c r="N105" i="1"/>
  <c r="O105" i="1" s="1"/>
  <c r="Q105" i="1" s="1"/>
  <c r="N106" i="1"/>
  <c r="O106" i="1" s="1"/>
  <c r="Q106" i="1" s="1"/>
  <c r="N107" i="1"/>
  <c r="O107" i="1" s="1"/>
  <c r="Q107" i="1" s="1"/>
  <c r="N108" i="1"/>
  <c r="O108" i="1" s="1"/>
  <c r="Q108" i="1" s="1"/>
  <c r="N109" i="1"/>
  <c r="O109" i="1" s="1"/>
  <c r="Q109" i="1" s="1"/>
  <c r="N110" i="1"/>
  <c r="O110" i="1" s="1"/>
  <c r="Q110" i="1" s="1"/>
  <c r="N111" i="1"/>
  <c r="O111" i="1" s="1"/>
  <c r="Q111" i="1" s="1"/>
  <c r="N112" i="1"/>
  <c r="O112" i="1" s="1"/>
  <c r="Q112" i="1" s="1"/>
  <c r="N113" i="1"/>
  <c r="O113" i="1" s="1"/>
  <c r="Q113" i="1" s="1"/>
  <c r="N114" i="1"/>
  <c r="O114" i="1" s="1"/>
  <c r="Q114" i="1" s="1"/>
  <c r="N115" i="1"/>
  <c r="O115" i="1" s="1"/>
  <c r="Q115" i="1" s="1"/>
  <c r="N116" i="1"/>
  <c r="O116" i="1" s="1"/>
  <c r="Q116" i="1" s="1"/>
  <c r="N117" i="1"/>
  <c r="O117" i="1" s="1"/>
  <c r="Q117" i="1" s="1"/>
  <c r="N118" i="1"/>
  <c r="O118" i="1" s="1"/>
  <c r="Q118" i="1" s="1"/>
  <c r="N119" i="1"/>
  <c r="O119" i="1" s="1"/>
  <c r="Q119" i="1" s="1"/>
  <c r="N120" i="1"/>
  <c r="O120" i="1" s="1"/>
  <c r="Q120" i="1" s="1"/>
  <c r="N121" i="1"/>
  <c r="O121" i="1" s="1"/>
  <c r="Q121" i="1" s="1"/>
  <c r="N122" i="1"/>
  <c r="O122" i="1" s="1"/>
  <c r="Q122" i="1" s="1"/>
  <c r="N123" i="1"/>
  <c r="O123" i="1" s="1"/>
  <c r="Q123" i="1" s="1"/>
  <c r="N124" i="1"/>
  <c r="O124" i="1" s="1"/>
  <c r="Q124" i="1" s="1"/>
  <c r="N125" i="1"/>
  <c r="O125" i="1" s="1"/>
  <c r="Q125" i="1" s="1"/>
  <c r="N126" i="1"/>
  <c r="O126" i="1" s="1"/>
  <c r="Q126" i="1" s="1"/>
  <c r="N127" i="1"/>
  <c r="O127" i="1" s="1"/>
  <c r="Q127" i="1" s="1"/>
  <c r="N128" i="1"/>
  <c r="O128" i="1" s="1"/>
  <c r="Q128" i="1" s="1"/>
  <c r="N129" i="1"/>
  <c r="O129" i="1" s="1"/>
  <c r="Q129" i="1" s="1"/>
  <c r="N130" i="1"/>
  <c r="O130" i="1" s="1"/>
  <c r="Q130" i="1" s="1"/>
  <c r="N131" i="1"/>
  <c r="O131" i="1" s="1"/>
  <c r="Q131" i="1" s="1"/>
  <c r="N132" i="1"/>
  <c r="O132" i="1" s="1"/>
  <c r="Q132" i="1" s="1"/>
  <c r="N133" i="1"/>
  <c r="O133" i="1" s="1"/>
  <c r="Q133" i="1" s="1"/>
  <c r="N134" i="1"/>
  <c r="O134" i="1" s="1"/>
  <c r="Q134" i="1" s="1"/>
  <c r="N135" i="1"/>
  <c r="O135" i="1" s="1"/>
  <c r="Q135" i="1" s="1"/>
  <c r="N136" i="1"/>
  <c r="O136" i="1" s="1"/>
  <c r="Q136" i="1" s="1"/>
  <c r="N137" i="1"/>
  <c r="O137" i="1" s="1"/>
  <c r="Q137" i="1" s="1"/>
  <c r="N138" i="1"/>
  <c r="O138" i="1" s="1"/>
  <c r="Q138" i="1" s="1"/>
  <c r="N139" i="1"/>
  <c r="O139" i="1" s="1"/>
  <c r="Q139" i="1" s="1"/>
  <c r="N140" i="1"/>
  <c r="O140" i="1" s="1"/>
  <c r="Q140" i="1" s="1"/>
  <c r="N141" i="1"/>
  <c r="O141" i="1" s="1"/>
  <c r="Q141" i="1" s="1"/>
  <c r="N142" i="1"/>
  <c r="O142" i="1" s="1"/>
  <c r="Q142" i="1" s="1"/>
  <c r="N143" i="1"/>
  <c r="O143" i="1" s="1"/>
  <c r="Q143" i="1" s="1"/>
  <c r="N144" i="1"/>
  <c r="O144" i="1" s="1"/>
  <c r="Q144" i="1" s="1"/>
  <c r="N145" i="1"/>
  <c r="O145" i="1" s="1"/>
  <c r="Q145" i="1" s="1"/>
  <c r="N146" i="1"/>
  <c r="O146" i="1" s="1"/>
  <c r="Q146" i="1" s="1"/>
  <c r="N147" i="1"/>
  <c r="O147" i="1" s="1"/>
  <c r="Q147" i="1" s="1"/>
  <c r="N148" i="1"/>
  <c r="O148" i="1" s="1"/>
  <c r="Q148" i="1" s="1"/>
  <c r="N149" i="1"/>
  <c r="O149" i="1" s="1"/>
  <c r="Q149" i="1" s="1"/>
  <c r="N150" i="1"/>
  <c r="O150" i="1" s="1"/>
  <c r="Q150" i="1" s="1"/>
  <c r="N151" i="1"/>
  <c r="O151" i="1" s="1"/>
  <c r="Q151" i="1" s="1"/>
  <c r="N152" i="1"/>
  <c r="O152" i="1" s="1"/>
  <c r="Q152" i="1" s="1"/>
  <c r="N153" i="1"/>
  <c r="O153" i="1" s="1"/>
  <c r="Q153" i="1" s="1"/>
  <c r="N154" i="1"/>
  <c r="O154" i="1" s="1"/>
  <c r="Q154" i="1" s="1"/>
  <c r="N155" i="1"/>
  <c r="O155" i="1" s="1"/>
  <c r="Q155" i="1" s="1"/>
  <c r="N156" i="1"/>
  <c r="O156" i="1" s="1"/>
  <c r="Q156" i="1" s="1"/>
  <c r="N157" i="1"/>
  <c r="O157" i="1" s="1"/>
  <c r="Q157" i="1" s="1"/>
  <c r="N158" i="1"/>
  <c r="O158" i="1" s="1"/>
  <c r="Q158" i="1" s="1"/>
  <c r="N159" i="1"/>
  <c r="O159" i="1" s="1"/>
  <c r="Q159" i="1" s="1"/>
  <c r="N160" i="1"/>
  <c r="O160" i="1" s="1"/>
  <c r="Q160" i="1" s="1"/>
  <c r="N161" i="1"/>
  <c r="O161" i="1" s="1"/>
  <c r="Q161" i="1" s="1"/>
  <c r="N162" i="1"/>
  <c r="O162" i="1" s="1"/>
  <c r="Q162" i="1" s="1"/>
  <c r="N163" i="1"/>
  <c r="O163" i="1" s="1"/>
  <c r="Q163" i="1" s="1"/>
  <c r="N164" i="1"/>
  <c r="O164" i="1" s="1"/>
  <c r="Q164" i="1" s="1"/>
  <c r="N165" i="1"/>
  <c r="O165" i="1" s="1"/>
  <c r="Q165" i="1" s="1"/>
  <c r="N166" i="1"/>
  <c r="O166" i="1" s="1"/>
  <c r="Q166" i="1" s="1"/>
  <c r="N167" i="1"/>
  <c r="O167" i="1" s="1"/>
  <c r="Q167" i="1" s="1"/>
  <c r="N168" i="1"/>
  <c r="O168" i="1" s="1"/>
  <c r="Q168" i="1" s="1"/>
  <c r="N169" i="1"/>
  <c r="O169" i="1" s="1"/>
  <c r="Q169" i="1" s="1"/>
  <c r="N170" i="1"/>
  <c r="O170" i="1" s="1"/>
  <c r="Q170" i="1" s="1"/>
  <c r="N171" i="1"/>
  <c r="O171" i="1" s="1"/>
  <c r="Q171" i="1" s="1"/>
  <c r="N172" i="1"/>
  <c r="O172" i="1" s="1"/>
  <c r="Q172" i="1" s="1"/>
  <c r="N173" i="1"/>
  <c r="O173" i="1" s="1"/>
  <c r="Q173" i="1" s="1"/>
  <c r="N174" i="1"/>
  <c r="O174" i="1" s="1"/>
  <c r="Q174" i="1" s="1"/>
  <c r="N175" i="1"/>
  <c r="O175" i="1" s="1"/>
  <c r="Q175" i="1" s="1"/>
  <c r="N176" i="1"/>
  <c r="O176" i="1" s="1"/>
  <c r="Q176" i="1" s="1"/>
  <c r="N177" i="1"/>
  <c r="O177" i="1" s="1"/>
  <c r="Q177" i="1" s="1"/>
  <c r="N178" i="1"/>
  <c r="O178" i="1" s="1"/>
  <c r="Q178" i="1" s="1"/>
  <c r="N179" i="1"/>
  <c r="O179" i="1" s="1"/>
  <c r="Q179" i="1" s="1"/>
  <c r="N180" i="1"/>
  <c r="O180" i="1" s="1"/>
  <c r="Q180" i="1" s="1"/>
  <c r="N181" i="1"/>
  <c r="O181" i="1" s="1"/>
  <c r="Q181" i="1" s="1"/>
  <c r="N182" i="1"/>
  <c r="O182" i="1" s="1"/>
  <c r="Q182" i="1" s="1"/>
  <c r="N183" i="1"/>
  <c r="O183" i="1" s="1"/>
  <c r="Q183" i="1" s="1"/>
  <c r="N184" i="1"/>
  <c r="O184" i="1" s="1"/>
  <c r="Q184" i="1" s="1"/>
  <c r="N185" i="1"/>
  <c r="O185" i="1" s="1"/>
  <c r="Q185" i="1" s="1"/>
  <c r="N186" i="1"/>
  <c r="O186" i="1" s="1"/>
  <c r="Q186" i="1" s="1"/>
  <c r="N187" i="1"/>
  <c r="O187" i="1" s="1"/>
  <c r="Q187" i="1" s="1"/>
  <c r="N188" i="1"/>
  <c r="O188" i="1" s="1"/>
  <c r="Q188" i="1" s="1"/>
  <c r="N189" i="1"/>
  <c r="O189" i="1" s="1"/>
  <c r="Q189" i="1" s="1"/>
  <c r="N190" i="1"/>
  <c r="O190" i="1" s="1"/>
  <c r="Q190" i="1" s="1"/>
  <c r="N191" i="1"/>
  <c r="O191" i="1" s="1"/>
  <c r="Q191" i="1" s="1"/>
  <c r="N192" i="1"/>
  <c r="O192" i="1" s="1"/>
  <c r="Q192" i="1" s="1"/>
  <c r="N193" i="1"/>
  <c r="O193" i="1" s="1"/>
  <c r="Q193" i="1" s="1"/>
  <c r="N194" i="1"/>
  <c r="O194" i="1" s="1"/>
  <c r="Q194" i="1" s="1"/>
  <c r="N195" i="1"/>
  <c r="O195" i="1" s="1"/>
  <c r="Q195" i="1" s="1"/>
  <c r="N196" i="1"/>
  <c r="O196" i="1" s="1"/>
  <c r="Q196" i="1" s="1"/>
  <c r="N197" i="1"/>
  <c r="O197" i="1" s="1"/>
  <c r="Q197" i="1" s="1"/>
  <c r="N198" i="1"/>
  <c r="O198" i="1" s="1"/>
  <c r="Q198" i="1" s="1"/>
  <c r="N199" i="1"/>
  <c r="O199" i="1" s="1"/>
  <c r="Q199" i="1" s="1"/>
  <c r="N200" i="1"/>
  <c r="O200" i="1" s="1"/>
  <c r="Q200" i="1" s="1"/>
  <c r="N201" i="1"/>
  <c r="O201" i="1" s="1"/>
  <c r="Q201" i="1" s="1"/>
  <c r="N202" i="1"/>
  <c r="O202" i="1" s="1"/>
  <c r="Q202" i="1" s="1"/>
  <c r="N203" i="1"/>
  <c r="O203" i="1" s="1"/>
  <c r="Q203" i="1" s="1"/>
  <c r="N204" i="1"/>
  <c r="O204" i="1" s="1"/>
  <c r="Q204" i="1" s="1"/>
  <c r="N205" i="1"/>
  <c r="O205" i="1" s="1"/>
  <c r="Q205" i="1" s="1"/>
  <c r="N206" i="1"/>
  <c r="O206" i="1" s="1"/>
  <c r="Q206" i="1" s="1"/>
  <c r="N207" i="1"/>
  <c r="O207" i="1" s="1"/>
  <c r="Q207" i="1" s="1"/>
  <c r="N208" i="1"/>
  <c r="O208" i="1" s="1"/>
  <c r="Q208" i="1" s="1"/>
  <c r="N209" i="1"/>
  <c r="O209" i="1" s="1"/>
  <c r="Q209" i="1" s="1"/>
  <c r="N210" i="1"/>
  <c r="O210" i="1" s="1"/>
  <c r="Q210" i="1" s="1"/>
  <c r="N211" i="1"/>
  <c r="O211" i="1" s="1"/>
  <c r="Q211" i="1" s="1"/>
  <c r="N212" i="1"/>
  <c r="O212" i="1" s="1"/>
  <c r="Q212" i="1" s="1"/>
  <c r="N213" i="1"/>
  <c r="O213" i="1" s="1"/>
  <c r="Q213" i="1" s="1"/>
  <c r="N214" i="1"/>
  <c r="O214" i="1" s="1"/>
  <c r="Q214" i="1" s="1"/>
  <c r="N215" i="1"/>
  <c r="O215" i="1" s="1"/>
  <c r="Q215" i="1" s="1"/>
  <c r="N216" i="1"/>
  <c r="O216" i="1" s="1"/>
  <c r="Q216" i="1" s="1"/>
  <c r="N217" i="1"/>
  <c r="O217" i="1" s="1"/>
  <c r="Q217" i="1" s="1"/>
  <c r="N218" i="1"/>
  <c r="O218" i="1" s="1"/>
  <c r="Q218" i="1" s="1"/>
  <c r="N219" i="1"/>
  <c r="O219" i="1" s="1"/>
  <c r="Q219" i="1" s="1"/>
  <c r="N220" i="1"/>
  <c r="O220" i="1" s="1"/>
  <c r="Q220" i="1" s="1"/>
  <c r="N221" i="1"/>
  <c r="O221" i="1" s="1"/>
  <c r="Q221" i="1" s="1"/>
  <c r="N222" i="1"/>
  <c r="O222" i="1" s="1"/>
  <c r="Q222" i="1" s="1"/>
  <c r="N223" i="1"/>
  <c r="O223" i="1" s="1"/>
  <c r="Q223" i="1" s="1"/>
  <c r="N224" i="1"/>
  <c r="O224" i="1" s="1"/>
  <c r="Q224" i="1" s="1"/>
  <c r="N225" i="1"/>
  <c r="O225" i="1" s="1"/>
  <c r="Q225" i="1" s="1"/>
  <c r="N226" i="1"/>
  <c r="O226" i="1" s="1"/>
  <c r="Q226" i="1" s="1"/>
  <c r="N227" i="1"/>
  <c r="O227" i="1" s="1"/>
  <c r="Q227" i="1" s="1"/>
  <c r="N228" i="1"/>
  <c r="O228" i="1" s="1"/>
  <c r="Q228" i="1" s="1"/>
  <c r="N229" i="1"/>
  <c r="O229" i="1" s="1"/>
  <c r="Q229" i="1" s="1"/>
  <c r="N230" i="1"/>
  <c r="O230" i="1" s="1"/>
  <c r="Q230" i="1" s="1"/>
  <c r="N231" i="1"/>
  <c r="O231" i="1" s="1"/>
  <c r="Q231" i="1" s="1"/>
  <c r="N232" i="1"/>
  <c r="O232" i="1" s="1"/>
  <c r="Q232" i="1" s="1"/>
  <c r="N233" i="1"/>
  <c r="O233" i="1" s="1"/>
  <c r="Q233" i="1" s="1"/>
  <c r="N234" i="1"/>
  <c r="O234" i="1" s="1"/>
  <c r="Q234" i="1" s="1"/>
  <c r="N235" i="1"/>
  <c r="O235" i="1" s="1"/>
  <c r="Q235" i="1" s="1"/>
  <c r="N236" i="1"/>
  <c r="O236" i="1" s="1"/>
  <c r="Q236" i="1" s="1"/>
  <c r="N237" i="1"/>
  <c r="O237" i="1" s="1"/>
  <c r="Q237" i="1" s="1"/>
  <c r="N238" i="1"/>
  <c r="O238" i="1" s="1"/>
  <c r="Q238" i="1" s="1"/>
  <c r="N239" i="1"/>
  <c r="O239" i="1" s="1"/>
  <c r="Q239" i="1" s="1"/>
  <c r="N240" i="1"/>
  <c r="O240" i="1" s="1"/>
  <c r="Q240" i="1" s="1"/>
  <c r="N241" i="1"/>
  <c r="O241" i="1" s="1"/>
  <c r="Q241" i="1" s="1"/>
  <c r="N242" i="1"/>
  <c r="O242" i="1" s="1"/>
  <c r="Q242" i="1" s="1"/>
  <c r="N243" i="1"/>
  <c r="O243" i="1" s="1"/>
  <c r="Q243" i="1" s="1"/>
  <c r="N244" i="1"/>
  <c r="O244" i="1" s="1"/>
  <c r="Q244" i="1" s="1"/>
  <c r="N245" i="1"/>
  <c r="O245" i="1" s="1"/>
  <c r="Q245" i="1" s="1"/>
  <c r="N246" i="1"/>
  <c r="O246" i="1" s="1"/>
  <c r="Q246" i="1" s="1"/>
  <c r="N247" i="1"/>
  <c r="O247" i="1" s="1"/>
  <c r="Q247" i="1" s="1"/>
  <c r="N248" i="1"/>
  <c r="O248" i="1" s="1"/>
  <c r="Q248" i="1" s="1"/>
  <c r="N249" i="1"/>
  <c r="O249" i="1" s="1"/>
  <c r="Q249" i="1" s="1"/>
  <c r="N250" i="1"/>
  <c r="O250" i="1" s="1"/>
  <c r="Q250" i="1" s="1"/>
  <c r="N251" i="1"/>
  <c r="O251" i="1" s="1"/>
  <c r="Q251" i="1" s="1"/>
  <c r="N252" i="1"/>
  <c r="O252" i="1" s="1"/>
  <c r="Q252" i="1" s="1"/>
  <c r="N253" i="1"/>
  <c r="O253" i="1" s="1"/>
  <c r="Q253" i="1" s="1"/>
  <c r="N254" i="1"/>
  <c r="O254" i="1" s="1"/>
  <c r="Q254" i="1" s="1"/>
  <c r="N255" i="1"/>
  <c r="O255" i="1" s="1"/>
  <c r="Q255" i="1" s="1"/>
  <c r="N256" i="1"/>
  <c r="O256" i="1" s="1"/>
  <c r="Q256" i="1" s="1"/>
  <c r="N257" i="1"/>
  <c r="O257" i="1" s="1"/>
  <c r="Q257" i="1" s="1"/>
  <c r="N258" i="1"/>
  <c r="O258" i="1" s="1"/>
  <c r="Q258" i="1" s="1"/>
  <c r="N259" i="1"/>
  <c r="O259" i="1" s="1"/>
  <c r="Q259" i="1" s="1"/>
  <c r="N260" i="1"/>
  <c r="O260" i="1" s="1"/>
  <c r="Q260" i="1" s="1"/>
  <c r="N261" i="1"/>
  <c r="O261" i="1" s="1"/>
  <c r="Q261" i="1" s="1"/>
  <c r="N262" i="1"/>
  <c r="O262" i="1" s="1"/>
  <c r="Q262" i="1" s="1"/>
  <c r="N263" i="1"/>
  <c r="O263" i="1" s="1"/>
  <c r="Q263" i="1" s="1"/>
  <c r="N264" i="1"/>
  <c r="O264" i="1" s="1"/>
  <c r="Q264" i="1" s="1"/>
  <c r="N265" i="1"/>
  <c r="O265" i="1" s="1"/>
  <c r="Q265" i="1" s="1"/>
  <c r="N266" i="1"/>
  <c r="O266" i="1" s="1"/>
  <c r="Q266" i="1" s="1"/>
  <c r="N267" i="1"/>
  <c r="O267" i="1" s="1"/>
  <c r="Q267" i="1" s="1"/>
  <c r="N268" i="1"/>
  <c r="O268" i="1" s="1"/>
  <c r="Q268" i="1" s="1"/>
  <c r="N269" i="1"/>
  <c r="O269" i="1" s="1"/>
  <c r="Q269" i="1" s="1"/>
  <c r="N270" i="1"/>
  <c r="O270" i="1" s="1"/>
  <c r="Q270" i="1" s="1"/>
  <c r="N271" i="1"/>
  <c r="O271" i="1" s="1"/>
  <c r="Q271" i="1" s="1"/>
  <c r="N272" i="1"/>
  <c r="O272" i="1" s="1"/>
  <c r="Q272" i="1" s="1"/>
  <c r="N273" i="1"/>
  <c r="O273" i="1" s="1"/>
  <c r="Q273" i="1" s="1"/>
  <c r="N274" i="1"/>
  <c r="O274" i="1" s="1"/>
  <c r="Q274" i="1" s="1"/>
  <c r="N275" i="1"/>
  <c r="O275" i="1" s="1"/>
  <c r="Q275" i="1" s="1"/>
  <c r="N276" i="1"/>
  <c r="O276" i="1" s="1"/>
  <c r="Q276" i="1" s="1"/>
  <c r="N277" i="1"/>
  <c r="O277" i="1" s="1"/>
  <c r="Q277" i="1" s="1"/>
  <c r="N278" i="1"/>
  <c r="O278" i="1" s="1"/>
  <c r="Q278" i="1" s="1"/>
  <c r="N279" i="1"/>
  <c r="O279" i="1" s="1"/>
  <c r="Q279" i="1" s="1"/>
  <c r="N280" i="1"/>
  <c r="O280" i="1" s="1"/>
  <c r="Q280" i="1" s="1"/>
  <c r="N281" i="1"/>
  <c r="O281" i="1" s="1"/>
  <c r="Q281" i="1" s="1"/>
  <c r="N282" i="1"/>
  <c r="O282" i="1" s="1"/>
  <c r="Q282" i="1" s="1"/>
  <c r="N283" i="1"/>
  <c r="O283" i="1" s="1"/>
  <c r="Q283" i="1" s="1"/>
  <c r="N284" i="1"/>
  <c r="O284" i="1" s="1"/>
  <c r="Q284" i="1" s="1"/>
  <c r="N285" i="1"/>
  <c r="O285" i="1" s="1"/>
  <c r="Q285" i="1" s="1"/>
  <c r="N286" i="1"/>
  <c r="O286" i="1" s="1"/>
  <c r="Q286" i="1" s="1"/>
  <c r="N287" i="1"/>
  <c r="O287" i="1" s="1"/>
  <c r="Q287" i="1" s="1"/>
  <c r="N288" i="1"/>
  <c r="O288" i="1" s="1"/>
  <c r="Q288" i="1" s="1"/>
  <c r="N289" i="1"/>
  <c r="O289" i="1" s="1"/>
  <c r="Q289" i="1" s="1"/>
  <c r="N290" i="1"/>
  <c r="O290" i="1" s="1"/>
  <c r="Q290" i="1" s="1"/>
  <c r="N291" i="1"/>
  <c r="O291" i="1" s="1"/>
  <c r="Q291" i="1" s="1"/>
  <c r="N292" i="1"/>
  <c r="O292" i="1" s="1"/>
  <c r="Q292" i="1" s="1"/>
  <c r="N293" i="1"/>
  <c r="O293" i="1" s="1"/>
  <c r="Q293" i="1" s="1"/>
  <c r="N294" i="1"/>
  <c r="O294" i="1" s="1"/>
  <c r="Q294" i="1" s="1"/>
  <c r="N295" i="1"/>
  <c r="O295" i="1" s="1"/>
  <c r="Q295" i="1" s="1"/>
  <c r="N296" i="1"/>
  <c r="O296" i="1" s="1"/>
  <c r="Q296" i="1" s="1"/>
  <c r="N297" i="1"/>
  <c r="O297" i="1" s="1"/>
  <c r="Q297" i="1" s="1"/>
  <c r="N298" i="1"/>
  <c r="O298" i="1" s="1"/>
  <c r="Q298" i="1" s="1"/>
  <c r="N299" i="1"/>
  <c r="O299" i="1" s="1"/>
  <c r="Q299" i="1" s="1"/>
  <c r="N300" i="1"/>
  <c r="O300" i="1" s="1"/>
  <c r="Q300" i="1" s="1"/>
  <c r="N301" i="1"/>
  <c r="O301" i="1" s="1"/>
  <c r="Q301" i="1" s="1"/>
  <c r="N302" i="1"/>
  <c r="O302" i="1" s="1"/>
  <c r="Q302" i="1" s="1"/>
  <c r="N303" i="1"/>
  <c r="O303" i="1" s="1"/>
  <c r="Q303" i="1" s="1"/>
  <c r="N304" i="1"/>
  <c r="O304" i="1" s="1"/>
  <c r="Q304" i="1" s="1"/>
  <c r="N305" i="1"/>
  <c r="O305" i="1" s="1"/>
  <c r="Q305" i="1" s="1"/>
  <c r="N306" i="1"/>
  <c r="O306" i="1" s="1"/>
  <c r="Q306" i="1" s="1"/>
  <c r="N307" i="1"/>
  <c r="O307" i="1" s="1"/>
  <c r="Q307" i="1" s="1"/>
  <c r="N308" i="1"/>
  <c r="O308" i="1" s="1"/>
  <c r="Q308" i="1" s="1"/>
  <c r="N309" i="1"/>
  <c r="O309" i="1" s="1"/>
  <c r="Q309" i="1" s="1"/>
  <c r="N310" i="1"/>
  <c r="O310" i="1" s="1"/>
  <c r="Q310" i="1" s="1"/>
  <c r="N311" i="1"/>
  <c r="O311" i="1" s="1"/>
  <c r="Q311" i="1" s="1"/>
  <c r="N312" i="1"/>
  <c r="O312" i="1" s="1"/>
  <c r="Q312" i="1" s="1"/>
  <c r="N313" i="1"/>
  <c r="O313" i="1" s="1"/>
  <c r="Q313" i="1" s="1"/>
  <c r="N314" i="1"/>
  <c r="O314" i="1" s="1"/>
  <c r="Q314" i="1" s="1"/>
  <c r="N315" i="1"/>
  <c r="O315" i="1" s="1"/>
  <c r="Q315" i="1" s="1"/>
  <c r="N316" i="1"/>
  <c r="O316" i="1" s="1"/>
  <c r="Q316" i="1" s="1"/>
  <c r="N317" i="1"/>
  <c r="O317" i="1" s="1"/>
  <c r="Q317" i="1" s="1"/>
  <c r="N318" i="1"/>
  <c r="O318" i="1" s="1"/>
  <c r="Q318" i="1" s="1"/>
  <c r="N319" i="1"/>
  <c r="O319" i="1" s="1"/>
  <c r="Q319" i="1" s="1"/>
  <c r="N320" i="1"/>
  <c r="O320" i="1" s="1"/>
  <c r="Q320" i="1" s="1"/>
  <c r="N321" i="1"/>
  <c r="O321" i="1" s="1"/>
  <c r="Q321" i="1" s="1"/>
  <c r="N322" i="1"/>
  <c r="O322" i="1" s="1"/>
  <c r="Q322" i="1" s="1"/>
  <c r="N323" i="1"/>
  <c r="O323" i="1" s="1"/>
  <c r="Q323" i="1" s="1"/>
  <c r="N324" i="1"/>
  <c r="O324" i="1" s="1"/>
  <c r="Q324" i="1" s="1"/>
  <c r="N325" i="1"/>
  <c r="O325" i="1" s="1"/>
  <c r="Q325" i="1" s="1"/>
  <c r="N326" i="1"/>
  <c r="O326" i="1" s="1"/>
  <c r="Q326" i="1" s="1"/>
  <c r="N327" i="1"/>
  <c r="O327" i="1" s="1"/>
  <c r="Q327" i="1" s="1"/>
  <c r="N328" i="1"/>
  <c r="O328" i="1" s="1"/>
  <c r="Q328" i="1" s="1"/>
  <c r="N329" i="1"/>
  <c r="O329" i="1" s="1"/>
  <c r="Q329" i="1" s="1"/>
  <c r="N330" i="1"/>
  <c r="O330" i="1" s="1"/>
  <c r="Q330" i="1" s="1"/>
  <c r="N331" i="1"/>
  <c r="O331" i="1" s="1"/>
  <c r="Q331" i="1" s="1"/>
  <c r="N332" i="1"/>
  <c r="O332" i="1" s="1"/>
  <c r="Q332" i="1" s="1"/>
  <c r="N333" i="1"/>
  <c r="O333" i="1" s="1"/>
  <c r="Q333" i="1" s="1"/>
  <c r="N334" i="1"/>
  <c r="O334" i="1" s="1"/>
  <c r="Q334" i="1" s="1"/>
  <c r="N335" i="1"/>
  <c r="O335" i="1" s="1"/>
  <c r="Q335" i="1" s="1"/>
  <c r="N336" i="1"/>
  <c r="O336" i="1" s="1"/>
  <c r="Q336" i="1" s="1"/>
  <c r="N337" i="1"/>
  <c r="O337" i="1" s="1"/>
  <c r="Q337" i="1" s="1"/>
  <c r="N338" i="1"/>
  <c r="O338" i="1" s="1"/>
  <c r="Q338" i="1" s="1"/>
  <c r="N339" i="1"/>
  <c r="O339" i="1" s="1"/>
  <c r="Q339" i="1" s="1"/>
  <c r="N340" i="1"/>
  <c r="O340" i="1" s="1"/>
  <c r="Q340" i="1" s="1"/>
  <c r="N341" i="1"/>
  <c r="O341" i="1" s="1"/>
  <c r="Q341" i="1" s="1"/>
  <c r="N342" i="1"/>
  <c r="O342" i="1" s="1"/>
  <c r="Q342" i="1" s="1"/>
  <c r="N343" i="1"/>
  <c r="O343" i="1" s="1"/>
  <c r="Q343" i="1" s="1"/>
  <c r="N344" i="1"/>
  <c r="O344" i="1" s="1"/>
  <c r="Q344" i="1" s="1"/>
  <c r="N345" i="1"/>
  <c r="O345" i="1" s="1"/>
  <c r="Q345" i="1" s="1"/>
  <c r="N346" i="1"/>
  <c r="O346" i="1" s="1"/>
  <c r="Q346" i="1" s="1"/>
  <c r="N347" i="1"/>
  <c r="O347" i="1" s="1"/>
  <c r="Q347" i="1" s="1"/>
  <c r="N348" i="1"/>
  <c r="O348" i="1" s="1"/>
  <c r="Q348" i="1" s="1"/>
  <c r="N349" i="1"/>
  <c r="O349" i="1" s="1"/>
  <c r="Q349" i="1" s="1"/>
  <c r="N350" i="1"/>
  <c r="O350" i="1" s="1"/>
  <c r="Q350" i="1" s="1"/>
  <c r="N351" i="1"/>
  <c r="O351" i="1" s="1"/>
  <c r="Q351" i="1" s="1"/>
  <c r="N352" i="1"/>
  <c r="O352" i="1" s="1"/>
  <c r="Q352" i="1" s="1"/>
  <c r="N353" i="1"/>
  <c r="O353" i="1" s="1"/>
  <c r="Q353" i="1" s="1"/>
  <c r="N354" i="1"/>
  <c r="O354" i="1" s="1"/>
  <c r="Q354" i="1" s="1"/>
  <c r="N355" i="1"/>
  <c r="O355" i="1" s="1"/>
  <c r="Q355" i="1" s="1"/>
  <c r="N356" i="1"/>
  <c r="O356" i="1" s="1"/>
  <c r="Q356" i="1" s="1"/>
  <c r="N357" i="1"/>
  <c r="O357" i="1" s="1"/>
  <c r="Q357" i="1" s="1"/>
  <c r="N358" i="1"/>
  <c r="O358" i="1" s="1"/>
  <c r="Q358" i="1" s="1"/>
  <c r="N359" i="1"/>
  <c r="O359" i="1" s="1"/>
  <c r="Q359" i="1" s="1"/>
  <c r="N360" i="1"/>
  <c r="O360" i="1" s="1"/>
  <c r="Q360" i="1" s="1"/>
  <c r="N361" i="1"/>
  <c r="O361" i="1" s="1"/>
  <c r="Q361" i="1" s="1"/>
  <c r="N362" i="1"/>
  <c r="O362" i="1" s="1"/>
  <c r="Q362" i="1" s="1"/>
  <c r="N363" i="1"/>
  <c r="O363" i="1" s="1"/>
  <c r="Q363" i="1" s="1"/>
  <c r="N364" i="1"/>
  <c r="O364" i="1" s="1"/>
  <c r="Q364" i="1" s="1"/>
  <c r="N365" i="1"/>
  <c r="O365" i="1" s="1"/>
  <c r="Q365" i="1" s="1"/>
  <c r="N366" i="1"/>
  <c r="O366" i="1" s="1"/>
  <c r="Q366" i="1" s="1"/>
  <c r="N367" i="1"/>
  <c r="O367" i="1" s="1"/>
  <c r="Q367" i="1" s="1"/>
  <c r="N368" i="1"/>
  <c r="O368" i="1" s="1"/>
  <c r="Q368" i="1" s="1"/>
  <c r="N369" i="1"/>
  <c r="O369" i="1" s="1"/>
  <c r="Q369" i="1" s="1"/>
  <c r="N370" i="1"/>
  <c r="O370" i="1" s="1"/>
  <c r="Q370" i="1" s="1"/>
  <c r="N371" i="1"/>
  <c r="O371" i="1" s="1"/>
  <c r="Q371" i="1" s="1"/>
  <c r="N372" i="1"/>
  <c r="O372" i="1" s="1"/>
  <c r="Q372" i="1" s="1"/>
  <c r="N373" i="1"/>
  <c r="O373" i="1" s="1"/>
  <c r="Q373" i="1" s="1"/>
  <c r="N374" i="1"/>
  <c r="O374" i="1" s="1"/>
  <c r="Q374" i="1" s="1"/>
  <c r="N375" i="1"/>
  <c r="O375" i="1" s="1"/>
  <c r="Q375" i="1" s="1"/>
  <c r="N376" i="1"/>
  <c r="O376" i="1" s="1"/>
  <c r="Q376" i="1" s="1"/>
  <c r="N377" i="1"/>
  <c r="O377" i="1" s="1"/>
  <c r="Q377" i="1" s="1"/>
  <c r="N378" i="1"/>
  <c r="O378" i="1" s="1"/>
  <c r="Q378" i="1" s="1"/>
  <c r="N379" i="1"/>
  <c r="O379" i="1" s="1"/>
  <c r="Q379" i="1" s="1"/>
  <c r="N380" i="1"/>
  <c r="O380" i="1" s="1"/>
  <c r="Q380" i="1" s="1"/>
  <c r="N381" i="1"/>
  <c r="O381" i="1" s="1"/>
  <c r="Q381" i="1" s="1"/>
  <c r="N382" i="1"/>
  <c r="O382" i="1" s="1"/>
  <c r="Q382" i="1" s="1"/>
  <c r="N383" i="1"/>
  <c r="O383" i="1" s="1"/>
  <c r="Q383" i="1" s="1"/>
  <c r="N384" i="1"/>
  <c r="O384" i="1" s="1"/>
  <c r="Q384" i="1" s="1"/>
  <c r="N385" i="1"/>
  <c r="O385" i="1" s="1"/>
  <c r="Q385" i="1" s="1"/>
  <c r="N386" i="1"/>
  <c r="O386" i="1" s="1"/>
  <c r="Q386" i="1" s="1"/>
  <c r="N387" i="1"/>
  <c r="O387" i="1" s="1"/>
  <c r="Q387" i="1" s="1"/>
  <c r="N388" i="1"/>
  <c r="O388" i="1" s="1"/>
  <c r="Q388" i="1" s="1"/>
  <c r="N389" i="1"/>
  <c r="O389" i="1" s="1"/>
  <c r="Q389" i="1" s="1"/>
  <c r="N390" i="1"/>
  <c r="O390" i="1" s="1"/>
  <c r="Q390" i="1" s="1"/>
  <c r="N391" i="1"/>
  <c r="O391" i="1" s="1"/>
  <c r="Q391" i="1" s="1"/>
  <c r="N392" i="1"/>
  <c r="O392" i="1" s="1"/>
  <c r="Q392" i="1" s="1"/>
  <c r="N393" i="1"/>
  <c r="O393" i="1" s="1"/>
  <c r="Q393" i="1" s="1"/>
  <c r="N394" i="1"/>
  <c r="O394" i="1" s="1"/>
  <c r="Q394" i="1" s="1"/>
  <c r="N395" i="1"/>
  <c r="O395" i="1" s="1"/>
  <c r="Q395" i="1" s="1"/>
  <c r="N396" i="1"/>
  <c r="O396" i="1" s="1"/>
  <c r="Q396" i="1" s="1"/>
  <c r="N397" i="1"/>
  <c r="O397" i="1" s="1"/>
  <c r="Q397" i="1" s="1"/>
  <c r="N398" i="1"/>
  <c r="O398" i="1" s="1"/>
  <c r="Q398" i="1" s="1"/>
  <c r="N399" i="1"/>
  <c r="O399" i="1" s="1"/>
  <c r="Q399" i="1" s="1"/>
  <c r="N400" i="1"/>
  <c r="O400" i="1" s="1"/>
  <c r="Q400" i="1" s="1"/>
  <c r="N401" i="1"/>
  <c r="O401" i="1" s="1"/>
  <c r="Q401" i="1" s="1"/>
  <c r="N402" i="1"/>
  <c r="O402" i="1" s="1"/>
  <c r="Q402" i="1" s="1"/>
  <c r="N403" i="1"/>
  <c r="O403" i="1" s="1"/>
  <c r="Q403" i="1" s="1"/>
  <c r="N404" i="1"/>
  <c r="O404" i="1" s="1"/>
  <c r="Q404" i="1" s="1"/>
  <c r="N405" i="1"/>
  <c r="O405" i="1" s="1"/>
  <c r="Q405" i="1" s="1"/>
  <c r="N406" i="1"/>
  <c r="O406" i="1" s="1"/>
  <c r="Q406" i="1" s="1"/>
  <c r="N407" i="1"/>
  <c r="O407" i="1" s="1"/>
  <c r="Q407" i="1" s="1"/>
  <c r="N408" i="1"/>
  <c r="O408" i="1" s="1"/>
  <c r="Q408" i="1" s="1"/>
  <c r="N409" i="1"/>
  <c r="O409" i="1" s="1"/>
  <c r="Q409" i="1" s="1"/>
  <c r="N410" i="1"/>
  <c r="O410" i="1" s="1"/>
  <c r="Q410" i="1" s="1"/>
  <c r="N411" i="1"/>
  <c r="O411" i="1" s="1"/>
  <c r="Q411" i="1" s="1"/>
  <c r="N412" i="1"/>
  <c r="O412" i="1" s="1"/>
  <c r="Q412" i="1" s="1"/>
  <c r="N413" i="1"/>
  <c r="O413" i="1" s="1"/>
  <c r="Q413" i="1" s="1"/>
  <c r="N414" i="1"/>
  <c r="O414" i="1" s="1"/>
  <c r="Q414" i="1" s="1"/>
  <c r="N415" i="1"/>
  <c r="O415" i="1" s="1"/>
  <c r="Q415" i="1" s="1"/>
  <c r="N416" i="1"/>
  <c r="O416" i="1" s="1"/>
  <c r="Q416" i="1" s="1"/>
  <c r="N417" i="1"/>
  <c r="O417" i="1" s="1"/>
  <c r="Q417" i="1" s="1"/>
  <c r="N418" i="1"/>
  <c r="O418" i="1" s="1"/>
  <c r="Q418" i="1" s="1"/>
  <c r="N419" i="1"/>
  <c r="O419" i="1" s="1"/>
  <c r="Q419" i="1" s="1"/>
  <c r="N420" i="1"/>
  <c r="O420" i="1" s="1"/>
  <c r="Q420" i="1" s="1"/>
  <c r="N421" i="1"/>
  <c r="O421" i="1" s="1"/>
  <c r="Q421" i="1" s="1"/>
  <c r="N422" i="1"/>
  <c r="O422" i="1" s="1"/>
  <c r="Q422" i="1" s="1"/>
  <c r="N423" i="1"/>
  <c r="O423" i="1" s="1"/>
  <c r="Q423" i="1" s="1"/>
  <c r="N424" i="1"/>
  <c r="O424" i="1" s="1"/>
  <c r="Q424" i="1" s="1"/>
  <c r="N425" i="1"/>
  <c r="O425" i="1" s="1"/>
  <c r="Q425" i="1" s="1"/>
  <c r="N426" i="1"/>
  <c r="O426" i="1" s="1"/>
  <c r="Q426" i="1" s="1"/>
  <c r="N427" i="1"/>
  <c r="O427" i="1" s="1"/>
  <c r="Q427" i="1" s="1"/>
  <c r="N428" i="1"/>
  <c r="O428" i="1" s="1"/>
  <c r="Q428" i="1" s="1"/>
  <c r="N429" i="1"/>
  <c r="O429" i="1" s="1"/>
  <c r="Q429" i="1" s="1"/>
  <c r="N430" i="1"/>
  <c r="O430" i="1" s="1"/>
  <c r="Q430" i="1" s="1"/>
  <c r="N431" i="1"/>
  <c r="O431" i="1" s="1"/>
  <c r="Q431" i="1" s="1"/>
  <c r="N432" i="1"/>
  <c r="O432" i="1" s="1"/>
  <c r="Q432" i="1" s="1"/>
  <c r="N433" i="1"/>
  <c r="O433" i="1" s="1"/>
  <c r="Q433" i="1" s="1"/>
  <c r="N434" i="1"/>
  <c r="O434" i="1" s="1"/>
  <c r="Q434" i="1" s="1"/>
  <c r="N435" i="1"/>
  <c r="O435" i="1" s="1"/>
  <c r="Q435" i="1" s="1"/>
  <c r="N436" i="1"/>
  <c r="O436" i="1" s="1"/>
  <c r="Q436" i="1" s="1"/>
  <c r="N437" i="1"/>
  <c r="O437" i="1" s="1"/>
  <c r="Q437" i="1" s="1"/>
  <c r="N438" i="1"/>
  <c r="O438" i="1" s="1"/>
  <c r="Q438" i="1" s="1"/>
  <c r="N439" i="1"/>
  <c r="O439" i="1" s="1"/>
  <c r="Q439" i="1" s="1"/>
  <c r="N440" i="1"/>
  <c r="O440" i="1" s="1"/>
  <c r="Q440" i="1" s="1"/>
  <c r="N441" i="1"/>
  <c r="O441" i="1" s="1"/>
  <c r="Q441" i="1" s="1"/>
  <c r="N442" i="1"/>
  <c r="O442" i="1" s="1"/>
  <c r="Q442" i="1" s="1"/>
  <c r="N443" i="1"/>
  <c r="O443" i="1" s="1"/>
  <c r="Q443" i="1" s="1"/>
  <c r="N444" i="1"/>
  <c r="O444" i="1" s="1"/>
  <c r="Q444" i="1" s="1"/>
  <c r="N445" i="1"/>
  <c r="O445" i="1" s="1"/>
  <c r="Q445" i="1" s="1"/>
  <c r="N446" i="1"/>
  <c r="O446" i="1" s="1"/>
  <c r="Q446" i="1" s="1"/>
  <c r="N447" i="1"/>
  <c r="O447" i="1" s="1"/>
  <c r="Q447" i="1" s="1"/>
  <c r="N448" i="1"/>
  <c r="O448" i="1" s="1"/>
  <c r="Q448" i="1" s="1"/>
  <c r="N449" i="1"/>
  <c r="O449" i="1" s="1"/>
  <c r="Q449" i="1" s="1"/>
  <c r="N450" i="1"/>
  <c r="O450" i="1" s="1"/>
  <c r="Q450" i="1" s="1"/>
  <c r="N451" i="1"/>
  <c r="O451" i="1" s="1"/>
  <c r="Q451" i="1" s="1"/>
  <c r="N452" i="1"/>
  <c r="O452" i="1" s="1"/>
  <c r="Q452" i="1" s="1"/>
  <c r="N453" i="1"/>
  <c r="O453" i="1" s="1"/>
  <c r="Q453" i="1" s="1"/>
  <c r="N454" i="1"/>
  <c r="O454" i="1" s="1"/>
  <c r="Q454" i="1" s="1"/>
  <c r="N455" i="1"/>
  <c r="O455" i="1" s="1"/>
  <c r="Q455" i="1" s="1"/>
  <c r="N456" i="1"/>
  <c r="O456" i="1" s="1"/>
  <c r="Q456" i="1" s="1"/>
  <c r="N457" i="1"/>
  <c r="O457" i="1" s="1"/>
  <c r="Q457" i="1" s="1"/>
  <c r="N458" i="1"/>
  <c r="O458" i="1" s="1"/>
  <c r="Q458" i="1" s="1"/>
  <c r="N459" i="1"/>
  <c r="O459" i="1" s="1"/>
  <c r="Q459" i="1" s="1"/>
  <c r="N460" i="1"/>
  <c r="O460" i="1" s="1"/>
  <c r="Q460" i="1" s="1"/>
  <c r="N461" i="1"/>
  <c r="O461" i="1" s="1"/>
  <c r="Q461" i="1" s="1"/>
  <c r="N462" i="1"/>
  <c r="O462" i="1" s="1"/>
  <c r="Q462" i="1" s="1"/>
  <c r="N463" i="1"/>
  <c r="O463" i="1" s="1"/>
  <c r="Q463" i="1" s="1"/>
  <c r="N464" i="1"/>
  <c r="O464" i="1" s="1"/>
  <c r="Q464" i="1" s="1"/>
  <c r="N465" i="1"/>
  <c r="O465" i="1" s="1"/>
  <c r="Q465" i="1" s="1"/>
  <c r="N466" i="1"/>
  <c r="O466" i="1" s="1"/>
  <c r="Q466" i="1" s="1"/>
  <c r="N467" i="1"/>
  <c r="O467" i="1" s="1"/>
  <c r="Q467" i="1" s="1"/>
  <c r="N468" i="1"/>
  <c r="O468" i="1" s="1"/>
  <c r="Q468" i="1" s="1"/>
  <c r="N469" i="1"/>
  <c r="O469" i="1" s="1"/>
  <c r="Q469" i="1" s="1"/>
  <c r="N470" i="1"/>
  <c r="O470" i="1" s="1"/>
  <c r="Q470" i="1" s="1"/>
  <c r="N471" i="1"/>
  <c r="O471" i="1" s="1"/>
  <c r="Q471" i="1" s="1"/>
  <c r="N472" i="1"/>
  <c r="O472" i="1" s="1"/>
  <c r="Q472" i="1" s="1"/>
  <c r="N473" i="1"/>
  <c r="O473" i="1" s="1"/>
  <c r="Q473" i="1" s="1"/>
  <c r="N474" i="1"/>
  <c r="O474" i="1" s="1"/>
  <c r="Q474" i="1" s="1"/>
  <c r="N475" i="1"/>
  <c r="O475" i="1" s="1"/>
  <c r="Q475" i="1" s="1"/>
  <c r="N476" i="1"/>
  <c r="O476" i="1" s="1"/>
  <c r="Q476" i="1" s="1"/>
  <c r="N477" i="1"/>
  <c r="O477" i="1" s="1"/>
  <c r="Q477" i="1" s="1"/>
  <c r="N478" i="1"/>
  <c r="O478" i="1" s="1"/>
  <c r="Q478" i="1" s="1"/>
  <c r="N479" i="1"/>
  <c r="O479" i="1" s="1"/>
  <c r="Q479" i="1" s="1"/>
  <c r="N480" i="1"/>
  <c r="O480" i="1" s="1"/>
  <c r="Q480" i="1" s="1"/>
  <c r="N481" i="1"/>
  <c r="O481" i="1" s="1"/>
  <c r="Q481" i="1" s="1"/>
  <c r="N482" i="1"/>
  <c r="O482" i="1" s="1"/>
  <c r="Q482" i="1" s="1"/>
  <c r="N483" i="1"/>
  <c r="O483" i="1" s="1"/>
  <c r="Q483" i="1" s="1"/>
  <c r="N484" i="1"/>
  <c r="O484" i="1" s="1"/>
  <c r="Q484" i="1" s="1"/>
  <c r="N485" i="1"/>
  <c r="O485" i="1" s="1"/>
  <c r="Q485" i="1" s="1"/>
  <c r="N486" i="1"/>
  <c r="O486" i="1" s="1"/>
  <c r="Q486" i="1" s="1"/>
  <c r="N487" i="1"/>
  <c r="O487" i="1" s="1"/>
  <c r="Q487" i="1" s="1"/>
  <c r="N488" i="1"/>
  <c r="O488" i="1" s="1"/>
  <c r="Q488" i="1" s="1"/>
  <c r="N489" i="1"/>
  <c r="O489" i="1" s="1"/>
  <c r="Q489" i="1" s="1"/>
  <c r="N490" i="1"/>
  <c r="O490" i="1" s="1"/>
  <c r="Q490" i="1" s="1"/>
  <c r="N491" i="1"/>
  <c r="O491" i="1" s="1"/>
  <c r="Q491" i="1" s="1"/>
  <c r="N492" i="1"/>
  <c r="O492" i="1" s="1"/>
  <c r="Q492" i="1" s="1"/>
  <c r="N493" i="1"/>
  <c r="O493" i="1" s="1"/>
  <c r="Q493" i="1" s="1"/>
  <c r="N494" i="1"/>
  <c r="O494" i="1" s="1"/>
  <c r="Q494" i="1" s="1"/>
  <c r="N495" i="1"/>
  <c r="O495" i="1" s="1"/>
  <c r="Q495" i="1" s="1"/>
  <c r="N496" i="1"/>
  <c r="O496" i="1" s="1"/>
  <c r="Q496" i="1" s="1"/>
  <c r="N497" i="1"/>
  <c r="O497" i="1" s="1"/>
  <c r="Q497" i="1" s="1"/>
  <c r="N498" i="1"/>
  <c r="N499" i="1"/>
  <c r="O499" i="1" s="1"/>
  <c r="Q499" i="1" s="1"/>
  <c r="N500" i="1"/>
  <c r="O500" i="1" s="1"/>
  <c r="Q500" i="1" s="1"/>
  <c r="N501" i="1"/>
  <c r="O501" i="1" s="1"/>
  <c r="Q501" i="1" s="1"/>
  <c r="N502" i="1"/>
  <c r="O502" i="1" s="1"/>
  <c r="Q502" i="1" s="1"/>
  <c r="N503" i="1"/>
  <c r="O503" i="1" s="1"/>
  <c r="Q503" i="1" s="1"/>
  <c r="N504" i="1"/>
  <c r="O504" i="1" s="1"/>
  <c r="Q504" i="1" s="1"/>
  <c r="N505" i="1"/>
  <c r="O505" i="1" s="1"/>
  <c r="Q505" i="1" s="1"/>
  <c r="N506" i="1"/>
  <c r="O506" i="1" s="1"/>
  <c r="Q506" i="1" s="1"/>
  <c r="N507" i="1"/>
  <c r="O507" i="1" s="1"/>
  <c r="Q507" i="1" s="1"/>
  <c r="N508" i="1"/>
  <c r="O508" i="1" s="1"/>
  <c r="Q508" i="1" s="1"/>
  <c r="N509" i="1"/>
  <c r="O509" i="1" s="1"/>
  <c r="Q509" i="1" s="1"/>
  <c r="N510" i="1"/>
  <c r="O510" i="1" s="1"/>
  <c r="Q510" i="1" s="1"/>
  <c r="N511" i="1"/>
  <c r="O511" i="1" s="1"/>
  <c r="Q511" i="1" s="1"/>
  <c r="N512" i="1"/>
  <c r="O512" i="1" s="1"/>
  <c r="Q512" i="1" s="1"/>
  <c r="N513" i="1"/>
  <c r="O513" i="1" s="1"/>
  <c r="Q513" i="1" s="1"/>
  <c r="N514" i="1"/>
  <c r="O514" i="1" s="1"/>
  <c r="Q514" i="1" s="1"/>
  <c r="N515" i="1"/>
  <c r="O515" i="1" s="1"/>
  <c r="Q515" i="1" s="1"/>
  <c r="N516" i="1"/>
  <c r="O516" i="1" s="1"/>
  <c r="Q516" i="1" s="1"/>
  <c r="N517" i="1"/>
  <c r="O517" i="1" s="1"/>
  <c r="Q517" i="1" s="1"/>
  <c r="N518" i="1"/>
  <c r="O518" i="1" s="1"/>
  <c r="Q518" i="1" s="1"/>
  <c r="N519" i="1"/>
  <c r="O519" i="1" s="1"/>
  <c r="Q519" i="1" s="1"/>
  <c r="N520" i="1"/>
  <c r="O520" i="1" s="1"/>
  <c r="Q520" i="1" s="1"/>
  <c r="N521" i="1"/>
  <c r="O521" i="1" s="1"/>
  <c r="Q521" i="1" s="1"/>
  <c r="N522" i="1"/>
  <c r="O522" i="1" s="1"/>
  <c r="Q522" i="1" s="1"/>
  <c r="N523" i="1"/>
  <c r="O523" i="1" s="1"/>
  <c r="Q523" i="1" s="1"/>
  <c r="N524" i="1"/>
  <c r="O524" i="1" s="1"/>
  <c r="Q524" i="1" s="1"/>
  <c r="N525" i="1"/>
  <c r="O525" i="1" s="1"/>
  <c r="Q525" i="1" s="1"/>
  <c r="N526" i="1"/>
  <c r="O526" i="1" s="1"/>
  <c r="Q526" i="1" s="1"/>
  <c r="N527" i="1"/>
  <c r="O527" i="1" s="1"/>
  <c r="Q527" i="1" s="1"/>
  <c r="N528" i="1"/>
  <c r="O528" i="1" s="1"/>
  <c r="Q528" i="1" s="1"/>
  <c r="N529" i="1"/>
  <c r="O529" i="1" s="1"/>
  <c r="Q529" i="1" s="1"/>
  <c r="N530" i="1"/>
  <c r="O530" i="1" s="1"/>
  <c r="Q530" i="1" s="1"/>
  <c r="N531" i="1"/>
  <c r="O531" i="1" s="1"/>
  <c r="Q531" i="1" s="1"/>
  <c r="N532" i="1"/>
  <c r="O532" i="1" s="1"/>
  <c r="Q532" i="1" s="1"/>
  <c r="N533" i="1"/>
  <c r="O533" i="1" s="1"/>
  <c r="Q533" i="1" s="1"/>
  <c r="N534" i="1"/>
  <c r="O534" i="1" s="1"/>
  <c r="Q534" i="1" s="1"/>
  <c r="N535" i="1"/>
  <c r="O535" i="1" s="1"/>
  <c r="Q535" i="1" s="1"/>
  <c r="N536" i="1"/>
  <c r="O536" i="1" s="1"/>
  <c r="Q536" i="1" s="1"/>
  <c r="N537" i="1"/>
  <c r="O537" i="1" s="1"/>
  <c r="Q537" i="1" s="1"/>
  <c r="N538" i="1"/>
  <c r="O538" i="1" s="1"/>
  <c r="Q538" i="1" s="1"/>
  <c r="N539" i="1"/>
  <c r="O539" i="1" s="1"/>
  <c r="Q539" i="1" s="1"/>
  <c r="N540" i="1"/>
  <c r="O540" i="1" s="1"/>
  <c r="Q540" i="1" s="1"/>
  <c r="N541" i="1"/>
  <c r="O541" i="1" s="1"/>
  <c r="Q541" i="1" s="1"/>
  <c r="N542" i="1"/>
  <c r="O542" i="1" s="1"/>
  <c r="Q542" i="1" s="1"/>
  <c r="N543" i="1"/>
  <c r="O543" i="1" s="1"/>
  <c r="Q543" i="1" s="1"/>
  <c r="N544" i="1"/>
  <c r="O544" i="1" s="1"/>
  <c r="Q544" i="1" s="1"/>
  <c r="N545" i="1"/>
  <c r="O545" i="1" s="1"/>
  <c r="Q545" i="1" s="1"/>
  <c r="N546" i="1"/>
  <c r="O546" i="1" s="1"/>
  <c r="Q546" i="1" s="1"/>
  <c r="N547" i="1"/>
  <c r="O547" i="1" s="1"/>
  <c r="Q547" i="1" s="1"/>
  <c r="N548" i="1"/>
  <c r="O548" i="1" s="1"/>
  <c r="Q548" i="1" s="1"/>
  <c r="N549" i="1"/>
  <c r="O549" i="1" s="1"/>
  <c r="Q549" i="1" s="1"/>
  <c r="N550" i="1"/>
  <c r="O550" i="1" s="1"/>
  <c r="Q550" i="1" s="1"/>
  <c r="N551" i="1"/>
  <c r="O551" i="1" s="1"/>
  <c r="Q551" i="1" s="1"/>
  <c r="N552" i="1"/>
  <c r="O552" i="1" s="1"/>
  <c r="Q552" i="1" s="1"/>
  <c r="N553" i="1"/>
  <c r="O553" i="1" s="1"/>
  <c r="Q553" i="1" s="1"/>
  <c r="N554" i="1"/>
  <c r="O554" i="1" s="1"/>
  <c r="Q554" i="1" s="1"/>
  <c r="N555" i="1"/>
  <c r="O555" i="1" s="1"/>
  <c r="Q555" i="1" s="1"/>
  <c r="N556" i="1"/>
  <c r="O556" i="1" s="1"/>
  <c r="Q556" i="1" s="1"/>
  <c r="N557" i="1"/>
  <c r="O557" i="1" s="1"/>
  <c r="Q557" i="1" s="1"/>
  <c r="N558" i="1"/>
  <c r="O558" i="1" s="1"/>
  <c r="Q558" i="1" s="1"/>
  <c r="N559" i="1"/>
  <c r="O559" i="1" s="1"/>
  <c r="Q559" i="1" s="1"/>
  <c r="N560" i="1"/>
  <c r="O560" i="1" s="1"/>
  <c r="Q560" i="1" s="1"/>
  <c r="N561" i="1"/>
  <c r="O561" i="1" s="1"/>
  <c r="Q561" i="1" s="1"/>
  <c r="N562" i="1"/>
  <c r="O562" i="1" s="1"/>
  <c r="Q562" i="1" s="1"/>
  <c r="N563" i="1"/>
  <c r="O563" i="1" s="1"/>
  <c r="Q563" i="1" s="1"/>
  <c r="N564" i="1"/>
  <c r="O564" i="1" s="1"/>
  <c r="Q564" i="1" s="1"/>
  <c r="N565" i="1"/>
  <c r="O565" i="1" s="1"/>
  <c r="Q565" i="1" s="1"/>
  <c r="N566" i="1"/>
  <c r="O566" i="1" s="1"/>
  <c r="Q566" i="1" s="1"/>
  <c r="N567" i="1"/>
  <c r="O567" i="1" s="1"/>
  <c r="Q567" i="1" s="1"/>
  <c r="N568" i="1"/>
  <c r="O568" i="1" s="1"/>
  <c r="Q568" i="1" s="1"/>
  <c r="N569" i="1"/>
  <c r="O569" i="1" s="1"/>
  <c r="Q569" i="1" s="1"/>
  <c r="N570" i="1"/>
  <c r="O570" i="1" s="1"/>
  <c r="Q570" i="1" s="1"/>
  <c r="N571" i="1"/>
  <c r="O571" i="1" s="1"/>
  <c r="Q571" i="1" s="1"/>
  <c r="N572" i="1"/>
  <c r="O572" i="1" s="1"/>
  <c r="Q572" i="1" s="1"/>
  <c r="N573" i="1"/>
  <c r="O573" i="1" s="1"/>
  <c r="Q573" i="1" s="1"/>
  <c r="N574" i="1"/>
  <c r="O574" i="1" s="1"/>
  <c r="Q574" i="1" s="1"/>
  <c r="N575" i="1"/>
  <c r="O575" i="1" s="1"/>
  <c r="Q575" i="1" s="1"/>
  <c r="N576" i="1"/>
  <c r="O576" i="1" s="1"/>
  <c r="Q576" i="1" s="1"/>
  <c r="N577" i="1"/>
  <c r="O577" i="1" s="1"/>
  <c r="Q577" i="1" s="1"/>
  <c r="N578" i="1"/>
  <c r="O578" i="1" s="1"/>
  <c r="Q578" i="1" s="1"/>
  <c r="N579" i="1"/>
  <c r="O579" i="1" s="1"/>
  <c r="Q579" i="1" s="1"/>
  <c r="N580" i="1"/>
  <c r="O580" i="1" s="1"/>
  <c r="Q580" i="1" s="1"/>
  <c r="N581" i="1"/>
  <c r="O581" i="1" s="1"/>
  <c r="Q581" i="1" s="1"/>
  <c r="N582" i="1"/>
  <c r="O582" i="1" s="1"/>
  <c r="Q582" i="1" s="1"/>
  <c r="N583" i="1"/>
  <c r="O583" i="1" s="1"/>
  <c r="Q583" i="1" s="1"/>
  <c r="N584" i="1"/>
  <c r="O584" i="1" s="1"/>
  <c r="Q584" i="1" s="1"/>
  <c r="N585" i="1"/>
  <c r="O585" i="1" s="1"/>
  <c r="Q585" i="1" s="1"/>
  <c r="N586" i="1"/>
  <c r="O586" i="1" s="1"/>
  <c r="Q586" i="1" s="1"/>
  <c r="N587" i="1"/>
  <c r="O587" i="1" s="1"/>
  <c r="Q587" i="1" s="1"/>
  <c r="N588" i="1"/>
  <c r="O588" i="1" s="1"/>
  <c r="Q588" i="1" s="1"/>
  <c r="N589" i="1"/>
  <c r="O589" i="1" s="1"/>
  <c r="Q589" i="1" s="1"/>
  <c r="N590" i="1"/>
  <c r="O590" i="1" s="1"/>
  <c r="Q590" i="1" s="1"/>
  <c r="N591" i="1"/>
  <c r="O591" i="1" s="1"/>
  <c r="Q591" i="1" s="1"/>
  <c r="N592" i="1"/>
  <c r="O592" i="1" s="1"/>
  <c r="Q592" i="1" s="1"/>
  <c r="N593" i="1"/>
  <c r="O593" i="1" s="1"/>
  <c r="Q593" i="1" s="1"/>
  <c r="N594" i="1"/>
  <c r="O594" i="1" s="1"/>
  <c r="Q594" i="1" s="1"/>
  <c r="N595" i="1"/>
  <c r="O595" i="1" s="1"/>
  <c r="Q595" i="1" s="1"/>
  <c r="N596" i="1"/>
  <c r="O596" i="1" s="1"/>
  <c r="Q596" i="1" s="1"/>
  <c r="N597" i="1"/>
  <c r="O597" i="1" s="1"/>
  <c r="Q597" i="1" s="1"/>
  <c r="N598" i="1"/>
  <c r="O598" i="1" s="1"/>
  <c r="Q598" i="1" s="1"/>
  <c r="N599" i="1"/>
  <c r="O599" i="1" s="1"/>
  <c r="Q599" i="1" s="1"/>
  <c r="N600" i="1"/>
  <c r="O600" i="1" s="1"/>
  <c r="Q600" i="1" s="1"/>
  <c r="N601" i="1"/>
  <c r="O601" i="1" s="1"/>
  <c r="Q601" i="1" s="1"/>
  <c r="N602" i="1"/>
  <c r="O602" i="1" s="1"/>
  <c r="Q602" i="1" s="1"/>
  <c r="N603" i="1"/>
  <c r="O603" i="1" s="1"/>
  <c r="Q603" i="1" s="1"/>
  <c r="N604" i="1"/>
  <c r="O604" i="1" s="1"/>
  <c r="Q604" i="1" s="1"/>
  <c r="N605" i="1"/>
  <c r="O605" i="1" s="1"/>
  <c r="Q605" i="1" s="1"/>
  <c r="N606" i="1"/>
  <c r="O606" i="1" s="1"/>
  <c r="Q606" i="1" s="1"/>
  <c r="N607" i="1"/>
  <c r="O607" i="1" s="1"/>
  <c r="Q607" i="1" s="1"/>
  <c r="N608" i="1"/>
  <c r="O608" i="1" s="1"/>
  <c r="Q608" i="1" s="1"/>
  <c r="N609" i="1"/>
  <c r="O609" i="1" s="1"/>
  <c r="Q609" i="1" s="1"/>
  <c r="N610" i="1"/>
  <c r="O610" i="1" s="1"/>
  <c r="Q610" i="1" s="1"/>
  <c r="N611" i="1"/>
  <c r="O611" i="1" s="1"/>
  <c r="Q611" i="1" s="1"/>
  <c r="N612" i="1"/>
  <c r="O612" i="1" s="1"/>
  <c r="Q612" i="1" s="1"/>
  <c r="N613" i="1"/>
  <c r="O613" i="1" s="1"/>
  <c r="Q613" i="1" s="1"/>
  <c r="N614" i="1"/>
  <c r="O614" i="1" s="1"/>
  <c r="Q614" i="1" s="1"/>
  <c r="N615" i="1"/>
  <c r="O615" i="1" s="1"/>
  <c r="Q615" i="1" s="1"/>
  <c r="N616" i="1"/>
  <c r="O616" i="1" s="1"/>
  <c r="Q616" i="1" s="1"/>
  <c r="N617" i="1"/>
  <c r="O617" i="1" s="1"/>
  <c r="Q617" i="1" s="1"/>
  <c r="N618" i="1"/>
  <c r="O618" i="1" s="1"/>
  <c r="Q618" i="1" s="1"/>
  <c r="N619" i="1"/>
  <c r="O619" i="1" s="1"/>
  <c r="Q619" i="1" s="1"/>
  <c r="N620" i="1"/>
  <c r="O620" i="1" s="1"/>
  <c r="Q620" i="1" s="1"/>
  <c r="N621" i="1"/>
  <c r="O621" i="1" s="1"/>
  <c r="Q621" i="1" s="1"/>
  <c r="N622" i="1"/>
  <c r="O622" i="1" s="1"/>
  <c r="Q622" i="1" s="1"/>
  <c r="N623" i="1"/>
  <c r="O623" i="1" s="1"/>
  <c r="Q623" i="1" s="1"/>
  <c r="N624" i="1"/>
  <c r="O624" i="1" s="1"/>
  <c r="Q624" i="1" s="1"/>
  <c r="N625" i="1"/>
  <c r="O625" i="1" s="1"/>
  <c r="Q625" i="1" s="1"/>
  <c r="N626" i="1"/>
  <c r="O626" i="1" s="1"/>
  <c r="Q626" i="1" s="1"/>
  <c r="N627" i="1"/>
  <c r="O627" i="1" s="1"/>
  <c r="Q627" i="1" s="1"/>
  <c r="N628" i="1"/>
  <c r="O628" i="1" s="1"/>
  <c r="Q628" i="1" s="1"/>
  <c r="N629" i="1"/>
  <c r="O629" i="1" s="1"/>
  <c r="Q629" i="1" s="1"/>
  <c r="N630" i="1"/>
  <c r="O630" i="1" s="1"/>
  <c r="Q630" i="1" s="1"/>
  <c r="N631" i="1"/>
  <c r="O631" i="1" s="1"/>
  <c r="Q631" i="1" s="1"/>
  <c r="N632" i="1"/>
  <c r="O632" i="1" s="1"/>
  <c r="Q632" i="1" s="1"/>
  <c r="N633" i="1"/>
  <c r="O633" i="1" s="1"/>
  <c r="Q633" i="1" s="1"/>
  <c r="N634" i="1"/>
  <c r="O634" i="1" s="1"/>
  <c r="Q634" i="1" s="1"/>
  <c r="N635" i="1"/>
  <c r="O635" i="1" s="1"/>
  <c r="Q635" i="1" s="1"/>
  <c r="N636" i="1"/>
  <c r="O636" i="1" s="1"/>
  <c r="Q636" i="1" s="1"/>
  <c r="N637" i="1"/>
  <c r="O637" i="1" s="1"/>
  <c r="Q637" i="1" s="1"/>
  <c r="N638" i="1"/>
  <c r="O638" i="1" s="1"/>
  <c r="Q638" i="1" s="1"/>
  <c r="N639" i="1"/>
  <c r="O639" i="1" s="1"/>
  <c r="Q639" i="1" s="1"/>
  <c r="N640" i="1"/>
  <c r="O640" i="1" s="1"/>
  <c r="Q640" i="1" s="1"/>
  <c r="N641" i="1"/>
  <c r="O641" i="1" s="1"/>
  <c r="Q641" i="1" s="1"/>
  <c r="N642" i="1"/>
  <c r="O642" i="1" s="1"/>
  <c r="Q642" i="1" s="1"/>
  <c r="N643" i="1"/>
  <c r="O643" i="1" s="1"/>
  <c r="Q643" i="1" s="1"/>
  <c r="N644" i="1"/>
  <c r="O644" i="1" s="1"/>
  <c r="Q644" i="1" s="1"/>
  <c r="N645" i="1"/>
  <c r="O645" i="1" s="1"/>
  <c r="Q645" i="1" s="1"/>
  <c r="N646" i="1"/>
  <c r="O646" i="1" s="1"/>
  <c r="Q646" i="1" s="1"/>
  <c r="N647" i="1"/>
  <c r="O647" i="1" s="1"/>
  <c r="Q647" i="1" s="1"/>
  <c r="N648" i="1"/>
  <c r="O648" i="1" s="1"/>
  <c r="Q648" i="1" s="1"/>
  <c r="N649" i="1"/>
  <c r="O649" i="1" s="1"/>
  <c r="Q649" i="1" s="1"/>
  <c r="N650" i="1"/>
  <c r="O650" i="1" s="1"/>
  <c r="Q650" i="1" s="1"/>
  <c r="N651" i="1"/>
  <c r="O651" i="1" s="1"/>
  <c r="Q651" i="1" s="1"/>
  <c r="N652" i="1"/>
  <c r="O652" i="1" s="1"/>
  <c r="Q652" i="1" s="1"/>
  <c r="N653" i="1"/>
  <c r="O653" i="1" s="1"/>
  <c r="Q653" i="1" s="1"/>
  <c r="N654" i="1"/>
  <c r="O654" i="1" s="1"/>
  <c r="Q654" i="1" s="1"/>
  <c r="N655" i="1"/>
  <c r="O655" i="1" s="1"/>
  <c r="Q655" i="1" s="1"/>
  <c r="N656" i="1"/>
  <c r="O656" i="1" s="1"/>
  <c r="Q656" i="1" s="1"/>
  <c r="N657" i="1"/>
  <c r="O657" i="1" s="1"/>
  <c r="Q657" i="1" s="1"/>
  <c r="N658" i="1"/>
  <c r="O658" i="1" s="1"/>
  <c r="Q658" i="1" s="1"/>
  <c r="N659" i="1"/>
  <c r="O659" i="1" s="1"/>
  <c r="Q659" i="1" s="1"/>
  <c r="N660" i="1"/>
  <c r="O660" i="1" s="1"/>
  <c r="Q660" i="1" s="1"/>
  <c r="N661" i="1"/>
  <c r="O661" i="1" s="1"/>
  <c r="Q661" i="1" s="1"/>
  <c r="N662" i="1"/>
  <c r="O662" i="1" s="1"/>
  <c r="Q662" i="1" s="1"/>
  <c r="N663" i="1"/>
  <c r="O663" i="1" s="1"/>
  <c r="Q663" i="1" s="1"/>
  <c r="N664" i="1"/>
  <c r="O664" i="1" s="1"/>
  <c r="Q664" i="1" s="1"/>
  <c r="N665" i="1"/>
  <c r="O665" i="1" s="1"/>
  <c r="Q665" i="1" s="1"/>
  <c r="N666" i="1"/>
  <c r="O666" i="1" s="1"/>
  <c r="Q666" i="1" s="1"/>
  <c r="N667" i="1"/>
  <c r="O667" i="1" s="1"/>
  <c r="Q667" i="1" s="1"/>
  <c r="N668" i="1"/>
  <c r="O668" i="1" s="1"/>
  <c r="Q668" i="1" s="1"/>
  <c r="N669" i="1"/>
  <c r="O669" i="1" s="1"/>
  <c r="Q669" i="1" s="1"/>
  <c r="N670" i="1"/>
  <c r="O670" i="1" s="1"/>
  <c r="Q670" i="1" s="1"/>
  <c r="N671" i="1"/>
  <c r="O671" i="1" s="1"/>
  <c r="Q671" i="1" s="1"/>
  <c r="N672" i="1"/>
  <c r="O672" i="1" s="1"/>
  <c r="Q672" i="1" s="1"/>
  <c r="N673" i="1"/>
  <c r="O673" i="1" s="1"/>
  <c r="Q673" i="1" s="1"/>
  <c r="N674" i="1"/>
  <c r="O674" i="1" s="1"/>
  <c r="Q674" i="1" s="1"/>
  <c r="N675" i="1"/>
  <c r="O675" i="1" s="1"/>
  <c r="Q675" i="1" s="1"/>
  <c r="N676" i="1"/>
  <c r="O676" i="1" s="1"/>
  <c r="Q676" i="1" s="1"/>
  <c r="N677" i="1"/>
  <c r="O677" i="1" s="1"/>
  <c r="Q677" i="1" s="1"/>
  <c r="N678" i="1"/>
  <c r="O678" i="1" s="1"/>
  <c r="Q678" i="1" s="1"/>
  <c r="N679" i="1"/>
  <c r="O679" i="1" s="1"/>
  <c r="Q679" i="1" s="1"/>
  <c r="N680" i="1"/>
  <c r="O680" i="1" s="1"/>
  <c r="Q680" i="1" s="1"/>
  <c r="N681" i="1"/>
  <c r="O681" i="1" s="1"/>
  <c r="Q681" i="1" s="1"/>
  <c r="N682" i="1"/>
  <c r="O682" i="1" s="1"/>
  <c r="Q682" i="1" s="1"/>
  <c r="N683" i="1"/>
  <c r="O683" i="1" s="1"/>
  <c r="Q683" i="1" s="1"/>
  <c r="N684" i="1"/>
  <c r="O684" i="1" s="1"/>
  <c r="Q684" i="1" s="1"/>
  <c r="N685" i="1"/>
  <c r="O685" i="1" s="1"/>
  <c r="Q685" i="1" s="1"/>
  <c r="N686" i="1"/>
  <c r="O686" i="1" s="1"/>
  <c r="Q686" i="1" s="1"/>
  <c r="N687" i="1"/>
  <c r="O687" i="1" s="1"/>
  <c r="Q687" i="1" s="1"/>
  <c r="N688" i="1"/>
  <c r="O688" i="1" s="1"/>
  <c r="Q688" i="1" s="1"/>
  <c r="N689" i="1"/>
  <c r="O689" i="1" s="1"/>
  <c r="Q689" i="1" s="1"/>
  <c r="N690" i="1"/>
  <c r="O690" i="1" s="1"/>
  <c r="Q690" i="1" s="1"/>
  <c r="N691" i="1"/>
  <c r="O691" i="1" s="1"/>
  <c r="Q691" i="1" s="1"/>
  <c r="N692" i="1"/>
  <c r="O692" i="1" s="1"/>
  <c r="Q692" i="1" s="1"/>
  <c r="N693" i="1"/>
  <c r="O693" i="1" s="1"/>
  <c r="Q693" i="1" s="1"/>
  <c r="N694" i="1"/>
  <c r="O694" i="1" s="1"/>
  <c r="Q694" i="1" s="1"/>
  <c r="N695" i="1"/>
  <c r="O695" i="1" s="1"/>
  <c r="Q695" i="1" s="1"/>
  <c r="N696" i="1"/>
  <c r="O696" i="1" s="1"/>
  <c r="Q696" i="1" s="1"/>
  <c r="N697" i="1"/>
  <c r="O697" i="1" s="1"/>
  <c r="Q697" i="1" s="1"/>
  <c r="N698" i="1"/>
  <c r="O698" i="1" s="1"/>
  <c r="Q698" i="1" s="1"/>
  <c r="N699" i="1"/>
  <c r="O699" i="1" s="1"/>
  <c r="Q699" i="1" s="1"/>
  <c r="N700" i="1"/>
  <c r="O700" i="1" s="1"/>
  <c r="Q700" i="1" s="1"/>
  <c r="N701" i="1"/>
  <c r="O701" i="1" s="1"/>
  <c r="Q701" i="1" s="1"/>
  <c r="N702" i="1"/>
  <c r="O702" i="1" s="1"/>
  <c r="Q702" i="1" s="1"/>
  <c r="N703" i="1"/>
  <c r="O703" i="1" s="1"/>
  <c r="Q703" i="1" s="1"/>
  <c r="N704" i="1"/>
  <c r="O704" i="1" s="1"/>
  <c r="Q704" i="1" s="1"/>
  <c r="N705" i="1"/>
  <c r="O705" i="1" s="1"/>
  <c r="Q705" i="1" s="1"/>
  <c r="N706" i="1"/>
  <c r="O706" i="1" s="1"/>
  <c r="Q706" i="1" s="1"/>
  <c r="N707" i="1"/>
  <c r="O707" i="1" s="1"/>
  <c r="Q707" i="1" s="1"/>
  <c r="N708" i="1"/>
  <c r="O708" i="1" s="1"/>
  <c r="Q708" i="1" s="1"/>
  <c r="N709" i="1"/>
  <c r="O709" i="1" s="1"/>
  <c r="Q709" i="1" s="1"/>
  <c r="N710" i="1"/>
  <c r="O710" i="1" s="1"/>
  <c r="Q710" i="1" s="1"/>
  <c r="N711" i="1"/>
  <c r="O711" i="1" s="1"/>
  <c r="Q711" i="1" s="1"/>
  <c r="N712" i="1"/>
  <c r="O712" i="1" s="1"/>
  <c r="Q712" i="1" s="1"/>
  <c r="N713" i="1"/>
  <c r="O713" i="1" s="1"/>
  <c r="Q713" i="1" s="1"/>
  <c r="N714" i="1"/>
  <c r="O714" i="1" s="1"/>
  <c r="Q714" i="1" s="1"/>
  <c r="N715" i="1"/>
  <c r="O715" i="1" s="1"/>
  <c r="Q715" i="1" s="1"/>
  <c r="N716" i="1"/>
  <c r="O716" i="1" s="1"/>
  <c r="Q716" i="1" s="1"/>
  <c r="N717" i="1"/>
  <c r="O717" i="1" s="1"/>
  <c r="Q717" i="1" s="1"/>
  <c r="N718" i="1"/>
  <c r="O718" i="1" s="1"/>
  <c r="Q718" i="1" s="1"/>
  <c r="N719" i="1"/>
  <c r="O719" i="1" s="1"/>
  <c r="Q719" i="1" s="1"/>
  <c r="N720" i="1"/>
  <c r="O720" i="1" s="1"/>
  <c r="Q720" i="1" s="1"/>
  <c r="N721" i="1"/>
  <c r="O721" i="1" s="1"/>
  <c r="Q721" i="1" s="1"/>
  <c r="N722" i="1"/>
  <c r="O722" i="1" s="1"/>
  <c r="Q722" i="1" s="1"/>
  <c r="N723" i="1"/>
  <c r="O723" i="1" s="1"/>
  <c r="Q723" i="1" s="1"/>
  <c r="N724" i="1"/>
  <c r="O724" i="1" s="1"/>
  <c r="Q724" i="1" s="1"/>
  <c r="N725" i="1"/>
  <c r="O725" i="1" s="1"/>
  <c r="Q725" i="1" s="1"/>
  <c r="N726" i="1"/>
  <c r="O726" i="1" s="1"/>
  <c r="Q726" i="1" s="1"/>
  <c r="N727" i="1"/>
  <c r="O727" i="1" s="1"/>
  <c r="Q727" i="1" s="1"/>
  <c r="N728" i="1"/>
  <c r="O728" i="1" s="1"/>
  <c r="Q728" i="1" s="1"/>
  <c r="N729" i="1"/>
  <c r="O729" i="1" s="1"/>
  <c r="Q729" i="1" s="1"/>
  <c r="N730" i="1"/>
  <c r="O730" i="1" s="1"/>
  <c r="Q730" i="1" s="1"/>
  <c r="N731" i="1"/>
  <c r="O731" i="1" s="1"/>
  <c r="Q731" i="1" s="1"/>
  <c r="N732" i="1"/>
  <c r="O732" i="1" s="1"/>
  <c r="Q732" i="1" s="1"/>
  <c r="N733" i="1"/>
  <c r="O733" i="1" s="1"/>
  <c r="Q733" i="1" s="1"/>
  <c r="N734" i="1"/>
  <c r="O734" i="1" s="1"/>
  <c r="Q734" i="1" s="1"/>
  <c r="N735" i="1"/>
  <c r="O735" i="1" s="1"/>
  <c r="Q735" i="1" s="1"/>
  <c r="N736" i="1"/>
  <c r="O736" i="1" s="1"/>
  <c r="Q736" i="1" s="1"/>
  <c r="N737" i="1"/>
  <c r="O737" i="1" s="1"/>
  <c r="Q737" i="1" s="1"/>
  <c r="N738" i="1"/>
  <c r="O738" i="1" s="1"/>
  <c r="Q738" i="1" s="1"/>
  <c r="N739" i="1"/>
  <c r="O739" i="1" s="1"/>
  <c r="Q739" i="1" s="1"/>
  <c r="N740" i="1"/>
  <c r="O740" i="1" s="1"/>
  <c r="Q740" i="1" s="1"/>
  <c r="N741" i="1"/>
  <c r="O741" i="1" s="1"/>
  <c r="Q741" i="1" s="1"/>
  <c r="N742" i="1"/>
  <c r="O742" i="1" s="1"/>
  <c r="Q742" i="1" s="1"/>
  <c r="N743" i="1"/>
  <c r="O743" i="1" s="1"/>
  <c r="Q743" i="1" s="1"/>
  <c r="N744" i="1"/>
  <c r="O744" i="1" s="1"/>
  <c r="Q744" i="1" s="1"/>
  <c r="N745" i="1"/>
  <c r="O745" i="1" s="1"/>
  <c r="Q745" i="1" s="1"/>
  <c r="N746" i="1"/>
  <c r="O746" i="1" s="1"/>
  <c r="Q746" i="1" s="1"/>
  <c r="N747" i="1"/>
  <c r="O747" i="1" s="1"/>
  <c r="Q747" i="1" s="1"/>
  <c r="N748" i="1"/>
  <c r="O748" i="1" s="1"/>
  <c r="Q748" i="1" s="1"/>
  <c r="N749" i="1"/>
  <c r="O749" i="1" s="1"/>
  <c r="Q749" i="1" s="1"/>
  <c r="N750" i="1"/>
  <c r="O750" i="1" s="1"/>
  <c r="Q750" i="1" s="1"/>
  <c r="N751" i="1"/>
  <c r="O751" i="1" s="1"/>
  <c r="Q751" i="1" s="1"/>
  <c r="N752" i="1"/>
  <c r="O752" i="1" s="1"/>
  <c r="Q752" i="1" s="1"/>
  <c r="N753" i="1"/>
  <c r="O753" i="1" s="1"/>
  <c r="Q753" i="1" s="1"/>
  <c r="N754" i="1"/>
  <c r="O754" i="1" s="1"/>
  <c r="Q754" i="1" s="1"/>
  <c r="N755" i="1"/>
  <c r="O755" i="1" s="1"/>
  <c r="Q755" i="1" s="1"/>
  <c r="N756" i="1"/>
  <c r="O756" i="1" s="1"/>
  <c r="Q756" i="1" s="1"/>
  <c r="N757" i="1"/>
  <c r="O757" i="1" s="1"/>
  <c r="Q757" i="1" s="1"/>
  <c r="N758" i="1"/>
  <c r="O758" i="1" s="1"/>
  <c r="Q758" i="1" s="1"/>
  <c r="N759" i="1"/>
  <c r="O759" i="1" s="1"/>
  <c r="Q759" i="1" s="1"/>
  <c r="N760" i="1"/>
  <c r="O760" i="1" s="1"/>
  <c r="Q760" i="1" s="1"/>
  <c r="N761" i="1"/>
  <c r="O761" i="1" s="1"/>
  <c r="Q761" i="1" s="1"/>
  <c r="N762" i="1"/>
  <c r="O762" i="1" s="1"/>
  <c r="Q762" i="1" s="1"/>
  <c r="N763" i="1"/>
  <c r="O763" i="1" s="1"/>
  <c r="Q763" i="1" s="1"/>
  <c r="N764" i="1"/>
  <c r="O764" i="1" s="1"/>
  <c r="Q764" i="1" s="1"/>
  <c r="N765" i="1"/>
  <c r="O765" i="1" s="1"/>
  <c r="Q765" i="1" s="1"/>
  <c r="N766" i="1"/>
  <c r="O766" i="1" s="1"/>
  <c r="Q766" i="1" s="1"/>
  <c r="N767" i="1"/>
  <c r="O767" i="1" s="1"/>
  <c r="Q767" i="1" s="1"/>
  <c r="N768" i="1"/>
  <c r="O768" i="1" s="1"/>
  <c r="Q768" i="1" s="1"/>
  <c r="N769" i="1"/>
  <c r="O769" i="1" s="1"/>
  <c r="Q769" i="1" s="1"/>
  <c r="N770" i="1"/>
  <c r="O770" i="1" s="1"/>
  <c r="Q770" i="1" s="1"/>
  <c r="N771" i="1"/>
  <c r="O771" i="1" s="1"/>
  <c r="Q771" i="1" s="1"/>
  <c r="N772" i="1"/>
  <c r="O772" i="1" s="1"/>
  <c r="Q772" i="1" s="1"/>
  <c r="N773" i="1"/>
  <c r="O773" i="1" s="1"/>
  <c r="Q773" i="1" s="1"/>
  <c r="N774" i="1"/>
  <c r="O774" i="1" s="1"/>
  <c r="Q774" i="1" s="1"/>
  <c r="N775" i="1"/>
  <c r="O775" i="1" s="1"/>
  <c r="Q775" i="1" s="1"/>
  <c r="N776" i="1"/>
  <c r="O776" i="1" s="1"/>
  <c r="Q776" i="1" s="1"/>
  <c r="N777" i="1"/>
  <c r="O777" i="1" s="1"/>
  <c r="Q777" i="1" s="1"/>
  <c r="N778" i="1"/>
  <c r="O778" i="1" s="1"/>
  <c r="Q778" i="1" s="1"/>
  <c r="N779" i="1"/>
  <c r="O779" i="1" s="1"/>
  <c r="Q779" i="1" s="1"/>
  <c r="N780" i="1"/>
  <c r="O780" i="1" s="1"/>
  <c r="Q780" i="1" s="1"/>
  <c r="N781" i="1"/>
  <c r="O781" i="1" s="1"/>
  <c r="Q781" i="1" s="1"/>
  <c r="N782" i="1"/>
  <c r="O782" i="1" s="1"/>
  <c r="Q782" i="1" s="1"/>
  <c r="N783" i="1"/>
  <c r="O783" i="1" s="1"/>
  <c r="Q783" i="1" s="1"/>
  <c r="N784" i="1"/>
  <c r="O784" i="1" s="1"/>
  <c r="Q784" i="1" s="1"/>
  <c r="N785" i="1"/>
  <c r="O785" i="1" s="1"/>
  <c r="Q785" i="1" s="1"/>
  <c r="N786" i="1"/>
  <c r="O786" i="1" s="1"/>
  <c r="Q786" i="1" s="1"/>
  <c r="N787" i="1"/>
  <c r="O787" i="1" s="1"/>
  <c r="Q787" i="1" s="1"/>
  <c r="N788" i="1"/>
  <c r="O788" i="1" s="1"/>
  <c r="Q788" i="1" s="1"/>
  <c r="N789" i="1"/>
  <c r="O789" i="1" s="1"/>
  <c r="Q789" i="1" s="1"/>
  <c r="N790" i="1"/>
  <c r="O790" i="1" s="1"/>
  <c r="Q790" i="1" s="1"/>
  <c r="N791" i="1"/>
  <c r="O791" i="1" s="1"/>
  <c r="Q791" i="1" s="1"/>
  <c r="N792" i="1"/>
  <c r="O792" i="1" s="1"/>
  <c r="Q792" i="1" s="1"/>
  <c r="N793" i="1"/>
  <c r="O793" i="1" s="1"/>
  <c r="Q793" i="1" s="1"/>
  <c r="N794" i="1"/>
  <c r="O794" i="1" s="1"/>
  <c r="Q794" i="1" s="1"/>
  <c r="N795" i="1"/>
  <c r="O795" i="1" s="1"/>
  <c r="Q795" i="1" s="1"/>
  <c r="N796" i="1"/>
  <c r="O796" i="1" s="1"/>
  <c r="Q796" i="1" s="1"/>
  <c r="N797" i="1"/>
  <c r="O797" i="1" s="1"/>
  <c r="Q797" i="1" s="1"/>
  <c r="N798" i="1"/>
  <c r="O798" i="1" s="1"/>
  <c r="Q798" i="1" s="1"/>
  <c r="N799" i="1"/>
  <c r="O799" i="1" s="1"/>
  <c r="Q799" i="1" s="1"/>
  <c r="N800" i="1"/>
  <c r="O800" i="1" s="1"/>
  <c r="Q800" i="1" s="1"/>
  <c r="N801" i="1"/>
  <c r="O801" i="1" s="1"/>
  <c r="Q801" i="1" s="1"/>
  <c r="N802" i="1"/>
  <c r="O802" i="1" s="1"/>
  <c r="Q802" i="1" s="1"/>
  <c r="N803" i="1"/>
  <c r="O803" i="1" s="1"/>
  <c r="Q803" i="1" s="1"/>
  <c r="N804" i="1"/>
  <c r="O804" i="1" s="1"/>
  <c r="Q804" i="1" s="1"/>
  <c r="N805" i="1"/>
  <c r="O805" i="1" s="1"/>
  <c r="Q805" i="1" s="1"/>
  <c r="N806" i="1"/>
  <c r="O806" i="1" s="1"/>
  <c r="Q806" i="1" s="1"/>
  <c r="N807" i="1"/>
  <c r="O807" i="1" s="1"/>
  <c r="Q807" i="1" s="1"/>
  <c r="N808" i="1"/>
  <c r="O808" i="1" s="1"/>
  <c r="Q808" i="1" s="1"/>
  <c r="N809" i="1"/>
  <c r="O809" i="1" s="1"/>
  <c r="Q809" i="1" s="1"/>
  <c r="N810" i="1"/>
  <c r="O810" i="1" s="1"/>
  <c r="Q810" i="1" s="1"/>
  <c r="N811" i="1"/>
  <c r="O811" i="1" s="1"/>
  <c r="Q811" i="1" s="1"/>
  <c r="N812" i="1"/>
  <c r="O812" i="1" s="1"/>
  <c r="Q812" i="1" s="1"/>
  <c r="N813" i="1"/>
  <c r="O813" i="1" s="1"/>
  <c r="Q813" i="1" s="1"/>
  <c r="N814" i="1"/>
  <c r="O814" i="1" s="1"/>
  <c r="Q814" i="1" s="1"/>
  <c r="N815" i="1"/>
  <c r="O815" i="1" s="1"/>
  <c r="Q815" i="1" s="1"/>
  <c r="N816" i="1"/>
  <c r="O816" i="1" s="1"/>
  <c r="Q816" i="1" s="1"/>
  <c r="N817" i="1"/>
  <c r="O817" i="1" s="1"/>
  <c r="Q817" i="1" s="1"/>
  <c r="N818" i="1"/>
  <c r="O818" i="1" s="1"/>
  <c r="Q818" i="1" s="1"/>
  <c r="N819" i="1"/>
  <c r="O819" i="1" s="1"/>
  <c r="Q819" i="1" s="1"/>
  <c r="N820" i="1"/>
  <c r="O820" i="1" s="1"/>
  <c r="Q820" i="1" s="1"/>
  <c r="N821" i="1"/>
  <c r="O821" i="1" s="1"/>
  <c r="Q821" i="1" s="1"/>
  <c r="N822" i="1"/>
  <c r="O822" i="1" s="1"/>
  <c r="Q822" i="1" s="1"/>
  <c r="N823" i="1"/>
  <c r="O823" i="1" s="1"/>
  <c r="Q823" i="1" s="1"/>
  <c r="N824" i="1"/>
  <c r="O824" i="1" s="1"/>
  <c r="Q824" i="1" s="1"/>
  <c r="N825" i="1"/>
  <c r="O825" i="1" s="1"/>
  <c r="Q825" i="1" s="1"/>
  <c r="N826" i="1"/>
  <c r="O826" i="1" s="1"/>
  <c r="Q826" i="1" s="1"/>
  <c r="N827" i="1"/>
  <c r="O827" i="1" s="1"/>
  <c r="Q827" i="1" s="1"/>
  <c r="N828" i="1"/>
  <c r="O828" i="1" s="1"/>
  <c r="Q828" i="1" s="1"/>
  <c r="N829" i="1"/>
  <c r="O829" i="1" s="1"/>
  <c r="Q829" i="1" s="1"/>
  <c r="N830" i="1"/>
  <c r="O830" i="1" s="1"/>
  <c r="Q830" i="1" s="1"/>
  <c r="N831" i="1"/>
  <c r="O831" i="1" s="1"/>
  <c r="Q831" i="1" s="1"/>
  <c r="N832" i="1"/>
  <c r="O832" i="1" s="1"/>
  <c r="Q832" i="1" s="1"/>
  <c r="N833" i="1"/>
  <c r="O833" i="1" s="1"/>
  <c r="Q833" i="1" s="1"/>
  <c r="N834" i="1"/>
  <c r="O834" i="1" s="1"/>
  <c r="Q834" i="1" s="1"/>
  <c r="N835" i="1"/>
  <c r="O835" i="1" s="1"/>
  <c r="Q835" i="1" s="1"/>
  <c r="N836" i="1"/>
  <c r="O836" i="1" s="1"/>
  <c r="Q836" i="1" s="1"/>
  <c r="N837" i="1"/>
  <c r="O837" i="1" s="1"/>
  <c r="Q837" i="1" s="1"/>
  <c r="N838" i="1"/>
  <c r="O838" i="1" s="1"/>
  <c r="Q838" i="1" s="1"/>
  <c r="N839" i="1"/>
  <c r="O839" i="1" s="1"/>
  <c r="Q839" i="1" s="1"/>
  <c r="N840" i="1"/>
  <c r="O840" i="1" s="1"/>
  <c r="Q840" i="1" s="1"/>
  <c r="N841" i="1"/>
  <c r="O841" i="1" s="1"/>
  <c r="Q841" i="1" s="1"/>
  <c r="N842" i="1"/>
  <c r="O842" i="1" s="1"/>
  <c r="Q842" i="1" s="1"/>
  <c r="N843" i="1"/>
  <c r="O843" i="1" s="1"/>
  <c r="Q843" i="1" s="1"/>
  <c r="N844" i="1"/>
  <c r="O844" i="1" s="1"/>
  <c r="Q844" i="1" s="1"/>
  <c r="N845" i="1"/>
  <c r="O845" i="1" s="1"/>
  <c r="Q845" i="1" s="1"/>
  <c r="N846" i="1"/>
  <c r="O846" i="1" s="1"/>
  <c r="Q846" i="1" s="1"/>
  <c r="N847" i="1"/>
  <c r="O847" i="1" s="1"/>
  <c r="Q847" i="1" s="1"/>
  <c r="N848" i="1"/>
  <c r="O848" i="1" s="1"/>
  <c r="Q848" i="1" s="1"/>
  <c r="N849" i="1"/>
  <c r="O849" i="1" s="1"/>
  <c r="Q849" i="1" s="1"/>
  <c r="N850" i="1"/>
  <c r="O850" i="1" s="1"/>
  <c r="Q850" i="1" s="1"/>
  <c r="N851" i="1"/>
  <c r="O851" i="1" s="1"/>
  <c r="Q851" i="1" s="1"/>
  <c r="N852" i="1"/>
  <c r="O852" i="1" s="1"/>
  <c r="Q852" i="1" s="1"/>
  <c r="N853" i="1"/>
  <c r="O853" i="1" s="1"/>
  <c r="Q853" i="1" s="1"/>
  <c r="N854" i="1"/>
  <c r="O854" i="1" s="1"/>
  <c r="Q854" i="1" s="1"/>
  <c r="N855" i="1"/>
  <c r="O855" i="1" s="1"/>
  <c r="Q855" i="1" s="1"/>
  <c r="N856" i="1"/>
  <c r="O856" i="1" s="1"/>
  <c r="Q856" i="1" s="1"/>
  <c r="N857" i="1"/>
  <c r="O857" i="1" s="1"/>
  <c r="Q857" i="1" s="1"/>
  <c r="N858" i="1"/>
  <c r="O858" i="1" s="1"/>
  <c r="Q858" i="1" s="1"/>
  <c r="N859" i="1"/>
  <c r="O859" i="1" s="1"/>
  <c r="Q859" i="1" s="1"/>
  <c r="N860" i="1"/>
  <c r="O860" i="1" s="1"/>
  <c r="Q860" i="1" s="1"/>
  <c r="N861" i="1"/>
  <c r="O861" i="1" s="1"/>
  <c r="Q861" i="1" s="1"/>
  <c r="N862" i="1"/>
  <c r="O862" i="1" s="1"/>
  <c r="Q862" i="1" s="1"/>
  <c r="N863" i="1"/>
  <c r="O863" i="1" s="1"/>
  <c r="Q863" i="1" s="1"/>
  <c r="N864" i="1"/>
  <c r="O864" i="1" s="1"/>
  <c r="Q864" i="1" s="1"/>
  <c r="N865" i="1"/>
  <c r="O865" i="1" s="1"/>
  <c r="Q865" i="1" s="1"/>
  <c r="N866" i="1"/>
  <c r="O866" i="1" s="1"/>
  <c r="Q866" i="1" s="1"/>
  <c r="N867" i="1"/>
  <c r="O867" i="1" s="1"/>
  <c r="Q867" i="1" s="1"/>
  <c r="N868" i="1"/>
  <c r="O868" i="1" s="1"/>
  <c r="Q868" i="1" s="1"/>
  <c r="N869" i="1"/>
  <c r="O869" i="1" s="1"/>
  <c r="Q869" i="1" s="1"/>
  <c r="N870" i="1"/>
  <c r="O870" i="1" s="1"/>
  <c r="Q870" i="1" s="1"/>
  <c r="N871" i="1"/>
  <c r="O871" i="1" s="1"/>
  <c r="Q871" i="1" s="1"/>
  <c r="N872" i="1"/>
  <c r="O872" i="1" s="1"/>
  <c r="Q872" i="1" s="1"/>
  <c r="N873" i="1"/>
  <c r="O873" i="1" s="1"/>
  <c r="Q873" i="1" s="1"/>
  <c r="N874" i="1"/>
  <c r="O874" i="1" s="1"/>
  <c r="Q874" i="1" s="1"/>
  <c r="N875" i="1"/>
  <c r="O875" i="1" s="1"/>
  <c r="Q875" i="1" s="1"/>
  <c r="N876" i="1"/>
  <c r="O876" i="1" s="1"/>
  <c r="Q876" i="1" s="1"/>
  <c r="N877" i="1"/>
  <c r="O877" i="1" s="1"/>
  <c r="Q877" i="1" s="1"/>
  <c r="N878" i="1"/>
  <c r="O878" i="1" s="1"/>
  <c r="Q878" i="1" s="1"/>
  <c r="N879" i="1"/>
  <c r="O879" i="1" s="1"/>
  <c r="Q879" i="1" s="1"/>
  <c r="N880" i="1"/>
  <c r="O880" i="1" s="1"/>
  <c r="Q880" i="1" s="1"/>
  <c r="N881" i="1"/>
  <c r="O881" i="1" s="1"/>
  <c r="Q881" i="1" s="1"/>
  <c r="N882" i="1"/>
  <c r="O882" i="1" s="1"/>
  <c r="Q882" i="1" s="1"/>
  <c r="N883" i="1"/>
  <c r="O883" i="1" s="1"/>
  <c r="Q883" i="1" s="1"/>
  <c r="N884" i="1"/>
  <c r="O884" i="1" s="1"/>
  <c r="Q884" i="1" s="1"/>
  <c r="N885" i="1"/>
  <c r="O885" i="1" s="1"/>
  <c r="Q885" i="1" s="1"/>
  <c r="N886" i="1"/>
  <c r="O886" i="1" s="1"/>
  <c r="Q886" i="1" s="1"/>
  <c r="N887" i="1"/>
  <c r="O887" i="1" s="1"/>
  <c r="Q887" i="1" s="1"/>
  <c r="N888" i="1"/>
  <c r="O888" i="1" s="1"/>
  <c r="Q888" i="1" s="1"/>
  <c r="N889" i="1"/>
  <c r="O889" i="1" s="1"/>
  <c r="Q889" i="1" s="1"/>
  <c r="N890" i="1"/>
  <c r="O890" i="1" s="1"/>
  <c r="Q890" i="1" s="1"/>
  <c r="N891" i="1"/>
  <c r="O891" i="1" s="1"/>
  <c r="Q891" i="1" s="1"/>
  <c r="N892" i="1"/>
  <c r="O892" i="1" s="1"/>
  <c r="Q892" i="1" s="1"/>
  <c r="N893" i="1"/>
  <c r="O893" i="1" s="1"/>
  <c r="Q893" i="1" s="1"/>
  <c r="N894" i="1"/>
  <c r="O894" i="1" s="1"/>
  <c r="Q894" i="1" s="1"/>
  <c r="N895" i="1"/>
  <c r="O895" i="1" s="1"/>
  <c r="Q895" i="1" s="1"/>
  <c r="N896" i="1"/>
  <c r="O896" i="1" s="1"/>
  <c r="Q896" i="1" s="1"/>
  <c r="N897" i="1"/>
  <c r="O897" i="1" s="1"/>
  <c r="Q897" i="1" s="1"/>
  <c r="N898" i="1"/>
  <c r="O898" i="1" s="1"/>
  <c r="Q898" i="1" s="1"/>
  <c r="N899" i="1"/>
  <c r="O899" i="1" s="1"/>
  <c r="Q899" i="1" s="1"/>
  <c r="N900" i="1"/>
  <c r="O900" i="1" s="1"/>
  <c r="Q900" i="1" s="1"/>
  <c r="N901" i="1"/>
  <c r="O901" i="1" s="1"/>
  <c r="Q901" i="1" s="1"/>
  <c r="N902" i="1"/>
  <c r="O902" i="1" s="1"/>
  <c r="Q902" i="1" s="1"/>
  <c r="N903" i="1"/>
  <c r="O903" i="1" s="1"/>
  <c r="Q903" i="1" s="1"/>
  <c r="N904" i="1"/>
  <c r="O904" i="1" s="1"/>
  <c r="Q904" i="1" s="1"/>
  <c r="N905" i="1"/>
  <c r="O905" i="1" s="1"/>
  <c r="Q905" i="1" s="1"/>
  <c r="N906" i="1"/>
  <c r="O906" i="1" s="1"/>
  <c r="Q906" i="1" s="1"/>
  <c r="N907" i="1"/>
  <c r="O907" i="1" s="1"/>
  <c r="Q907" i="1" s="1"/>
  <c r="N908" i="1"/>
  <c r="O908" i="1" s="1"/>
  <c r="Q908" i="1" s="1"/>
  <c r="N909" i="1"/>
  <c r="O909" i="1" s="1"/>
  <c r="Q909" i="1" s="1"/>
  <c r="N910" i="1"/>
  <c r="O910" i="1" s="1"/>
  <c r="Q910" i="1" s="1"/>
  <c r="N911" i="1"/>
  <c r="O911" i="1" s="1"/>
  <c r="Q911" i="1" s="1"/>
  <c r="N912" i="1"/>
  <c r="O912" i="1" s="1"/>
  <c r="Q912" i="1" s="1"/>
  <c r="N913" i="1"/>
  <c r="O913" i="1" s="1"/>
  <c r="Q913" i="1" s="1"/>
  <c r="N914" i="1"/>
  <c r="O914" i="1" s="1"/>
  <c r="Q914" i="1" s="1"/>
  <c r="N915" i="1"/>
  <c r="O915" i="1" s="1"/>
  <c r="Q915" i="1" s="1"/>
  <c r="N916" i="1"/>
  <c r="O916" i="1" s="1"/>
  <c r="Q916" i="1" s="1"/>
  <c r="N917" i="1"/>
  <c r="O917" i="1" s="1"/>
  <c r="Q917" i="1" s="1"/>
  <c r="N918" i="1"/>
  <c r="O918" i="1" s="1"/>
  <c r="Q918" i="1" s="1"/>
  <c r="N919" i="1"/>
  <c r="O919" i="1" s="1"/>
  <c r="Q919" i="1" s="1"/>
  <c r="N920" i="1"/>
  <c r="O920" i="1" s="1"/>
  <c r="Q920" i="1" s="1"/>
  <c r="N921" i="1"/>
  <c r="O921" i="1" s="1"/>
  <c r="Q921" i="1" s="1"/>
  <c r="N922" i="1"/>
  <c r="O922" i="1" s="1"/>
  <c r="Q922" i="1" s="1"/>
  <c r="N923" i="1"/>
  <c r="O923" i="1" s="1"/>
  <c r="Q923" i="1" s="1"/>
  <c r="N924" i="1"/>
  <c r="O924" i="1" s="1"/>
  <c r="Q924" i="1" s="1"/>
  <c r="N925" i="1"/>
  <c r="O925" i="1" s="1"/>
  <c r="Q925" i="1" s="1"/>
  <c r="N926" i="1"/>
  <c r="O926" i="1" s="1"/>
  <c r="Q926" i="1" s="1"/>
  <c r="N927" i="1"/>
  <c r="O927" i="1" s="1"/>
  <c r="Q927" i="1" s="1"/>
  <c r="N928" i="1"/>
  <c r="O928" i="1" s="1"/>
  <c r="Q928" i="1" s="1"/>
  <c r="N929" i="1"/>
  <c r="O929" i="1" s="1"/>
  <c r="Q929" i="1" s="1"/>
  <c r="N930" i="1"/>
  <c r="O930" i="1" s="1"/>
  <c r="Q930" i="1" s="1"/>
  <c r="N931" i="1"/>
  <c r="O931" i="1" s="1"/>
  <c r="Q931" i="1" s="1"/>
  <c r="N932" i="1"/>
  <c r="O932" i="1" s="1"/>
  <c r="Q932" i="1" s="1"/>
  <c r="N933" i="1"/>
  <c r="O933" i="1" s="1"/>
  <c r="Q933" i="1" s="1"/>
  <c r="N934" i="1"/>
  <c r="O934" i="1" s="1"/>
  <c r="Q934" i="1" s="1"/>
  <c r="N935" i="1"/>
  <c r="O935" i="1" s="1"/>
  <c r="Q935" i="1" s="1"/>
  <c r="N936" i="1"/>
  <c r="O936" i="1" s="1"/>
  <c r="Q936" i="1" s="1"/>
  <c r="N937" i="1"/>
  <c r="O937" i="1" s="1"/>
  <c r="Q937" i="1" s="1"/>
  <c r="N938" i="1"/>
  <c r="O938" i="1" s="1"/>
  <c r="Q938" i="1" s="1"/>
  <c r="N939" i="1"/>
  <c r="O939" i="1" s="1"/>
  <c r="Q939" i="1" s="1"/>
  <c r="N940" i="1"/>
  <c r="O940" i="1" s="1"/>
  <c r="Q940" i="1" s="1"/>
  <c r="N941" i="1"/>
  <c r="O941" i="1" s="1"/>
  <c r="Q941" i="1" s="1"/>
  <c r="N942" i="1"/>
  <c r="O942" i="1" s="1"/>
  <c r="Q942" i="1" s="1"/>
  <c r="N943" i="1"/>
  <c r="O943" i="1" s="1"/>
  <c r="Q943" i="1" s="1"/>
  <c r="N944" i="1"/>
  <c r="O944" i="1" s="1"/>
  <c r="Q944" i="1" s="1"/>
  <c r="N945" i="1"/>
  <c r="O945" i="1" s="1"/>
  <c r="Q945" i="1" s="1"/>
  <c r="N946" i="1"/>
  <c r="N947" i="1"/>
  <c r="O947" i="1" s="1"/>
  <c r="Q947" i="1" s="1"/>
  <c r="N948" i="1"/>
  <c r="O948" i="1" s="1"/>
  <c r="Q948" i="1" s="1"/>
  <c r="N949" i="1"/>
  <c r="O949" i="1" s="1"/>
  <c r="Q949" i="1" s="1"/>
  <c r="N950" i="1"/>
  <c r="O950" i="1" s="1"/>
  <c r="Q950" i="1" s="1"/>
  <c r="N951" i="1"/>
  <c r="O951" i="1" s="1"/>
  <c r="Q951" i="1" s="1"/>
  <c r="N952" i="1"/>
  <c r="O952" i="1" s="1"/>
  <c r="Q952" i="1" s="1"/>
  <c r="N953" i="1"/>
  <c r="O953" i="1" s="1"/>
  <c r="Q953" i="1" s="1"/>
  <c r="N954" i="1"/>
  <c r="O954" i="1" s="1"/>
  <c r="Q954" i="1" s="1"/>
  <c r="N955" i="1"/>
  <c r="O955" i="1" s="1"/>
  <c r="Q955" i="1" s="1"/>
  <c r="N956" i="1"/>
  <c r="O956" i="1" s="1"/>
  <c r="Q956" i="1" s="1"/>
  <c r="N957" i="1"/>
  <c r="O957" i="1" s="1"/>
  <c r="Q957" i="1" s="1"/>
  <c r="N958" i="1"/>
  <c r="O958" i="1" s="1"/>
  <c r="Q958" i="1" s="1"/>
  <c r="N959" i="1"/>
  <c r="O959" i="1" s="1"/>
  <c r="Q959" i="1" s="1"/>
  <c r="N960" i="1"/>
  <c r="O960" i="1" s="1"/>
  <c r="Q960" i="1" s="1"/>
  <c r="N961" i="1"/>
  <c r="O961" i="1" s="1"/>
  <c r="Q961" i="1" s="1"/>
  <c r="N962" i="1"/>
  <c r="O962" i="1" s="1"/>
  <c r="Q962" i="1" s="1"/>
  <c r="N963" i="1"/>
  <c r="O963" i="1" s="1"/>
  <c r="Q963" i="1" s="1"/>
  <c r="N964" i="1"/>
  <c r="O964" i="1" s="1"/>
  <c r="Q964" i="1" s="1"/>
  <c r="N965" i="1"/>
  <c r="O965" i="1" s="1"/>
  <c r="Q965" i="1" s="1"/>
  <c r="N966" i="1"/>
  <c r="O966" i="1" s="1"/>
  <c r="Q966" i="1" s="1"/>
  <c r="N967" i="1"/>
  <c r="O967" i="1" s="1"/>
  <c r="Q967" i="1" s="1"/>
  <c r="N968" i="1"/>
  <c r="O968" i="1" s="1"/>
  <c r="Q968" i="1" s="1"/>
  <c r="N969" i="1"/>
  <c r="O969" i="1" s="1"/>
  <c r="Q969" i="1" s="1"/>
  <c r="N970" i="1"/>
  <c r="O970" i="1" s="1"/>
  <c r="Q970" i="1" s="1"/>
  <c r="N971" i="1"/>
  <c r="O971" i="1" s="1"/>
  <c r="Q971" i="1" s="1"/>
  <c r="N972" i="1"/>
  <c r="O972" i="1" s="1"/>
  <c r="Q972" i="1" s="1"/>
  <c r="N973" i="1"/>
  <c r="O973" i="1" s="1"/>
  <c r="Q973" i="1" s="1"/>
  <c r="N974" i="1"/>
  <c r="O974" i="1" s="1"/>
  <c r="Q974" i="1" s="1"/>
  <c r="N975" i="1"/>
  <c r="O975" i="1" s="1"/>
  <c r="Q975" i="1" s="1"/>
  <c r="N976" i="1"/>
  <c r="O976" i="1" s="1"/>
  <c r="Q976" i="1" s="1"/>
  <c r="N977" i="1"/>
  <c r="O977" i="1" s="1"/>
  <c r="Q977" i="1" s="1"/>
  <c r="N978" i="1"/>
  <c r="O978" i="1" s="1"/>
  <c r="Q978" i="1" s="1"/>
  <c r="N979" i="1"/>
  <c r="O979" i="1" s="1"/>
  <c r="Q979" i="1" s="1"/>
  <c r="N980" i="1"/>
  <c r="O980" i="1" s="1"/>
  <c r="Q980" i="1" s="1"/>
  <c r="N981" i="1"/>
  <c r="O981" i="1" s="1"/>
  <c r="Q981" i="1" s="1"/>
  <c r="N982" i="1"/>
  <c r="O982" i="1" s="1"/>
  <c r="Q982" i="1" s="1"/>
  <c r="N983" i="1"/>
  <c r="O983" i="1" s="1"/>
  <c r="Q983" i="1" s="1"/>
  <c r="N984" i="1"/>
  <c r="O984" i="1" s="1"/>
  <c r="Q984" i="1" s="1"/>
  <c r="N985" i="1"/>
  <c r="O985" i="1" s="1"/>
  <c r="Q985" i="1" s="1"/>
  <c r="N986" i="1"/>
  <c r="O986" i="1" s="1"/>
  <c r="Q986" i="1" s="1"/>
  <c r="N987" i="1"/>
  <c r="O987" i="1" s="1"/>
  <c r="Q987" i="1" s="1"/>
  <c r="N988" i="1"/>
  <c r="O988" i="1" s="1"/>
  <c r="Q988" i="1" s="1"/>
  <c r="N989" i="1"/>
  <c r="O989" i="1" s="1"/>
  <c r="Q989" i="1" s="1"/>
  <c r="N990" i="1"/>
  <c r="O990" i="1" s="1"/>
  <c r="Q990" i="1" s="1"/>
  <c r="N991" i="1"/>
  <c r="O991" i="1" s="1"/>
  <c r="Q991" i="1" s="1"/>
  <c r="N992" i="1"/>
  <c r="O992" i="1" s="1"/>
  <c r="Q992" i="1" s="1"/>
  <c r="N993" i="1"/>
  <c r="O993" i="1" s="1"/>
  <c r="Q993" i="1" s="1"/>
  <c r="N994" i="1"/>
  <c r="O994" i="1" s="1"/>
  <c r="Q994" i="1" s="1"/>
  <c r="N995" i="1"/>
  <c r="O995" i="1" s="1"/>
  <c r="Q995" i="1" s="1"/>
  <c r="N996" i="1"/>
  <c r="O996" i="1" s="1"/>
  <c r="Q996" i="1" s="1"/>
  <c r="N997" i="1"/>
  <c r="O997" i="1" s="1"/>
  <c r="Q997" i="1" s="1"/>
  <c r="N998" i="1"/>
  <c r="O998" i="1" s="1"/>
  <c r="Q998" i="1" s="1"/>
  <c r="N999" i="1"/>
  <c r="O999" i="1" s="1"/>
  <c r="Q999" i="1" s="1"/>
  <c r="N1000" i="1"/>
  <c r="O1000" i="1" s="1"/>
  <c r="Q1000" i="1" s="1"/>
  <c r="N1001" i="1"/>
  <c r="O1001" i="1" s="1"/>
  <c r="Q1001" i="1" s="1"/>
  <c r="N1002" i="1"/>
  <c r="O1002" i="1" s="1"/>
  <c r="Q1002" i="1" s="1"/>
  <c r="N1003" i="1"/>
  <c r="O1003" i="1" s="1"/>
  <c r="Q1003" i="1" s="1"/>
  <c r="N1004" i="1"/>
  <c r="O1004" i="1" s="1"/>
  <c r="Q1004" i="1" s="1"/>
  <c r="N1005" i="1"/>
  <c r="O1005" i="1" s="1"/>
  <c r="Q1005" i="1" s="1"/>
  <c r="N1006" i="1"/>
  <c r="O1006" i="1" s="1"/>
  <c r="Q1006" i="1" s="1"/>
  <c r="N1007" i="1"/>
  <c r="O1007" i="1" s="1"/>
  <c r="Q1007" i="1" s="1"/>
  <c r="N1008" i="1"/>
  <c r="O1008" i="1" s="1"/>
  <c r="Q1008" i="1" s="1"/>
  <c r="N1009" i="1"/>
  <c r="O1009" i="1" s="1"/>
  <c r="Q1009" i="1" s="1"/>
  <c r="N1010" i="1"/>
  <c r="O1010" i="1" s="1"/>
  <c r="Q1010" i="1" s="1"/>
  <c r="N1011" i="1"/>
  <c r="O1011" i="1" s="1"/>
  <c r="Q1011" i="1" s="1"/>
  <c r="N1012" i="1"/>
  <c r="O1012" i="1" s="1"/>
  <c r="Q1012" i="1" s="1"/>
  <c r="N1013" i="1"/>
  <c r="O1013" i="1" s="1"/>
  <c r="Q1013" i="1" s="1"/>
  <c r="N1014" i="1"/>
  <c r="O1014" i="1" s="1"/>
  <c r="Q1014" i="1" s="1"/>
  <c r="N1015" i="1"/>
  <c r="O1015" i="1" s="1"/>
  <c r="Q1015" i="1" s="1"/>
  <c r="N1016" i="1"/>
  <c r="O1016" i="1" s="1"/>
  <c r="Q1016" i="1" s="1"/>
  <c r="N1017" i="1"/>
  <c r="O1017" i="1" s="1"/>
  <c r="Q1017" i="1" s="1"/>
  <c r="N1018" i="1"/>
  <c r="O1018" i="1" s="1"/>
  <c r="Q1018" i="1" s="1"/>
  <c r="N1019" i="1"/>
  <c r="O1019" i="1" s="1"/>
  <c r="Q1019" i="1" s="1"/>
  <c r="N1020" i="1"/>
  <c r="O1020" i="1" s="1"/>
  <c r="Q1020" i="1" s="1"/>
  <c r="N1021" i="1"/>
  <c r="O1021" i="1" s="1"/>
  <c r="Q1021" i="1" s="1"/>
  <c r="N1022" i="1"/>
  <c r="O1022" i="1" s="1"/>
  <c r="Q1022" i="1" s="1"/>
  <c r="N1023" i="1"/>
  <c r="O1023" i="1" s="1"/>
  <c r="Q1023" i="1" s="1"/>
  <c r="N1024" i="1"/>
  <c r="O1024" i="1" s="1"/>
  <c r="Q1024" i="1" s="1"/>
  <c r="N1025" i="1"/>
  <c r="O1025" i="1" s="1"/>
  <c r="Q1025" i="1" s="1"/>
  <c r="N1026" i="1"/>
  <c r="O1026" i="1" s="1"/>
  <c r="Q1026" i="1" s="1"/>
  <c r="N1027" i="1"/>
  <c r="O1027" i="1" s="1"/>
  <c r="Q1027" i="1" s="1"/>
  <c r="N1028" i="1"/>
  <c r="O1028" i="1" s="1"/>
  <c r="Q1028" i="1" s="1"/>
  <c r="N1029" i="1"/>
  <c r="O1029" i="1" s="1"/>
  <c r="Q1029" i="1" s="1"/>
  <c r="N1030" i="1"/>
  <c r="O1030" i="1" s="1"/>
  <c r="Q1030" i="1" s="1"/>
  <c r="N1031" i="1"/>
  <c r="O1031" i="1" s="1"/>
  <c r="Q1031" i="1" s="1"/>
  <c r="N1032" i="1"/>
  <c r="O1032" i="1" s="1"/>
  <c r="Q1032" i="1" s="1"/>
  <c r="N1033" i="1"/>
  <c r="O1033" i="1" s="1"/>
  <c r="Q1033" i="1" s="1"/>
  <c r="N1034" i="1"/>
  <c r="O1034" i="1" s="1"/>
  <c r="Q1034" i="1" s="1"/>
  <c r="N1035" i="1"/>
  <c r="O1035" i="1" s="1"/>
  <c r="Q1035" i="1" s="1"/>
  <c r="N1036" i="1"/>
  <c r="O1036" i="1" s="1"/>
  <c r="Q1036" i="1" s="1"/>
  <c r="N1037" i="1"/>
  <c r="O1037" i="1" s="1"/>
  <c r="Q1037" i="1" s="1"/>
  <c r="N1038" i="1"/>
  <c r="O1038" i="1" s="1"/>
  <c r="Q1038" i="1" s="1"/>
  <c r="N1039" i="1"/>
  <c r="O1039" i="1" s="1"/>
  <c r="Q1039" i="1" s="1"/>
  <c r="N1040" i="1"/>
  <c r="O1040" i="1" s="1"/>
  <c r="Q1040" i="1" s="1"/>
  <c r="N1041" i="1"/>
  <c r="O1041" i="1" s="1"/>
  <c r="Q1041" i="1" s="1"/>
  <c r="N1042" i="1"/>
  <c r="O1042" i="1" s="1"/>
  <c r="Q1042" i="1" s="1"/>
  <c r="N1043" i="1"/>
  <c r="O1043" i="1" s="1"/>
  <c r="Q1043" i="1" s="1"/>
  <c r="N1044" i="1"/>
  <c r="O1044" i="1" s="1"/>
  <c r="Q1044" i="1" s="1"/>
  <c r="N1045" i="1"/>
  <c r="O1045" i="1" s="1"/>
  <c r="Q1045" i="1" s="1"/>
  <c r="N1046" i="1"/>
  <c r="O1046" i="1" s="1"/>
  <c r="Q1046" i="1" s="1"/>
  <c r="N1047" i="1"/>
  <c r="O1047" i="1" s="1"/>
  <c r="Q1047" i="1" s="1"/>
  <c r="N1048" i="1"/>
  <c r="O1048" i="1" s="1"/>
  <c r="Q1048" i="1" s="1"/>
  <c r="N1049" i="1"/>
  <c r="O1049" i="1" s="1"/>
  <c r="Q1049" i="1" s="1"/>
  <c r="N1050" i="1"/>
  <c r="O1050" i="1" s="1"/>
  <c r="Q1050" i="1" s="1"/>
  <c r="N1051" i="1"/>
  <c r="O1051" i="1" s="1"/>
  <c r="Q1051" i="1" s="1"/>
  <c r="N1052" i="1"/>
  <c r="O1052" i="1" s="1"/>
  <c r="Q1052" i="1" s="1"/>
  <c r="N1053" i="1"/>
  <c r="O1053" i="1" s="1"/>
  <c r="Q1053" i="1" s="1"/>
  <c r="N1054" i="1"/>
  <c r="O1054" i="1" s="1"/>
  <c r="Q1054" i="1" s="1"/>
  <c r="N1055" i="1"/>
  <c r="O1055" i="1" s="1"/>
  <c r="Q1055" i="1" s="1"/>
  <c r="N1056" i="1"/>
  <c r="O1056" i="1" s="1"/>
  <c r="Q1056" i="1" s="1"/>
  <c r="N1057" i="1"/>
  <c r="O1057" i="1" s="1"/>
  <c r="Q1057" i="1" s="1"/>
  <c r="N1058" i="1"/>
  <c r="O1058" i="1" s="1"/>
  <c r="Q1058" i="1" s="1"/>
  <c r="N1059" i="1"/>
  <c r="O1059" i="1" s="1"/>
  <c r="Q1059" i="1" s="1"/>
  <c r="N1060" i="1"/>
  <c r="O1060" i="1" s="1"/>
  <c r="Q1060" i="1" s="1"/>
  <c r="N1061" i="1"/>
  <c r="O1061" i="1" s="1"/>
  <c r="Q1061" i="1" s="1"/>
  <c r="N1062" i="1"/>
  <c r="O1062" i="1" s="1"/>
  <c r="Q1062" i="1" s="1"/>
  <c r="N1063" i="1"/>
  <c r="O1063" i="1" s="1"/>
  <c r="Q1063" i="1" s="1"/>
  <c r="N1064" i="1"/>
  <c r="O1064" i="1" s="1"/>
  <c r="Q1064" i="1" s="1"/>
  <c r="N1065" i="1"/>
  <c r="O1065" i="1" s="1"/>
  <c r="Q1065" i="1" s="1"/>
  <c r="N1066" i="1"/>
  <c r="O1066" i="1" s="1"/>
  <c r="Q1066" i="1" s="1"/>
  <c r="N1067" i="1"/>
  <c r="O1067" i="1" s="1"/>
  <c r="Q1067" i="1" s="1"/>
  <c r="N1068" i="1"/>
  <c r="O1068" i="1" s="1"/>
  <c r="Q1068" i="1" s="1"/>
  <c r="N1069" i="1"/>
  <c r="O1069" i="1" s="1"/>
  <c r="Q1069" i="1" s="1"/>
  <c r="N1070" i="1"/>
  <c r="O1070" i="1" s="1"/>
  <c r="Q1070" i="1" s="1"/>
  <c r="N1071" i="1"/>
  <c r="O1071" i="1" s="1"/>
  <c r="Q1071" i="1" s="1"/>
  <c r="N1072" i="1"/>
  <c r="O1072" i="1" s="1"/>
  <c r="Q1072" i="1" s="1"/>
  <c r="N1073" i="1"/>
  <c r="O1073" i="1" s="1"/>
  <c r="Q1073" i="1" s="1"/>
  <c r="N1074" i="1"/>
  <c r="O1074" i="1" s="1"/>
  <c r="Q1074" i="1" s="1"/>
  <c r="N1075" i="1"/>
  <c r="O1075" i="1" s="1"/>
  <c r="Q1075" i="1" s="1"/>
  <c r="N1076" i="1"/>
  <c r="O1076" i="1" s="1"/>
  <c r="Q1076" i="1" s="1"/>
  <c r="N1077" i="1"/>
  <c r="O1077" i="1" s="1"/>
  <c r="Q1077" i="1" s="1"/>
  <c r="N1078" i="1"/>
  <c r="O1078" i="1" s="1"/>
  <c r="Q1078" i="1" s="1"/>
  <c r="N1079" i="1"/>
  <c r="O1079" i="1" s="1"/>
  <c r="Q1079" i="1" s="1"/>
  <c r="N1080" i="1"/>
  <c r="O1080" i="1" s="1"/>
  <c r="Q1080" i="1" s="1"/>
  <c r="N1081" i="1"/>
  <c r="O1081" i="1" s="1"/>
  <c r="Q1081" i="1" s="1"/>
  <c r="N1082" i="1"/>
  <c r="O1082" i="1" s="1"/>
  <c r="Q1082" i="1" s="1"/>
  <c r="N1083" i="1"/>
  <c r="O1083" i="1" s="1"/>
  <c r="Q1083" i="1" s="1"/>
  <c r="N1084" i="1"/>
  <c r="O1084" i="1" s="1"/>
  <c r="Q1084" i="1" s="1"/>
  <c r="N1085" i="1"/>
  <c r="O1085" i="1" s="1"/>
  <c r="Q1085" i="1" s="1"/>
  <c r="N1086" i="1"/>
  <c r="O1086" i="1" s="1"/>
  <c r="Q1086" i="1" s="1"/>
  <c r="N1087" i="1"/>
  <c r="O1087" i="1" s="1"/>
  <c r="Q1087" i="1" s="1"/>
  <c r="N1088" i="1"/>
  <c r="O1088" i="1" s="1"/>
  <c r="Q1088" i="1" s="1"/>
  <c r="N1089" i="1"/>
  <c r="O1089" i="1" s="1"/>
  <c r="Q1089" i="1" s="1"/>
  <c r="N1090" i="1"/>
  <c r="O1090" i="1" s="1"/>
  <c r="Q1090" i="1" s="1"/>
  <c r="N1091" i="1"/>
  <c r="O1091" i="1" s="1"/>
  <c r="Q1091" i="1" s="1"/>
  <c r="N1092" i="1"/>
  <c r="O1092" i="1" s="1"/>
  <c r="Q1092" i="1" s="1"/>
  <c r="N1093" i="1"/>
  <c r="O1093" i="1" s="1"/>
  <c r="Q1093" i="1" s="1"/>
  <c r="N1094" i="1"/>
  <c r="O1094" i="1" s="1"/>
  <c r="Q1094" i="1" s="1"/>
  <c r="N1095" i="1"/>
  <c r="O1095" i="1" s="1"/>
  <c r="Q1095" i="1" s="1"/>
  <c r="N1096" i="1"/>
  <c r="O1096" i="1" s="1"/>
  <c r="Q1096" i="1" s="1"/>
  <c r="N1097" i="1"/>
  <c r="O1097" i="1" s="1"/>
  <c r="Q1097" i="1" s="1"/>
  <c r="N1098" i="1"/>
  <c r="O1098" i="1" s="1"/>
  <c r="Q1098" i="1" s="1"/>
  <c r="N1099" i="1"/>
  <c r="O1099" i="1" s="1"/>
  <c r="Q1099" i="1" s="1"/>
  <c r="N1100" i="1"/>
  <c r="O1100" i="1" s="1"/>
  <c r="Q1100" i="1" s="1"/>
  <c r="N1101" i="1"/>
  <c r="O1101" i="1" s="1"/>
  <c r="Q1101" i="1" s="1"/>
  <c r="N1102" i="1"/>
  <c r="O1102" i="1" s="1"/>
  <c r="Q1102" i="1" s="1"/>
  <c r="N1103" i="1"/>
  <c r="O1103" i="1" s="1"/>
  <c r="Q1103" i="1" s="1"/>
  <c r="N1104" i="1"/>
  <c r="O1104" i="1" s="1"/>
  <c r="Q1104" i="1" s="1"/>
  <c r="N1105" i="1"/>
  <c r="O1105" i="1" s="1"/>
  <c r="Q1105" i="1" s="1"/>
  <c r="N1106" i="1"/>
  <c r="O1106" i="1" s="1"/>
  <c r="Q1106" i="1" s="1"/>
  <c r="N1107" i="1"/>
  <c r="O1107" i="1" s="1"/>
  <c r="Q1107" i="1" s="1"/>
  <c r="N1108" i="1"/>
  <c r="O1108" i="1" s="1"/>
  <c r="Q1108" i="1" s="1"/>
  <c r="N1109" i="1"/>
  <c r="O1109" i="1" s="1"/>
  <c r="Q1109" i="1" s="1"/>
  <c r="N1110" i="1"/>
  <c r="O1110" i="1" s="1"/>
  <c r="Q1110" i="1" s="1"/>
  <c r="N1111" i="1"/>
  <c r="O1111" i="1" s="1"/>
  <c r="Q1111" i="1" s="1"/>
  <c r="N1112" i="1"/>
  <c r="O1112" i="1" s="1"/>
  <c r="Q1112" i="1" s="1"/>
  <c r="N1113" i="1"/>
  <c r="O1113" i="1" s="1"/>
  <c r="Q1113" i="1" s="1"/>
  <c r="N1114" i="1"/>
  <c r="O1114" i="1" s="1"/>
  <c r="Q1114" i="1" s="1"/>
  <c r="N1115" i="1"/>
  <c r="O1115" i="1" s="1"/>
  <c r="Q1115" i="1" s="1"/>
  <c r="N1116" i="1"/>
  <c r="O1116" i="1" s="1"/>
  <c r="Q1116" i="1" s="1"/>
  <c r="N1117" i="1"/>
  <c r="O1117" i="1" s="1"/>
  <c r="Q1117" i="1" s="1"/>
  <c r="N1118" i="1"/>
  <c r="O1118" i="1" s="1"/>
  <c r="Q1118" i="1" s="1"/>
  <c r="N1119" i="1"/>
  <c r="O1119" i="1" s="1"/>
  <c r="Q1119" i="1" s="1"/>
  <c r="N1120" i="1"/>
  <c r="O1120" i="1" s="1"/>
  <c r="Q1120" i="1" s="1"/>
  <c r="N1121" i="1"/>
  <c r="O1121" i="1" s="1"/>
  <c r="Q1121" i="1" s="1"/>
  <c r="N1122" i="1"/>
  <c r="O1122" i="1" s="1"/>
  <c r="Q1122" i="1" s="1"/>
  <c r="N1123" i="1"/>
  <c r="O1123" i="1" s="1"/>
  <c r="Q1123" i="1" s="1"/>
  <c r="N1124" i="1"/>
  <c r="O1124" i="1" s="1"/>
  <c r="Q1124" i="1" s="1"/>
  <c r="N1125" i="1"/>
  <c r="O1125" i="1" s="1"/>
  <c r="Q1125" i="1" s="1"/>
  <c r="N1126" i="1"/>
  <c r="O1126" i="1" s="1"/>
  <c r="Q1126" i="1" s="1"/>
  <c r="N1127" i="1"/>
  <c r="O1127" i="1" s="1"/>
  <c r="Q1127" i="1" s="1"/>
  <c r="N1128" i="1"/>
  <c r="O1128" i="1" s="1"/>
  <c r="Q1128" i="1" s="1"/>
  <c r="N1129" i="1"/>
  <c r="O1129" i="1" s="1"/>
  <c r="Q1129" i="1" s="1"/>
  <c r="N1130" i="1"/>
  <c r="O1130" i="1" s="1"/>
  <c r="Q1130" i="1" s="1"/>
  <c r="N1131" i="1"/>
  <c r="O1131" i="1" s="1"/>
  <c r="Q1131" i="1" s="1"/>
  <c r="N1132" i="1"/>
  <c r="O1132" i="1" s="1"/>
  <c r="Q1132" i="1" s="1"/>
  <c r="N1133" i="1"/>
  <c r="O1133" i="1" s="1"/>
  <c r="Q1133" i="1" s="1"/>
  <c r="N1134" i="1"/>
  <c r="O1134" i="1" s="1"/>
  <c r="Q1134" i="1" s="1"/>
  <c r="N1135" i="1"/>
  <c r="O1135" i="1" s="1"/>
  <c r="Q1135" i="1" s="1"/>
  <c r="N1136" i="1"/>
  <c r="O1136" i="1" s="1"/>
  <c r="Q1136" i="1" s="1"/>
  <c r="N1137" i="1"/>
  <c r="O1137" i="1" s="1"/>
  <c r="Q1137" i="1" s="1"/>
  <c r="N1138" i="1"/>
  <c r="O1138" i="1" s="1"/>
  <c r="Q1138" i="1" s="1"/>
  <c r="N1139" i="1"/>
  <c r="O1139" i="1" s="1"/>
  <c r="Q1139" i="1" s="1"/>
  <c r="N1140" i="1"/>
  <c r="O1140" i="1" s="1"/>
  <c r="Q1140" i="1" s="1"/>
  <c r="N1141" i="1"/>
  <c r="O1141" i="1" s="1"/>
  <c r="Q1141" i="1" s="1"/>
  <c r="N1142" i="1"/>
  <c r="O1142" i="1" s="1"/>
  <c r="Q1142" i="1" s="1"/>
  <c r="N1143" i="1"/>
  <c r="O1143" i="1" s="1"/>
  <c r="Q1143" i="1" s="1"/>
  <c r="N1144" i="1"/>
  <c r="O1144" i="1" s="1"/>
  <c r="Q1144" i="1" s="1"/>
  <c r="N1145" i="1"/>
  <c r="O1145" i="1" s="1"/>
  <c r="Q1145" i="1" s="1"/>
  <c r="N1146" i="1"/>
  <c r="O1146" i="1" s="1"/>
  <c r="Q1146" i="1" s="1"/>
  <c r="N1147" i="1"/>
  <c r="O1147" i="1" s="1"/>
  <c r="Q1147" i="1" s="1"/>
  <c r="N1148" i="1"/>
  <c r="O1148" i="1" s="1"/>
  <c r="Q1148" i="1" s="1"/>
  <c r="N1149" i="1"/>
  <c r="O1149" i="1" s="1"/>
  <c r="Q1149" i="1" s="1"/>
  <c r="N1150" i="1"/>
  <c r="O1150" i="1" s="1"/>
  <c r="Q1150" i="1" s="1"/>
  <c r="N1151" i="1"/>
  <c r="O1151" i="1" s="1"/>
  <c r="Q1151" i="1" s="1"/>
  <c r="N1152" i="1"/>
  <c r="O1152" i="1" s="1"/>
  <c r="Q1152" i="1" s="1"/>
  <c r="N1153" i="1"/>
  <c r="O1153" i="1" s="1"/>
  <c r="Q1153" i="1" s="1"/>
  <c r="N1154" i="1"/>
  <c r="O1154" i="1" s="1"/>
  <c r="Q1154" i="1" s="1"/>
  <c r="N1155" i="1"/>
  <c r="O1155" i="1" s="1"/>
  <c r="Q1155" i="1" s="1"/>
  <c r="N1156" i="1"/>
  <c r="O1156" i="1" s="1"/>
  <c r="Q1156" i="1" s="1"/>
  <c r="N1157" i="1"/>
  <c r="O1157" i="1" s="1"/>
  <c r="Q1157" i="1" s="1"/>
  <c r="N1158" i="1"/>
  <c r="O1158" i="1" s="1"/>
  <c r="Q1158" i="1" s="1"/>
  <c r="N1159" i="1"/>
  <c r="O1159" i="1" s="1"/>
  <c r="Q1159" i="1" s="1"/>
  <c r="N1160" i="1"/>
  <c r="O1160" i="1" s="1"/>
  <c r="Q1160" i="1" s="1"/>
  <c r="N1161" i="1"/>
  <c r="O1161" i="1" s="1"/>
  <c r="Q1161" i="1" s="1"/>
  <c r="N1162" i="1"/>
  <c r="O1162" i="1" s="1"/>
  <c r="Q1162" i="1" s="1"/>
  <c r="N1163" i="1"/>
  <c r="O1163" i="1" s="1"/>
  <c r="Q1163" i="1" s="1"/>
  <c r="N1164" i="1"/>
  <c r="O1164" i="1" s="1"/>
  <c r="Q1164" i="1" s="1"/>
  <c r="N1165" i="1"/>
  <c r="O1165" i="1" s="1"/>
  <c r="Q1165" i="1" s="1"/>
  <c r="N1166" i="1"/>
  <c r="O1166" i="1" s="1"/>
  <c r="Q1166" i="1" s="1"/>
  <c r="N1167" i="1"/>
  <c r="O1167" i="1" s="1"/>
  <c r="Q1167" i="1" s="1"/>
  <c r="N1168" i="1"/>
  <c r="O1168" i="1" s="1"/>
  <c r="Q1168" i="1" s="1"/>
  <c r="N1169" i="1"/>
  <c r="O1169" i="1" s="1"/>
  <c r="Q1169" i="1" s="1"/>
  <c r="N1170" i="1"/>
  <c r="O1170" i="1" s="1"/>
  <c r="Q1170" i="1" s="1"/>
  <c r="N1171" i="1"/>
  <c r="O1171" i="1" s="1"/>
  <c r="Q1171" i="1" s="1"/>
  <c r="N1172" i="1"/>
  <c r="O1172" i="1" s="1"/>
  <c r="Q1172" i="1" s="1"/>
  <c r="N1173" i="1"/>
  <c r="O1173" i="1" s="1"/>
  <c r="Q1173" i="1" s="1"/>
  <c r="N1174" i="1"/>
  <c r="O1174" i="1" s="1"/>
  <c r="Q1174" i="1" s="1"/>
  <c r="N1175" i="1"/>
  <c r="O1175" i="1" s="1"/>
  <c r="Q1175" i="1" s="1"/>
  <c r="N1176" i="1"/>
  <c r="O1176" i="1" s="1"/>
  <c r="Q1176" i="1" s="1"/>
  <c r="N1177" i="1"/>
  <c r="O1177" i="1" s="1"/>
  <c r="Q1177" i="1" s="1"/>
  <c r="N1178" i="1"/>
  <c r="O1178" i="1" s="1"/>
  <c r="Q1178" i="1" s="1"/>
  <c r="N1179" i="1"/>
  <c r="O1179" i="1" s="1"/>
  <c r="Q1179" i="1" s="1"/>
  <c r="N1180" i="1"/>
  <c r="O1180" i="1" s="1"/>
  <c r="Q1180" i="1" s="1"/>
  <c r="N1181" i="1"/>
  <c r="O1181" i="1" s="1"/>
  <c r="Q1181" i="1" s="1"/>
  <c r="N1182" i="1"/>
  <c r="O1182" i="1" s="1"/>
  <c r="Q1182" i="1" s="1"/>
  <c r="N1183" i="1"/>
  <c r="O1183" i="1" s="1"/>
  <c r="Q1183" i="1" s="1"/>
  <c r="N1184" i="1"/>
  <c r="O1184" i="1" s="1"/>
  <c r="Q1184" i="1" s="1"/>
  <c r="N1185" i="1"/>
  <c r="O1185" i="1" s="1"/>
  <c r="Q1185" i="1" s="1"/>
  <c r="N1186" i="1"/>
  <c r="O1186" i="1" s="1"/>
  <c r="Q1186" i="1" s="1"/>
  <c r="N1187" i="1"/>
  <c r="O1187" i="1" s="1"/>
  <c r="Q1187" i="1" s="1"/>
  <c r="N1188" i="1"/>
  <c r="O1188" i="1" s="1"/>
  <c r="Q1188" i="1" s="1"/>
  <c r="N1189" i="1"/>
  <c r="O1189" i="1" s="1"/>
  <c r="Q1189" i="1" s="1"/>
  <c r="N1190" i="1"/>
  <c r="O1190" i="1" s="1"/>
  <c r="Q1190" i="1" s="1"/>
  <c r="N1191" i="1"/>
  <c r="O1191" i="1" s="1"/>
  <c r="Q1191" i="1" s="1"/>
  <c r="N1192" i="1"/>
  <c r="O1192" i="1" s="1"/>
  <c r="Q1192" i="1" s="1"/>
  <c r="N1193" i="1"/>
  <c r="O1193" i="1" s="1"/>
  <c r="Q1193" i="1" s="1"/>
  <c r="N1194" i="1"/>
  <c r="O1194" i="1" s="1"/>
  <c r="Q1194" i="1" s="1"/>
  <c r="N1195" i="1"/>
  <c r="O1195" i="1" s="1"/>
  <c r="Q1195" i="1" s="1"/>
  <c r="N1196" i="1"/>
  <c r="O1196" i="1" s="1"/>
  <c r="Q1196" i="1" s="1"/>
  <c r="N1197" i="1"/>
  <c r="O1197" i="1" s="1"/>
  <c r="Q1197" i="1" s="1"/>
  <c r="N1198" i="1"/>
  <c r="O1198" i="1" s="1"/>
  <c r="Q1198" i="1" s="1"/>
  <c r="N1199" i="1"/>
  <c r="O1199" i="1" s="1"/>
  <c r="Q1199" i="1" s="1"/>
  <c r="N1200" i="1"/>
  <c r="O1200" i="1" s="1"/>
  <c r="Q1200" i="1" s="1"/>
  <c r="N1201" i="1"/>
  <c r="O1201" i="1" s="1"/>
  <c r="Q1201" i="1" s="1"/>
  <c r="N1202" i="1"/>
  <c r="O1202" i="1" s="1"/>
  <c r="Q1202" i="1" s="1"/>
  <c r="N1203" i="1"/>
  <c r="O1203" i="1" s="1"/>
  <c r="Q1203" i="1" s="1"/>
  <c r="N1204" i="1"/>
  <c r="O1204" i="1" s="1"/>
  <c r="Q1204" i="1" s="1"/>
  <c r="N1205" i="1"/>
  <c r="O1205" i="1" s="1"/>
  <c r="Q1205" i="1" s="1"/>
  <c r="N1206" i="1"/>
  <c r="O1206" i="1" s="1"/>
  <c r="Q1206" i="1" s="1"/>
  <c r="N1207" i="1"/>
  <c r="O1207" i="1" s="1"/>
  <c r="Q1207" i="1" s="1"/>
  <c r="N1208" i="1"/>
  <c r="O1208" i="1" s="1"/>
  <c r="Q1208" i="1" s="1"/>
  <c r="N1209" i="1"/>
  <c r="O1209" i="1" s="1"/>
  <c r="Q1209" i="1" s="1"/>
  <c r="N1210" i="1"/>
  <c r="O1210" i="1" s="1"/>
  <c r="Q1210" i="1" s="1"/>
  <c r="N1211" i="1"/>
  <c r="O1211" i="1" s="1"/>
  <c r="Q1211" i="1" s="1"/>
  <c r="N1212" i="1"/>
  <c r="O1212" i="1" s="1"/>
  <c r="Q1212" i="1" s="1"/>
  <c r="N1213" i="1"/>
  <c r="O1213" i="1" s="1"/>
  <c r="Q1213" i="1" s="1"/>
  <c r="N1214" i="1"/>
  <c r="O1214" i="1" s="1"/>
  <c r="Q1214" i="1" s="1"/>
  <c r="N1215" i="1"/>
  <c r="O1215" i="1" s="1"/>
  <c r="Q1215" i="1" s="1"/>
  <c r="N1216" i="1"/>
  <c r="O1216" i="1" s="1"/>
  <c r="Q1216" i="1" s="1"/>
  <c r="N1217" i="1"/>
  <c r="O1217" i="1" s="1"/>
  <c r="Q1217" i="1" s="1"/>
  <c r="N1218" i="1"/>
  <c r="O1218" i="1" s="1"/>
  <c r="Q1218" i="1" s="1"/>
  <c r="N1219" i="1"/>
  <c r="O1219" i="1" s="1"/>
  <c r="Q1219" i="1" s="1"/>
  <c r="N1220" i="1"/>
  <c r="O1220" i="1" s="1"/>
  <c r="Q1220" i="1" s="1"/>
  <c r="N1221" i="1"/>
  <c r="O1221" i="1" s="1"/>
  <c r="Q1221" i="1" s="1"/>
  <c r="N1222" i="1"/>
  <c r="O1222" i="1" s="1"/>
  <c r="Q1222" i="1" s="1"/>
  <c r="N1223" i="1"/>
  <c r="O1223" i="1" s="1"/>
  <c r="Q1223" i="1" s="1"/>
  <c r="N1224" i="1"/>
  <c r="O1224" i="1" s="1"/>
  <c r="Q1224" i="1" s="1"/>
  <c r="N1225" i="1"/>
  <c r="O1225" i="1" s="1"/>
  <c r="Q1225" i="1" s="1"/>
  <c r="N1226" i="1"/>
  <c r="O1226" i="1" s="1"/>
  <c r="Q1226" i="1" s="1"/>
  <c r="N1227" i="1"/>
  <c r="O1227" i="1" s="1"/>
  <c r="Q1227" i="1" s="1"/>
  <c r="N1228" i="1"/>
  <c r="O1228" i="1" s="1"/>
  <c r="Q1228" i="1" s="1"/>
  <c r="N1229" i="1"/>
  <c r="O1229" i="1" s="1"/>
  <c r="Q1229" i="1" s="1"/>
  <c r="N1230" i="1"/>
  <c r="O1230" i="1" s="1"/>
  <c r="Q1230" i="1" s="1"/>
  <c r="N1231" i="1"/>
  <c r="O1231" i="1" s="1"/>
  <c r="Q1231" i="1" s="1"/>
  <c r="N1232" i="1"/>
  <c r="O1232" i="1" s="1"/>
  <c r="Q1232" i="1" s="1"/>
  <c r="N1233" i="1"/>
  <c r="O1233" i="1" s="1"/>
  <c r="Q1233" i="1" s="1"/>
  <c r="N1234" i="1"/>
  <c r="O1234" i="1" s="1"/>
  <c r="Q1234" i="1" s="1"/>
  <c r="N1235" i="1"/>
  <c r="O1235" i="1" s="1"/>
  <c r="Q1235" i="1" s="1"/>
  <c r="N1236" i="1"/>
  <c r="O1236" i="1" s="1"/>
  <c r="Q1236" i="1" s="1"/>
  <c r="N1237" i="1"/>
  <c r="O1237" i="1" s="1"/>
  <c r="Q1237" i="1" s="1"/>
  <c r="N1238" i="1"/>
  <c r="O1238" i="1" s="1"/>
  <c r="Q1238" i="1" s="1"/>
  <c r="N1239" i="1"/>
  <c r="O1239" i="1" s="1"/>
  <c r="Q1239" i="1" s="1"/>
  <c r="N1240" i="1"/>
  <c r="O1240" i="1" s="1"/>
  <c r="Q1240" i="1" s="1"/>
  <c r="N1241" i="1"/>
  <c r="O1241" i="1" s="1"/>
  <c r="Q1241" i="1" s="1"/>
  <c r="N1242" i="1"/>
  <c r="O1242" i="1" s="1"/>
  <c r="Q1242" i="1" s="1"/>
  <c r="N1243" i="1"/>
  <c r="O1243" i="1" s="1"/>
  <c r="Q1243" i="1" s="1"/>
  <c r="N1244" i="1"/>
  <c r="O1244" i="1" s="1"/>
  <c r="Q1244" i="1" s="1"/>
  <c r="N1245" i="1"/>
  <c r="O1245" i="1" s="1"/>
  <c r="Q1245" i="1" s="1"/>
  <c r="N1246" i="1"/>
  <c r="O1246" i="1" s="1"/>
  <c r="Q1246" i="1" s="1"/>
  <c r="N1247" i="1"/>
  <c r="O1247" i="1" s="1"/>
  <c r="Q1247" i="1" s="1"/>
  <c r="N1248" i="1"/>
  <c r="O1248" i="1" s="1"/>
  <c r="Q1248" i="1" s="1"/>
  <c r="N1249" i="1"/>
  <c r="O1249" i="1" s="1"/>
  <c r="Q1249" i="1" s="1"/>
  <c r="N1250" i="1"/>
  <c r="O1250" i="1" s="1"/>
  <c r="Q1250" i="1" s="1"/>
  <c r="N1251" i="1"/>
  <c r="O1251" i="1" s="1"/>
  <c r="Q1251" i="1" s="1"/>
  <c r="N1252" i="1"/>
  <c r="O1252" i="1" s="1"/>
  <c r="Q1252" i="1" s="1"/>
  <c r="N1253" i="1"/>
  <c r="O1253" i="1" s="1"/>
  <c r="Q1253" i="1" s="1"/>
  <c r="N1254" i="1"/>
  <c r="O1254" i="1" s="1"/>
  <c r="Q1254" i="1" s="1"/>
  <c r="N1255" i="1"/>
  <c r="O1255" i="1" s="1"/>
  <c r="Q1255" i="1" s="1"/>
  <c r="N1256" i="1"/>
  <c r="O1256" i="1" s="1"/>
  <c r="Q1256" i="1" s="1"/>
  <c r="N1257" i="1"/>
  <c r="O1257" i="1" s="1"/>
  <c r="Q1257" i="1" s="1"/>
  <c r="N1258" i="1"/>
  <c r="O1258" i="1" s="1"/>
  <c r="Q1258" i="1" s="1"/>
  <c r="N1259" i="1"/>
  <c r="O1259" i="1" s="1"/>
  <c r="Q1259" i="1" s="1"/>
  <c r="N1260" i="1"/>
  <c r="O1260" i="1" s="1"/>
  <c r="Q1260" i="1" s="1"/>
  <c r="N1261" i="1"/>
  <c r="O1261" i="1" s="1"/>
  <c r="Q1261" i="1" s="1"/>
  <c r="N1262" i="1"/>
  <c r="O1262" i="1" s="1"/>
  <c r="Q1262" i="1" s="1"/>
  <c r="N1263" i="1"/>
  <c r="O1263" i="1" s="1"/>
  <c r="Q1263" i="1" s="1"/>
  <c r="N1264" i="1"/>
  <c r="O1264" i="1" s="1"/>
  <c r="Q1264" i="1" s="1"/>
  <c r="N1265" i="1"/>
  <c r="O1265" i="1" s="1"/>
  <c r="Q1265" i="1" s="1"/>
  <c r="N1266" i="1"/>
  <c r="O1266" i="1" s="1"/>
  <c r="Q1266" i="1" s="1"/>
  <c r="N1267" i="1"/>
  <c r="O1267" i="1" s="1"/>
  <c r="Q1267" i="1" s="1"/>
  <c r="N1268" i="1"/>
  <c r="O1268" i="1" s="1"/>
  <c r="Q1268" i="1" s="1"/>
  <c r="N1269" i="1"/>
  <c r="O1269" i="1" s="1"/>
  <c r="Q1269" i="1" s="1"/>
  <c r="N1270" i="1"/>
  <c r="O1270" i="1" s="1"/>
  <c r="Q1270" i="1" s="1"/>
  <c r="N1271" i="1"/>
  <c r="O1271" i="1" s="1"/>
  <c r="Q1271" i="1" s="1"/>
  <c r="N1272" i="1"/>
  <c r="O1272" i="1" s="1"/>
  <c r="Q1272" i="1" s="1"/>
  <c r="N1273" i="1"/>
  <c r="O1273" i="1" s="1"/>
  <c r="Q1273" i="1" s="1"/>
  <c r="N1274" i="1"/>
  <c r="O1274" i="1" s="1"/>
  <c r="Q1274" i="1" s="1"/>
  <c r="N1275" i="1"/>
  <c r="O1275" i="1" s="1"/>
  <c r="Q1275" i="1" s="1"/>
  <c r="N1276" i="1"/>
  <c r="O1276" i="1" s="1"/>
  <c r="Q1276" i="1" s="1"/>
  <c r="N1277" i="1"/>
  <c r="O1277" i="1" s="1"/>
  <c r="Q1277" i="1" s="1"/>
  <c r="N1278" i="1"/>
  <c r="O1278" i="1" s="1"/>
  <c r="Q1278" i="1" s="1"/>
  <c r="N1279" i="1"/>
  <c r="O1279" i="1" s="1"/>
  <c r="Q1279" i="1" s="1"/>
  <c r="N1280" i="1"/>
  <c r="O1280" i="1" s="1"/>
  <c r="Q1280" i="1" s="1"/>
  <c r="N1281" i="1"/>
  <c r="O1281" i="1" s="1"/>
  <c r="Q1281" i="1" s="1"/>
  <c r="N1282" i="1"/>
  <c r="O1282" i="1" s="1"/>
  <c r="Q1282" i="1" s="1"/>
  <c r="N1283" i="1"/>
  <c r="O1283" i="1" s="1"/>
  <c r="Q1283" i="1" s="1"/>
  <c r="N1284" i="1"/>
  <c r="O1284" i="1" s="1"/>
  <c r="Q1284" i="1" s="1"/>
  <c r="N1285" i="1"/>
  <c r="O1285" i="1" s="1"/>
  <c r="Q1285" i="1" s="1"/>
  <c r="N1286" i="1"/>
  <c r="O1286" i="1" s="1"/>
  <c r="Q1286" i="1" s="1"/>
  <c r="N1287" i="1"/>
  <c r="O1287" i="1" s="1"/>
  <c r="Q1287" i="1" s="1"/>
  <c r="N1288" i="1"/>
  <c r="O1288" i="1" s="1"/>
  <c r="Q1288" i="1" s="1"/>
  <c r="N1289" i="1"/>
  <c r="O1289" i="1" s="1"/>
  <c r="Q1289" i="1" s="1"/>
  <c r="N1290" i="1"/>
  <c r="O1290" i="1" s="1"/>
  <c r="Q1290" i="1" s="1"/>
  <c r="N1291" i="1"/>
  <c r="O1291" i="1" s="1"/>
  <c r="Q1291" i="1" s="1"/>
  <c r="N1292" i="1"/>
  <c r="O1292" i="1" s="1"/>
  <c r="Q1292" i="1" s="1"/>
  <c r="N1293" i="1"/>
  <c r="O1293" i="1" s="1"/>
  <c r="Q1293" i="1" s="1"/>
  <c r="N1294" i="1"/>
  <c r="O1294" i="1" s="1"/>
  <c r="Q1294" i="1" s="1"/>
  <c r="N1295" i="1"/>
  <c r="O1295" i="1" s="1"/>
  <c r="Q1295" i="1" s="1"/>
  <c r="N1296" i="1"/>
  <c r="O1296" i="1" s="1"/>
  <c r="Q1296" i="1" s="1"/>
  <c r="N1297" i="1"/>
  <c r="O1297" i="1" s="1"/>
  <c r="Q1297" i="1" s="1"/>
  <c r="N1298" i="1"/>
  <c r="O1298" i="1" s="1"/>
  <c r="Q1298" i="1" s="1"/>
  <c r="N1299" i="1"/>
  <c r="O1299" i="1" s="1"/>
  <c r="Q1299" i="1" s="1"/>
  <c r="N1300" i="1"/>
  <c r="O1300" i="1" s="1"/>
  <c r="Q1300" i="1" s="1"/>
  <c r="N1301" i="1"/>
  <c r="O1301" i="1" s="1"/>
  <c r="Q1301" i="1" s="1"/>
  <c r="N1302" i="1"/>
  <c r="O1302" i="1" s="1"/>
  <c r="Q1302" i="1" s="1"/>
  <c r="N1303" i="1"/>
  <c r="O1303" i="1" s="1"/>
  <c r="Q1303" i="1" s="1"/>
  <c r="N1304" i="1"/>
  <c r="O1304" i="1" s="1"/>
  <c r="Q1304" i="1" s="1"/>
  <c r="N1305" i="1"/>
  <c r="O1305" i="1" s="1"/>
  <c r="Q1305" i="1" s="1"/>
  <c r="N1306" i="1"/>
  <c r="O1306" i="1" s="1"/>
  <c r="Q1306" i="1" s="1"/>
  <c r="N1307" i="1"/>
  <c r="O1307" i="1" s="1"/>
  <c r="Q1307" i="1" s="1"/>
  <c r="N1308" i="1"/>
  <c r="O1308" i="1" s="1"/>
  <c r="Q1308" i="1" s="1"/>
  <c r="N1309" i="1"/>
  <c r="O1309" i="1" s="1"/>
  <c r="Q1309" i="1" s="1"/>
  <c r="N1310" i="1"/>
  <c r="O1310" i="1" s="1"/>
  <c r="Q1310" i="1" s="1"/>
  <c r="N1311" i="1"/>
  <c r="O1311" i="1" s="1"/>
  <c r="Q1311" i="1" s="1"/>
  <c r="N1312" i="1"/>
  <c r="O1312" i="1" s="1"/>
  <c r="Q1312" i="1" s="1"/>
  <c r="N1313" i="1"/>
  <c r="O1313" i="1" s="1"/>
  <c r="Q1313" i="1" s="1"/>
  <c r="N1314" i="1"/>
  <c r="O1314" i="1" s="1"/>
  <c r="Q1314" i="1" s="1"/>
  <c r="N1315" i="1"/>
  <c r="O1315" i="1" s="1"/>
  <c r="Q1315" i="1" s="1"/>
  <c r="N1316" i="1"/>
  <c r="O1316" i="1" s="1"/>
  <c r="Q1316" i="1" s="1"/>
  <c r="N1317" i="1"/>
  <c r="O1317" i="1" s="1"/>
  <c r="Q1317" i="1" s="1"/>
  <c r="N1318" i="1"/>
  <c r="O1318" i="1" s="1"/>
  <c r="Q1318" i="1" s="1"/>
  <c r="N1319" i="1"/>
  <c r="O1319" i="1" s="1"/>
  <c r="Q1319" i="1" s="1"/>
  <c r="N1320" i="1"/>
  <c r="O1320" i="1" s="1"/>
  <c r="Q1320" i="1" s="1"/>
  <c r="N1321" i="1"/>
  <c r="O1321" i="1" s="1"/>
  <c r="Q1321" i="1" s="1"/>
  <c r="N1322" i="1"/>
  <c r="O1322" i="1" s="1"/>
  <c r="Q1322" i="1" s="1"/>
  <c r="N1323" i="1"/>
  <c r="O1323" i="1" s="1"/>
  <c r="Q1323" i="1" s="1"/>
  <c r="N1324" i="1"/>
  <c r="O1324" i="1" s="1"/>
  <c r="Q1324" i="1" s="1"/>
  <c r="N1325" i="1"/>
  <c r="O1325" i="1" s="1"/>
  <c r="Q1325" i="1" s="1"/>
  <c r="N1326" i="1"/>
  <c r="O1326" i="1" s="1"/>
  <c r="Q1326" i="1" s="1"/>
  <c r="N1327" i="1"/>
  <c r="O1327" i="1" s="1"/>
  <c r="Q1327" i="1" s="1"/>
  <c r="N1328" i="1"/>
  <c r="O1328" i="1" s="1"/>
  <c r="Q1328" i="1" s="1"/>
  <c r="N1329" i="1"/>
  <c r="O1329" i="1" s="1"/>
  <c r="Q1329" i="1" s="1"/>
  <c r="N1330" i="1"/>
  <c r="O1330" i="1" s="1"/>
  <c r="Q1330" i="1" s="1"/>
  <c r="N1331" i="1"/>
  <c r="O1331" i="1" s="1"/>
  <c r="Q1331" i="1" s="1"/>
  <c r="N1332" i="1"/>
  <c r="O1332" i="1" s="1"/>
  <c r="Q1332" i="1" s="1"/>
  <c r="N1333" i="1"/>
  <c r="O1333" i="1" s="1"/>
  <c r="Q1333" i="1" s="1"/>
  <c r="N1334" i="1"/>
  <c r="O1334" i="1" s="1"/>
  <c r="Q1334" i="1" s="1"/>
  <c r="N1335" i="1"/>
  <c r="O1335" i="1" s="1"/>
  <c r="Q1335" i="1" s="1"/>
  <c r="N1336" i="1"/>
  <c r="O1336" i="1" s="1"/>
  <c r="Q1336" i="1" s="1"/>
  <c r="N1337" i="1"/>
  <c r="O1337" i="1" s="1"/>
  <c r="Q1337" i="1" s="1"/>
  <c r="N1338" i="1"/>
  <c r="O1338" i="1" s="1"/>
  <c r="Q1338" i="1" s="1"/>
  <c r="N1339" i="1"/>
  <c r="O1339" i="1" s="1"/>
  <c r="Q1339" i="1" s="1"/>
  <c r="N1340" i="1"/>
  <c r="O1340" i="1" s="1"/>
  <c r="Q1340" i="1" s="1"/>
  <c r="N1341" i="1"/>
  <c r="O1341" i="1" s="1"/>
  <c r="Q1341" i="1" s="1"/>
  <c r="N1342" i="1"/>
  <c r="O1342" i="1" s="1"/>
  <c r="Q1342" i="1" s="1"/>
  <c r="N1343" i="1"/>
  <c r="O1343" i="1" s="1"/>
  <c r="Q1343" i="1" s="1"/>
  <c r="N1344" i="1"/>
  <c r="O1344" i="1" s="1"/>
  <c r="Q1344" i="1" s="1"/>
  <c r="N1345" i="1"/>
  <c r="O1345" i="1" s="1"/>
  <c r="Q1345" i="1" s="1"/>
  <c r="N1346" i="1"/>
  <c r="O1346" i="1" s="1"/>
  <c r="Q1346" i="1" s="1"/>
  <c r="N1347" i="1"/>
  <c r="O1347" i="1" s="1"/>
  <c r="Q1347" i="1" s="1"/>
  <c r="N1348" i="1"/>
  <c r="O1348" i="1" s="1"/>
  <c r="Q1348" i="1" s="1"/>
  <c r="N1349" i="1"/>
  <c r="O1349" i="1" s="1"/>
  <c r="Q1349" i="1" s="1"/>
  <c r="N1350" i="1"/>
  <c r="O1350" i="1" s="1"/>
  <c r="Q1350" i="1" s="1"/>
  <c r="N1351" i="1"/>
  <c r="O1351" i="1" s="1"/>
  <c r="Q1351" i="1" s="1"/>
  <c r="N1352" i="1"/>
  <c r="O1352" i="1" s="1"/>
  <c r="Q1352" i="1" s="1"/>
  <c r="N1353" i="1"/>
  <c r="O1353" i="1" s="1"/>
  <c r="Q1353" i="1" s="1"/>
  <c r="N1354" i="1"/>
  <c r="O1354" i="1" s="1"/>
  <c r="Q1354" i="1" s="1"/>
  <c r="N1355" i="1"/>
  <c r="O1355" i="1" s="1"/>
  <c r="Q1355" i="1" s="1"/>
  <c r="N1356" i="1"/>
  <c r="O1356" i="1" s="1"/>
  <c r="Q1356" i="1" s="1"/>
  <c r="N1357" i="1"/>
  <c r="O1357" i="1" s="1"/>
  <c r="Q1357" i="1" s="1"/>
  <c r="N1358" i="1"/>
  <c r="O1358" i="1" s="1"/>
  <c r="Q1358" i="1" s="1"/>
  <c r="N1359" i="1"/>
  <c r="O1359" i="1" s="1"/>
  <c r="Q1359" i="1" s="1"/>
  <c r="N1360" i="1"/>
  <c r="O1360" i="1" s="1"/>
  <c r="Q1360" i="1" s="1"/>
  <c r="N1361" i="1"/>
  <c r="O1361" i="1" s="1"/>
  <c r="Q1361" i="1" s="1"/>
  <c r="N1362" i="1"/>
  <c r="O1362" i="1" s="1"/>
  <c r="Q1362" i="1" s="1"/>
  <c r="N1363" i="1"/>
  <c r="O1363" i="1" s="1"/>
  <c r="Q1363" i="1" s="1"/>
  <c r="N1364" i="1"/>
  <c r="O1364" i="1" s="1"/>
  <c r="Q1364" i="1" s="1"/>
  <c r="N1365" i="1"/>
  <c r="O1365" i="1" s="1"/>
  <c r="Q1365" i="1" s="1"/>
  <c r="N1366" i="1"/>
  <c r="O1366" i="1" s="1"/>
  <c r="Q1366" i="1" s="1"/>
  <c r="N1367" i="1"/>
  <c r="O1367" i="1" s="1"/>
  <c r="Q1367" i="1" s="1"/>
  <c r="N1368" i="1"/>
  <c r="O1368" i="1" s="1"/>
  <c r="Q1368" i="1" s="1"/>
  <c r="N1369" i="1"/>
  <c r="O1369" i="1" s="1"/>
  <c r="Q1369" i="1" s="1"/>
  <c r="N1370" i="1"/>
  <c r="O1370" i="1" s="1"/>
  <c r="Q1370" i="1" s="1"/>
  <c r="N1371" i="1"/>
  <c r="O1371" i="1" s="1"/>
  <c r="Q1371" i="1" s="1"/>
  <c r="N1372" i="1"/>
  <c r="O1372" i="1" s="1"/>
  <c r="Q1372" i="1" s="1"/>
  <c r="N1373" i="1"/>
  <c r="O1373" i="1" s="1"/>
  <c r="Q1373" i="1" s="1"/>
  <c r="N1374" i="1"/>
  <c r="O1374" i="1" s="1"/>
  <c r="Q1374" i="1" s="1"/>
  <c r="N1375" i="1"/>
  <c r="O1375" i="1" s="1"/>
  <c r="Q1375" i="1" s="1"/>
  <c r="N1376" i="1"/>
  <c r="O1376" i="1" s="1"/>
  <c r="Q1376" i="1" s="1"/>
  <c r="N1377" i="1"/>
  <c r="O1377" i="1" s="1"/>
  <c r="Q1377" i="1" s="1"/>
  <c r="N1378" i="1"/>
  <c r="O1378" i="1" s="1"/>
  <c r="Q1378" i="1" s="1"/>
  <c r="N1379" i="1"/>
  <c r="O1379" i="1" s="1"/>
  <c r="Q1379" i="1" s="1"/>
  <c r="N1380" i="1"/>
  <c r="O1380" i="1" s="1"/>
  <c r="Q1380" i="1" s="1"/>
  <c r="N1381" i="1"/>
  <c r="O1381" i="1" s="1"/>
  <c r="Q1381" i="1" s="1"/>
  <c r="N1382" i="1"/>
  <c r="O1382" i="1" s="1"/>
  <c r="Q1382" i="1" s="1"/>
  <c r="N1383" i="1"/>
  <c r="O1383" i="1" s="1"/>
  <c r="Q1383" i="1" s="1"/>
  <c r="N1384" i="1"/>
  <c r="O1384" i="1" s="1"/>
  <c r="Q1384" i="1" s="1"/>
  <c r="N1385" i="1"/>
  <c r="O1385" i="1" s="1"/>
  <c r="Q1385" i="1" s="1"/>
  <c r="N1386" i="1"/>
  <c r="O1386" i="1" s="1"/>
  <c r="Q1386" i="1" s="1"/>
  <c r="N1387" i="1"/>
  <c r="O1387" i="1" s="1"/>
  <c r="Q1387" i="1" s="1"/>
  <c r="N1388" i="1"/>
  <c r="O1388" i="1" s="1"/>
  <c r="Q1388" i="1" s="1"/>
  <c r="N1389" i="1"/>
  <c r="O1389" i="1" s="1"/>
  <c r="Q1389" i="1" s="1"/>
  <c r="N1390" i="1"/>
  <c r="O1390" i="1" s="1"/>
  <c r="Q1390" i="1" s="1"/>
  <c r="N1391" i="1"/>
  <c r="O1391" i="1" s="1"/>
  <c r="Q1391" i="1" s="1"/>
  <c r="N1392" i="1"/>
  <c r="O1392" i="1" s="1"/>
  <c r="Q1392" i="1" s="1"/>
  <c r="N1393" i="1"/>
  <c r="O1393" i="1" s="1"/>
  <c r="Q1393" i="1" s="1"/>
  <c r="N1394" i="1"/>
  <c r="O1394" i="1" s="1"/>
  <c r="Q1394" i="1" s="1"/>
  <c r="N1395" i="1"/>
  <c r="O1395" i="1" s="1"/>
  <c r="Q1395" i="1" s="1"/>
  <c r="N1396" i="1"/>
  <c r="O1396" i="1" s="1"/>
  <c r="Q1396" i="1" s="1"/>
  <c r="N1397" i="1"/>
  <c r="O1397" i="1" s="1"/>
  <c r="Q1397" i="1" s="1"/>
  <c r="N1398" i="1"/>
  <c r="O1398" i="1" s="1"/>
  <c r="Q1398" i="1" s="1"/>
  <c r="N1399" i="1"/>
  <c r="O1399" i="1" s="1"/>
  <c r="Q1399" i="1" s="1"/>
  <c r="N1400" i="1"/>
  <c r="O1400" i="1" s="1"/>
  <c r="Q1400" i="1" s="1"/>
  <c r="N1401" i="1"/>
  <c r="O1401" i="1" s="1"/>
  <c r="Q1401" i="1" s="1"/>
  <c r="N1402" i="1"/>
  <c r="O1402" i="1" s="1"/>
  <c r="Q1402" i="1" s="1"/>
  <c r="N1403" i="1"/>
  <c r="O1403" i="1" s="1"/>
  <c r="Q1403" i="1" s="1"/>
  <c r="N1404" i="1"/>
  <c r="O1404" i="1" s="1"/>
  <c r="Q1404" i="1" s="1"/>
  <c r="N1405" i="1"/>
  <c r="O1405" i="1" s="1"/>
  <c r="Q1405" i="1" s="1"/>
  <c r="N1406" i="1"/>
  <c r="O1406" i="1" s="1"/>
  <c r="Q1406" i="1" s="1"/>
  <c r="N1407" i="1"/>
  <c r="O1407" i="1" s="1"/>
  <c r="Q1407" i="1" s="1"/>
  <c r="N1408" i="1"/>
  <c r="O1408" i="1" s="1"/>
  <c r="Q1408" i="1" s="1"/>
  <c r="N1409" i="1"/>
  <c r="O1409" i="1" s="1"/>
  <c r="Q1409" i="1" s="1"/>
  <c r="N1410" i="1"/>
  <c r="O1410" i="1" s="1"/>
  <c r="Q1410" i="1" s="1"/>
  <c r="N1411" i="1"/>
  <c r="O1411" i="1" s="1"/>
  <c r="Q1411" i="1" s="1"/>
  <c r="N1412" i="1"/>
  <c r="O1412" i="1" s="1"/>
  <c r="Q1412" i="1" s="1"/>
  <c r="N1413" i="1"/>
  <c r="O1413" i="1" s="1"/>
  <c r="Q1413" i="1" s="1"/>
  <c r="N1414" i="1"/>
  <c r="O1414" i="1" s="1"/>
  <c r="Q1414" i="1" s="1"/>
  <c r="N1415" i="1"/>
  <c r="O1415" i="1" s="1"/>
  <c r="Q1415" i="1" s="1"/>
  <c r="N1416" i="1"/>
  <c r="O1416" i="1" s="1"/>
  <c r="Q1416" i="1" s="1"/>
  <c r="N1417" i="1"/>
  <c r="O1417" i="1" s="1"/>
  <c r="Q1417" i="1" s="1"/>
  <c r="N1418" i="1"/>
  <c r="O1418" i="1" s="1"/>
  <c r="Q1418" i="1" s="1"/>
  <c r="N1419" i="1"/>
  <c r="O1419" i="1" s="1"/>
  <c r="Q1419" i="1" s="1"/>
  <c r="N1420" i="1"/>
  <c r="O1420" i="1" s="1"/>
  <c r="Q1420" i="1" s="1"/>
  <c r="N1421" i="1"/>
  <c r="O1421" i="1" s="1"/>
  <c r="Q1421" i="1" s="1"/>
  <c r="N1422" i="1"/>
  <c r="O1422" i="1" s="1"/>
  <c r="Q1422" i="1" s="1"/>
  <c r="N1423" i="1"/>
  <c r="O1423" i="1" s="1"/>
  <c r="Q1423" i="1" s="1"/>
  <c r="N1424" i="1"/>
  <c r="O1424" i="1" s="1"/>
  <c r="Q1424" i="1" s="1"/>
  <c r="N1425" i="1"/>
  <c r="O1425" i="1" s="1"/>
  <c r="Q1425" i="1" s="1"/>
  <c r="N1426" i="1"/>
  <c r="O1426" i="1" s="1"/>
  <c r="Q1426" i="1" s="1"/>
  <c r="N1427" i="1"/>
  <c r="O1427" i="1" s="1"/>
  <c r="Q1427" i="1" s="1"/>
  <c r="N1428" i="1"/>
  <c r="O1428" i="1" s="1"/>
  <c r="Q1428" i="1" s="1"/>
  <c r="N1429" i="1"/>
  <c r="O1429" i="1" s="1"/>
  <c r="Q1429" i="1" s="1"/>
  <c r="N1430" i="1"/>
  <c r="O1430" i="1" s="1"/>
  <c r="Q1430" i="1" s="1"/>
  <c r="N1431" i="1"/>
  <c r="O1431" i="1" s="1"/>
  <c r="Q1431" i="1" s="1"/>
  <c r="N1432" i="1"/>
  <c r="O1432" i="1" s="1"/>
  <c r="Q1432" i="1" s="1"/>
  <c r="N1433" i="1"/>
  <c r="O1433" i="1" s="1"/>
  <c r="Q1433" i="1" s="1"/>
  <c r="N1434" i="1"/>
  <c r="O1434" i="1" s="1"/>
  <c r="Q1434" i="1" s="1"/>
  <c r="N1435" i="1"/>
  <c r="O1435" i="1" s="1"/>
  <c r="Q1435" i="1" s="1"/>
  <c r="N1436" i="1"/>
  <c r="O1436" i="1" s="1"/>
  <c r="Q1436" i="1" s="1"/>
  <c r="N1437" i="1"/>
  <c r="O1437" i="1" s="1"/>
  <c r="Q1437" i="1" s="1"/>
  <c r="N1438" i="1"/>
  <c r="O1438" i="1" s="1"/>
  <c r="Q1438" i="1" s="1"/>
  <c r="N1439" i="1"/>
  <c r="O1439" i="1" s="1"/>
  <c r="Q1439" i="1" s="1"/>
  <c r="N1440" i="1"/>
  <c r="O1440" i="1" s="1"/>
  <c r="Q1440" i="1" s="1"/>
  <c r="N1441" i="1"/>
  <c r="O1441" i="1" s="1"/>
  <c r="Q1441" i="1" s="1"/>
  <c r="N1442" i="1"/>
  <c r="O1442" i="1" s="1"/>
  <c r="Q1442" i="1" s="1"/>
  <c r="N1443" i="1"/>
  <c r="O1443" i="1" s="1"/>
  <c r="Q1443" i="1" s="1"/>
  <c r="N1444" i="1"/>
  <c r="O1444" i="1" s="1"/>
  <c r="Q1444" i="1" s="1"/>
  <c r="N1445" i="1"/>
  <c r="O1445" i="1" s="1"/>
  <c r="Q1445" i="1" s="1"/>
  <c r="N1446" i="1"/>
  <c r="O1446" i="1" s="1"/>
  <c r="Q1446" i="1" s="1"/>
  <c r="N1447" i="1"/>
  <c r="O1447" i="1" s="1"/>
  <c r="Q1447" i="1" s="1"/>
  <c r="N1448" i="1"/>
  <c r="O1448" i="1" s="1"/>
  <c r="Q1448" i="1" s="1"/>
  <c r="N1449" i="1"/>
  <c r="O1449" i="1" s="1"/>
  <c r="Q1449" i="1" s="1"/>
  <c r="N1450" i="1"/>
  <c r="O1450" i="1" s="1"/>
  <c r="Q1450" i="1" s="1"/>
  <c r="N1451" i="1"/>
  <c r="O1451" i="1" s="1"/>
  <c r="Q1451" i="1" s="1"/>
  <c r="N1452" i="1"/>
  <c r="O1452" i="1" s="1"/>
  <c r="Q1452" i="1" s="1"/>
  <c r="N1453" i="1"/>
  <c r="O1453" i="1" s="1"/>
  <c r="Q1453" i="1" s="1"/>
  <c r="N1454" i="1"/>
  <c r="O1454" i="1" s="1"/>
  <c r="Q1454" i="1" s="1"/>
  <c r="N1455" i="1"/>
  <c r="O1455" i="1" s="1"/>
  <c r="Q1455" i="1" s="1"/>
  <c r="N1456" i="1"/>
  <c r="O1456" i="1" s="1"/>
  <c r="Q1456" i="1" s="1"/>
  <c r="N1457" i="1"/>
  <c r="O1457" i="1" s="1"/>
  <c r="Q1457" i="1" s="1"/>
  <c r="N1458" i="1"/>
  <c r="O1458" i="1" s="1"/>
  <c r="Q1458" i="1" s="1"/>
  <c r="N1459" i="1"/>
  <c r="O1459" i="1" s="1"/>
  <c r="Q1459" i="1" s="1"/>
  <c r="N1460" i="1"/>
  <c r="O1460" i="1" s="1"/>
  <c r="Q1460" i="1" s="1"/>
  <c r="N1461" i="1"/>
  <c r="O1461" i="1" s="1"/>
  <c r="Q1461" i="1" s="1"/>
  <c r="N1462" i="1"/>
  <c r="O1462" i="1" s="1"/>
  <c r="Q1462" i="1" s="1"/>
  <c r="N1463" i="1"/>
  <c r="O1463" i="1" s="1"/>
  <c r="Q1463" i="1" s="1"/>
  <c r="N1464" i="1"/>
  <c r="O1464" i="1" s="1"/>
  <c r="Q1464" i="1" s="1"/>
  <c r="N1465" i="1"/>
  <c r="O1465" i="1" s="1"/>
  <c r="Q1465" i="1" s="1"/>
  <c r="N1466" i="1"/>
  <c r="O1466" i="1" s="1"/>
  <c r="Q1466" i="1" s="1"/>
  <c r="N1467" i="1"/>
  <c r="O1467" i="1" s="1"/>
  <c r="Q1467" i="1" s="1"/>
  <c r="N1468" i="1"/>
  <c r="O1468" i="1" s="1"/>
  <c r="Q1468" i="1" s="1"/>
  <c r="N1469" i="1"/>
  <c r="O1469" i="1" s="1"/>
  <c r="Q1469" i="1" s="1"/>
  <c r="N1470" i="1"/>
  <c r="O1470" i="1" s="1"/>
  <c r="Q1470" i="1" s="1"/>
  <c r="N1471" i="1"/>
  <c r="O1471" i="1" s="1"/>
  <c r="Q1471" i="1" s="1"/>
  <c r="N1472" i="1"/>
  <c r="O1472" i="1" s="1"/>
  <c r="Q1472" i="1" s="1"/>
  <c r="N1473" i="1"/>
  <c r="O1473" i="1" s="1"/>
  <c r="Q1473" i="1" s="1"/>
  <c r="N1474" i="1"/>
  <c r="O1474" i="1" s="1"/>
  <c r="Q1474" i="1" s="1"/>
  <c r="N1475" i="1"/>
  <c r="O1475" i="1" s="1"/>
  <c r="Q1475" i="1" s="1"/>
  <c r="N1476" i="1"/>
  <c r="O1476" i="1" s="1"/>
  <c r="Q1476" i="1" s="1"/>
  <c r="N1477" i="1"/>
  <c r="O1477" i="1" s="1"/>
  <c r="Q1477" i="1" s="1"/>
  <c r="N1478" i="1"/>
  <c r="O1478" i="1" s="1"/>
  <c r="Q1478" i="1" s="1"/>
  <c r="N1479" i="1"/>
  <c r="O1479" i="1" s="1"/>
  <c r="Q1479" i="1" s="1"/>
  <c r="N1480" i="1"/>
  <c r="O1480" i="1" s="1"/>
  <c r="Q1480" i="1" s="1"/>
  <c r="N1481" i="1"/>
  <c r="O1481" i="1" s="1"/>
  <c r="Q1481" i="1" s="1"/>
  <c r="N1482" i="1"/>
  <c r="O1482" i="1" s="1"/>
  <c r="Q1482" i="1" s="1"/>
  <c r="N1483" i="1"/>
  <c r="O1483" i="1" s="1"/>
  <c r="Q1483" i="1" s="1"/>
  <c r="N1484" i="1"/>
  <c r="O1484" i="1" s="1"/>
  <c r="Q1484" i="1" s="1"/>
  <c r="N1485" i="1"/>
  <c r="O1485" i="1" s="1"/>
  <c r="Q1485" i="1" s="1"/>
  <c r="N1486" i="1"/>
  <c r="O1486" i="1" s="1"/>
  <c r="Q1486" i="1" s="1"/>
  <c r="N1487" i="1"/>
  <c r="O1487" i="1" s="1"/>
  <c r="Q1487" i="1" s="1"/>
  <c r="N1488" i="1"/>
  <c r="O1488" i="1" s="1"/>
  <c r="Q1488" i="1" s="1"/>
  <c r="N1489" i="1"/>
  <c r="O1489" i="1" s="1"/>
  <c r="Q1489" i="1" s="1"/>
  <c r="N1490" i="1"/>
  <c r="O1490" i="1" s="1"/>
  <c r="Q1490" i="1" s="1"/>
  <c r="N1491" i="1"/>
  <c r="O1491" i="1" s="1"/>
  <c r="Q1491" i="1" s="1"/>
  <c r="N1492" i="1"/>
  <c r="O1492" i="1" s="1"/>
  <c r="Q1492" i="1" s="1"/>
  <c r="N1493" i="1"/>
  <c r="O1493" i="1" s="1"/>
  <c r="Q1493" i="1" s="1"/>
  <c r="N1494" i="1"/>
  <c r="O1494" i="1" s="1"/>
  <c r="Q1494" i="1" s="1"/>
  <c r="N1495" i="1"/>
  <c r="O1495" i="1" s="1"/>
  <c r="Q1495" i="1" s="1"/>
  <c r="N1496" i="1"/>
  <c r="O1496" i="1" s="1"/>
  <c r="Q1496" i="1" s="1"/>
  <c r="N1497" i="1"/>
  <c r="O1497" i="1" s="1"/>
  <c r="Q1497" i="1" s="1"/>
  <c r="N1498" i="1"/>
  <c r="O1498" i="1" s="1"/>
  <c r="Q1498" i="1" s="1"/>
  <c r="N1499" i="1"/>
  <c r="O1499" i="1" s="1"/>
  <c r="Q1499" i="1" s="1"/>
  <c r="N1500" i="1"/>
  <c r="O1500" i="1" s="1"/>
  <c r="Q1500" i="1" s="1"/>
  <c r="N1501" i="1"/>
  <c r="O1501" i="1" s="1"/>
  <c r="Q1501" i="1" s="1"/>
</calcChain>
</file>

<file path=xl/sharedStrings.xml><?xml version="1.0" encoding="utf-8"?>
<sst xmlns="http://schemas.openxmlformats.org/spreadsheetml/2006/main" count="6030" uniqueCount="37">
  <si>
    <t>Order ID</t>
  </si>
  <si>
    <t>Customer ID</t>
  </si>
  <si>
    <t>Product</t>
  </si>
  <si>
    <t>Revenue</t>
  </si>
  <si>
    <t>Units Sold</t>
  </si>
  <si>
    <t>Region</t>
  </si>
  <si>
    <t>Order date</t>
  </si>
  <si>
    <t>Amount</t>
  </si>
  <si>
    <t>Channel</t>
  </si>
  <si>
    <t>Warehouse ID</t>
  </si>
  <si>
    <t>Inventory Level</t>
  </si>
  <si>
    <t xml:space="preserve">shipment date </t>
  </si>
  <si>
    <t>Laptop</t>
  </si>
  <si>
    <t>EAST</t>
  </si>
  <si>
    <t>offline</t>
  </si>
  <si>
    <t>WH-A</t>
  </si>
  <si>
    <t>phone</t>
  </si>
  <si>
    <t>online</t>
  </si>
  <si>
    <t>WH-C</t>
  </si>
  <si>
    <t>WH-B</t>
  </si>
  <si>
    <t>Retail</t>
  </si>
  <si>
    <t>south</t>
  </si>
  <si>
    <t>North</t>
  </si>
  <si>
    <t>West</t>
  </si>
  <si>
    <t>fulfilment days</t>
  </si>
  <si>
    <t>date validity flag</t>
  </si>
  <si>
    <t xml:space="preserve">Delay days </t>
  </si>
  <si>
    <t>Delay flag</t>
  </si>
  <si>
    <t>Month</t>
  </si>
  <si>
    <t>Row Labels</t>
  </si>
  <si>
    <t>Grand Total</t>
  </si>
  <si>
    <t>Sum of Revenue</t>
  </si>
  <si>
    <t>Apr-2024</t>
  </si>
  <si>
    <t>Feb-2024</t>
  </si>
  <si>
    <t>Jan-2024</t>
  </si>
  <si>
    <t>Mar-2024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</si>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</sst>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/>
    <xf numFmtId="14" fontId="0" fillId="4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0" fillId="4" borderId="8" xfId="0" applyNumberFormat="1" applyFill="1" applyBorder="1"/>
    <xf numFmtId="14" fontId="0" fillId="4" borderId="8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0" xfId="0" applyNumberFormat="1"/>
    <xf numFmtId="14" fontId="0" fillId="0" borderId="4" xfId="0" applyNumberForma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</cellXfs>
  <cellStyles count="1">
    <cellStyle name="Normal" xfId="0" builtinId="0"/>
  </cellStyles>
  <dxfs count="86"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dataset.xlsx]Sheet3!PivotTable2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monthly slaes</a:t>
            </a:r>
            <a:endParaRPr lang="en-US" baseline="0"/>
          </a:p>
        </c:rich>
      </c:tx>
      <c:layout>
        <c:manualLayout>
          <c:xMode val="edge"/>
          <c:yMode val="edge"/>
          <c:x val="0.29174655406880112"/>
          <c:y val="6.317524262955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Apr-2024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Sheet3!$B$3:$B$7</c:f>
              <c:numCache>
                <c:formatCode>"₹"\ #,##0.00</c:formatCode>
                <c:ptCount val="4"/>
                <c:pt idx="0">
                  <c:v>4950238.99</c:v>
                </c:pt>
                <c:pt idx="1">
                  <c:v>5998596.2500000019</c:v>
                </c:pt>
                <c:pt idx="2">
                  <c:v>4273527.8900000006</c:v>
                </c:pt>
                <c:pt idx="3">
                  <c:v>4727689.3900000006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6-4231-B71C-938E96A900C8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Feb-2024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Sheet3!$C$3:$C$7</c:f>
              <c:numCache>
                <c:formatCode>"₹"\ #,##0.00</c:formatCode>
                <c:ptCount val="4"/>
                <c:pt idx="0">
                  <c:v>4942622.5100000007</c:v>
                </c:pt>
                <c:pt idx="1">
                  <c:v>4262281.3899999987</c:v>
                </c:pt>
                <c:pt idx="2">
                  <c:v>5167578.0200000005</c:v>
                </c:pt>
                <c:pt idx="3">
                  <c:v>4764061.16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6-4231-B71C-938E96A900C8}"/>
            </c:ext>
          </c:extLst>
        </c:ser>
        <c:ser>
          <c:idx val="2"/>
          <c:order val="2"/>
          <c:tx>
            <c:strRef>
              <c:f>Sheet3!$D$1:$D$2</c:f>
              <c:strCache>
                <c:ptCount val="1"/>
                <c:pt idx="0">
                  <c:v>Jan-2024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Sheet3!$D$3:$D$7</c:f>
              <c:numCache>
                <c:formatCode>"₹"\ #,##0.00</c:formatCode>
                <c:ptCount val="4"/>
                <c:pt idx="0">
                  <c:v>4159864.1299999994</c:v>
                </c:pt>
                <c:pt idx="1">
                  <c:v>4303348.040000001</c:v>
                </c:pt>
                <c:pt idx="2">
                  <c:v>4276722.37</c:v>
                </c:pt>
                <c:pt idx="3">
                  <c:v>5105488.55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D6-4231-B71C-938E96A900C8}"/>
            </c:ext>
          </c:extLst>
        </c:ser>
        <c:ser>
          <c:idx val="3"/>
          <c:order val="3"/>
          <c:tx>
            <c:strRef>
              <c:f>Sheet3!$E$1:$E$2</c:f>
              <c:strCache>
                <c:ptCount val="1"/>
                <c:pt idx="0">
                  <c:v>Mar-2024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Sheet3!$E$3:$E$7</c:f>
              <c:numCache>
                <c:formatCode>"₹"\ #,##0.00</c:formatCode>
                <c:ptCount val="4"/>
                <c:pt idx="0">
                  <c:v>5113028.0600000005</c:v>
                </c:pt>
                <c:pt idx="1">
                  <c:v>5091056.6900000013</c:v>
                </c:pt>
                <c:pt idx="2">
                  <c:v>5533125.46</c:v>
                </c:pt>
                <c:pt idx="3">
                  <c:v>4908305.2899999982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D6-4231-B71C-938E96A90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727727"/>
        <c:axId val="1994714287"/>
      </c:barChart>
      <c:catAx>
        <c:axId val="199472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14287"/>
        <c:crosses val="autoZero"/>
        <c:auto val="1"/>
        <c:lblAlgn val="ctr"/>
        <c:lblOffset val="100"/>
        <c:noMultiLvlLbl val="0"/>
      </c:catAx>
      <c:valAx>
        <c:axId val="199471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2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7</xdr:row>
      <xdr:rowOff>167640</xdr:rowOff>
    </xdr:from>
    <xdr:to>
      <xdr:col>12</xdr:col>
      <xdr:colOff>289560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CC182-7E3C-79E1-8000-5BBC35800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em basha Shaik" refreshedDate="46040.879740393517" createdVersion="8" refreshedVersion="8" minRefreshableVersion="3" recordCount="1500" xr:uid="{8385FCF0-F67A-41AD-B3C4-9A68EAFD9692}">
  <cacheSource type="worksheet">
    <worksheetSource name="Table64"/>
  </cacheSource>
  <cacheFields count="17">
    <cacheField name="Order ID" numFmtId="0">
      <sharedItems containsSemiMixedTypes="0" containsString="0" containsNumber="1" containsInteger="1" minValue="10001" maxValue="11500"/>
    </cacheField>
    <cacheField name="Customer ID" numFmtId="0">
      <sharedItems containsSemiMixedTypes="0" containsString="0" containsNumber="1" containsInteger="1" minValue="5001" maxValue="6999"/>
    </cacheField>
    <cacheField name="Product" numFmtId="0">
      <sharedItems/>
    </cacheField>
    <cacheField name="Revenue" numFmtId="2">
      <sharedItems containsSemiMixedTypes="0" containsString="0" containsNumber="1" minValue="8211.98" maxValue="99902.63"/>
    </cacheField>
    <cacheField name="Units Sold" numFmtId="0">
      <sharedItems containsSemiMixedTypes="0" containsString="0" containsNumber="1" containsInteger="1" minValue="1" maxValue="99"/>
    </cacheField>
    <cacheField name="Region" numFmtId="0">
      <sharedItems count="4">
        <s v="south"/>
        <s v="North"/>
        <s v="West"/>
        <s v="EAST"/>
      </sharedItems>
    </cacheField>
    <cacheField name="Order date" numFmtId="14">
      <sharedItems containsSemiMixedTypes="0" containsNonDate="0" containsDate="1" containsString="0" minDate="2024-01-15T00:00:00" maxDate="2024-04-02T00:00:00"/>
    </cacheField>
    <cacheField name="Amount" numFmtId="2">
      <sharedItems containsSemiMixedTypes="0" containsString="0" containsNumber="1" minValue="10328.15" maxValue="179845"/>
    </cacheField>
    <cacheField name="Channel" numFmtId="0">
      <sharedItems/>
    </cacheField>
    <cacheField name="Warehouse ID" numFmtId="0">
      <sharedItems/>
    </cacheField>
    <cacheField name="Inventory Level" numFmtId="0">
      <sharedItems containsSemiMixedTypes="0" containsString="0" containsNumber="1" containsInteger="1" minValue="50" maxValue="1499"/>
    </cacheField>
    <cacheField name="shipment date " numFmtId="14">
      <sharedItems containsSemiMixedTypes="0" containsNonDate="0" containsDate="1" containsString="0" minDate="2024-02-10T00:00:00" maxDate="2024-04-16T00:00:00"/>
    </cacheField>
    <cacheField name="fulfilment days" numFmtId="0">
      <sharedItems containsSemiMixedTypes="0" containsString="0" containsNumber="1" containsInteger="1" minValue="1" maxValue="14"/>
    </cacheField>
    <cacheField name="date validity flag" numFmtId="14">
      <sharedItems/>
    </cacheField>
    <cacheField name="Delay days " numFmtId="0">
      <sharedItems containsMixedTypes="1" containsNumber="1" containsInteger="1" minValue="0" maxValue="91"/>
    </cacheField>
    <cacheField name="Month" numFmtId="14">
      <sharedItems count="4">
        <s v="Feb-2024"/>
        <s v="Jan-2024"/>
        <s v="Apr-2024"/>
        <s v="Mar-2024"/>
      </sharedItems>
    </cacheField>
    <cacheField name="Delay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0001"/>
    <n v="6127"/>
    <s v="Laptop"/>
    <n v="39246.449999999997"/>
    <n v="92"/>
    <x v="0"/>
    <d v="2024-02-15T00:00:00"/>
    <n v="95016.07"/>
    <s v="Retail"/>
    <s v="WH-A"/>
    <n v="1151"/>
    <d v="2024-04-15T00:00:00"/>
    <n v="1"/>
    <s v="Valid"/>
    <n v="60"/>
    <x v="0"/>
    <s v="Delayed"/>
  </r>
  <r>
    <n v="10002"/>
    <n v="6460"/>
    <s v="phone"/>
    <n v="22105.81"/>
    <n v="47"/>
    <x v="1"/>
    <d v="2024-01-15T00:00:00"/>
    <n v="114872.33"/>
    <s v="Retail"/>
    <s v="WH-B"/>
    <n v="1001"/>
    <d v="2024-02-10T00:00:00"/>
    <n v="8"/>
    <s v="Valid"/>
    <n v="26"/>
    <x v="1"/>
    <s v="Delayed"/>
  </r>
  <r>
    <n v="10003"/>
    <n v="5861"/>
    <s v="phone"/>
    <n v="81104.320000000007"/>
    <n v="75"/>
    <x v="0"/>
    <d v="2024-01-15T00:00:00"/>
    <n v="80401.61"/>
    <s v="Retail"/>
    <s v="WH-A"/>
    <n v="1485"/>
    <d v="2024-02-10T00:00:00"/>
    <n v="1"/>
    <s v="Valid"/>
    <n v="26"/>
    <x v="1"/>
    <s v="Delayed"/>
  </r>
  <r>
    <n v="10004"/>
    <n v="6295"/>
    <s v="phone"/>
    <n v="59685.58"/>
    <n v="57"/>
    <x v="2"/>
    <d v="2024-04-01T00:00:00"/>
    <n v="15760.58"/>
    <s v="online"/>
    <s v="WH-A"/>
    <n v="124"/>
    <d v="2024-04-15T00:00:00"/>
    <n v="3"/>
    <s v="Valid"/>
    <n v="14"/>
    <x v="2"/>
    <s v="Delayed"/>
  </r>
  <r>
    <n v="10005"/>
    <n v="6131"/>
    <s v="Laptop"/>
    <n v="21926.83"/>
    <n v="45"/>
    <x v="3"/>
    <d v="2024-04-01T00:00:00"/>
    <n v="143181.41"/>
    <s v="offline"/>
    <s v="WH-A"/>
    <n v="344"/>
    <d v="2024-04-15T00:00:00"/>
    <n v="11"/>
    <s v="Valid"/>
    <n v="14"/>
    <x v="2"/>
    <s v="Delayed"/>
  </r>
  <r>
    <n v="10006"/>
    <n v="6096"/>
    <s v="phone"/>
    <n v="11946.78"/>
    <n v="33"/>
    <x v="3"/>
    <d v="2024-03-10T00:00:00"/>
    <n v="30556.959999999999"/>
    <s v="online"/>
    <s v="WH-A"/>
    <n v="70"/>
    <d v="2024-03-10T00:00:00"/>
    <n v="5"/>
    <s v="Valid"/>
    <n v="0"/>
    <x v="3"/>
    <s v="On Time"/>
  </r>
  <r>
    <n v="10007"/>
    <n v="6725"/>
    <s v="Laptop"/>
    <n v="73360.479999999996"/>
    <n v="17"/>
    <x v="0"/>
    <d v="2024-02-15T00:00:00"/>
    <n v="124878.67"/>
    <s v="online"/>
    <s v="WH-B"/>
    <n v="1244"/>
    <d v="2024-03-10T00:00:00"/>
    <n v="8"/>
    <s v="Valid"/>
    <n v="24"/>
    <x v="0"/>
    <s v="Delayed"/>
  </r>
  <r>
    <n v="10008"/>
    <n v="6045"/>
    <s v="phone"/>
    <n v="75710.929999999993"/>
    <n v="70"/>
    <x v="2"/>
    <d v="2024-04-01T00:00:00"/>
    <n v="59363"/>
    <s v="online"/>
    <s v="WH-B"/>
    <n v="1088"/>
    <d v="2024-04-15T00:00:00"/>
    <n v="9"/>
    <s v="Valid"/>
    <n v="14"/>
    <x v="2"/>
    <s v="Delayed"/>
  </r>
  <r>
    <n v="10009"/>
    <n v="6639"/>
    <s v="Laptop"/>
    <n v="34793.94"/>
    <n v="4"/>
    <x v="3"/>
    <d v="2024-01-15T00:00:00"/>
    <n v="103657.56"/>
    <s v="online"/>
    <s v="WH-C"/>
    <n v="1284"/>
    <d v="2024-04-15T00:00:00"/>
    <n v="7"/>
    <s v="Valid"/>
    <n v="91"/>
    <x v="1"/>
    <s v="Delayed"/>
  </r>
  <r>
    <n v="10010"/>
    <n v="5122"/>
    <s v="Laptop"/>
    <n v="69820.31"/>
    <n v="20"/>
    <x v="2"/>
    <d v="2024-03-10T00:00:00"/>
    <n v="116939.37"/>
    <s v="Retail"/>
    <s v="WH-A"/>
    <n v="609"/>
    <d v="2024-03-10T00:00:00"/>
    <n v="9"/>
    <s v="Valid"/>
    <n v="0"/>
    <x v="3"/>
    <s v="On Time"/>
  </r>
  <r>
    <n v="10011"/>
    <n v="5467"/>
    <s v="Laptop"/>
    <n v="72715.34"/>
    <n v="47"/>
    <x v="2"/>
    <d v="2024-04-01T00:00:00"/>
    <n v="142333.18"/>
    <s v="offline"/>
    <s v="WH-B"/>
    <n v="1159"/>
    <d v="2024-04-15T00:00:00"/>
    <n v="11"/>
    <s v="Valid"/>
    <n v="14"/>
    <x v="2"/>
    <s v="Delayed"/>
  </r>
  <r>
    <n v="10012"/>
    <n v="6239"/>
    <s v="phone"/>
    <n v="89428.87"/>
    <n v="91"/>
    <x v="0"/>
    <d v="2024-02-15T00:00:00"/>
    <n v="88066.78"/>
    <s v="offline"/>
    <s v="WH-B"/>
    <n v="1222"/>
    <d v="2024-03-10T00:00:00"/>
    <n v="3"/>
    <s v="Valid"/>
    <n v="24"/>
    <x v="0"/>
    <s v="Delayed"/>
  </r>
  <r>
    <n v="10013"/>
    <n v="5331"/>
    <s v="phone"/>
    <n v="64517.47"/>
    <n v="15"/>
    <x v="1"/>
    <d v="2024-02-15T00:00:00"/>
    <n v="52532.160000000003"/>
    <s v="online"/>
    <s v="WH-B"/>
    <n v="421"/>
    <d v="2024-03-10T00:00:00"/>
    <n v="13"/>
    <s v="Valid"/>
    <n v="24"/>
    <x v="0"/>
    <s v="Delayed"/>
  </r>
  <r>
    <n v="10014"/>
    <n v="6483"/>
    <s v="Laptop"/>
    <n v="34424.58"/>
    <n v="70"/>
    <x v="0"/>
    <d v="2024-03-10T00:00:00"/>
    <n v="160527.64000000001"/>
    <s v="offline"/>
    <s v="WH-A"/>
    <n v="867"/>
    <d v="2024-03-10T00:00:00"/>
    <n v="5"/>
    <s v="Valid"/>
    <n v="0"/>
    <x v="3"/>
    <s v="On Time"/>
  </r>
  <r>
    <n v="10015"/>
    <n v="5088"/>
    <s v="phone"/>
    <n v="32455.67"/>
    <n v="47"/>
    <x v="1"/>
    <d v="2024-03-10T00:00:00"/>
    <n v="140434.91"/>
    <s v="offline"/>
    <s v="WH-C"/>
    <n v="1224"/>
    <d v="2024-02-10T00:00:00"/>
    <n v="10"/>
    <s v="Invalid Date Order"/>
    <s v=""/>
    <x v="3"/>
    <s v=""/>
  </r>
  <r>
    <n v="10016"/>
    <n v="6397"/>
    <s v="phone"/>
    <n v="62583.12"/>
    <n v="78"/>
    <x v="2"/>
    <d v="2024-03-10T00:00:00"/>
    <n v="49958.77"/>
    <s v="offline"/>
    <s v="WH-B"/>
    <n v="1214"/>
    <d v="2024-02-10T00:00:00"/>
    <n v="8"/>
    <s v="Invalid Date Order"/>
    <s v=""/>
    <x v="3"/>
    <s v=""/>
  </r>
  <r>
    <n v="10017"/>
    <n v="6124"/>
    <s v="phone"/>
    <n v="71984.100000000006"/>
    <n v="75"/>
    <x v="1"/>
    <d v="2024-03-10T00:00:00"/>
    <n v="31485.83"/>
    <s v="online"/>
    <s v="WH-A"/>
    <n v="1142"/>
    <d v="2024-04-15T00:00:00"/>
    <n v="12"/>
    <s v="Valid"/>
    <n v="36"/>
    <x v="3"/>
    <s v="Delayed"/>
  </r>
  <r>
    <n v="10018"/>
    <n v="5872"/>
    <s v="phone"/>
    <n v="23804.45"/>
    <n v="9"/>
    <x v="2"/>
    <d v="2024-03-10T00:00:00"/>
    <n v="116814.49"/>
    <s v="online"/>
    <s v="WH-B"/>
    <n v="1333"/>
    <d v="2024-03-10T00:00:00"/>
    <n v="1"/>
    <s v="Valid"/>
    <n v="0"/>
    <x v="3"/>
    <s v="On Time"/>
  </r>
  <r>
    <n v="10019"/>
    <n v="6688"/>
    <s v="phone"/>
    <n v="16686.63"/>
    <n v="90"/>
    <x v="3"/>
    <d v="2024-01-15T00:00:00"/>
    <n v="98518.02"/>
    <s v="offline"/>
    <s v="WH-B"/>
    <n v="895"/>
    <d v="2024-02-10T00:00:00"/>
    <n v="8"/>
    <s v="Valid"/>
    <n v="26"/>
    <x v="1"/>
    <s v="Delayed"/>
  </r>
  <r>
    <n v="10020"/>
    <n v="5131"/>
    <s v="phone"/>
    <n v="69041.62"/>
    <n v="16"/>
    <x v="3"/>
    <d v="2024-01-15T00:00:00"/>
    <n v="143728.91"/>
    <s v="online"/>
    <s v="WH-C"/>
    <n v="570"/>
    <d v="2024-04-15T00:00:00"/>
    <n v="7"/>
    <s v="Valid"/>
    <n v="91"/>
    <x v="1"/>
    <s v="Delayed"/>
  </r>
  <r>
    <n v="10021"/>
    <n v="6686"/>
    <s v="phone"/>
    <n v="78277.679999999993"/>
    <n v="69"/>
    <x v="3"/>
    <d v="2024-04-01T00:00:00"/>
    <n v="133780.28"/>
    <s v="online"/>
    <s v="WH-B"/>
    <n v="420"/>
    <d v="2024-04-15T00:00:00"/>
    <n v="1"/>
    <s v="Valid"/>
    <n v="14"/>
    <x v="2"/>
    <s v="Delayed"/>
  </r>
  <r>
    <n v="10022"/>
    <n v="6333"/>
    <s v="phone"/>
    <n v="37284.46"/>
    <n v="61"/>
    <x v="0"/>
    <d v="2024-02-15T00:00:00"/>
    <n v="81710.820000000007"/>
    <s v="Retail"/>
    <s v="WH-B"/>
    <n v="1492"/>
    <d v="2024-04-15T00:00:00"/>
    <n v="13"/>
    <s v="Valid"/>
    <n v="60"/>
    <x v="0"/>
    <s v="Delayed"/>
  </r>
  <r>
    <n v="10023"/>
    <n v="5770"/>
    <s v="phone"/>
    <n v="14422.25"/>
    <n v="10"/>
    <x v="0"/>
    <d v="2024-01-15T00:00:00"/>
    <n v="71411.350000000006"/>
    <s v="online"/>
    <s v="WH-A"/>
    <n v="150"/>
    <d v="2024-04-15T00:00:00"/>
    <n v="13"/>
    <s v="Valid"/>
    <n v="91"/>
    <x v="1"/>
    <s v="Delayed"/>
  </r>
  <r>
    <n v="10024"/>
    <n v="5344"/>
    <s v="Laptop"/>
    <n v="27061.7"/>
    <n v="50"/>
    <x v="2"/>
    <d v="2024-01-15T00:00:00"/>
    <n v="108953.85"/>
    <s v="online"/>
    <s v="WH-A"/>
    <n v="710"/>
    <d v="2024-04-15T00:00:00"/>
    <n v="10"/>
    <s v="Valid"/>
    <n v="91"/>
    <x v="1"/>
    <s v="Delayed"/>
  </r>
  <r>
    <n v="10025"/>
    <n v="6516"/>
    <s v="phone"/>
    <n v="65012.92"/>
    <n v="3"/>
    <x v="3"/>
    <d v="2024-01-15T00:00:00"/>
    <n v="100488.12"/>
    <s v="offline"/>
    <s v="WH-C"/>
    <n v="1017"/>
    <d v="2024-03-10T00:00:00"/>
    <n v="12"/>
    <s v="Valid"/>
    <n v="55"/>
    <x v="1"/>
    <s v="Delayed"/>
  </r>
  <r>
    <n v="10026"/>
    <n v="6438"/>
    <s v="phone"/>
    <n v="69792.929999999993"/>
    <n v="77"/>
    <x v="0"/>
    <d v="2024-04-01T00:00:00"/>
    <n v="150758.04999999999"/>
    <s v="online"/>
    <s v="WH-A"/>
    <n v="292"/>
    <d v="2024-04-15T00:00:00"/>
    <n v="10"/>
    <s v="Valid"/>
    <n v="14"/>
    <x v="2"/>
    <s v="Delayed"/>
  </r>
  <r>
    <n v="10027"/>
    <n v="5806"/>
    <s v="phone"/>
    <n v="23331.08"/>
    <n v="94"/>
    <x v="3"/>
    <d v="2024-03-10T00:00:00"/>
    <n v="123692.86"/>
    <s v="online"/>
    <s v="WH-A"/>
    <n v="802"/>
    <d v="2024-03-10T00:00:00"/>
    <n v="12"/>
    <s v="Valid"/>
    <n v="0"/>
    <x v="3"/>
    <s v="On Time"/>
  </r>
  <r>
    <n v="10028"/>
    <n v="5386"/>
    <s v="phone"/>
    <n v="24696.37"/>
    <n v="70"/>
    <x v="0"/>
    <d v="2024-04-01T00:00:00"/>
    <n v="154097.85"/>
    <s v="online"/>
    <s v="WH-C"/>
    <n v="561"/>
    <d v="2024-02-10T00:00:00"/>
    <n v="6"/>
    <s v="Invalid Date Order"/>
    <s v=""/>
    <x v="2"/>
    <s v=""/>
  </r>
  <r>
    <n v="10029"/>
    <n v="6216"/>
    <s v="phone"/>
    <n v="80713.899999999994"/>
    <n v="81"/>
    <x v="1"/>
    <d v="2024-02-15T00:00:00"/>
    <n v="149339.43"/>
    <s v="online"/>
    <s v="WH-B"/>
    <n v="898"/>
    <d v="2024-04-15T00:00:00"/>
    <n v="1"/>
    <s v="Valid"/>
    <n v="60"/>
    <x v="0"/>
    <s v="Delayed"/>
  </r>
  <r>
    <n v="10030"/>
    <n v="5956"/>
    <s v="phone"/>
    <n v="90009.13"/>
    <n v="51"/>
    <x v="1"/>
    <d v="2024-02-15T00:00:00"/>
    <n v="119964.83"/>
    <s v="online"/>
    <s v="WH-C"/>
    <n v="604"/>
    <d v="2024-02-10T00:00:00"/>
    <n v="2"/>
    <s v="Invalid Date Order"/>
    <s v=""/>
    <x v="0"/>
    <s v=""/>
  </r>
  <r>
    <n v="10031"/>
    <n v="5277"/>
    <s v="phone"/>
    <n v="44677.85"/>
    <n v="19"/>
    <x v="3"/>
    <d v="2024-02-15T00:00:00"/>
    <n v="143612.14000000001"/>
    <s v="online"/>
    <s v="WH-A"/>
    <n v="1168"/>
    <d v="2024-03-10T00:00:00"/>
    <n v="5"/>
    <s v="Valid"/>
    <n v="24"/>
    <x v="0"/>
    <s v="Delayed"/>
  </r>
  <r>
    <n v="10032"/>
    <n v="6185"/>
    <s v="Laptop"/>
    <n v="69255.429999999993"/>
    <n v="42"/>
    <x v="2"/>
    <d v="2024-02-15T00:00:00"/>
    <n v="139468.82999999999"/>
    <s v="online"/>
    <s v="WH-C"/>
    <n v="275"/>
    <d v="2024-03-10T00:00:00"/>
    <n v="2"/>
    <s v="Valid"/>
    <n v="24"/>
    <x v="0"/>
    <s v="Delayed"/>
  </r>
  <r>
    <n v="10033"/>
    <n v="5460"/>
    <s v="phone"/>
    <n v="81196.25"/>
    <n v="35"/>
    <x v="0"/>
    <d v="2024-01-15T00:00:00"/>
    <n v="85680.46"/>
    <s v="online"/>
    <s v="WH-B"/>
    <n v="263"/>
    <d v="2024-02-10T00:00:00"/>
    <n v="14"/>
    <s v="Valid"/>
    <n v="26"/>
    <x v="1"/>
    <s v="Delayed"/>
  </r>
  <r>
    <n v="10034"/>
    <n v="6338"/>
    <s v="phone"/>
    <n v="92136.89"/>
    <n v="46"/>
    <x v="0"/>
    <d v="2024-01-15T00:00:00"/>
    <n v="122770.09"/>
    <s v="offline"/>
    <s v="WH-C"/>
    <n v="767"/>
    <d v="2024-04-15T00:00:00"/>
    <n v="10"/>
    <s v="Valid"/>
    <n v="91"/>
    <x v="1"/>
    <s v="Delayed"/>
  </r>
  <r>
    <n v="10035"/>
    <n v="5022"/>
    <s v="phone"/>
    <n v="79198.75"/>
    <n v="26"/>
    <x v="1"/>
    <d v="2024-04-01T00:00:00"/>
    <n v="50547.96"/>
    <s v="offline"/>
    <s v="WH-A"/>
    <n v="116"/>
    <d v="2024-04-15T00:00:00"/>
    <n v="1"/>
    <s v="Valid"/>
    <n v="14"/>
    <x v="2"/>
    <s v="Delayed"/>
  </r>
  <r>
    <n v="10036"/>
    <n v="5253"/>
    <s v="phone"/>
    <n v="47933.79"/>
    <n v="69"/>
    <x v="1"/>
    <d v="2024-03-10T00:00:00"/>
    <n v="105375.46"/>
    <s v="offline"/>
    <s v="WH-A"/>
    <n v="445"/>
    <d v="2024-02-10T00:00:00"/>
    <n v="6"/>
    <s v="Invalid Date Order"/>
    <s v=""/>
    <x v="3"/>
    <s v=""/>
  </r>
  <r>
    <n v="10037"/>
    <n v="5748"/>
    <s v="phone"/>
    <n v="90817.51"/>
    <n v="93"/>
    <x v="2"/>
    <d v="2024-02-15T00:00:00"/>
    <n v="146347.73000000001"/>
    <s v="offline"/>
    <s v="WH-C"/>
    <n v="661"/>
    <d v="2024-02-10T00:00:00"/>
    <n v="8"/>
    <s v="Invalid Date Order"/>
    <s v=""/>
    <x v="0"/>
    <s v=""/>
  </r>
  <r>
    <n v="10038"/>
    <n v="5857"/>
    <s v="phone"/>
    <n v="31490.15"/>
    <n v="64"/>
    <x v="2"/>
    <d v="2024-04-01T00:00:00"/>
    <n v="118719.89"/>
    <s v="online"/>
    <s v="WH-B"/>
    <n v="1085"/>
    <d v="2024-02-10T00:00:00"/>
    <n v="8"/>
    <s v="Invalid Date Order"/>
    <s v=""/>
    <x v="2"/>
    <s v=""/>
  </r>
  <r>
    <n v="10039"/>
    <n v="6585"/>
    <s v="phone"/>
    <n v="11123.45"/>
    <n v="37"/>
    <x v="2"/>
    <d v="2024-01-15T00:00:00"/>
    <n v="81977.8"/>
    <s v="Retail"/>
    <s v="WH-C"/>
    <n v="1310"/>
    <d v="2024-04-15T00:00:00"/>
    <n v="13"/>
    <s v="Valid"/>
    <n v="91"/>
    <x v="1"/>
    <s v="Delayed"/>
  </r>
  <r>
    <n v="10040"/>
    <n v="5475"/>
    <s v="phone"/>
    <n v="8398.19"/>
    <n v="84"/>
    <x v="3"/>
    <d v="2024-01-15T00:00:00"/>
    <n v="103115.77"/>
    <s v="Retail"/>
    <s v="WH-B"/>
    <n v="819"/>
    <d v="2024-04-15T00:00:00"/>
    <n v="13"/>
    <s v="Valid"/>
    <n v="91"/>
    <x v="1"/>
    <s v="Delayed"/>
  </r>
  <r>
    <n v="10041"/>
    <n v="6083"/>
    <s v="phone"/>
    <n v="86834.42"/>
    <n v="49"/>
    <x v="1"/>
    <d v="2024-03-10T00:00:00"/>
    <n v="81468.12"/>
    <s v="online"/>
    <s v="WH-B"/>
    <n v="1472"/>
    <d v="2024-04-15T00:00:00"/>
    <n v="8"/>
    <s v="Valid"/>
    <n v="36"/>
    <x v="3"/>
    <s v="Delayed"/>
  </r>
  <r>
    <n v="10042"/>
    <n v="5511"/>
    <s v="Laptop"/>
    <n v="21332.080000000002"/>
    <n v="21"/>
    <x v="3"/>
    <d v="2024-03-10T00:00:00"/>
    <n v="24908.02"/>
    <s v="online"/>
    <s v="WH-C"/>
    <n v="456"/>
    <d v="2024-02-10T00:00:00"/>
    <n v="11"/>
    <s v="Invalid Date Order"/>
    <s v=""/>
    <x v="3"/>
    <s v=""/>
  </r>
  <r>
    <n v="10043"/>
    <n v="6706"/>
    <s v="Laptop"/>
    <n v="58118.76"/>
    <n v="74"/>
    <x v="1"/>
    <d v="2024-03-10T00:00:00"/>
    <n v="64916.2"/>
    <s v="online"/>
    <s v="WH-B"/>
    <n v="974"/>
    <d v="2024-04-15T00:00:00"/>
    <n v="6"/>
    <s v="Valid"/>
    <n v="36"/>
    <x v="3"/>
    <s v="Delayed"/>
  </r>
  <r>
    <n v="10044"/>
    <n v="6500"/>
    <s v="phone"/>
    <n v="54558.39"/>
    <n v="64"/>
    <x v="1"/>
    <d v="2024-04-01T00:00:00"/>
    <n v="142344.54"/>
    <s v="online"/>
    <s v="WH-A"/>
    <n v="696"/>
    <d v="2024-03-10T00:00:00"/>
    <n v="11"/>
    <s v="Invalid Date Order"/>
    <s v=""/>
    <x v="2"/>
    <s v=""/>
  </r>
  <r>
    <n v="10045"/>
    <n v="5700"/>
    <s v="phone"/>
    <n v="37249.64"/>
    <n v="5"/>
    <x v="0"/>
    <d v="2024-01-15T00:00:00"/>
    <n v="87362.66"/>
    <s v="online"/>
    <s v="WH-C"/>
    <n v="271"/>
    <d v="2024-02-10T00:00:00"/>
    <n v="3"/>
    <s v="Valid"/>
    <n v="26"/>
    <x v="1"/>
    <s v="Delayed"/>
  </r>
  <r>
    <n v="10046"/>
    <n v="5976"/>
    <s v="phone"/>
    <n v="17970.490000000002"/>
    <n v="70"/>
    <x v="1"/>
    <d v="2024-01-15T00:00:00"/>
    <n v="164477.1"/>
    <s v="offline"/>
    <s v="WH-B"/>
    <n v="1229"/>
    <d v="2024-04-15T00:00:00"/>
    <n v="1"/>
    <s v="Valid"/>
    <n v="91"/>
    <x v="1"/>
    <s v="Delayed"/>
  </r>
  <r>
    <n v="10047"/>
    <n v="6807"/>
    <s v="phone"/>
    <n v="81898.2"/>
    <n v="90"/>
    <x v="1"/>
    <d v="2024-03-10T00:00:00"/>
    <n v="104882.21"/>
    <s v="online"/>
    <s v="WH-A"/>
    <n v="703"/>
    <d v="2024-02-10T00:00:00"/>
    <n v="2"/>
    <s v="Invalid Date Order"/>
    <s v=""/>
    <x v="3"/>
    <s v=""/>
  </r>
  <r>
    <n v="10048"/>
    <n v="5190"/>
    <s v="phone"/>
    <n v="21123.38"/>
    <n v="4"/>
    <x v="3"/>
    <d v="2024-02-15T00:00:00"/>
    <n v="65832.289999999994"/>
    <s v="Retail"/>
    <s v="WH-C"/>
    <n v="477"/>
    <d v="2024-03-10T00:00:00"/>
    <n v="5"/>
    <s v="Valid"/>
    <n v="24"/>
    <x v="0"/>
    <s v="Delayed"/>
  </r>
  <r>
    <n v="10049"/>
    <n v="5958"/>
    <s v="phone"/>
    <n v="21391.5"/>
    <n v="39"/>
    <x v="1"/>
    <d v="2024-03-10T00:00:00"/>
    <n v="59508.89"/>
    <s v="offline"/>
    <s v="WH-A"/>
    <n v="1231"/>
    <d v="2024-03-10T00:00:00"/>
    <n v="13"/>
    <s v="Valid"/>
    <n v="0"/>
    <x v="3"/>
    <s v="On Time"/>
  </r>
  <r>
    <n v="10050"/>
    <n v="5687"/>
    <s v="Laptop"/>
    <n v="83566.98"/>
    <n v="35"/>
    <x v="3"/>
    <d v="2024-04-01T00:00:00"/>
    <n v="177620.71"/>
    <s v="online"/>
    <s v="WH-A"/>
    <n v="1026"/>
    <d v="2024-02-10T00:00:00"/>
    <n v="10"/>
    <s v="Invalid Date Order"/>
    <s v=""/>
    <x v="2"/>
    <s v=""/>
  </r>
  <r>
    <n v="10051"/>
    <n v="5958"/>
    <s v="phone"/>
    <n v="83795.77"/>
    <n v="1"/>
    <x v="2"/>
    <d v="2024-03-10T00:00:00"/>
    <n v="66220.100000000006"/>
    <s v="offline"/>
    <s v="WH-A"/>
    <n v="1489"/>
    <d v="2024-02-10T00:00:00"/>
    <n v="5"/>
    <s v="Invalid Date Order"/>
    <s v=""/>
    <x v="3"/>
    <s v=""/>
  </r>
  <r>
    <n v="10052"/>
    <n v="5563"/>
    <s v="phone"/>
    <n v="59720.47"/>
    <n v="24"/>
    <x v="1"/>
    <d v="2024-03-10T00:00:00"/>
    <n v="138579.14000000001"/>
    <s v="Retail"/>
    <s v="WH-B"/>
    <n v="1055"/>
    <d v="2024-03-10T00:00:00"/>
    <n v="10"/>
    <s v="Valid"/>
    <n v="0"/>
    <x v="3"/>
    <s v="On Time"/>
  </r>
  <r>
    <n v="10053"/>
    <n v="6900"/>
    <s v="phone"/>
    <n v="78728.66"/>
    <n v="57"/>
    <x v="1"/>
    <d v="2024-04-01T00:00:00"/>
    <n v="173581.04"/>
    <s v="online"/>
    <s v="WH-C"/>
    <n v="1399"/>
    <d v="2024-02-10T00:00:00"/>
    <n v="14"/>
    <s v="Invalid Date Order"/>
    <s v=""/>
    <x v="2"/>
    <s v=""/>
  </r>
  <r>
    <n v="10054"/>
    <n v="6591"/>
    <s v="Laptop"/>
    <n v="11881.76"/>
    <n v="70"/>
    <x v="3"/>
    <d v="2024-03-10T00:00:00"/>
    <n v="169036.11"/>
    <s v="Retail"/>
    <s v="WH-C"/>
    <n v="420"/>
    <d v="2024-03-10T00:00:00"/>
    <n v="1"/>
    <s v="Valid"/>
    <n v="0"/>
    <x v="3"/>
    <s v="On Time"/>
  </r>
  <r>
    <n v="10055"/>
    <n v="6268"/>
    <s v="Laptop"/>
    <n v="26891.41"/>
    <n v="41"/>
    <x v="2"/>
    <d v="2024-01-15T00:00:00"/>
    <n v="179647.86"/>
    <s v="Retail"/>
    <s v="WH-B"/>
    <n v="1417"/>
    <d v="2024-03-10T00:00:00"/>
    <n v="1"/>
    <s v="Valid"/>
    <n v="55"/>
    <x v="1"/>
    <s v="Delayed"/>
  </r>
  <r>
    <n v="10056"/>
    <n v="5832"/>
    <s v="phone"/>
    <n v="22710.55"/>
    <n v="54"/>
    <x v="0"/>
    <d v="2024-02-15T00:00:00"/>
    <n v="68821.990000000005"/>
    <s v="Retail"/>
    <s v="WH-C"/>
    <n v="1335"/>
    <d v="2024-04-15T00:00:00"/>
    <n v="9"/>
    <s v="Valid"/>
    <n v="60"/>
    <x v="0"/>
    <s v="Delayed"/>
  </r>
  <r>
    <n v="10057"/>
    <n v="6529"/>
    <s v="phone"/>
    <n v="27203.71"/>
    <n v="46"/>
    <x v="2"/>
    <d v="2024-03-10T00:00:00"/>
    <n v="30098.45"/>
    <s v="online"/>
    <s v="WH-A"/>
    <n v="1356"/>
    <d v="2024-02-10T00:00:00"/>
    <n v="2"/>
    <s v="Invalid Date Order"/>
    <s v=""/>
    <x v="3"/>
    <s v=""/>
  </r>
  <r>
    <n v="10058"/>
    <n v="6155"/>
    <s v="phone"/>
    <n v="57337.279999999999"/>
    <n v="60"/>
    <x v="3"/>
    <d v="2024-04-01T00:00:00"/>
    <n v="10672.99"/>
    <s v="online"/>
    <s v="WH-C"/>
    <n v="899"/>
    <d v="2024-02-10T00:00:00"/>
    <n v="7"/>
    <s v="Invalid Date Order"/>
    <s v=""/>
    <x v="2"/>
    <s v=""/>
  </r>
  <r>
    <n v="10059"/>
    <n v="6509"/>
    <s v="phone"/>
    <n v="55028.31"/>
    <n v="60"/>
    <x v="2"/>
    <d v="2024-02-15T00:00:00"/>
    <n v="115818.52"/>
    <s v="online"/>
    <s v="WH-B"/>
    <n v="905"/>
    <d v="2024-04-15T00:00:00"/>
    <n v="10"/>
    <s v="Valid"/>
    <n v="60"/>
    <x v="0"/>
    <s v="Delayed"/>
  </r>
  <r>
    <n v="10060"/>
    <n v="6843"/>
    <s v="phone"/>
    <n v="15973.73"/>
    <n v="57"/>
    <x v="3"/>
    <d v="2024-04-01T00:00:00"/>
    <n v="146814.28"/>
    <s v="Retail"/>
    <s v="WH-A"/>
    <n v="278"/>
    <d v="2024-03-10T00:00:00"/>
    <n v="4"/>
    <s v="Invalid Date Order"/>
    <s v=""/>
    <x v="2"/>
    <s v=""/>
  </r>
  <r>
    <n v="10061"/>
    <n v="5647"/>
    <s v="Laptop"/>
    <n v="62983.38"/>
    <n v="31"/>
    <x v="3"/>
    <d v="2024-02-15T00:00:00"/>
    <n v="86101.81"/>
    <s v="online"/>
    <s v="WH-B"/>
    <n v="329"/>
    <d v="2024-02-10T00:00:00"/>
    <n v="7"/>
    <s v="Invalid Date Order"/>
    <s v=""/>
    <x v="0"/>
    <s v=""/>
  </r>
  <r>
    <n v="10062"/>
    <n v="5021"/>
    <s v="phone"/>
    <n v="15169.09"/>
    <n v="84"/>
    <x v="0"/>
    <d v="2024-02-15T00:00:00"/>
    <n v="177993.98"/>
    <s v="Retail"/>
    <s v="WH-A"/>
    <n v="1363"/>
    <d v="2024-04-15T00:00:00"/>
    <n v="8"/>
    <s v="Valid"/>
    <n v="60"/>
    <x v="0"/>
    <s v="Delayed"/>
  </r>
  <r>
    <n v="10063"/>
    <n v="5841"/>
    <s v="Laptop"/>
    <n v="68106.490000000005"/>
    <n v="24"/>
    <x v="1"/>
    <d v="2024-03-10T00:00:00"/>
    <n v="102498.7"/>
    <s v="online"/>
    <s v="WH-A"/>
    <n v="1120"/>
    <d v="2024-04-15T00:00:00"/>
    <n v="5"/>
    <s v="Valid"/>
    <n v="36"/>
    <x v="3"/>
    <s v="Delayed"/>
  </r>
  <r>
    <n v="10064"/>
    <n v="5167"/>
    <s v="phone"/>
    <n v="53839.33"/>
    <n v="89"/>
    <x v="3"/>
    <d v="2024-01-15T00:00:00"/>
    <n v="97812.46"/>
    <s v="offline"/>
    <s v="WH-C"/>
    <n v="1024"/>
    <d v="2024-02-10T00:00:00"/>
    <n v="13"/>
    <s v="Valid"/>
    <n v="26"/>
    <x v="1"/>
    <s v="Delayed"/>
  </r>
  <r>
    <n v="10065"/>
    <n v="6298"/>
    <s v="phone"/>
    <n v="86399.57"/>
    <n v="36"/>
    <x v="3"/>
    <d v="2024-03-10T00:00:00"/>
    <n v="155754.42000000001"/>
    <s v="online"/>
    <s v="WH-A"/>
    <n v="1287"/>
    <d v="2024-04-15T00:00:00"/>
    <n v="12"/>
    <s v="Valid"/>
    <n v="36"/>
    <x v="3"/>
    <s v="Delayed"/>
  </r>
  <r>
    <n v="10066"/>
    <n v="5388"/>
    <s v="phone"/>
    <n v="83591.070000000007"/>
    <n v="85"/>
    <x v="0"/>
    <d v="2024-04-01T00:00:00"/>
    <n v="54752.94"/>
    <s v="online"/>
    <s v="WH-B"/>
    <n v="807"/>
    <d v="2024-03-10T00:00:00"/>
    <n v="12"/>
    <s v="Invalid Date Order"/>
    <s v=""/>
    <x v="2"/>
    <s v=""/>
  </r>
  <r>
    <n v="10067"/>
    <n v="5601"/>
    <s v="phone"/>
    <n v="66460.31"/>
    <n v="30"/>
    <x v="3"/>
    <d v="2024-04-01T00:00:00"/>
    <n v="167896.02"/>
    <s v="offline"/>
    <s v="WH-C"/>
    <n v="1097"/>
    <d v="2024-04-15T00:00:00"/>
    <n v="1"/>
    <s v="Valid"/>
    <n v="14"/>
    <x v="2"/>
    <s v="Delayed"/>
  </r>
  <r>
    <n v="10068"/>
    <n v="5316"/>
    <s v="Laptop"/>
    <n v="40819.879999999997"/>
    <n v="24"/>
    <x v="1"/>
    <d v="2024-02-15T00:00:00"/>
    <n v="132566.48000000001"/>
    <s v="online"/>
    <s v="WH-B"/>
    <n v="370"/>
    <d v="2024-03-10T00:00:00"/>
    <n v="4"/>
    <s v="Valid"/>
    <n v="24"/>
    <x v="0"/>
    <s v="Delayed"/>
  </r>
  <r>
    <n v="10069"/>
    <n v="5014"/>
    <s v="phone"/>
    <n v="13300.73"/>
    <n v="30"/>
    <x v="0"/>
    <d v="2024-02-15T00:00:00"/>
    <n v="109158.97"/>
    <s v="offline"/>
    <s v="WH-A"/>
    <n v="323"/>
    <d v="2024-03-10T00:00:00"/>
    <n v="10"/>
    <s v="Valid"/>
    <n v="24"/>
    <x v="0"/>
    <s v="Delayed"/>
  </r>
  <r>
    <n v="10070"/>
    <n v="5242"/>
    <s v="phone"/>
    <n v="61856.639999999999"/>
    <n v="86"/>
    <x v="1"/>
    <d v="2024-01-15T00:00:00"/>
    <n v="143665.48000000001"/>
    <s v="online"/>
    <s v="WH-B"/>
    <n v="605"/>
    <d v="2024-02-10T00:00:00"/>
    <n v="3"/>
    <s v="Valid"/>
    <n v="26"/>
    <x v="1"/>
    <s v="Delayed"/>
  </r>
  <r>
    <n v="10071"/>
    <n v="5777"/>
    <s v="phone"/>
    <n v="13429.5"/>
    <n v="92"/>
    <x v="1"/>
    <d v="2024-03-10T00:00:00"/>
    <n v="13700.09"/>
    <s v="online"/>
    <s v="WH-B"/>
    <n v="893"/>
    <d v="2024-04-15T00:00:00"/>
    <n v="10"/>
    <s v="Valid"/>
    <n v="36"/>
    <x v="3"/>
    <s v="Delayed"/>
  </r>
  <r>
    <n v="10072"/>
    <n v="6370"/>
    <s v="phone"/>
    <n v="93954.4"/>
    <n v="7"/>
    <x v="0"/>
    <d v="2024-04-01T00:00:00"/>
    <n v="167274.69"/>
    <s v="Retail"/>
    <s v="WH-A"/>
    <n v="1386"/>
    <d v="2024-03-10T00:00:00"/>
    <n v="12"/>
    <s v="Invalid Date Order"/>
    <s v=""/>
    <x v="2"/>
    <s v=""/>
  </r>
  <r>
    <n v="10073"/>
    <n v="5565"/>
    <s v="phone"/>
    <n v="33962.400000000001"/>
    <n v="35"/>
    <x v="3"/>
    <d v="2024-02-15T00:00:00"/>
    <n v="45487.19"/>
    <s v="Retail"/>
    <s v="WH-C"/>
    <n v="1436"/>
    <d v="2024-03-10T00:00:00"/>
    <n v="5"/>
    <s v="Valid"/>
    <n v="24"/>
    <x v="0"/>
    <s v="Delayed"/>
  </r>
  <r>
    <n v="10074"/>
    <n v="5898"/>
    <s v="phone"/>
    <n v="17896.32"/>
    <n v="55"/>
    <x v="1"/>
    <d v="2024-01-15T00:00:00"/>
    <n v="122096.63"/>
    <s v="offline"/>
    <s v="WH-B"/>
    <n v="717"/>
    <d v="2024-04-15T00:00:00"/>
    <n v="10"/>
    <s v="Valid"/>
    <n v="91"/>
    <x v="1"/>
    <s v="Delayed"/>
  </r>
  <r>
    <n v="10075"/>
    <n v="6364"/>
    <s v="phone"/>
    <n v="35681.629999999997"/>
    <n v="92"/>
    <x v="1"/>
    <d v="2024-04-01T00:00:00"/>
    <n v="111623.94"/>
    <s v="online"/>
    <s v="WH-A"/>
    <n v="1049"/>
    <d v="2024-03-10T00:00:00"/>
    <n v="13"/>
    <s v="Invalid Date Order"/>
    <s v=""/>
    <x v="2"/>
    <s v=""/>
  </r>
  <r>
    <n v="10076"/>
    <n v="5092"/>
    <s v="phone"/>
    <n v="55279.74"/>
    <n v="14"/>
    <x v="1"/>
    <d v="2024-02-15T00:00:00"/>
    <n v="118608.67"/>
    <s v="offline"/>
    <s v="WH-C"/>
    <n v="429"/>
    <d v="2024-04-15T00:00:00"/>
    <n v="10"/>
    <s v="Valid"/>
    <n v="60"/>
    <x v="0"/>
    <s v="Delayed"/>
  </r>
  <r>
    <n v="10077"/>
    <n v="6391"/>
    <s v="phone"/>
    <n v="78653.919999999998"/>
    <n v="10"/>
    <x v="1"/>
    <d v="2024-04-01T00:00:00"/>
    <n v="130811.06"/>
    <s v="online"/>
    <s v="WH-C"/>
    <n v="760"/>
    <d v="2024-02-10T00:00:00"/>
    <n v="13"/>
    <s v="Invalid Date Order"/>
    <s v=""/>
    <x v="2"/>
    <s v=""/>
  </r>
  <r>
    <n v="10078"/>
    <n v="5956"/>
    <s v="phone"/>
    <n v="80962.259999999995"/>
    <n v="80"/>
    <x v="0"/>
    <d v="2024-01-15T00:00:00"/>
    <n v="32968.589999999997"/>
    <s v="Retail"/>
    <s v="WH-C"/>
    <n v="795"/>
    <d v="2024-03-10T00:00:00"/>
    <n v="6"/>
    <s v="Valid"/>
    <n v="55"/>
    <x v="1"/>
    <s v="Delayed"/>
  </r>
  <r>
    <n v="10079"/>
    <n v="6479"/>
    <s v="phone"/>
    <n v="17953.72"/>
    <n v="16"/>
    <x v="0"/>
    <d v="2024-01-15T00:00:00"/>
    <n v="179516.13"/>
    <s v="offline"/>
    <s v="WH-B"/>
    <n v="724"/>
    <d v="2024-03-10T00:00:00"/>
    <n v="2"/>
    <s v="Valid"/>
    <n v="55"/>
    <x v="1"/>
    <s v="Delayed"/>
  </r>
  <r>
    <n v="10080"/>
    <n v="6452"/>
    <s v="phone"/>
    <n v="99158.07"/>
    <n v="54"/>
    <x v="2"/>
    <d v="2024-04-01T00:00:00"/>
    <n v="113290.16"/>
    <s v="offline"/>
    <s v="WH-B"/>
    <n v="165"/>
    <d v="2024-04-15T00:00:00"/>
    <n v="7"/>
    <s v="Valid"/>
    <n v="14"/>
    <x v="2"/>
    <s v="Delayed"/>
  </r>
  <r>
    <n v="10081"/>
    <n v="5509"/>
    <s v="phone"/>
    <n v="43708.23"/>
    <n v="95"/>
    <x v="2"/>
    <d v="2024-03-10T00:00:00"/>
    <n v="91848.67"/>
    <s v="Retail"/>
    <s v="WH-B"/>
    <n v="654"/>
    <d v="2024-04-15T00:00:00"/>
    <n v="13"/>
    <s v="Valid"/>
    <n v="36"/>
    <x v="3"/>
    <s v="Delayed"/>
  </r>
  <r>
    <n v="10082"/>
    <n v="5776"/>
    <s v="phone"/>
    <n v="33729.61"/>
    <n v="89"/>
    <x v="1"/>
    <d v="2024-04-01T00:00:00"/>
    <n v="126054.33"/>
    <s v="Retail"/>
    <s v="WH-C"/>
    <n v="1115"/>
    <d v="2024-04-15T00:00:00"/>
    <n v="3"/>
    <s v="Valid"/>
    <n v="14"/>
    <x v="2"/>
    <s v="Delayed"/>
  </r>
  <r>
    <n v="10083"/>
    <n v="6967"/>
    <s v="phone"/>
    <n v="74484.800000000003"/>
    <n v="77"/>
    <x v="3"/>
    <d v="2024-02-15T00:00:00"/>
    <n v="73900"/>
    <s v="Retail"/>
    <s v="WH-B"/>
    <n v="428"/>
    <d v="2024-04-15T00:00:00"/>
    <n v="1"/>
    <s v="Valid"/>
    <n v="60"/>
    <x v="0"/>
    <s v="Delayed"/>
  </r>
  <r>
    <n v="10084"/>
    <n v="5035"/>
    <s v="phone"/>
    <n v="25885.33"/>
    <n v="70"/>
    <x v="1"/>
    <d v="2024-03-10T00:00:00"/>
    <n v="108788.24"/>
    <s v="online"/>
    <s v="WH-A"/>
    <n v="1279"/>
    <d v="2024-03-10T00:00:00"/>
    <n v="10"/>
    <s v="Valid"/>
    <n v="0"/>
    <x v="3"/>
    <s v="On Time"/>
  </r>
  <r>
    <n v="10085"/>
    <n v="5206"/>
    <s v="phone"/>
    <n v="18976.14"/>
    <n v="44"/>
    <x v="3"/>
    <d v="2024-02-15T00:00:00"/>
    <n v="149934.1"/>
    <s v="Retail"/>
    <s v="WH-B"/>
    <n v="515"/>
    <d v="2024-02-10T00:00:00"/>
    <n v="3"/>
    <s v="Invalid Date Order"/>
    <s v=""/>
    <x v="0"/>
    <s v=""/>
  </r>
  <r>
    <n v="10086"/>
    <n v="6105"/>
    <s v="phone"/>
    <n v="16164.04"/>
    <n v="73"/>
    <x v="1"/>
    <d v="2024-04-01T00:00:00"/>
    <n v="18980.490000000002"/>
    <s v="online"/>
    <s v="WH-B"/>
    <n v="329"/>
    <d v="2024-02-10T00:00:00"/>
    <n v="9"/>
    <s v="Invalid Date Order"/>
    <s v=""/>
    <x v="2"/>
    <s v=""/>
  </r>
  <r>
    <n v="10087"/>
    <n v="6956"/>
    <s v="phone"/>
    <n v="98370.96"/>
    <n v="45"/>
    <x v="2"/>
    <d v="2024-03-10T00:00:00"/>
    <n v="142607.14000000001"/>
    <s v="offline"/>
    <s v="WH-C"/>
    <n v="667"/>
    <d v="2024-02-10T00:00:00"/>
    <n v="10"/>
    <s v="Invalid Date Order"/>
    <s v=""/>
    <x v="3"/>
    <s v=""/>
  </r>
  <r>
    <n v="10088"/>
    <n v="6586"/>
    <s v="phone"/>
    <n v="89748.56"/>
    <n v="56"/>
    <x v="2"/>
    <d v="2024-02-15T00:00:00"/>
    <n v="23723.41"/>
    <s v="Retail"/>
    <s v="WH-B"/>
    <n v="167"/>
    <d v="2024-02-10T00:00:00"/>
    <n v="11"/>
    <s v="Invalid Date Order"/>
    <s v=""/>
    <x v="0"/>
    <s v=""/>
  </r>
  <r>
    <n v="10089"/>
    <n v="6896"/>
    <s v="Laptop"/>
    <n v="51263.99"/>
    <n v="84"/>
    <x v="3"/>
    <d v="2024-04-01T00:00:00"/>
    <n v="154060.10999999999"/>
    <s v="Retail"/>
    <s v="WH-A"/>
    <n v="1310"/>
    <d v="2024-04-15T00:00:00"/>
    <n v="11"/>
    <s v="Valid"/>
    <n v="14"/>
    <x v="2"/>
    <s v="Delayed"/>
  </r>
  <r>
    <n v="10090"/>
    <n v="6412"/>
    <s v="phone"/>
    <n v="10519.91"/>
    <n v="82"/>
    <x v="1"/>
    <d v="2024-04-01T00:00:00"/>
    <n v="106748.12"/>
    <s v="online"/>
    <s v="WH-C"/>
    <n v="358"/>
    <d v="2024-03-10T00:00:00"/>
    <n v="6"/>
    <s v="Invalid Date Order"/>
    <s v=""/>
    <x v="2"/>
    <s v=""/>
  </r>
  <r>
    <n v="10091"/>
    <n v="6026"/>
    <s v="phone"/>
    <n v="82125.38"/>
    <n v="57"/>
    <x v="3"/>
    <d v="2024-03-10T00:00:00"/>
    <n v="108709.32"/>
    <s v="online"/>
    <s v="WH-A"/>
    <n v="149"/>
    <d v="2024-03-10T00:00:00"/>
    <n v="11"/>
    <s v="Valid"/>
    <n v="0"/>
    <x v="3"/>
    <s v="On Time"/>
  </r>
  <r>
    <n v="10092"/>
    <n v="6022"/>
    <s v="Laptop"/>
    <n v="68782.62"/>
    <n v="21"/>
    <x v="2"/>
    <d v="2024-04-01T00:00:00"/>
    <n v="64226.34"/>
    <s v="offline"/>
    <s v="WH-C"/>
    <n v="310"/>
    <d v="2024-03-10T00:00:00"/>
    <n v="6"/>
    <s v="Invalid Date Order"/>
    <s v=""/>
    <x v="2"/>
    <s v=""/>
  </r>
  <r>
    <n v="10093"/>
    <n v="6414"/>
    <s v="phone"/>
    <n v="55959.65"/>
    <n v="68"/>
    <x v="1"/>
    <d v="2024-01-15T00:00:00"/>
    <n v="51440.9"/>
    <s v="online"/>
    <s v="WH-C"/>
    <n v="1042"/>
    <d v="2024-04-15T00:00:00"/>
    <n v="4"/>
    <s v="Valid"/>
    <n v="91"/>
    <x v="1"/>
    <s v="Delayed"/>
  </r>
  <r>
    <n v="10094"/>
    <n v="5566"/>
    <s v="phone"/>
    <n v="70797.84"/>
    <n v="50"/>
    <x v="1"/>
    <d v="2024-02-15T00:00:00"/>
    <n v="50100.73"/>
    <s v="offline"/>
    <s v="WH-B"/>
    <n v="1378"/>
    <d v="2024-03-10T00:00:00"/>
    <n v="8"/>
    <s v="Valid"/>
    <n v="24"/>
    <x v="0"/>
    <s v="Delayed"/>
  </r>
  <r>
    <n v="10095"/>
    <n v="6130"/>
    <s v="phone"/>
    <n v="82544"/>
    <n v="33"/>
    <x v="3"/>
    <d v="2024-02-15T00:00:00"/>
    <n v="147309.14000000001"/>
    <s v="Retail"/>
    <s v="WH-A"/>
    <n v="1427"/>
    <d v="2024-04-15T00:00:00"/>
    <n v="5"/>
    <s v="Valid"/>
    <n v="60"/>
    <x v="0"/>
    <s v="Delayed"/>
  </r>
  <r>
    <n v="10096"/>
    <n v="6796"/>
    <s v="phone"/>
    <n v="68293.23"/>
    <n v="91"/>
    <x v="0"/>
    <d v="2024-04-01T00:00:00"/>
    <n v="52241.22"/>
    <s v="online"/>
    <s v="WH-C"/>
    <n v="335"/>
    <d v="2024-03-10T00:00:00"/>
    <n v="7"/>
    <s v="Invalid Date Order"/>
    <s v=""/>
    <x v="2"/>
    <s v=""/>
  </r>
  <r>
    <n v="10097"/>
    <n v="6846"/>
    <s v="Laptop"/>
    <n v="32447.200000000001"/>
    <n v="7"/>
    <x v="3"/>
    <d v="2024-04-01T00:00:00"/>
    <n v="85500.05"/>
    <s v="online"/>
    <s v="WH-B"/>
    <n v="377"/>
    <d v="2024-02-10T00:00:00"/>
    <n v="9"/>
    <s v="Invalid Date Order"/>
    <s v=""/>
    <x v="2"/>
    <s v=""/>
  </r>
  <r>
    <n v="10098"/>
    <n v="6501"/>
    <s v="phone"/>
    <n v="55790.37"/>
    <n v="70"/>
    <x v="2"/>
    <d v="2024-01-15T00:00:00"/>
    <n v="32151.17"/>
    <s v="online"/>
    <s v="WH-C"/>
    <n v="1176"/>
    <d v="2024-04-15T00:00:00"/>
    <n v="13"/>
    <s v="Valid"/>
    <n v="91"/>
    <x v="1"/>
    <s v="Delayed"/>
  </r>
  <r>
    <n v="10099"/>
    <n v="5703"/>
    <s v="phone"/>
    <n v="60732.74"/>
    <n v="15"/>
    <x v="2"/>
    <d v="2024-03-10T00:00:00"/>
    <n v="16891.28"/>
    <s v="online"/>
    <s v="WH-C"/>
    <n v="112"/>
    <d v="2024-03-10T00:00:00"/>
    <n v="13"/>
    <s v="Valid"/>
    <n v="0"/>
    <x v="3"/>
    <s v="On Time"/>
  </r>
  <r>
    <n v="10100"/>
    <n v="5402"/>
    <s v="phone"/>
    <n v="89833.91"/>
    <n v="82"/>
    <x v="2"/>
    <d v="2024-04-01T00:00:00"/>
    <n v="168503.75"/>
    <s v="offline"/>
    <s v="WH-C"/>
    <n v="736"/>
    <d v="2024-02-10T00:00:00"/>
    <n v="14"/>
    <s v="Invalid Date Order"/>
    <s v=""/>
    <x v="2"/>
    <s v=""/>
  </r>
  <r>
    <n v="10101"/>
    <n v="5730"/>
    <s v="phone"/>
    <n v="70457.740000000005"/>
    <n v="32"/>
    <x v="2"/>
    <d v="2024-04-01T00:00:00"/>
    <n v="87650.44"/>
    <s v="online"/>
    <s v="WH-C"/>
    <n v="1355"/>
    <d v="2024-02-10T00:00:00"/>
    <n v="5"/>
    <s v="Invalid Date Order"/>
    <s v=""/>
    <x v="2"/>
    <s v=""/>
  </r>
  <r>
    <n v="10102"/>
    <n v="6580"/>
    <s v="phone"/>
    <n v="96404.69"/>
    <n v="75"/>
    <x v="2"/>
    <d v="2024-04-01T00:00:00"/>
    <n v="43209.17"/>
    <s v="online"/>
    <s v="WH-C"/>
    <n v="1366"/>
    <d v="2024-02-10T00:00:00"/>
    <n v="11"/>
    <s v="Invalid Date Order"/>
    <s v=""/>
    <x v="2"/>
    <s v=""/>
  </r>
  <r>
    <n v="10103"/>
    <n v="5162"/>
    <s v="phone"/>
    <n v="74734.98"/>
    <n v="20"/>
    <x v="0"/>
    <d v="2024-04-01T00:00:00"/>
    <n v="113287.21"/>
    <s v="Retail"/>
    <s v="WH-C"/>
    <n v="787"/>
    <d v="2024-04-15T00:00:00"/>
    <n v="14"/>
    <s v="Valid"/>
    <n v="14"/>
    <x v="2"/>
    <s v="Delayed"/>
  </r>
  <r>
    <n v="10104"/>
    <n v="5202"/>
    <s v="phone"/>
    <n v="27029.46"/>
    <n v="88"/>
    <x v="1"/>
    <d v="2024-02-15T00:00:00"/>
    <n v="167924.75"/>
    <s v="online"/>
    <s v="WH-B"/>
    <n v="1080"/>
    <d v="2024-04-15T00:00:00"/>
    <n v="5"/>
    <s v="Valid"/>
    <n v="60"/>
    <x v="0"/>
    <s v="Delayed"/>
  </r>
  <r>
    <n v="10105"/>
    <n v="6982"/>
    <s v="Laptop"/>
    <n v="65166.93"/>
    <n v="15"/>
    <x v="3"/>
    <d v="2024-04-01T00:00:00"/>
    <n v="124022.1"/>
    <s v="online"/>
    <s v="WH-C"/>
    <n v="688"/>
    <d v="2024-03-10T00:00:00"/>
    <n v="14"/>
    <s v="Invalid Date Order"/>
    <s v=""/>
    <x v="2"/>
    <s v=""/>
  </r>
  <r>
    <n v="10106"/>
    <n v="5996"/>
    <s v="phone"/>
    <n v="52372.03"/>
    <n v="48"/>
    <x v="3"/>
    <d v="2024-02-15T00:00:00"/>
    <n v="146762.53"/>
    <s v="online"/>
    <s v="WH-A"/>
    <n v="985"/>
    <d v="2024-02-10T00:00:00"/>
    <n v="4"/>
    <s v="Invalid Date Order"/>
    <s v=""/>
    <x v="0"/>
    <s v=""/>
  </r>
  <r>
    <n v="10107"/>
    <n v="5270"/>
    <s v="phone"/>
    <n v="51509.29"/>
    <n v="71"/>
    <x v="2"/>
    <d v="2024-04-01T00:00:00"/>
    <n v="17601.96"/>
    <s v="online"/>
    <s v="WH-B"/>
    <n v="1165"/>
    <d v="2024-03-10T00:00:00"/>
    <n v="6"/>
    <s v="Invalid Date Order"/>
    <s v=""/>
    <x v="2"/>
    <s v=""/>
  </r>
  <r>
    <n v="10108"/>
    <n v="6887"/>
    <s v="Laptop"/>
    <n v="96874.59"/>
    <n v="21"/>
    <x v="3"/>
    <d v="2024-03-10T00:00:00"/>
    <n v="126364.22"/>
    <s v="Retail"/>
    <s v="WH-A"/>
    <n v="1263"/>
    <d v="2024-03-10T00:00:00"/>
    <n v="2"/>
    <s v="Valid"/>
    <n v="0"/>
    <x v="3"/>
    <s v="On Time"/>
  </r>
  <r>
    <n v="10109"/>
    <n v="5816"/>
    <s v="phone"/>
    <n v="72712.53"/>
    <n v="42"/>
    <x v="2"/>
    <d v="2024-01-15T00:00:00"/>
    <n v="25360.55"/>
    <s v="offline"/>
    <s v="WH-C"/>
    <n v="525"/>
    <d v="2024-02-10T00:00:00"/>
    <n v="3"/>
    <s v="Valid"/>
    <n v="26"/>
    <x v="1"/>
    <s v="Delayed"/>
  </r>
  <r>
    <n v="10110"/>
    <n v="6295"/>
    <s v="phone"/>
    <n v="87890.81"/>
    <n v="26"/>
    <x v="0"/>
    <d v="2024-03-10T00:00:00"/>
    <n v="100943.65"/>
    <s v="online"/>
    <s v="WH-A"/>
    <n v="102"/>
    <d v="2024-03-10T00:00:00"/>
    <n v="1"/>
    <s v="Valid"/>
    <n v="0"/>
    <x v="3"/>
    <s v="On Time"/>
  </r>
  <r>
    <n v="10111"/>
    <n v="5456"/>
    <s v="phone"/>
    <n v="25420.61"/>
    <n v="14"/>
    <x v="0"/>
    <d v="2024-04-01T00:00:00"/>
    <n v="178231.51"/>
    <s v="online"/>
    <s v="WH-C"/>
    <n v="803"/>
    <d v="2024-04-15T00:00:00"/>
    <n v="2"/>
    <s v="Valid"/>
    <n v="14"/>
    <x v="2"/>
    <s v="Delayed"/>
  </r>
  <r>
    <n v="10112"/>
    <n v="6486"/>
    <s v="Laptop"/>
    <n v="78772.92"/>
    <n v="57"/>
    <x v="1"/>
    <d v="2024-04-01T00:00:00"/>
    <n v="14445.16"/>
    <s v="offline"/>
    <s v="WH-C"/>
    <n v="535"/>
    <d v="2024-03-10T00:00:00"/>
    <n v="2"/>
    <s v="Invalid Date Order"/>
    <s v=""/>
    <x v="2"/>
    <s v=""/>
  </r>
  <r>
    <n v="10113"/>
    <n v="6751"/>
    <s v="phone"/>
    <n v="76922.75"/>
    <n v="37"/>
    <x v="0"/>
    <d v="2024-04-01T00:00:00"/>
    <n v="140747.03"/>
    <s v="online"/>
    <s v="WH-B"/>
    <n v="1437"/>
    <d v="2024-02-10T00:00:00"/>
    <n v="8"/>
    <s v="Invalid Date Order"/>
    <s v=""/>
    <x v="2"/>
    <s v=""/>
  </r>
  <r>
    <n v="10114"/>
    <n v="6276"/>
    <s v="Laptop"/>
    <n v="68954.33"/>
    <n v="58"/>
    <x v="0"/>
    <d v="2024-03-10T00:00:00"/>
    <n v="104057.08"/>
    <s v="online"/>
    <s v="WH-B"/>
    <n v="1185"/>
    <d v="2024-04-15T00:00:00"/>
    <n v="8"/>
    <s v="Valid"/>
    <n v="36"/>
    <x v="3"/>
    <s v="Delayed"/>
  </r>
  <r>
    <n v="10115"/>
    <n v="6017"/>
    <s v="Laptop"/>
    <n v="81281.570000000007"/>
    <n v="21"/>
    <x v="1"/>
    <d v="2024-04-01T00:00:00"/>
    <n v="78200.039999999994"/>
    <s v="online"/>
    <s v="WH-C"/>
    <n v="458"/>
    <d v="2024-04-15T00:00:00"/>
    <n v="2"/>
    <s v="Valid"/>
    <n v="14"/>
    <x v="2"/>
    <s v="Delayed"/>
  </r>
  <r>
    <n v="10116"/>
    <n v="6726"/>
    <s v="phone"/>
    <n v="94988.23"/>
    <n v="82"/>
    <x v="3"/>
    <d v="2024-03-10T00:00:00"/>
    <n v="79527.72"/>
    <s v="online"/>
    <s v="WH-B"/>
    <n v="1080"/>
    <d v="2024-03-10T00:00:00"/>
    <n v="13"/>
    <s v="Valid"/>
    <n v="0"/>
    <x v="3"/>
    <s v="On Time"/>
  </r>
  <r>
    <n v="10117"/>
    <n v="5296"/>
    <s v="phone"/>
    <n v="62893.5"/>
    <n v="69"/>
    <x v="2"/>
    <d v="2024-02-15T00:00:00"/>
    <n v="121795.65"/>
    <s v="online"/>
    <s v="WH-A"/>
    <n v="717"/>
    <d v="2024-03-10T00:00:00"/>
    <n v="14"/>
    <s v="Valid"/>
    <n v="24"/>
    <x v="0"/>
    <s v="Delayed"/>
  </r>
  <r>
    <n v="10118"/>
    <n v="6749"/>
    <s v="phone"/>
    <n v="45661.39"/>
    <n v="3"/>
    <x v="2"/>
    <d v="2024-01-15T00:00:00"/>
    <n v="10328.15"/>
    <s v="online"/>
    <s v="WH-B"/>
    <n v="1270"/>
    <d v="2024-04-15T00:00:00"/>
    <n v="6"/>
    <s v="Valid"/>
    <n v="91"/>
    <x v="1"/>
    <s v="Delayed"/>
  </r>
  <r>
    <n v="10119"/>
    <n v="5720"/>
    <s v="phone"/>
    <n v="10350.92"/>
    <n v="87"/>
    <x v="3"/>
    <d v="2024-01-15T00:00:00"/>
    <n v="142828.57"/>
    <s v="online"/>
    <s v="WH-B"/>
    <n v="884"/>
    <d v="2024-03-10T00:00:00"/>
    <n v="5"/>
    <s v="Valid"/>
    <n v="55"/>
    <x v="1"/>
    <s v="Delayed"/>
  </r>
  <r>
    <n v="10120"/>
    <n v="6773"/>
    <s v="phone"/>
    <n v="39767.72"/>
    <n v="90"/>
    <x v="1"/>
    <d v="2024-03-10T00:00:00"/>
    <n v="16556.04"/>
    <s v="online"/>
    <s v="WH-A"/>
    <n v="925"/>
    <d v="2024-02-10T00:00:00"/>
    <n v="3"/>
    <s v="Invalid Date Order"/>
    <s v=""/>
    <x v="3"/>
    <s v=""/>
  </r>
  <r>
    <n v="10121"/>
    <n v="5338"/>
    <s v="phone"/>
    <n v="93783.7"/>
    <n v="37"/>
    <x v="3"/>
    <d v="2024-02-15T00:00:00"/>
    <n v="142095.04999999999"/>
    <s v="online"/>
    <s v="WH-B"/>
    <n v="416"/>
    <d v="2024-03-10T00:00:00"/>
    <n v="5"/>
    <s v="Valid"/>
    <n v="24"/>
    <x v="0"/>
    <s v="Delayed"/>
  </r>
  <r>
    <n v="10122"/>
    <n v="5879"/>
    <s v="phone"/>
    <n v="25011.84"/>
    <n v="88"/>
    <x v="0"/>
    <d v="2024-03-10T00:00:00"/>
    <n v="139804.51"/>
    <s v="Retail"/>
    <s v="WH-C"/>
    <n v="1051"/>
    <d v="2024-03-10T00:00:00"/>
    <n v="5"/>
    <s v="Valid"/>
    <n v="0"/>
    <x v="3"/>
    <s v="On Time"/>
  </r>
  <r>
    <n v="10123"/>
    <n v="6077"/>
    <s v="phone"/>
    <n v="87841.52"/>
    <n v="49"/>
    <x v="1"/>
    <d v="2024-02-15T00:00:00"/>
    <n v="72703.22"/>
    <s v="offline"/>
    <s v="WH-A"/>
    <n v="299"/>
    <d v="2024-04-15T00:00:00"/>
    <n v="5"/>
    <s v="Valid"/>
    <n v="60"/>
    <x v="0"/>
    <s v="Delayed"/>
  </r>
  <r>
    <n v="10124"/>
    <n v="5792"/>
    <s v="phone"/>
    <n v="63052.800000000003"/>
    <n v="19"/>
    <x v="1"/>
    <d v="2024-04-01T00:00:00"/>
    <n v="84275.839999999997"/>
    <s v="Retail"/>
    <s v="WH-C"/>
    <n v="1313"/>
    <d v="2024-03-10T00:00:00"/>
    <n v="3"/>
    <s v="Invalid Date Order"/>
    <s v=""/>
    <x v="2"/>
    <s v=""/>
  </r>
  <r>
    <n v="10125"/>
    <n v="6946"/>
    <s v="phone"/>
    <n v="72368.539999999994"/>
    <n v="89"/>
    <x v="1"/>
    <d v="2024-02-15T00:00:00"/>
    <n v="88420.41"/>
    <s v="online"/>
    <s v="WH-A"/>
    <n v="429"/>
    <d v="2024-03-10T00:00:00"/>
    <n v="3"/>
    <s v="Valid"/>
    <n v="24"/>
    <x v="0"/>
    <s v="Delayed"/>
  </r>
  <r>
    <n v="10126"/>
    <n v="5217"/>
    <s v="phone"/>
    <n v="92967.74"/>
    <n v="85"/>
    <x v="2"/>
    <d v="2024-02-15T00:00:00"/>
    <n v="53526.239999999998"/>
    <s v="online"/>
    <s v="WH-C"/>
    <n v="921"/>
    <d v="2024-03-10T00:00:00"/>
    <n v="4"/>
    <s v="Valid"/>
    <n v="24"/>
    <x v="0"/>
    <s v="Delayed"/>
  </r>
  <r>
    <n v="10127"/>
    <n v="5764"/>
    <s v="phone"/>
    <n v="56391.72"/>
    <n v="12"/>
    <x v="3"/>
    <d v="2024-02-15T00:00:00"/>
    <n v="101568.24"/>
    <s v="Retail"/>
    <s v="WH-C"/>
    <n v="884"/>
    <d v="2024-02-10T00:00:00"/>
    <n v="7"/>
    <s v="Invalid Date Order"/>
    <s v=""/>
    <x v="0"/>
    <s v=""/>
  </r>
  <r>
    <n v="10128"/>
    <n v="5188"/>
    <s v="Laptop"/>
    <n v="68568.929999999993"/>
    <n v="61"/>
    <x v="1"/>
    <d v="2024-01-15T00:00:00"/>
    <n v="43839.519999999997"/>
    <s v="online"/>
    <s v="WH-B"/>
    <n v="824"/>
    <d v="2024-03-10T00:00:00"/>
    <n v="12"/>
    <s v="Valid"/>
    <n v="55"/>
    <x v="1"/>
    <s v="Delayed"/>
  </r>
  <r>
    <n v="10129"/>
    <n v="5380"/>
    <s v="phone"/>
    <n v="56420.18"/>
    <n v="41"/>
    <x v="1"/>
    <d v="2024-02-15T00:00:00"/>
    <n v="19954.89"/>
    <s v="offline"/>
    <s v="WH-C"/>
    <n v="968"/>
    <d v="2024-02-10T00:00:00"/>
    <n v="12"/>
    <s v="Invalid Date Order"/>
    <s v=""/>
    <x v="0"/>
    <s v=""/>
  </r>
  <r>
    <n v="10130"/>
    <n v="5493"/>
    <s v="phone"/>
    <n v="9323.33"/>
    <n v="33"/>
    <x v="1"/>
    <d v="2024-04-01T00:00:00"/>
    <n v="15000.05"/>
    <s v="online"/>
    <s v="WH-B"/>
    <n v="504"/>
    <d v="2024-02-10T00:00:00"/>
    <n v="12"/>
    <s v="Invalid Date Order"/>
    <s v=""/>
    <x v="2"/>
    <s v=""/>
  </r>
  <r>
    <n v="10131"/>
    <n v="6065"/>
    <s v="phone"/>
    <n v="99632.39"/>
    <n v="50"/>
    <x v="3"/>
    <d v="2024-04-01T00:00:00"/>
    <n v="75542.78"/>
    <s v="offline"/>
    <s v="WH-A"/>
    <n v="415"/>
    <d v="2024-02-10T00:00:00"/>
    <n v="14"/>
    <s v="Invalid Date Order"/>
    <s v=""/>
    <x v="2"/>
    <s v=""/>
  </r>
  <r>
    <n v="10132"/>
    <n v="6181"/>
    <s v="phone"/>
    <n v="58624.06"/>
    <n v="68"/>
    <x v="2"/>
    <d v="2024-04-01T00:00:00"/>
    <n v="104582.04"/>
    <s v="Retail"/>
    <s v="WH-C"/>
    <n v="1363"/>
    <d v="2024-02-10T00:00:00"/>
    <n v="2"/>
    <s v="Invalid Date Order"/>
    <s v=""/>
    <x v="2"/>
    <s v=""/>
  </r>
  <r>
    <n v="10133"/>
    <n v="5015"/>
    <s v="phone"/>
    <n v="56817.15"/>
    <n v="71"/>
    <x v="0"/>
    <d v="2024-02-15T00:00:00"/>
    <n v="28089.08"/>
    <s v="Retail"/>
    <s v="WH-C"/>
    <n v="452"/>
    <d v="2024-04-15T00:00:00"/>
    <n v="10"/>
    <s v="Valid"/>
    <n v="60"/>
    <x v="0"/>
    <s v="Delayed"/>
  </r>
  <r>
    <n v="10134"/>
    <n v="6837"/>
    <s v="phone"/>
    <n v="45341.4"/>
    <n v="86"/>
    <x v="2"/>
    <d v="2024-03-10T00:00:00"/>
    <n v="94790.58"/>
    <s v="online"/>
    <s v="WH-A"/>
    <n v="107"/>
    <d v="2024-02-10T00:00:00"/>
    <n v="4"/>
    <s v="Invalid Date Order"/>
    <s v=""/>
    <x v="3"/>
    <s v=""/>
  </r>
  <r>
    <n v="10135"/>
    <n v="5065"/>
    <s v="phone"/>
    <n v="33507.519999999997"/>
    <n v="33"/>
    <x v="1"/>
    <d v="2024-03-10T00:00:00"/>
    <n v="75868.52"/>
    <s v="offline"/>
    <s v="WH-A"/>
    <n v="570"/>
    <d v="2024-03-10T00:00:00"/>
    <n v="4"/>
    <s v="Valid"/>
    <n v="0"/>
    <x v="3"/>
    <s v="On Time"/>
  </r>
  <r>
    <n v="10136"/>
    <n v="6881"/>
    <s v="phone"/>
    <n v="39271.449999999997"/>
    <n v="81"/>
    <x v="2"/>
    <d v="2024-04-01T00:00:00"/>
    <n v="93249.4"/>
    <s v="online"/>
    <s v="WH-C"/>
    <n v="1377"/>
    <d v="2024-02-10T00:00:00"/>
    <n v="1"/>
    <s v="Invalid Date Order"/>
    <s v=""/>
    <x v="2"/>
    <s v=""/>
  </r>
  <r>
    <n v="10137"/>
    <n v="6863"/>
    <s v="phone"/>
    <n v="82911.94"/>
    <n v="24"/>
    <x v="2"/>
    <d v="2024-01-15T00:00:00"/>
    <n v="46707.27"/>
    <s v="online"/>
    <s v="WH-A"/>
    <n v="1188"/>
    <d v="2024-03-10T00:00:00"/>
    <n v="10"/>
    <s v="Valid"/>
    <n v="55"/>
    <x v="1"/>
    <s v="Delayed"/>
  </r>
  <r>
    <n v="10138"/>
    <n v="5521"/>
    <s v="Laptop"/>
    <n v="88485.15"/>
    <n v="61"/>
    <x v="0"/>
    <d v="2024-03-10T00:00:00"/>
    <n v="135167.49"/>
    <s v="online"/>
    <s v="WH-B"/>
    <n v="259"/>
    <d v="2024-02-10T00:00:00"/>
    <n v="8"/>
    <s v="Invalid Date Order"/>
    <s v=""/>
    <x v="3"/>
    <s v=""/>
  </r>
  <r>
    <n v="10139"/>
    <n v="6368"/>
    <s v="phone"/>
    <n v="90447.61"/>
    <n v="61"/>
    <x v="3"/>
    <d v="2024-02-15T00:00:00"/>
    <n v="106683.97"/>
    <s v="online"/>
    <s v="WH-A"/>
    <n v="1114"/>
    <d v="2024-04-15T00:00:00"/>
    <n v="1"/>
    <s v="Valid"/>
    <n v="60"/>
    <x v="0"/>
    <s v="Delayed"/>
  </r>
  <r>
    <n v="10140"/>
    <n v="6153"/>
    <s v="phone"/>
    <n v="83194.94"/>
    <n v="98"/>
    <x v="3"/>
    <d v="2024-03-10T00:00:00"/>
    <n v="66704.490000000005"/>
    <s v="online"/>
    <s v="WH-A"/>
    <n v="865"/>
    <d v="2024-02-10T00:00:00"/>
    <n v="8"/>
    <s v="Invalid Date Order"/>
    <s v=""/>
    <x v="3"/>
    <s v=""/>
  </r>
  <r>
    <n v="10141"/>
    <n v="5648"/>
    <s v="phone"/>
    <n v="39363.46"/>
    <n v="28"/>
    <x v="2"/>
    <d v="2024-04-01T00:00:00"/>
    <n v="134403.37"/>
    <s v="online"/>
    <s v="WH-C"/>
    <n v="222"/>
    <d v="2024-02-10T00:00:00"/>
    <n v="7"/>
    <s v="Invalid Date Order"/>
    <s v=""/>
    <x v="2"/>
    <s v=""/>
  </r>
  <r>
    <n v="10142"/>
    <n v="6496"/>
    <s v="phone"/>
    <n v="86814.93"/>
    <n v="58"/>
    <x v="2"/>
    <d v="2024-01-15T00:00:00"/>
    <n v="117866.49"/>
    <s v="online"/>
    <s v="WH-B"/>
    <n v="283"/>
    <d v="2024-04-15T00:00:00"/>
    <n v="9"/>
    <s v="Valid"/>
    <n v="91"/>
    <x v="1"/>
    <s v="Delayed"/>
  </r>
  <r>
    <n v="10143"/>
    <n v="6087"/>
    <s v="Laptop"/>
    <n v="34557.269999999997"/>
    <n v="43"/>
    <x v="3"/>
    <d v="2024-03-10T00:00:00"/>
    <n v="59580.18"/>
    <s v="offline"/>
    <s v="WH-A"/>
    <n v="842"/>
    <d v="2024-02-10T00:00:00"/>
    <n v="8"/>
    <s v="Invalid Date Order"/>
    <s v=""/>
    <x v="3"/>
    <s v=""/>
  </r>
  <r>
    <n v="10144"/>
    <n v="6163"/>
    <s v="phone"/>
    <n v="18577.36"/>
    <n v="41"/>
    <x v="3"/>
    <d v="2024-03-10T00:00:00"/>
    <n v="134101.65"/>
    <s v="Retail"/>
    <s v="WH-B"/>
    <n v="842"/>
    <d v="2024-03-10T00:00:00"/>
    <n v="5"/>
    <s v="Valid"/>
    <n v="0"/>
    <x v="3"/>
    <s v="On Time"/>
  </r>
  <r>
    <n v="10145"/>
    <n v="6523"/>
    <s v="Laptop"/>
    <n v="31968.38"/>
    <n v="39"/>
    <x v="0"/>
    <d v="2024-04-01T00:00:00"/>
    <n v="129436.98"/>
    <s v="Retail"/>
    <s v="WH-B"/>
    <n v="1476"/>
    <d v="2024-02-10T00:00:00"/>
    <n v="8"/>
    <s v="Invalid Date Order"/>
    <s v=""/>
    <x v="2"/>
    <s v=""/>
  </r>
  <r>
    <n v="10146"/>
    <n v="5593"/>
    <s v="phone"/>
    <n v="85271.55"/>
    <n v="86"/>
    <x v="1"/>
    <d v="2024-01-15T00:00:00"/>
    <n v="110620.85"/>
    <s v="online"/>
    <s v="WH-B"/>
    <n v="1112"/>
    <d v="2024-02-10T00:00:00"/>
    <n v="14"/>
    <s v="Valid"/>
    <n v="26"/>
    <x v="1"/>
    <s v="Delayed"/>
  </r>
  <r>
    <n v="10147"/>
    <n v="5392"/>
    <s v="phone"/>
    <n v="56951.59"/>
    <n v="49"/>
    <x v="2"/>
    <d v="2024-01-15T00:00:00"/>
    <n v="51351.03"/>
    <s v="online"/>
    <s v="WH-C"/>
    <n v="168"/>
    <d v="2024-02-10T00:00:00"/>
    <n v="11"/>
    <s v="Valid"/>
    <n v="26"/>
    <x v="1"/>
    <s v="Delayed"/>
  </r>
  <r>
    <n v="10148"/>
    <n v="6699"/>
    <s v="phone"/>
    <n v="70479.789999999994"/>
    <n v="17"/>
    <x v="3"/>
    <d v="2024-04-01T00:00:00"/>
    <n v="73987.509999999995"/>
    <s v="online"/>
    <s v="WH-A"/>
    <n v="384"/>
    <d v="2024-04-15T00:00:00"/>
    <n v="10"/>
    <s v="Valid"/>
    <n v="14"/>
    <x v="2"/>
    <s v="Delayed"/>
  </r>
  <r>
    <n v="10149"/>
    <n v="5419"/>
    <s v="phone"/>
    <n v="86012.94"/>
    <n v="98"/>
    <x v="2"/>
    <d v="2024-02-15T00:00:00"/>
    <n v="61545.88"/>
    <s v="online"/>
    <s v="WH-C"/>
    <n v="1409"/>
    <d v="2024-02-10T00:00:00"/>
    <n v="12"/>
    <s v="Invalid Date Order"/>
    <s v=""/>
    <x v="0"/>
    <s v=""/>
  </r>
  <r>
    <n v="10150"/>
    <n v="5289"/>
    <s v="phone"/>
    <n v="62229.120000000003"/>
    <n v="70"/>
    <x v="2"/>
    <d v="2024-03-10T00:00:00"/>
    <n v="121706.49"/>
    <s v="Retail"/>
    <s v="WH-A"/>
    <n v="1147"/>
    <d v="2024-02-10T00:00:00"/>
    <n v="12"/>
    <s v="Invalid Date Order"/>
    <s v=""/>
    <x v="3"/>
    <s v=""/>
  </r>
  <r>
    <n v="10151"/>
    <n v="5379"/>
    <s v="phone"/>
    <n v="70503.81"/>
    <n v="70"/>
    <x v="3"/>
    <d v="2024-02-15T00:00:00"/>
    <n v="38256.36"/>
    <s v="online"/>
    <s v="WH-A"/>
    <n v="1264"/>
    <d v="2024-03-10T00:00:00"/>
    <n v="3"/>
    <s v="Valid"/>
    <n v="24"/>
    <x v="0"/>
    <s v="Delayed"/>
  </r>
  <r>
    <n v="10152"/>
    <n v="6797"/>
    <s v="phone"/>
    <n v="24507.81"/>
    <n v="98"/>
    <x v="0"/>
    <d v="2024-03-10T00:00:00"/>
    <n v="46254.48"/>
    <s v="offline"/>
    <s v="WH-C"/>
    <n v="373"/>
    <d v="2024-02-10T00:00:00"/>
    <n v="10"/>
    <s v="Invalid Date Order"/>
    <s v=""/>
    <x v="3"/>
    <s v=""/>
  </r>
  <r>
    <n v="10153"/>
    <n v="6514"/>
    <s v="phone"/>
    <n v="65767.570000000007"/>
    <n v="65"/>
    <x v="2"/>
    <d v="2024-03-10T00:00:00"/>
    <n v="96626.96"/>
    <s v="online"/>
    <s v="WH-B"/>
    <n v="1060"/>
    <d v="2024-02-10T00:00:00"/>
    <n v="7"/>
    <s v="Invalid Date Order"/>
    <s v=""/>
    <x v="3"/>
    <s v=""/>
  </r>
  <r>
    <n v="10154"/>
    <n v="5231"/>
    <s v="phone"/>
    <n v="50968.18"/>
    <n v="74"/>
    <x v="0"/>
    <d v="2024-02-15T00:00:00"/>
    <n v="62300.93"/>
    <s v="Retail"/>
    <s v="WH-B"/>
    <n v="1220"/>
    <d v="2024-02-10T00:00:00"/>
    <n v="12"/>
    <s v="Invalid Date Order"/>
    <s v=""/>
    <x v="0"/>
    <s v=""/>
  </r>
  <r>
    <n v="10155"/>
    <n v="6018"/>
    <s v="Laptop"/>
    <n v="30454.07"/>
    <n v="85"/>
    <x v="3"/>
    <d v="2024-04-01T00:00:00"/>
    <n v="54999.33"/>
    <s v="online"/>
    <s v="WH-A"/>
    <n v="333"/>
    <d v="2024-02-10T00:00:00"/>
    <n v="4"/>
    <s v="Invalid Date Order"/>
    <s v=""/>
    <x v="2"/>
    <s v=""/>
  </r>
  <r>
    <n v="10156"/>
    <n v="5041"/>
    <s v="Laptop"/>
    <n v="21414.7"/>
    <n v="5"/>
    <x v="1"/>
    <d v="2024-04-01T00:00:00"/>
    <n v="22711.69"/>
    <s v="Retail"/>
    <s v="WH-C"/>
    <n v="262"/>
    <d v="2024-03-10T00:00:00"/>
    <n v="5"/>
    <s v="Invalid Date Order"/>
    <s v=""/>
    <x v="2"/>
    <s v=""/>
  </r>
  <r>
    <n v="10157"/>
    <n v="6052"/>
    <s v="phone"/>
    <n v="45338.3"/>
    <n v="2"/>
    <x v="1"/>
    <d v="2024-03-10T00:00:00"/>
    <n v="96846.71"/>
    <s v="online"/>
    <s v="WH-B"/>
    <n v="978"/>
    <d v="2024-03-10T00:00:00"/>
    <n v="9"/>
    <s v="Valid"/>
    <n v="0"/>
    <x v="3"/>
    <s v="On Time"/>
  </r>
  <r>
    <n v="10158"/>
    <n v="5135"/>
    <s v="phone"/>
    <n v="35250.480000000003"/>
    <n v="22"/>
    <x v="2"/>
    <d v="2024-04-01T00:00:00"/>
    <n v="14184.66"/>
    <s v="offline"/>
    <s v="WH-B"/>
    <n v="801"/>
    <d v="2024-04-15T00:00:00"/>
    <n v="7"/>
    <s v="Valid"/>
    <n v="14"/>
    <x v="2"/>
    <s v="Delayed"/>
  </r>
  <r>
    <n v="10159"/>
    <n v="5201"/>
    <s v="phone"/>
    <n v="12600.8"/>
    <n v="57"/>
    <x v="3"/>
    <d v="2024-03-10T00:00:00"/>
    <n v="139007.18"/>
    <s v="online"/>
    <s v="WH-A"/>
    <n v="1467"/>
    <d v="2024-02-10T00:00:00"/>
    <n v="4"/>
    <s v="Invalid Date Order"/>
    <s v=""/>
    <x v="3"/>
    <s v=""/>
  </r>
  <r>
    <n v="10160"/>
    <n v="6864"/>
    <s v="Laptop"/>
    <n v="67360.37"/>
    <n v="66"/>
    <x v="0"/>
    <d v="2024-04-01T00:00:00"/>
    <n v="133837.97"/>
    <s v="offline"/>
    <s v="WH-A"/>
    <n v="388"/>
    <d v="2024-04-15T00:00:00"/>
    <n v="6"/>
    <s v="Valid"/>
    <n v="14"/>
    <x v="2"/>
    <s v="Delayed"/>
  </r>
  <r>
    <n v="10161"/>
    <n v="5780"/>
    <s v="phone"/>
    <n v="31571.59"/>
    <n v="74"/>
    <x v="2"/>
    <d v="2024-03-10T00:00:00"/>
    <n v="27486.45"/>
    <s v="offline"/>
    <s v="WH-C"/>
    <n v="1095"/>
    <d v="2024-04-15T00:00:00"/>
    <n v="10"/>
    <s v="Valid"/>
    <n v="36"/>
    <x v="3"/>
    <s v="Delayed"/>
  </r>
  <r>
    <n v="10162"/>
    <n v="5930"/>
    <s v="Laptop"/>
    <n v="46888.42"/>
    <n v="98"/>
    <x v="3"/>
    <d v="2024-04-01T00:00:00"/>
    <n v="78272.87"/>
    <s v="online"/>
    <s v="WH-A"/>
    <n v="154"/>
    <d v="2024-02-10T00:00:00"/>
    <n v="14"/>
    <s v="Invalid Date Order"/>
    <s v=""/>
    <x v="2"/>
    <s v=""/>
  </r>
  <r>
    <n v="10163"/>
    <n v="6057"/>
    <s v="phone"/>
    <n v="71263.33"/>
    <n v="16"/>
    <x v="3"/>
    <d v="2024-01-15T00:00:00"/>
    <n v="65404.59"/>
    <s v="offline"/>
    <s v="WH-B"/>
    <n v="819"/>
    <d v="2024-03-10T00:00:00"/>
    <n v="11"/>
    <s v="Valid"/>
    <n v="55"/>
    <x v="1"/>
    <s v="Delayed"/>
  </r>
  <r>
    <n v="10164"/>
    <n v="6072"/>
    <s v="phone"/>
    <n v="45696.44"/>
    <n v="51"/>
    <x v="0"/>
    <d v="2024-02-15T00:00:00"/>
    <n v="92167.54"/>
    <s v="online"/>
    <s v="WH-B"/>
    <n v="765"/>
    <d v="2024-03-10T00:00:00"/>
    <n v="7"/>
    <s v="Valid"/>
    <n v="24"/>
    <x v="0"/>
    <s v="Delayed"/>
  </r>
  <r>
    <n v="10165"/>
    <n v="5503"/>
    <s v="Laptop"/>
    <n v="22307.03"/>
    <n v="39"/>
    <x v="2"/>
    <d v="2024-01-15T00:00:00"/>
    <n v="54928.91"/>
    <s v="online"/>
    <s v="WH-B"/>
    <n v="812"/>
    <d v="2024-02-10T00:00:00"/>
    <n v="13"/>
    <s v="Valid"/>
    <n v="26"/>
    <x v="1"/>
    <s v="Delayed"/>
  </r>
  <r>
    <n v="10166"/>
    <n v="5407"/>
    <s v="phone"/>
    <n v="63438.34"/>
    <n v="86"/>
    <x v="3"/>
    <d v="2024-02-15T00:00:00"/>
    <n v="114620.89"/>
    <s v="online"/>
    <s v="WH-B"/>
    <n v="1294"/>
    <d v="2024-02-10T00:00:00"/>
    <n v="10"/>
    <s v="Invalid Date Order"/>
    <s v=""/>
    <x v="0"/>
    <s v=""/>
  </r>
  <r>
    <n v="10167"/>
    <n v="6598"/>
    <s v="phone"/>
    <n v="43704.92"/>
    <n v="76"/>
    <x v="3"/>
    <d v="2024-02-15T00:00:00"/>
    <n v="139460.07"/>
    <s v="offline"/>
    <s v="WH-C"/>
    <n v="428"/>
    <d v="2024-03-10T00:00:00"/>
    <n v="13"/>
    <s v="Valid"/>
    <n v="24"/>
    <x v="0"/>
    <s v="Delayed"/>
  </r>
  <r>
    <n v="10168"/>
    <n v="6752"/>
    <s v="phone"/>
    <n v="45844.05"/>
    <n v="88"/>
    <x v="3"/>
    <d v="2024-03-10T00:00:00"/>
    <n v="65208.27"/>
    <s v="offline"/>
    <s v="WH-C"/>
    <n v="1295"/>
    <d v="2024-02-10T00:00:00"/>
    <n v="9"/>
    <s v="Invalid Date Order"/>
    <s v=""/>
    <x v="3"/>
    <s v=""/>
  </r>
  <r>
    <n v="10169"/>
    <n v="5805"/>
    <s v="phone"/>
    <n v="57080.7"/>
    <n v="40"/>
    <x v="0"/>
    <d v="2024-02-15T00:00:00"/>
    <n v="91333.440000000002"/>
    <s v="online"/>
    <s v="WH-A"/>
    <n v="1331"/>
    <d v="2024-02-10T00:00:00"/>
    <n v="4"/>
    <s v="Invalid Date Order"/>
    <s v=""/>
    <x v="0"/>
    <s v=""/>
  </r>
  <r>
    <n v="10170"/>
    <n v="5099"/>
    <s v="Laptop"/>
    <n v="89246.26"/>
    <n v="38"/>
    <x v="2"/>
    <d v="2024-01-15T00:00:00"/>
    <n v="161561.89000000001"/>
    <s v="online"/>
    <s v="WH-A"/>
    <n v="762"/>
    <d v="2024-02-10T00:00:00"/>
    <n v="10"/>
    <s v="Valid"/>
    <n v="26"/>
    <x v="1"/>
    <s v="Delayed"/>
  </r>
  <r>
    <n v="10171"/>
    <n v="5684"/>
    <s v="phone"/>
    <n v="20679.79"/>
    <n v="60"/>
    <x v="2"/>
    <d v="2024-01-15T00:00:00"/>
    <n v="141045.16"/>
    <s v="offline"/>
    <s v="WH-A"/>
    <n v="1440"/>
    <d v="2024-03-10T00:00:00"/>
    <n v="3"/>
    <s v="Valid"/>
    <n v="55"/>
    <x v="1"/>
    <s v="Delayed"/>
  </r>
  <r>
    <n v="10172"/>
    <n v="6896"/>
    <s v="phone"/>
    <n v="79220.539999999994"/>
    <n v="59"/>
    <x v="2"/>
    <d v="2024-04-01T00:00:00"/>
    <n v="99759.87"/>
    <s v="offline"/>
    <s v="WH-C"/>
    <n v="1422"/>
    <d v="2024-04-15T00:00:00"/>
    <n v="8"/>
    <s v="Valid"/>
    <n v="14"/>
    <x v="2"/>
    <s v="Delayed"/>
  </r>
  <r>
    <n v="10173"/>
    <n v="5726"/>
    <s v="phone"/>
    <n v="48332.18"/>
    <n v="10"/>
    <x v="2"/>
    <d v="2024-01-15T00:00:00"/>
    <n v="84773.15"/>
    <s v="Retail"/>
    <s v="WH-B"/>
    <n v="274"/>
    <d v="2024-04-15T00:00:00"/>
    <n v="1"/>
    <s v="Valid"/>
    <n v="91"/>
    <x v="1"/>
    <s v="Delayed"/>
  </r>
  <r>
    <n v="10174"/>
    <n v="6571"/>
    <s v="phone"/>
    <n v="68441.61"/>
    <n v="99"/>
    <x v="1"/>
    <d v="2024-04-01T00:00:00"/>
    <n v="65546.33"/>
    <s v="online"/>
    <s v="WH-A"/>
    <n v="787"/>
    <d v="2024-02-10T00:00:00"/>
    <n v="9"/>
    <s v="Invalid Date Order"/>
    <s v=""/>
    <x v="2"/>
    <s v=""/>
  </r>
  <r>
    <n v="10175"/>
    <n v="5961"/>
    <s v="phone"/>
    <n v="68977.53"/>
    <n v="64"/>
    <x v="1"/>
    <d v="2024-02-15T00:00:00"/>
    <n v="129151.48"/>
    <s v="online"/>
    <s v="WH-B"/>
    <n v="285"/>
    <d v="2024-03-10T00:00:00"/>
    <n v="13"/>
    <s v="Valid"/>
    <n v="24"/>
    <x v="0"/>
    <s v="Delayed"/>
  </r>
  <r>
    <n v="10176"/>
    <n v="6763"/>
    <s v="phone"/>
    <n v="17721.400000000001"/>
    <n v="63"/>
    <x v="2"/>
    <d v="2024-01-15T00:00:00"/>
    <n v="84458.43"/>
    <s v="online"/>
    <s v="WH-A"/>
    <n v="232"/>
    <d v="2024-02-10T00:00:00"/>
    <n v="1"/>
    <s v="Valid"/>
    <n v="26"/>
    <x v="1"/>
    <s v="Delayed"/>
  </r>
  <r>
    <n v="10177"/>
    <n v="5613"/>
    <s v="phone"/>
    <n v="40838.06"/>
    <n v="49"/>
    <x v="0"/>
    <d v="2024-02-15T00:00:00"/>
    <n v="64727.87"/>
    <s v="online"/>
    <s v="WH-A"/>
    <n v="761"/>
    <d v="2024-03-10T00:00:00"/>
    <n v="2"/>
    <s v="Valid"/>
    <n v="24"/>
    <x v="0"/>
    <s v="Delayed"/>
  </r>
  <r>
    <n v="10178"/>
    <n v="6967"/>
    <s v="Laptop"/>
    <n v="72202.740000000005"/>
    <n v="64"/>
    <x v="1"/>
    <d v="2024-01-15T00:00:00"/>
    <n v="108302.95"/>
    <s v="online"/>
    <s v="WH-A"/>
    <n v="493"/>
    <d v="2024-02-10T00:00:00"/>
    <n v="13"/>
    <s v="Valid"/>
    <n v="26"/>
    <x v="1"/>
    <s v="Delayed"/>
  </r>
  <r>
    <n v="10179"/>
    <n v="6486"/>
    <s v="Laptop"/>
    <n v="41541.589999999997"/>
    <n v="32"/>
    <x v="3"/>
    <d v="2024-01-15T00:00:00"/>
    <n v="97384.46"/>
    <s v="Retail"/>
    <s v="WH-A"/>
    <n v="672"/>
    <d v="2024-03-10T00:00:00"/>
    <n v="8"/>
    <s v="Valid"/>
    <n v="55"/>
    <x v="1"/>
    <s v="Delayed"/>
  </r>
  <r>
    <n v="10180"/>
    <n v="5643"/>
    <s v="phone"/>
    <n v="99826.66"/>
    <n v="7"/>
    <x v="1"/>
    <d v="2024-04-01T00:00:00"/>
    <n v="133246.69"/>
    <s v="online"/>
    <s v="WH-A"/>
    <n v="1079"/>
    <d v="2024-03-10T00:00:00"/>
    <n v="9"/>
    <s v="Invalid Date Order"/>
    <s v=""/>
    <x v="2"/>
    <s v=""/>
  </r>
  <r>
    <n v="10181"/>
    <n v="6793"/>
    <s v="phone"/>
    <n v="70273.509999999995"/>
    <n v="21"/>
    <x v="3"/>
    <d v="2024-02-15T00:00:00"/>
    <n v="84777.47"/>
    <s v="offline"/>
    <s v="WH-B"/>
    <n v="1309"/>
    <d v="2024-04-15T00:00:00"/>
    <n v="7"/>
    <s v="Valid"/>
    <n v="60"/>
    <x v="0"/>
    <s v="Delayed"/>
  </r>
  <r>
    <n v="10182"/>
    <n v="6029"/>
    <s v="Laptop"/>
    <n v="10178.51"/>
    <n v="20"/>
    <x v="2"/>
    <d v="2024-01-15T00:00:00"/>
    <n v="59815.5"/>
    <s v="Retail"/>
    <s v="WH-A"/>
    <n v="1200"/>
    <d v="2024-02-10T00:00:00"/>
    <n v="3"/>
    <s v="Valid"/>
    <n v="26"/>
    <x v="1"/>
    <s v="Delayed"/>
  </r>
  <r>
    <n v="10183"/>
    <n v="6242"/>
    <s v="phone"/>
    <n v="8611.19"/>
    <n v="26"/>
    <x v="1"/>
    <d v="2024-03-10T00:00:00"/>
    <n v="120099.41"/>
    <s v="online"/>
    <s v="WH-B"/>
    <n v="1177"/>
    <d v="2024-04-15T00:00:00"/>
    <n v="7"/>
    <s v="Valid"/>
    <n v="36"/>
    <x v="3"/>
    <s v="Delayed"/>
  </r>
  <r>
    <n v="10184"/>
    <n v="5503"/>
    <s v="phone"/>
    <n v="41912.42"/>
    <n v="68"/>
    <x v="0"/>
    <d v="2024-02-15T00:00:00"/>
    <n v="36953.81"/>
    <s v="Retail"/>
    <s v="WH-C"/>
    <n v="798"/>
    <d v="2024-04-15T00:00:00"/>
    <n v="6"/>
    <s v="Valid"/>
    <n v="60"/>
    <x v="0"/>
    <s v="Delayed"/>
  </r>
  <r>
    <n v="10185"/>
    <n v="5767"/>
    <s v="phone"/>
    <n v="48745.07"/>
    <n v="86"/>
    <x v="1"/>
    <d v="2024-02-15T00:00:00"/>
    <n v="28938.43"/>
    <s v="online"/>
    <s v="WH-A"/>
    <n v="204"/>
    <d v="2024-03-10T00:00:00"/>
    <n v="2"/>
    <s v="Valid"/>
    <n v="24"/>
    <x v="0"/>
    <s v="Delayed"/>
  </r>
  <r>
    <n v="10186"/>
    <n v="5398"/>
    <s v="phone"/>
    <n v="13680.2"/>
    <n v="15"/>
    <x v="1"/>
    <d v="2024-02-15T00:00:00"/>
    <n v="93192.14"/>
    <s v="Retail"/>
    <s v="WH-B"/>
    <n v="306"/>
    <d v="2024-02-10T00:00:00"/>
    <n v="3"/>
    <s v="Invalid Date Order"/>
    <s v=""/>
    <x v="0"/>
    <s v=""/>
  </r>
  <r>
    <n v="10187"/>
    <n v="5871"/>
    <s v="phone"/>
    <n v="68777.06"/>
    <n v="85"/>
    <x v="1"/>
    <d v="2024-04-01T00:00:00"/>
    <n v="121673.66"/>
    <s v="online"/>
    <s v="WH-C"/>
    <n v="284"/>
    <d v="2024-03-10T00:00:00"/>
    <n v="11"/>
    <s v="Invalid Date Order"/>
    <s v=""/>
    <x v="2"/>
    <s v=""/>
  </r>
  <r>
    <n v="10188"/>
    <n v="5795"/>
    <s v="phone"/>
    <n v="17211.38"/>
    <n v="79"/>
    <x v="2"/>
    <d v="2024-03-10T00:00:00"/>
    <n v="121814.39"/>
    <s v="online"/>
    <s v="WH-C"/>
    <n v="549"/>
    <d v="2024-03-10T00:00:00"/>
    <n v="13"/>
    <s v="Valid"/>
    <n v="0"/>
    <x v="3"/>
    <s v="On Time"/>
  </r>
  <r>
    <n v="10189"/>
    <n v="5393"/>
    <s v="phone"/>
    <n v="23511.78"/>
    <n v="86"/>
    <x v="0"/>
    <d v="2024-02-15T00:00:00"/>
    <n v="97122.13"/>
    <s v="offline"/>
    <s v="WH-C"/>
    <n v="338"/>
    <d v="2024-03-10T00:00:00"/>
    <n v="12"/>
    <s v="Valid"/>
    <n v="24"/>
    <x v="0"/>
    <s v="Delayed"/>
  </r>
  <r>
    <n v="10190"/>
    <n v="5207"/>
    <s v="phone"/>
    <n v="61844.15"/>
    <n v="92"/>
    <x v="1"/>
    <d v="2024-01-15T00:00:00"/>
    <n v="84163.02"/>
    <s v="online"/>
    <s v="WH-B"/>
    <n v="559"/>
    <d v="2024-02-10T00:00:00"/>
    <n v="13"/>
    <s v="Valid"/>
    <n v="26"/>
    <x v="1"/>
    <s v="Delayed"/>
  </r>
  <r>
    <n v="10191"/>
    <n v="6039"/>
    <s v="phone"/>
    <n v="78392.149999999994"/>
    <n v="14"/>
    <x v="0"/>
    <d v="2024-01-15T00:00:00"/>
    <n v="171960.14"/>
    <s v="Retail"/>
    <s v="WH-A"/>
    <n v="758"/>
    <d v="2024-02-10T00:00:00"/>
    <n v="10"/>
    <s v="Valid"/>
    <n v="26"/>
    <x v="1"/>
    <s v="Delayed"/>
  </r>
  <r>
    <n v="10192"/>
    <n v="6882"/>
    <s v="phone"/>
    <n v="18429.099999999999"/>
    <n v="27"/>
    <x v="2"/>
    <d v="2024-04-01T00:00:00"/>
    <n v="27129.62"/>
    <s v="online"/>
    <s v="WH-A"/>
    <n v="834"/>
    <d v="2024-03-10T00:00:00"/>
    <n v="10"/>
    <s v="Invalid Date Order"/>
    <s v=""/>
    <x v="2"/>
    <s v=""/>
  </r>
  <r>
    <n v="10193"/>
    <n v="6578"/>
    <s v="phone"/>
    <n v="44049.91"/>
    <n v="40"/>
    <x v="3"/>
    <d v="2024-01-15T00:00:00"/>
    <n v="109650.28"/>
    <s v="online"/>
    <s v="WH-B"/>
    <n v="943"/>
    <d v="2024-02-10T00:00:00"/>
    <n v="13"/>
    <s v="Valid"/>
    <n v="26"/>
    <x v="1"/>
    <s v="Delayed"/>
  </r>
  <r>
    <n v="10194"/>
    <n v="5892"/>
    <s v="phone"/>
    <n v="87922.82"/>
    <n v="58"/>
    <x v="1"/>
    <d v="2024-02-15T00:00:00"/>
    <n v="74074.929999999993"/>
    <s v="online"/>
    <s v="WH-A"/>
    <n v="825"/>
    <d v="2024-03-10T00:00:00"/>
    <n v="12"/>
    <s v="Valid"/>
    <n v="24"/>
    <x v="0"/>
    <s v="Delayed"/>
  </r>
  <r>
    <n v="10195"/>
    <n v="6485"/>
    <s v="phone"/>
    <n v="40510.22"/>
    <n v="28"/>
    <x v="0"/>
    <d v="2024-01-15T00:00:00"/>
    <n v="126044.19"/>
    <s v="Retail"/>
    <s v="WH-B"/>
    <n v="347"/>
    <d v="2024-02-10T00:00:00"/>
    <n v="5"/>
    <s v="Valid"/>
    <n v="26"/>
    <x v="1"/>
    <s v="Delayed"/>
  </r>
  <r>
    <n v="10196"/>
    <n v="6715"/>
    <s v="phone"/>
    <n v="15960.7"/>
    <n v="26"/>
    <x v="0"/>
    <d v="2024-02-15T00:00:00"/>
    <n v="21690.6"/>
    <s v="offline"/>
    <s v="WH-A"/>
    <n v="186"/>
    <d v="2024-02-10T00:00:00"/>
    <n v="10"/>
    <s v="Invalid Date Order"/>
    <s v=""/>
    <x v="0"/>
    <s v=""/>
  </r>
  <r>
    <n v="10197"/>
    <n v="6599"/>
    <s v="Laptop"/>
    <n v="53282.48"/>
    <n v="63"/>
    <x v="2"/>
    <d v="2024-01-15T00:00:00"/>
    <n v="76981.97"/>
    <s v="online"/>
    <s v="WH-C"/>
    <n v="425"/>
    <d v="2024-04-15T00:00:00"/>
    <n v="4"/>
    <s v="Valid"/>
    <n v="91"/>
    <x v="1"/>
    <s v="Delayed"/>
  </r>
  <r>
    <n v="10198"/>
    <n v="5864"/>
    <s v="phone"/>
    <n v="15559.16"/>
    <n v="66"/>
    <x v="1"/>
    <d v="2024-03-10T00:00:00"/>
    <n v="30410.94"/>
    <s v="offline"/>
    <s v="WH-A"/>
    <n v="136"/>
    <d v="2024-03-10T00:00:00"/>
    <n v="2"/>
    <s v="Valid"/>
    <n v="0"/>
    <x v="3"/>
    <s v="On Time"/>
  </r>
  <r>
    <n v="10199"/>
    <n v="5743"/>
    <s v="phone"/>
    <n v="75450.42"/>
    <n v="25"/>
    <x v="3"/>
    <d v="2024-04-01T00:00:00"/>
    <n v="162123.01"/>
    <s v="online"/>
    <s v="WH-B"/>
    <n v="1492"/>
    <d v="2024-04-15T00:00:00"/>
    <n v="4"/>
    <s v="Valid"/>
    <n v="14"/>
    <x v="2"/>
    <s v="Delayed"/>
  </r>
  <r>
    <n v="10200"/>
    <n v="6265"/>
    <s v="phone"/>
    <n v="26334.99"/>
    <n v="3"/>
    <x v="0"/>
    <d v="2024-04-01T00:00:00"/>
    <n v="62722.57"/>
    <s v="Retail"/>
    <s v="WH-B"/>
    <n v="1272"/>
    <d v="2024-04-15T00:00:00"/>
    <n v="12"/>
    <s v="Valid"/>
    <n v="14"/>
    <x v="2"/>
    <s v="Delayed"/>
  </r>
  <r>
    <n v="10201"/>
    <n v="5564"/>
    <s v="phone"/>
    <n v="87373.72"/>
    <n v="72"/>
    <x v="1"/>
    <d v="2024-03-10T00:00:00"/>
    <n v="127914.06"/>
    <s v="offline"/>
    <s v="WH-C"/>
    <n v="486"/>
    <d v="2024-03-10T00:00:00"/>
    <n v="8"/>
    <s v="Valid"/>
    <n v="0"/>
    <x v="3"/>
    <s v="On Time"/>
  </r>
  <r>
    <n v="10202"/>
    <n v="6021"/>
    <s v="phone"/>
    <n v="23459.41"/>
    <n v="44"/>
    <x v="3"/>
    <d v="2024-03-10T00:00:00"/>
    <n v="17464.53"/>
    <s v="online"/>
    <s v="WH-B"/>
    <n v="1383"/>
    <d v="2024-03-10T00:00:00"/>
    <n v="5"/>
    <s v="Valid"/>
    <n v="0"/>
    <x v="3"/>
    <s v="On Time"/>
  </r>
  <r>
    <n v="10203"/>
    <n v="5096"/>
    <s v="phone"/>
    <n v="31512.18"/>
    <n v="97"/>
    <x v="0"/>
    <d v="2024-04-01T00:00:00"/>
    <n v="19864.27"/>
    <s v="online"/>
    <s v="WH-A"/>
    <n v="1354"/>
    <d v="2024-02-10T00:00:00"/>
    <n v="5"/>
    <s v="Invalid Date Order"/>
    <s v=""/>
    <x v="2"/>
    <s v=""/>
  </r>
  <r>
    <n v="10204"/>
    <n v="6924"/>
    <s v="Laptop"/>
    <n v="33443.919999999998"/>
    <n v="42"/>
    <x v="0"/>
    <d v="2024-03-10T00:00:00"/>
    <n v="20904.95"/>
    <s v="online"/>
    <s v="WH-A"/>
    <n v="1396"/>
    <d v="2024-03-10T00:00:00"/>
    <n v="13"/>
    <s v="Valid"/>
    <n v="0"/>
    <x v="3"/>
    <s v="On Time"/>
  </r>
  <r>
    <n v="10205"/>
    <n v="6758"/>
    <s v="Laptop"/>
    <n v="33859.980000000003"/>
    <n v="99"/>
    <x v="3"/>
    <d v="2024-02-15T00:00:00"/>
    <n v="85958.9"/>
    <s v="online"/>
    <s v="WH-C"/>
    <n v="813"/>
    <d v="2024-04-15T00:00:00"/>
    <n v="12"/>
    <s v="Valid"/>
    <n v="60"/>
    <x v="0"/>
    <s v="Delayed"/>
  </r>
  <r>
    <n v="10206"/>
    <n v="5485"/>
    <s v="phone"/>
    <n v="26980.97"/>
    <n v="6"/>
    <x v="3"/>
    <d v="2024-01-15T00:00:00"/>
    <n v="142516.35"/>
    <s v="online"/>
    <s v="WH-B"/>
    <n v="751"/>
    <d v="2024-04-15T00:00:00"/>
    <n v="12"/>
    <s v="Valid"/>
    <n v="91"/>
    <x v="1"/>
    <s v="Delayed"/>
  </r>
  <r>
    <n v="10207"/>
    <n v="6431"/>
    <s v="Laptop"/>
    <n v="17556.240000000002"/>
    <n v="39"/>
    <x v="2"/>
    <d v="2024-04-01T00:00:00"/>
    <n v="165724.37"/>
    <s v="Retail"/>
    <s v="WH-C"/>
    <n v="991"/>
    <d v="2024-03-10T00:00:00"/>
    <n v="10"/>
    <s v="Invalid Date Order"/>
    <s v=""/>
    <x v="2"/>
    <s v=""/>
  </r>
  <r>
    <n v="10208"/>
    <n v="5231"/>
    <s v="phone"/>
    <n v="21081.58"/>
    <n v="52"/>
    <x v="1"/>
    <d v="2024-03-10T00:00:00"/>
    <n v="81779.360000000001"/>
    <s v="offline"/>
    <s v="WH-A"/>
    <n v="201"/>
    <d v="2024-04-15T00:00:00"/>
    <n v="3"/>
    <s v="Valid"/>
    <n v="36"/>
    <x v="3"/>
    <s v="Delayed"/>
  </r>
  <r>
    <n v="10209"/>
    <n v="5749"/>
    <s v="phone"/>
    <n v="77602.34"/>
    <n v="23"/>
    <x v="1"/>
    <d v="2024-02-15T00:00:00"/>
    <n v="140996.92000000001"/>
    <s v="online"/>
    <s v="WH-C"/>
    <n v="1375"/>
    <d v="2024-02-10T00:00:00"/>
    <n v="13"/>
    <s v="Invalid Date Order"/>
    <s v=""/>
    <x v="0"/>
    <s v=""/>
  </r>
  <r>
    <n v="10210"/>
    <n v="6679"/>
    <s v="Laptop"/>
    <n v="27148.92"/>
    <n v="89"/>
    <x v="2"/>
    <d v="2024-04-01T00:00:00"/>
    <n v="103310.96"/>
    <s v="online"/>
    <s v="WH-B"/>
    <n v="1351"/>
    <d v="2024-04-15T00:00:00"/>
    <n v="8"/>
    <s v="Valid"/>
    <n v="14"/>
    <x v="2"/>
    <s v="Delayed"/>
  </r>
  <r>
    <n v="10211"/>
    <n v="6195"/>
    <s v="phone"/>
    <n v="68361.100000000006"/>
    <n v="50"/>
    <x v="0"/>
    <d v="2024-03-10T00:00:00"/>
    <n v="90132.57"/>
    <s v="online"/>
    <s v="WH-C"/>
    <n v="1081"/>
    <d v="2024-02-10T00:00:00"/>
    <n v="6"/>
    <s v="Invalid Date Order"/>
    <s v=""/>
    <x v="3"/>
    <s v=""/>
  </r>
  <r>
    <n v="10212"/>
    <n v="5541"/>
    <s v="phone"/>
    <n v="32646.74"/>
    <n v="43"/>
    <x v="3"/>
    <d v="2024-04-01T00:00:00"/>
    <n v="95828.55"/>
    <s v="offline"/>
    <s v="WH-B"/>
    <n v="856"/>
    <d v="2024-04-15T00:00:00"/>
    <n v="2"/>
    <s v="Valid"/>
    <n v="14"/>
    <x v="2"/>
    <s v="Delayed"/>
  </r>
  <r>
    <n v="10213"/>
    <n v="6060"/>
    <s v="phone"/>
    <n v="57407.24"/>
    <n v="19"/>
    <x v="3"/>
    <d v="2024-03-10T00:00:00"/>
    <n v="64189.79"/>
    <s v="online"/>
    <s v="WH-B"/>
    <n v="284"/>
    <d v="2024-02-10T00:00:00"/>
    <n v="2"/>
    <s v="Invalid Date Order"/>
    <s v=""/>
    <x v="3"/>
    <s v=""/>
  </r>
  <r>
    <n v="10214"/>
    <n v="5525"/>
    <s v="phone"/>
    <n v="9144.77"/>
    <n v="69"/>
    <x v="3"/>
    <d v="2024-04-01T00:00:00"/>
    <n v="57188.38"/>
    <s v="online"/>
    <s v="WH-A"/>
    <n v="724"/>
    <d v="2024-02-10T00:00:00"/>
    <n v="9"/>
    <s v="Invalid Date Order"/>
    <s v=""/>
    <x v="2"/>
    <s v=""/>
  </r>
  <r>
    <n v="10215"/>
    <n v="6184"/>
    <s v="phone"/>
    <n v="19647.22"/>
    <n v="51"/>
    <x v="0"/>
    <d v="2024-02-15T00:00:00"/>
    <n v="63944.49"/>
    <s v="offline"/>
    <s v="WH-A"/>
    <n v="610"/>
    <d v="2024-03-10T00:00:00"/>
    <n v="13"/>
    <s v="Valid"/>
    <n v="24"/>
    <x v="0"/>
    <s v="Delayed"/>
  </r>
  <r>
    <n v="10216"/>
    <n v="6863"/>
    <s v="Laptop"/>
    <n v="80684.77"/>
    <n v="11"/>
    <x v="3"/>
    <d v="2024-02-15T00:00:00"/>
    <n v="21488.15"/>
    <s v="Retail"/>
    <s v="WH-A"/>
    <n v="1375"/>
    <d v="2024-02-10T00:00:00"/>
    <n v="7"/>
    <s v="Invalid Date Order"/>
    <s v=""/>
    <x v="0"/>
    <s v=""/>
  </r>
  <r>
    <n v="10217"/>
    <n v="6723"/>
    <s v="phone"/>
    <n v="90640.78"/>
    <n v="12"/>
    <x v="3"/>
    <d v="2024-01-15T00:00:00"/>
    <n v="122412.98"/>
    <s v="Retail"/>
    <s v="WH-B"/>
    <n v="87"/>
    <d v="2024-03-10T00:00:00"/>
    <n v="10"/>
    <s v="Valid"/>
    <n v="55"/>
    <x v="1"/>
    <s v="Delayed"/>
  </r>
  <r>
    <n v="10218"/>
    <n v="6267"/>
    <s v="phone"/>
    <n v="51994.68"/>
    <n v="74"/>
    <x v="2"/>
    <d v="2024-04-01T00:00:00"/>
    <n v="14504.2"/>
    <s v="Retail"/>
    <s v="WH-C"/>
    <n v="1209"/>
    <d v="2024-04-15T00:00:00"/>
    <n v="9"/>
    <s v="Valid"/>
    <n v="14"/>
    <x v="2"/>
    <s v="Delayed"/>
  </r>
  <r>
    <n v="10219"/>
    <n v="6110"/>
    <s v="phone"/>
    <n v="25642.82"/>
    <n v="8"/>
    <x v="0"/>
    <d v="2024-01-15T00:00:00"/>
    <n v="41413.54"/>
    <s v="online"/>
    <s v="WH-B"/>
    <n v="871"/>
    <d v="2024-04-15T00:00:00"/>
    <n v="14"/>
    <s v="Valid"/>
    <n v="91"/>
    <x v="1"/>
    <s v="Delayed"/>
  </r>
  <r>
    <n v="10220"/>
    <n v="6820"/>
    <s v="Laptop"/>
    <n v="13598.96"/>
    <n v="24"/>
    <x v="1"/>
    <d v="2024-04-01T00:00:00"/>
    <n v="118196.56"/>
    <s v="offline"/>
    <s v="WH-A"/>
    <n v="470"/>
    <d v="2024-04-15T00:00:00"/>
    <n v="6"/>
    <s v="Valid"/>
    <n v="14"/>
    <x v="2"/>
    <s v="Delayed"/>
  </r>
  <r>
    <n v="10221"/>
    <n v="5578"/>
    <s v="phone"/>
    <n v="93358.2"/>
    <n v="92"/>
    <x v="2"/>
    <d v="2024-03-10T00:00:00"/>
    <n v="146184.85"/>
    <s v="offline"/>
    <s v="WH-A"/>
    <n v="1292"/>
    <d v="2024-02-10T00:00:00"/>
    <n v="5"/>
    <s v="Invalid Date Order"/>
    <s v=""/>
    <x v="3"/>
    <s v=""/>
  </r>
  <r>
    <n v="10222"/>
    <n v="5682"/>
    <s v="Laptop"/>
    <n v="70996.070000000007"/>
    <n v="41"/>
    <x v="2"/>
    <d v="2024-03-10T00:00:00"/>
    <n v="136508.85999999999"/>
    <s v="online"/>
    <s v="WH-C"/>
    <n v="397"/>
    <d v="2024-04-15T00:00:00"/>
    <n v="12"/>
    <s v="Valid"/>
    <n v="36"/>
    <x v="3"/>
    <s v="Delayed"/>
  </r>
  <r>
    <n v="10223"/>
    <n v="5557"/>
    <s v="phone"/>
    <n v="71334.679999999993"/>
    <n v="36"/>
    <x v="1"/>
    <d v="2024-01-15T00:00:00"/>
    <n v="55805.62"/>
    <s v="online"/>
    <s v="WH-A"/>
    <n v="1152"/>
    <d v="2024-04-15T00:00:00"/>
    <n v="1"/>
    <s v="Valid"/>
    <n v="91"/>
    <x v="1"/>
    <s v="Delayed"/>
  </r>
  <r>
    <n v="10224"/>
    <n v="6598"/>
    <s v="phone"/>
    <n v="88923.98"/>
    <n v="85"/>
    <x v="2"/>
    <d v="2024-04-01T00:00:00"/>
    <n v="14214.36"/>
    <s v="online"/>
    <s v="WH-A"/>
    <n v="797"/>
    <d v="2024-03-10T00:00:00"/>
    <n v="12"/>
    <s v="Invalid Date Order"/>
    <s v=""/>
    <x v="2"/>
    <s v=""/>
  </r>
  <r>
    <n v="10225"/>
    <n v="6977"/>
    <s v="phone"/>
    <n v="53117.62"/>
    <n v="72"/>
    <x v="0"/>
    <d v="2024-01-15T00:00:00"/>
    <n v="60436.6"/>
    <s v="offline"/>
    <s v="WH-A"/>
    <n v="322"/>
    <d v="2024-03-10T00:00:00"/>
    <n v="6"/>
    <s v="Valid"/>
    <n v="55"/>
    <x v="1"/>
    <s v="Delayed"/>
  </r>
  <r>
    <n v="10226"/>
    <n v="6013"/>
    <s v="phone"/>
    <n v="28633.759999999998"/>
    <n v="55"/>
    <x v="3"/>
    <d v="2024-02-15T00:00:00"/>
    <n v="84027.23"/>
    <s v="online"/>
    <s v="WH-C"/>
    <n v="1234"/>
    <d v="2024-04-15T00:00:00"/>
    <n v="6"/>
    <s v="Valid"/>
    <n v="60"/>
    <x v="0"/>
    <s v="Delayed"/>
  </r>
  <r>
    <n v="10227"/>
    <n v="5646"/>
    <s v="phone"/>
    <n v="59846.61"/>
    <n v="9"/>
    <x v="0"/>
    <d v="2024-01-15T00:00:00"/>
    <n v="159307.81"/>
    <s v="offline"/>
    <s v="WH-B"/>
    <n v="357"/>
    <d v="2024-04-15T00:00:00"/>
    <n v="3"/>
    <s v="Valid"/>
    <n v="91"/>
    <x v="1"/>
    <s v="Delayed"/>
  </r>
  <r>
    <n v="10228"/>
    <n v="5796"/>
    <s v="Laptop"/>
    <n v="14957.19"/>
    <n v="47"/>
    <x v="1"/>
    <d v="2024-01-15T00:00:00"/>
    <n v="49851.81"/>
    <s v="offline"/>
    <s v="WH-A"/>
    <n v="1447"/>
    <d v="2024-02-10T00:00:00"/>
    <n v="3"/>
    <s v="Valid"/>
    <n v="26"/>
    <x v="1"/>
    <s v="Delayed"/>
  </r>
  <r>
    <n v="10229"/>
    <n v="6052"/>
    <s v="phone"/>
    <n v="35662.47"/>
    <n v="15"/>
    <x v="1"/>
    <d v="2024-03-10T00:00:00"/>
    <n v="87552.22"/>
    <s v="Retail"/>
    <s v="WH-C"/>
    <n v="1025"/>
    <d v="2024-02-10T00:00:00"/>
    <n v="3"/>
    <s v="Invalid Date Order"/>
    <s v=""/>
    <x v="3"/>
    <s v=""/>
  </r>
  <r>
    <n v="10230"/>
    <n v="6644"/>
    <s v="Laptop"/>
    <n v="39420.58"/>
    <n v="48"/>
    <x v="2"/>
    <d v="2024-01-15T00:00:00"/>
    <n v="140696.75"/>
    <s v="online"/>
    <s v="WH-A"/>
    <n v="782"/>
    <d v="2024-04-15T00:00:00"/>
    <n v="3"/>
    <s v="Valid"/>
    <n v="91"/>
    <x v="1"/>
    <s v="Delayed"/>
  </r>
  <r>
    <n v="10231"/>
    <n v="6580"/>
    <s v="phone"/>
    <n v="72658.880000000005"/>
    <n v="82"/>
    <x v="0"/>
    <d v="2024-04-01T00:00:00"/>
    <n v="53726.49"/>
    <s v="Retail"/>
    <s v="WH-C"/>
    <n v="1082"/>
    <d v="2024-03-10T00:00:00"/>
    <n v="7"/>
    <s v="Invalid Date Order"/>
    <s v=""/>
    <x v="2"/>
    <s v=""/>
  </r>
  <r>
    <n v="10232"/>
    <n v="6364"/>
    <s v="Laptop"/>
    <n v="39656.57"/>
    <n v="42"/>
    <x v="0"/>
    <d v="2024-03-10T00:00:00"/>
    <n v="84637.86"/>
    <s v="online"/>
    <s v="WH-A"/>
    <n v="493"/>
    <d v="2024-04-15T00:00:00"/>
    <n v="10"/>
    <s v="Valid"/>
    <n v="36"/>
    <x v="3"/>
    <s v="Delayed"/>
  </r>
  <r>
    <n v="10233"/>
    <n v="6822"/>
    <s v="phone"/>
    <n v="43456.36"/>
    <n v="60"/>
    <x v="1"/>
    <d v="2024-01-15T00:00:00"/>
    <n v="117895.19"/>
    <s v="online"/>
    <s v="WH-C"/>
    <n v="1186"/>
    <d v="2024-02-10T00:00:00"/>
    <n v="11"/>
    <s v="Valid"/>
    <n v="26"/>
    <x v="1"/>
    <s v="Delayed"/>
  </r>
  <r>
    <n v="10234"/>
    <n v="6982"/>
    <s v="phone"/>
    <n v="31986.25"/>
    <n v="84"/>
    <x v="0"/>
    <d v="2024-02-15T00:00:00"/>
    <n v="80804.009999999995"/>
    <s v="online"/>
    <s v="WH-A"/>
    <n v="1278"/>
    <d v="2024-03-10T00:00:00"/>
    <n v="2"/>
    <s v="Valid"/>
    <n v="24"/>
    <x v="0"/>
    <s v="Delayed"/>
  </r>
  <r>
    <n v="10235"/>
    <n v="6355"/>
    <s v="Laptop"/>
    <n v="46883.07"/>
    <n v="70"/>
    <x v="1"/>
    <d v="2024-01-15T00:00:00"/>
    <n v="103931.33"/>
    <s v="offline"/>
    <s v="WH-B"/>
    <n v="454"/>
    <d v="2024-03-10T00:00:00"/>
    <n v="10"/>
    <s v="Valid"/>
    <n v="55"/>
    <x v="1"/>
    <s v="Delayed"/>
  </r>
  <r>
    <n v="10236"/>
    <n v="6664"/>
    <s v="phone"/>
    <n v="60198.9"/>
    <n v="12"/>
    <x v="0"/>
    <d v="2024-01-15T00:00:00"/>
    <n v="170121.37"/>
    <s v="offline"/>
    <s v="WH-A"/>
    <n v="902"/>
    <d v="2024-02-10T00:00:00"/>
    <n v="13"/>
    <s v="Valid"/>
    <n v="26"/>
    <x v="1"/>
    <s v="Delayed"/>
  </r>
  <r>
    <n v="10237"/>
    <n v="6530"/>
    <s v="phone"/>
    <n v="65839.5"/>
    <n v="2"/>
    <x v="0"/>
    <d v="2024-01-15T00:00:00"/>
    <n v="126438.86"/>
    <s v="offline"/>
    <s v="WH-C"/>
    <n v="1270"/>
    <d v="2024-04-15T00:00:00"/>
    <n v="10"/>
    <s v="Valid"/>
    <n v="91"/>
    <x v="1"/>
    <s v="Delayed"/>
  </r>
  <r>
    <n v="10238"/>
    <n v="6372"/>
    <s v="phone"/>
    <n v="29707.01"/>
    <n v="7"/>
    <x v="0"/>
    <d v="2024-03-10T00:00:00"/>
    <n v="61838.49"/>
    <s v="online"/>
    <s v="WH-A"/>
    <n v="827"/>
    <d v="2024-04-15T00:00:00"/>
    <n v="2"/>
    <s v="Valid"/>
    <n v="36"/>
    <x v="3"/>
    <s v="Delayed"/>
  </r>
  <r>
    <n v="10239"/>
    <n v="6497"/>
    <s v="phone"/>
    <n v="64444.54"/>
    <n v="80"/>
    <x v="1"/>
    <d v="2024-04-01T00:00:00"/>
    <n v="128465.96"/>
    <s v="Retail"/>
    <s v="WH-B"/>
    <n v="164"/>
    <d v="2024-04-15T00:00:00"/>
    <n v="3"/>
    <s v="Valid"/>
    <n v="14"/>
    <x v="2"/>
    <s v="Delayed"/>
  </r>
  <r>
    <n v="10240"/>
    <n v="6255"/>
    <s v="phone"/>
    <n v="85451.05"/>
    <n v="3"/>
    <x v="2"/>
    <d v="2024-02-15T00:00:00"/>
    <n v="62200.87"/>
    <s v="offline"/>
    <s v="WH-A"/>
    <n v="1194"/>
    <d v="2024-02-10T00:00:00"/>
    <n v="10"/>
    <s v="Invalid Date Order"/>
    <s v=""/>
    <x v="0"/>
    <s v=""/>
  </r>
  <r>
    <n v="10241"/>
    <n v="5190"/>
    <s v="phone"/>
    <n v="90138.09"/>
    <n v="3"/>
    <x v="0"/>
    <d v="2024-01-15T00:00:00"/>
    <n v="60922.38"/>
    <s v="Retail"/>
    <s v="WH-C"/>
    <n v="114"/>
    <d v="2024-03-10T00:00:00"/>
    <n v="12"/>
    <s v="Valid"/>
    <n v="55"/>
    <x v="1"/>
    <s v="Delayed"/>
  </r>
  <r>
    <n v="10242"/>
    <n v="6249"/>
    <s v="phone"/>
    <n v="58093.760000000002"/>
    <n v="27"/>
    <x v="1"/>
    <d v="2024-04-01T00:00:00"/>
    <n v="26138.32"/>
    <s v="Retail"/>
    <s v="WH-C"/>
    <n v="1349"/>
    <d v="2024-02-10T00:00:00"/>
    <n v="7"/>
    <s v="Invalid Date Order"/>
    <s v=""/>
    <x v="2"/>
    <s v=""/>
  </r>
  <r>
    <n v="10243"/>
    <n v="6409"/>
    <s v="Laptop"/>
    <n v="65067.56"/>
    <n v="40"/>
    <x v="1"/>
    <d v="2024-04-01T00:00:00"/>
    <n v="62454.19"/>
    <s v="Retail"/>
    <s v="WH-B"/>
    <n v="874"/>
    <d v="2024-04-15T00:00:00"/>
    <n v="3"/>
    <s v="Valid"/>
    <n v="14"/>
    <x v="2"/>
    <s v="Delayed"/>
  </r>
  <r>
    <n v="10244"/>
    <n v="6401"/>
    <s v="phone"/>
    <n v="32880.720000000001"/>
    <n v="33"/>
    <x v="0"/>
    <d v="2024-03-10T00:00:00"/>
    <n v="29596.46"/>
    <s v="online"/>
    <s v="WH-C"/>
    <n v="288"/>
    <d v="2024-02-10T00:00:00"/>
    <n v="7"/>
    <s v="Invalid Date Order"/>
    <s v=""/>
    <x v="3"/>
    <s v=""/>
  </r>
  <r>
    <n v="10245"/>
    <n v="6307"/>
    <s v="phone"/>
    <n v="91260.28"/>
    <n v="92"/>
    <x v="0"/>
    <d v="2024-02-15T00:00:00"/>
    <n v="87813.74"/>
    <s v="online"/>
    <s v="WH-A"/>
    <n v="351"/>
    <d v="2024-03-10T00:00:00"/>
    <n v="9"/>
    <s v="Valid"/>
    <n v="24"/>
    <x v="0"/>
    <s v="Delayed"/>
  </r>
  <r>
    <n v="10246"/>
    <n v="6982"/>
    <s v="phone"/>
    <n v="46670.25"/>
    <n v="1"/>
    <x v="2"/>
    <d v="2024-03-10T00:00:00"/>
    <n v="42906.84"/>
    <s v="online"/>
    <s v="WH-A"/>
    <n v="1465"/>
    <d v="2024-02-10T00:00:00"/>
    <n v="11"/>
    <s v="Invalid Date Order"/>
    <s v=""/>
    <x v="3"/>
    <s v=""/>
  </r>
  <r>
    <n v="10247"/>
    <n v="5633"/>
    <s v="Laptop"/>
    <n v="14005.86"/>
    <n v="8"/>
    <x v="1"/>
    <d v="2024-04-01T00:00:00"/>
    <n v="79834.64"/>
    <s v="online"/>
    <s v="WH-A"/>
    <n v="1018"/>
    <d v="2024-04-15T00:00:00"/>
    <n v="10"/>
    <s v="Valid"/>
    <n v="14"/>
    <x v="2"/>
    <s v="Delayed"/>
  </r>
  <r>
    <n v="10248"/>
    <n v="5628"/>
    <s v="Laptop"/>
    <n v="89827.9"/>
    <n v="32"/>
    <x v="1"/>
    <d v="2024-04-01T00:00:00"/>
    <n v="22007.83"/>
    <s v="Retail"/>
    <s v="WH-C"/>
    <n v="418"/>
    <d v="2024-03-10T00:00:00"/>
    <n v="12"/>
    <s v="Invalid Date Order"/>
    <s v=""/>
    <x v="2"/>
    <s v=""/>
  </r>
  <r>
    <n v="10249"/>
    <n v="5973"/>
    <s v="phone"/>
    <n v="71165.600000000006"/>
    <n v="48"/>
    <x v="3"/>
    <d v="2024-04-01T00:00:00"/>
    <n v="147171.1"/>
    <s v="online"/>
    <s v="WH-A"/>
    <n v="282"/>
    <d v="2024-02-10T00:00:00"/>
    <n v="11"/>
    <s v="Invalid Date Order"/>
    <s v=""/>
    <x v="2"/>
    <s v=""/>
  </r>
  <r>
    <n v="10250"/>
    <n v="6769"/>
    <s v="phone"/>
    <n v="26758.58"/>
    <n v="4"/>
    <x v="1"/>
    <d v="2024-03-10T00:00:00"/>
    <n v="51850.33"/>
    <s v="Retail"/>
    <s v="WH-A"/>
    <n v="244"/>
    <d v="2024-02-10T00:00:00"/>
    <n v="4"/>
    <s v="Invalid Date Order"/>
    <s v=""/>
    <x v="3"/>
    <s v=""/>
  </r>
  <r>
    <n v="10251"/>
    <n v="6283"/>
    <s v="phone"/>
    <n v="54803.360000000001"/>
    <n v="94"/>
    <x v="2"/>
    <d v="2024-02-15T00:00:00"/>
    <n v="83306.38"/>
    <s v="online"/>
    <s v="WH-A"/>
    <n v="956"/>
    <d v="2024-03-10T00:00:00"/>
    <n v="7"/>
    <s v="Valid"/>
    <n v="24"/>
    <x v="0"/>
    <s v="Delayed"/>
  </r>
  <r>
    <n v="10252"/>
    <n v="6383"/>
    <s v="phone"/>
    <n v="24990.12"/>
    <n v="70"/>
    <x v="3"/>
    <d v="2024-01-15T00:00:00"/>
    <n v="85614.43"/>
    <s v="online"/>
    <s v="WH-B"/>
    <n v="1085"/>
    <d v="2024-03-10T00:00:00"/>
    <n v="9"/>
    <s v="Valid"/>
    <n v="55"/>
    <x v="1"/>
    <s v="Delayed"/>
  </r>
  <r>
    <n v="10253"/>
    <n v="5710"/>
    <s v="phone"/>
    <n v="17296.29"/>
    <n v="19"/>
    <x v="3"/>
    <d v="2024-03-10T00:00:00"/>
    <n v="151512.57"/>
    <s v="online"/>
    <s v="WH-C"/>
    <n v="970"/>
    <d v="2024-04-15T00:00:00"/>
    <n v="14"/>
    <s v="Valid"/>
    <n v="36"/>
    <x v="3"/>
    <s v="Delayed"/>
  </r>
  <r>
    <n v="10254"/>
    <n v="6480"/>
    <s v="phone"/>
    <n v="82532.350000000006"/>
    <n v="32"/>
    <x v="3"/>
    <d v="2024-04-01T00:00:00"/>
    <n v="176931.34"/>
    <s v="offline"/>
    <s v="WH-C"/>
    <n v="738"/>
    <d v="2024-03-10T00:00:00"/>
    <n v="8"/>
    <s v="Invalid Date Order"/>
    <s v=""/>
    <x v="2"/>
    <s v=""/>
  </r>
  <r>
    <n v="10255"/>
    <n v="6435"/>
    <s v="phone"/>
    <n v="78717.8"/>
    <n v="9"/>
    <x v="0"/>
    <d v="2024-03-10T00:00:00"/>
    <n v="128870.44"/>
    <s v="Retail"/>
    <s v="WH-C"/>
    <n v="226"/>
    <d v="2024-04-15T00:00:00"/>
    <n v="8"/>
    <s v="Valid"/>
    <n v="36"/>
    <x v="3"/>
    <s v="Delayed"/>
  </r>
  <r>
    <n v="10256"/>
    <n v="5649"/>
    <s v="Laptop"/>
    <n v="30828.799999999999"/>
    <n v="12"/>
    <x v="0"/>
    <d v="2024-04-01T00:00:00"/>
    <n v="105314.07"/>
    <s v="online"/>
    <s v="WH-B"/>
    <n v="266"/>
    <d v="2024-02-10T00:00:00"/>
    <n v="9"/>
    <s v="Invalid Date Order"/>
    <s v=""/>
    <x v="2"/>
    <s v=""/>
  </r>
  <r>
    <n v="10257"/>
    <n v="5318"/>
    <s v="phone"/>
    <n v="87726.8"/>
    <n v="11"/>
    <x v="1"/>
    <d v="2024-01-15T00:00:00"/>
    <n v="29312.23"/>
    <s v="Retail"/>
    <s v="WH-C"/>
    <n v="1084"/>
    <d v="2024-04-15T00:00:00"/>
    <n v="14"/>
    <s v="Valid"/>
    <n v="91"/>
    <x v="1"/>
    <s v="Delayed"/>
  </r>
  <r>
    <n v="10258"/>
    <n v="6701"/>
    <s v="phone"/>
    <n v="50828.21"/>
    <n v="46"/>
    <x v="3"/>
    <d v="2024-01-15T00:00:00"/>
    <n v="85539.25"/>
    <s v="online"/>
    <s v="WH-B"/>
    <n v="679"/>
    <d v="2024-02-10T00:00:00"/>
    <n v="5"/>
    <s v="Valid"/>
    <n v="26"/>
    <x v="1"/>
    <s v="Delayed"/>
  </r>
  <r>
    <n v="10259"/>
    <n v="6249"/>
    <s v="phone"/>
    <n v="48039.43"/>
    <n v="16"/>
    <x v="2"/>
    <d v="2024-02-15T00:00:00"/>
    <n v="127930.26"/>
    <s v="online"/>
    <s v="WH-B"/>
    <n v="213"/>
    <d v="2024-03-10T00:00:00"/>
    <n v="14"/>
    <s v="Valid"/>
    <n v="24"/>
    <x v="0"/>
    <s v="Delayed"/>
  </r>
  <r>
    <n v="10260"/>
    <n v="6843"/>
    <s v="phone"/>
    <n v="89560.86"/>
    <n v="1"/>
    <x v="0"/>
    <d v="2024-04-01T00:00:00"/>
    <n v="52908.73"/>
    <s v="online"/>
    <s v="WH-C"/>
    <n v="102"/>
    <d v="2024-02-10T00:00:00"/>
    <n v="5"/>
    <s v="Invalid Date Order"/>
    <s v=""/>
    <x v="2"/>
    <s v=""/>
  </r>
  <r>
    <n v="10261"/>
    <n v="6258"/>
    <s v="phone"/>
    <n v="38985.86"/>
    <n v="63"/>
    <x v="2"/>
    <d v="2024-02-15T00:00:00"/>
    <n v="36882.89"/>
    <s v="Retail"/>
    <s v="WH-A"/>
    <n v="267"/>
    <d v="2024-03-10T00:00:00"/>
    <n v="3"/>
    <s v="Valid"/>
    <n v="24"/>
    <x v="0"/>
    <s v="Delayed"/>
  </r>
  <r>
    <n v="10262"/>
    <n v="5684"/>
    <s v="phone"/>
    <n v="64579.54"/>
    <n v="21"/>
    <x v="2"/>
    <d v="2024-02-15T00:00:00"/>
    <n v="157603.16"/>
    <s v="online"/>
    <s v="WH-A"/>
    <n v="1048"/>
    <d v="2024-02-10T00:00:00"/>
    <n v="5"/>
    <s v="Invalid Date Order"/>
    <s v=""/>
    <x v="0"/>
    <s v=""/>
  </r>
  <r>
    <n v="10263"/>
    <n v="5664"/>
    <s v="phone"/>
    <n v="58634.86"/>
    <n v="30"/>
    <x v="0"/>
    <d v="2024-01-15T00:00:00"/>
    <n v="147209.69"/>
    <s v="online"/>
    <s v="WH-C"/>
    <n v="873"/>
    <d v="2024-02-10T00:00:00"/>
    <n v="8"/>
    <s v="Valid"/>
    <n v="26"/>
    <x v="1"/>
    <s v="Delayed"/>
  </r>
  <r>
    <n v="10264"/>
    <n v="6999"/>
    <s v="phone"/>
    <n v="42947.78"/>
    <n v="13"/>
    <x v="0"/>
    <d v="2024-03-10T00:00:00"/>
    <n v="48270.44"/>
    <s v="online"/>
    <s v="WH-C"/>
    <n v="1433"/>
    <d v="2024-02-10T00:00:00"/>
    <n v="12"/>
    <s v="Invalid Date Order"/>
    <s v=""/>
    <x v="3"/>
    <s v=""/>
  </r>
  <r>
    <n v="10265"/>
    <n v="6851"/>
    <s v="phone"/>
    <n v="68952.460000000006"/>
    <n v="34"/>
    <x v="0"/>
    <d v="2024-03-10T00:00:00"/>
    <n v="43861.03"/>
    <s v="Retail"/>
    <s v="WH-B"/>
    <n v="434"/>
    <d v="2024-02-10T00:00:00"/>
    <n v="5"/>
    <s v="Invalid Date Order"/>
    <s v=""/>
    <x v="3"/>
    <s v=""/>
  </r>
  <r>
    <n v="10266"/>
    <n v="6398"/>
    <s v="phone"/>
    <n v="30995.22"/>
    <n v="4"/>
    <x v="0"/>
    <d v="2024-02-15T00:00:00"/>
    <n v="34081.58"/>
    <s v="online"/>
    <s v="WH-C"/>
    <n v="105"/>
    <d v="2024-04-15T00:00:00"/>
    <n v="4"/>
    <s v="Valid"/>
    <n v="60"/>
    <x v="0"/>
    <s v="Delayed"/>
  </r>
  <r>
    <n v="10267"/>
    <n v="6696"/>
    <s v="Laptop"/>
    <n v="35765.269999999997"/>
    <n v="28"/>
    <x v="3"/>
    <d v="2024-01-15T00:00:00"/>
    <n v="142199.79"/>
    <s v="offline"/>
    <s v="WH-B"/>
    <n v="167"/>
    <d v="2024-02-10T00:00:00"/>
    <n v="8"/>
    <s v="Valid"/>
    <n v="26"/>
    <x v="1"/>
    <s v="Delayed"/>
  </r>
  <r>
    <n v="10268"/>
    <n v="6632"/>
    <s v="phone"/>
    <n v="21427.79"/>
    <n v="95"/>
    <x v="3"/>
    <d v="2024-04-01T00:00:00"/>
    <n v="99414.56"/>
    <s v="online"/>
    <s v="WH-C"/>
    <n v="949"/>
    <d v="2024-04-15T00:00:00"/>
    <n v="7"/>
    <s v="Valid"/>
    <n v="14"/>
    <x v="2"/>
    <s v="Delayed"/>
  </r>
  <r>
    <n v="10269"/>
    <n v="6496"/>
    <s v="phone"/>
    <n v="67599.37"/>
    <n v="59"/>
    <x v="3"/>
    <d v="2024-03-10T00:00:00"/>
    <n v="167471.26999999999"/>
    <s v="offline"/>
    <s v="WH-A"/>
    <n v="1326"/>
    <d v="2024-03-10T00:00:00"/>
    <n v="14"/>
    <s v="Valid"/>
    <n v="0"/>
    <x v="3"/>
    <s v="On Time"/>
  </r>
  <r>
    <n v="10270"/>
    <n v="6257"/>
    <s v="phone"/>
    <n v="10098.719999999999"/>
    <n v="27"/>
    <x v="3"/>
    <d v="2024-02-15T00:00:00"/>
    <n v="75407.850000000006"/>
    <s v="online"/>
    <s v="WH-A"/>
    <n v="847"/>
    <d v="2024-03-10T00:00:00"/>
    <n v="14"/>
    <s v="Valid"/>
    <n v="24"/>
    <x v="0"/>
    <s v="Delayed"/>
  </r>
  <r>
    <n v="10271"/>
    <n v="6716"/>
    <s v="phone"/>
    <n v="18587.52"/>
    <n v="69"/>
    <x v="1"/>
    <d v="2024-03-10T00:00:00"/>
    <n v="143985.35"/>
    <s v="online"/>
    <s v="WH-C"/>
    <n v="829"/>
    <d v="2024-04-15T00:00:00"/>
    <n v="6"/>
    <s v="Valid"/>
    <n v="36"/>
    <x v="3"/>
    <s v="Delayed"/>
  </r>
  <r>
    <n v="10272"/>
    <n v="6137"/>
    <s v="phone"/>
    <n v="77508.710000000006"/>
    <n v="25"/>
    <x v="3"/>
    <d v="2024-03-10T00:00:00"/>
    <n v="18308.73"/>
    <s v="Retail"/>
    <s v="WH-B"/>
    <n v="1065"/>
    <d v="2024-03-10T00:00:00"/>
    <n v="5"/>
    <s v="Valid"/>
    <n v="0"/>
    <x v="3"/>
    <s v="On Time"/>
  </r>
  <r>
    <n v="10273"/>
    <n v="6854"/>
    <s v="Laptop"/>
    <n v="62834.239999999998"/>
    <n v="3"/>
    <x v="0"/>
    <d v="2024-04-01T00:00:00"/>
    <n v="115166.52"/>
    <s v="offline"/>
    <s v="WH-A"/>
    <n v="852"/>
    <d v="2024-03-10T00:00:00"/>
    <n v="14"/>
    <s v="Invalid Date Order"/>
    <s v=""/>
    <x v="2"/>
    <s v=""/>
  </r>
  <r>
    <n v="10274"/>
    <n v="6521"/>
    <s v="phone"/>
    <n v="81163.77"/>
    <n v="97"/>
    <x v="2"/>
    <d v="2024-01-15T00:00:00"/>
    <n v="170786.42"/>
    <s v="online"/>
    <s v="WH-B"/>
    <n v="894"/>
    <d v="2024-02-10T00:00:00"/>
    <n v="5"/>
    <s v="Valid"/>
    <n v="26"/>
    <x v="1"/>
    <s v="Delayed"/>
  </r>
  <r>
    <n v="10275"/>
    <n v="5442"/>
    <s v="phone"/>
    <n v="38266.89"/>
    <n v="68"/>
    <x v="3"/>
    <d v="2024-04-01T00:00:00"/>
    <n v="175710"/>
    <s v="offline"/>
    <s v="WH-C"/>
    <n v="1253"/>
    <d v="2024-02-10T00:00:00"/>
    <n v="13"/>
    <s v="Invalid Date Order"/>
    <s v=""/>
    <x v="2"/>
    <s v=""/>
  </r>
  <r>
    <n v="10276"/>
    <n v="5564"/>
    <s v="phone"/>
    <n v="17083.23"/>
    <n v="25"/>
    <x v="1"/>
    <d v="2024-01-15T00:00:00"/>
    <n v="102401.25"/>
    <s v="online"/>
    <s v="WH-C"/>
    <n v="1488"/>
    <d v="2024-02-10T00:00:00"/>
    <n v="10"/>
    <s v="Valid"/>
    <n v="26"/>
    <x v="1"/>
    <s v="Delayed"/>
  </r>
  <r>
    <n v="10277"/>
    <n v="6292"/>
    <s v="phone"/>
    <n v="71629.710000000006"/>
    <n v="20"/>
    <x v="0"/>
    <d v="2024-03-10T00:00:00"/>
    <n v="121259.44"/>
    <s v="online"/>
    <s v="WH-A"/>
    <n v="1308"/>
    <d v="2024-04-15T00:00:00"/>
    <n v="2"/>
    <s v="Valid"/>
    <n v="36"/>
    <x v="3"/>
    <s v="Delayed"/>
  </r>
  <r>
    <n v="10278"/>
    <n v="6534"/>
    <s v="phone"/>
    <n v="26794.69"/>
    <n v="34"/>
    <x v="2"/>
    <d v="2024-02-15T00:00:00"/>
    <n v="27334.07"/>
    <s v="online"/>
    <s v="WH-C"/>
    <n v="904"/>
    <d v="2024-04-15T00:00:00"/>
    <n v="13"/>
    <s v="Valid"/>
    <n v="60"/>
    <x v="0"/>
    <s v="Delayed"/>
  </r>
  <r>
    <n v="10279"/>
    <n v="6831"/>
    <s v="Laptop"/>
    <n v="39504.1"/>
    <n v="26"/>
    <x v="2"/>
    <d v="2024-04-01T00:00:00"/>
    <n v="46035.21"/>
    <s v="Retail"/>
    <s v="WH-A"/>
    <n v="757"/>
    <d v="2024-03-10T00:00:00"/>
    <n v="4"/>
    <s v="Invalid Date Order"/>
    <s v=""/>
    <x v="2"/>
    <s v=""/>
  </r>
  <r>
    <n v="10280"/>
    <n v="6410"/>
    <s v="phone"/>
    <n v="41249.15"/>
    <n v="5"/>
    <x v="3"/>
    <d v="2024-01-15T00:00:00"/>
    <n v="142376.72"/>
    <s v="online"/>
    <s v="WH-B"/>
    <n v="1153"/>
    <d v="2024-02-10T00:00:00"/>
    <n v="8"/>
    <s v="Valid"/>
    <n v="26"/>
    <x v="1"/>
    <s v="Delayed"/>
  </r>
  <r>
    <n v="10281"/>
    <n v="6411"/>
    <s v="phone"/>
    <n v="62819.99"/>
    <n v="99"/>
    <x v="2"/>
    <d v="2024-03-10T00:00:00"/>
    <n v="171467.5"/>
    <s v="Retail"/>
    <s v="WH-A"/>
    <n v="71"/>
    <d v="2024-04-15T00:00:00"/>
    <n v="8"/>
    <s v="Valid"/>
    <n v="36"/>
    <x v="3"/>
    <s v="Delayed"/>
  </r>
  <r>
    <n v="10282"/>
    <n v="6137"/>
    <s v="phone"/>
    <n v="80285.02"/>
    <n v="61"/>
    <x v="3"/>
    <d v="2024-01-15T00:00:00"/>
    <n v="133343.32"/>
    <s v="online"/>
    <s v="WH-A"/>
    <n v="892"/>
    <d v="2024-04-15T00:00:00"/>
    <n v="11"/>
    <s v="Valid"/>
    <n v="91"/>
    <x v="1"/>
    <s v="Delayed"/>
  </r>
  <r>
    <n v="10283"/>
    <n v="6637"/>
    <s v="phone"/>
    <n v="52615.53"/>
    <n v="92"/>
    <x v="3"/>
    <d v="2024-01-15T00:00:00"/>
    <n v="87949.18"/>
    <s v="offline"/>
    <s v="WH-B"/>
    <n v="1166"/>
    <d v="2024-02-10T00:00:00"/>
    <n v="1"/>
    <s v="Valid"/>
    <n v="26"/>
    <x v="1"/>
    <s v="Delayed"/>
  </r>
  <r>
    <n v="10284"/>
    <n v="6649"/>
    <s v="phone"/>
    <n v="76978.240000000005"/>
    <n v="93"/>
    <x v="0"/>
    <d v="2024-01-15T00:00:00"/>
    <n v="96814.66"/>
    <s v="Retail"/>
    <s v="WH-A"/>
    <n v="241"/>
    <d v="2024-04-15T00:00:00"/>
    <n v="2"/>
    <s v="Valid"/>
    <n v="91"/>
    <x v="1"/>
    <s v="Delayed"/>
  </r>
  <r>
    <n v="10285"/>
    <n v="5952"/>
    <s v="phone"/>
    <n v="42477.18"/>
    <n v="9"/>
    <x v="0"/>
    <d v="2024-03-10T00:00:00"/>
    <n v="85095.18"/>
    <s v="online"/>
    <s v="WH-A"/>
    <n v="1068"/>
    <d v="2024-02-10T00:00:00"/>
    <n v="5"/>
    <s v="Invalid Date Order"/>
    <s v=""/>
    <x v="3"/>
    <s v=""/>
  </r>
  <r>
    <n v="10286"/>
    <n v="6105"/>
    <s v="Laptop"/>
    <n v="43034.74"/>
    <n v="50"/>
    <x v="1"/>
    <d v="2024-02-15T00:00:00"/>
    <n v="136694.32"/>
    <s v="offline"/>
    <s v="WH-C"/>
    <n v="1176"/>
    <d v="2024-03-10T00:00:00"/>
    <n v="9"/>
    <s v="Valid"/>
    <n v="24"/>
    <x v="0"/>
    <s v="Delayed"/>
  </r>
  <r>
    <n v="10287"/>
    <n v="5699"/>
    <s v="phone"/>
    <n v="82102.240000000005"/>
    <n v="6"/>
    <x v="0"/>
    <d v="2024-02-15T00:00:00"/>
    <n v="108610.56"/>
    <s v="online"/>
    <s v="WH-B"/>
    <n v="445"/>
    <d v="2024-03-10T00:00:00"/>
    <n v="10"/>
    <s v="Valid"/>
    <n v="24"/>
    <x v="0"/>
    <s v="Delayed"/>
  </r>
  <r>
    <n v="10288"/>
    <n v="5113"/>
    <s v="phone"/>
    <n v="76303.66"/>
    <n v="83"/>
    <x v="0"/>
    <d v="2024-02-15T00:00:00"/>
    <n v="107415.38"/>
    <s v="online"/>
    <s v="WH-A"/>
    <n v="1080"/>
    <d v="2024-03-10T00:00:00"/>
    <n v="11"/>
    <s v="Valid"/>
    <n v="24"/>
    <x v="0"/>
    <s v="Delayed"/>
  </r>
  <r>
    <n v="10289"/>
    <n v="5002"/>
    <s v="phone"/>
    <n v="79232.100000000006"/>
    <n v="60"/>
    <x v="3"/>
    <d v="2024-01-15T00:00:00"/>
    <n v="116977.98"/>
    <s v="online"/>
    <s v="WH-B"/>
    <n v="689"/>
    <d v="2024-02-10T00:00:00"/>
    <n v="12"/>
    <s v="Valid"/>
    <n v="26"/>
    <x v="1"/>
    <s v="Delayed"/>
  </r>
  <r>
    <n v="10290"/>
    <n v="5642"/>
    <s v="phone"/>
    <n v="78562.559999999998"/>
    <n v="44"/>
    <x v="0"/>
    <d v="2024-03-10T00:00:00"/>
    <n v="149122.18"/>
    <s v="online"/>
    <s v="WH-B"/>
    <n v="1068"/>
    <d v="2024-04-15T00:00:00"/>
    <n v="13"/>
    <s v="Valid"/>
    <n v="36"/>
    <x v="3"/>
    <s v="Delayed"/>
  </r>
  <r>
    <n v="10291"/>
    <n v="5220"/>
    <s v="phone"/>
    <n v="72161.86"/>
    <n v="11"/>
    <x v="3"/>
    <d v="2024-01-15T00:00:00"/>
    <n v="52873.68"/>
    <s v="online"/>
    <s v="WH-A"/>
    <n v="616"/>
    <d v="2024-03-10T00:00:00"/>
    <n v="11"/>
    <s v="Valid"/>
    <n v="55"/>
    <x v="1"/>
    <s v="Delayed"/>
  </r>
  <r>
    <n v="10292"/>
    <n v="6590"/>
    <s v="phone"/>
    <n v="34299.31"/>
    <n v="66"/>
    <x v="3"/>
    <d v="2024-02-15T00:00:00"/>
    <n v="87781.32"/>
    <s v="offline"/>
    <s v="WH-C"/>
    <n v="280"/>
    <d v="2024-03-10T00:00:00"/>
    <n v="7"/>
    <s v="Valid"/>
    <n v="24"/>
    <x v="0"/>
    <s v="Delayed"/>
  </r>
  <r>
    <n v="10293"/>
    <n v="5855"/>
    <s v="Laptop"/>
    <n v="60875.82"/>
    <n v="47"/>
    <x v="0"/>
    <d v="2024-02-15T00:00:00"/>
    <n v="75945.149999999994"/>
    <s v="online"/>
    <s v="WH-B"/>
    <n v="923"/>
    <d v="2024-03-10T00:00:00"/>
    <n v="10"/>
    <s v="Valid"/>
    <n v="24"/>
    <x v="0"/>
    <s v="Delayed"/>
  </r>
  <r>
    <n v="10294"/>
    <n v="6760"/>
    <s v="phone"/>
    <n v="27417.279999999999"/>
    <n v="73"/>
    <x v="1"/>
    <d v="2024-03-10T00:00:00"/>
    <n v="129952.19"/>
    <s v="Retail"/>
    <s v="WH-A"/>
    <n v="623"/>
    <d v="2024-04-15T00:00:00"/>
    <n v="5"/>
    <s v="Valid"/>
    <n v="36"/>
    <x v="3"/>
    <s v="Delayed"/>
  </r>
  <r>
    <n v="10295"/>
    <n v="6249"/>
    <s v="phone"/>
    <n v="31303.35"/>
    <n v="85"/>
    <x v="1"/>
    <d v="2024-01-15T00:00:00"/>
    <n v="126872.18"/>
    <s v="Retail"/>
    <s v="WH-B"/>
    <n v="289"/>
    <d v="2024-04-15T00:00:00"/>
    <n v="1"/>
    <s v="Valid"/>
    <n v="91"/>
    <x v="1"/>
    <s v="Delayed"/>
  </r>
  <r>
    <n v="10296"/>
    <n v="5385"/>
    <s v="phone"/>
    <n v="32972.15"/>
    <n v="88"/>
    <x v="2"/>
    <d v="2024-04-01T00:00:00"/>
    <n v="42711.85"/>
    <s v="online"/>
    <s v="WH-C"/>
    <n v="139"/>
    <d v="2024-02-10T00:00:00"/>
    <n v="6"/>
    <s v="Invalid Date Order"/>
    <s v=""/>
    <x v="2"/>
    <s v=""/>
  </r>
  <r>
    <n v="10297"/>
    <n v="6427"/>
    <s v="phone"/>
    <n v="15595.08"/>
    <n v="98"/>
    <x v="2"/>
    <d v="2024-04-01T00:00:00"/>
    <n v="78484.92"/>
    <s v="Retail"/>
    <s v="WH-C"/>
    <n v="281"/>
    <d v="2024-03-10T00:00:00"/>
    <n v="12"/>
    <s v="Invalid Date Order"/>
    <s v=""/>
    <x v="2"/>
    <s v=""/>
  </r>
  <r>
    <n v="10298"/>
    <n v="6662"/>
    <s v="Laptop"/>
    <n v="25109.62"/>
    <n v="86"/>
    <x v="0"/>
    <d v="2024-02-15T00:00:00"/>
    <n v="42969"/>
    <s v="online"/>
    <s v="WH-C"/>
    <n v="506"/>
    <d v="2024-04-15T00:00:00"/>
    <n v="8"/>
    <s v="Valid"/>
    <n v="60"/>
    <x v="0"/>
    <s v="Delayed"/>
  </r>
  <r>
    <n v="10299"/>
    <n v="6154"/>
    <s v="phone"/>
    <n v="59249.66"/>
    <n v="3"/>
    <x v="1"/>
    <d v="2024-03-10T00:00:00"/>
    <n v="77404.78"/>
    <s v="offline"/>
    <s v="WH-A"/>
    <n v="282"/>
    <d v="2024-02-10T00:00:00"/>
    <n v="7"/>
    <s v="Invalid Date Order"/>
    <s v=""/>
    <x v="3"/>
    <s v=""/>
  </r>
  <r>
    <n v="10300"/>
    <n v="6077"/>
    <s v="phone"/>
    <n v="92891.34"/>
    <n v="76"/>
    <x v="3"/>
    <d v="2024-01-15T00:00:00"/>
    <n v="137181.70000000001"/>
    <s v="Retail"/>
    <s v="WH-A"/>
    <n v="403"/>
    <d v="2024-03-10T00:00:00"/>
    <n v="2"/>
    <s v="Valid"/>
    <n v="55"/>
    <x v="1"/>
    <s v="Delayed"/>
  </r>
  <r>
    <n v="10301"/>
    <n v="6708"/>
    <s v="phone"/>
    <n v="67372.740000000005"/>
    <n v="92"/>
    <x v="2"/>
    <d v="2024-01-15T00:00:00"/>
    <n v="121255.18"/>
    <s v="Retail"/>
    <s v="WH-C"/>
    <n v="1054"/>
    <d v="2024-04-15T00:00:00"/>
    <n v="12"/>
    <s v="Valid"/>
    <n v="91"/>
    <x v="1"/>
    <s v="Delayed"/>
  </r>
  <r>
    <n v="10302"/>
    <n v="5730"/>
    <s v="phone"/>
    <n v="13866.76"/>
    <n v="30"/>
    <x v="3"/>
    <d v="2024-02-15T00:00:00"/>
    <n v="174239.91"/>
    <s v="online"/>
    <s v="WH-A"/>
    <n v="1406"/>
    <d v="2024-04-15T00:00:00"/>
    <n v="5"/>
    <s v="Valid"/>
    <n v="60"/>
    <x v="0"/>
    <s v="Delayed"/>
  </r>
  <r>
    <n v="10303"/>
    <n v="6696"/>
    <s v="phone"/>
    <n v="42639.06"/>
    <n v="90"/>
    <x v="2"/>
    <d v="2024-02-15T00:00:00"/>
    <n v="38725.269999999997"/>
    <s v="Retail"/>
    <s v="WH-C"/>
    <n v="488"/>
    <d v="2024-02-10T00:00:00"/>
    <n v="14"/>
    <s v="Invalid Date Order"/>
    <s v=""/>
    <x v="0"/>
    <s v=""/>
  </r>
  <r>
    <n v="10304"/>
    <n v="6734"/>
    <s v="phone"/>
    <n v="42664.75"/>
    <n v="21"/>
    <x v="0"/>
    <d v="2024-01-15T00:00:00"/>
    <n v="140510.37"/>
    <s v="online"/>
    <s v="WH-A"/>
    <n v="1448"/>
    <d v="2024-03-10T00:00:00"/>
    <n v="11"/>
    <s v="Valid"/>
    <n v="55"/>
    <x v="1"/>
    <s v="Delayed"/>
  </r>
  <r>
    <n v="10305"/>
    <n v="6440"/>
    <s v="Laptop"/>
    <n v="88124.98"/>
    <n v="28"/>
    <x v="1"/>
    <d v="2024-01-15T00:00:00"/>
    <n v="71689.95"/>
    <s v="offline"/>
    <s v="WH-C"/>
    <n v="1365"/>
    <d v="2024-03-10T00:00:00"/>
    <n v="4"/>
    <s v="Valid"/>
    <n v="55"/>
    <x v="1"/>
    <s v="Delayed"/>
  </r>
  <r>
    <n v="10306"/>
    <n v="5247"/>
    <s v="phone"/>
    <n v="35289.120000000003"/>
    <n v="90"/>
    <x v="2"/>
    <d v="2024-02-15T00:00:00"/>
    <n v="149523.06"/>
    <s v="offline"/>
    <s v="WH-B"/>
    <n v="394"/>
    <d v="2024-04-15T00:00:00"/>
    <n v="9"/>
    <s v="Valid"/>
    <n v="60"/>
    <x v="0"/>
    <s v="Delayed"/>
  </r>
  <r>
    <n v="10307"/>
    <n v="5836"/>
    <s v="Laptop"/>
    <n v="49738.559999999998"/>
    <n v="62"/>
    <x v="1"/>
    <d v="2024-01-15T00:00:00"/>
    <n v="106900.34"/>
    <s v="Retail"/>
    <s v="WH-C"/>
    <n v="713"/>
    <d v="2024-03-10T00:00:00"/>
    <n v="10"/>
    <s v="Valid"/>
    <n v="55"/>
    <x v="1"/>
    <s v="Delayed"/>
  </r>
  <r>
    <n v="10308"/>
    <n v="6463"/>
    <s v="phone"/>
    <n v="12014.68"/>
    <n v="33"/>
    <x v="3"/>
    <d v="2024-04-01T00:00:00"/>
    <n v="137067.57"/>
    <s v="Retail"/>
    <s v="WH-C"/>
    <n v="706"/>
    <d v="2024-02-10T00:00:00"/>
    <n v="1"/>
    <s v="Invalid Date Order"/>
    <s v=""/>
    <x v="2"/>
    <s v=""/>
  </r>
  <r>
    <n v="10309"/>
    <n v="5203"/>
    <s v="phone"/>
    <n v="54182.32"/>
    <n v="85"/>
    <x v="0"/>
    <d v="2024-02-15T00:00:00"/>
    <n v="98464.67"/>
    <s v="online"/>
    <s v="WH-A"/>
    <n v="179"/>
    <d v="2024-04-15T00:00:00"/>
    <n v="12"/>
    <s v="Valid"/>
    <n v="60"/>
    <x v="0"/>
    <s v="Delayed"/>
  </r>
  <r>
    <n v="10310"/>
    <n v="6208"/>
    <s v="phone"/>
    <n v="32215"/>
    <n v="35"/>
    <x v="1"/>
    <d v="2024-01-15T00:00:00"/>
    <n v="62367.05"/>
    <s v="online"/>
    <s v="WH-A"/>
    <n v="190"/>
    <d v="2024-04-15T00:00:00"/>
    <n v="6"/>
    <s v="Valid"/>
    <n v="91"/>
    <x v="1"/>
    <s v="Delayed"/>
  </r>
  <r>
    <n v="10311"/>
    <n v="5123"/>
    <s v="phone"/>
    <n v="82377.62"/>
    <n v="52"/>
    <x v="0"/>
    <d v="2024-02-15T00:00:00"/>
    <n v="129634.79"/>
    <s v="Retail"/>
    <s v="WH-A"/>
    <n v="464"/>
    <d v="2024-02-10T00:00:00"/>
    <n v="3"/>
    <s v="Invalid Date Order"/>
    <s v=""/>
    <x v="0"/>
    <s v=""/>
  </r>
  <r>
    <n v="10312"/>
    <n v="5401"/>
    <s v="phone"/>
    <n v="24081.119999999999"/>
    <n v="34"/>
    <x v="1"/>
    <d v="2024-03-10T00:00:00"/>
    <n v="11611.39"/>
    <s v="Retail"/>
    <s v="WH-A"/>
    <n v="1166"/>
    <d v="2024-04-15T00:00:00"/>
    <n v="11"/>
    <s v="Valid"/>
    <n v="36"/>
    <x v="3"/>
    <s v="Delayed"/>
  </r>
  <r>
    <n v="10313"/>
    <n v="5767"/>
    <s v="phone"/>
    <n v="77437.850000000006"/>
    <n v="41"/>
    <x v="3"/>
    <d v="2024-02-15T00:00:00"/>
    <n v="103867.25"/>
    <s v="online"/>
    <s v="WH-A"/>
    <n v="675"/>
    <d v="2024-03-10T00:00:00"/>
    <n v="9"/>
    <s v="Valid"/>
    <n v="24"/>
    <x v="0"/>
    <s v="Delayed"/>
  </r>
  <r>
    <n v="10314"/>
    <n v="5294"/>
    <s v="phone"/>
    <n v="17674.849999999999"/>
    <n v="51"/>
    <x v="3"/>
    <d v="2024-02-15T00:00:00"/>
    <n v="98736.63"/>
    <s v="online"/>
    <s v="WH-A"/>
    <n v="333"/>
    <d v="2024-03-10T00:00:00"/>
    <n v="5"/>
    <s v="Valid"/>
    <n v="24"/>
    <x v="0"/>
    <s v="Delayed"/>
  </r>
  <r>
    <n v="10315"/>
    <n v="5280"/>
    <s v="Laptop"/>
    <n v="74527.61"/>
    <n v="47"/>
    <x v="0"/>
    <d v="2024-03-10T00:00:00"/>
    <n v="90786.7"/>
    <s v="online"/>
    <s v="WH-B"/>
    <n v="272"/>
    <d v="2024-04-15T00:00:00"/>
    <n v="13"/>
    <s v="Valid"/>
    <n v="36"/>
    <x v="3"/>
    <s v="Delayed"/>
  </r>
  <r>
    <n v="10316"/>
    <n v="6861"/>
    <s v="phone"/>
    <n v="53463.47"/>
    <n v="82"/>
    <x v="3"/>
    <d v="2024-04-01T00:00:00"/>
    <n v="135276.70000000001"/>
    <s v="online"/>
    <s v="WH-C"/>
    <n v="793"/>
    <d v="2024-02-10T00:00:00"/>
    <n v="6"/>
    <s v="Invalid Date Order"/>
    <s v=""/>
    <x v="2"/>
    <s v=""/>
  </r>
  <r>
    <n v="10317"/>
    <n v="5884"/>
    <s v="phone"/>
    <n v="55308.36"/>
    <n v="58"/>
    <x v="2"/>
    <d v="2024-01-15T00:00:00"/>
    <n v="115425.59"/>
    <s v="offline"/>
    <s v="WH-C"/>
    <n v="512"/>
    <d v="2024-02-10T00:00:00"/>
    <n v="11"/>
    <s v="Valid"/>
    <n v="26"/>
    <x v="1"/>
    <s v="Delayed"/>
  </r>
  <r>
    <n v="10318"/>
    <n v="6634"/>
    <s v="phone"/>
    <n v="63100.09"/>
    <n v="75"/>
    <x v="1"/>
    <d v="2024-03-10T00:00:00"/>
    <n v="33501"/>
    <s v="offline"/>
    <s v="WH-C"/>
    <n v="1349"/>
    <d v="2024-03-10T00:00:00"/>
    <n v="9"/>
    <s v="Valid"/>
    <n v="0"/>
    <x v="3"/>
    <s v="On Time"/>
  </r>
  <r>
    <n v="10319"/>
    <n v="5198"/>
    <s v="phone"/>
    <n v="55694.23"/>
    <n v="57"/>
    <x v="3"/>
    <d v="2024-02-15T00:00:00"/>
    <n v="16168.75"/>
    <s v="online"/>
    <s v="WH-B"/>
    <n v="1213"/>
    <d v="2024-02-10T00:00:00"/>
    <n v="9"/>
    <s v="Invalid Date Order"/>
    <s v=""/>
    <x v="0"/>
    <s v=""/>
  </r>
  <r>
    <n v="10320"/>
    <n v="5982"/>
    <s v="Laptop"/>
    <n v="55011.58"/>
    <n v="23"/>
    <x v="2"/>
    <d v="2024-01-15T00:00:00"/>
    <n v="143652.95000000001"/>
    <s v="online"/>
    <s v="WH-C"/>
    <n v="406"/>
    <d v="2024-04-15T00:00:00"/>
    <n v="8"/>
    <s v="Valid"/>
    <n v="91"/>
    <x v="1"/>
    <s v="Delayed"/>
  </r>
  <r>
    <n v="10321"/>
    <n v="6931"/>
    <s v="phone"/>
    <n v="73325.08"/>
    <n v="48"/>
    <x v="0"/>
    <d v="2024-03-10T00:00:00"/>
    <n v="19708.48"/>
    <s v="online"/>
    <s v="WH-B"/>
    <n v="1096"/>
    <d v="2024-04-15T00:00:00"/>
    <n v="9"/>
    <s v="Valid"/>
    <n v="36"/>
    <x v="3"/>
    <s v="Delayed"/>
  </r>
  <r>
    <n v="10322"/>
    <n v="6535"/>
    <s v="Laptop"/>
    <n v="38038.910000000003"/>
    <n v="22"/>
    <x v="2"/>
    <d v="2024-01-15T00:00:00"/>
    <n v="59284.45"/>
    <s v="online"/>
    <s v="WH-B"/>
    <n v="1343"/>
    <d v="2024-03-10T00:00:00"/>
    <n v="4"/>
    <s v="Valid"/>
    <n v="55"/>
    <x v="1"/>
    <s v="Delayed"/>
  </r>
  <r>
    <n v="10323"/>
    <n v="5752"/>
    <s v="phone"/>
    <n v="58372.71"/>
    <n v="17"/>
    <x v="0"/>
    <d v="2024-01-15T00:00:00"/>
    <n v="93929.29"/>
    <s v="online"/>
    <s v="WH-B"/>
    <n v="908"/>
    <d v="2024-03-10T00:00:00"/>
    <n v="6"/>
    <s v="Valid"/>
    <n v="55"/>
    <x v="1"/>
    <s v="Delayed"/>
  </r>
  <r>
    <n v="10324"/>
    <n v="5144"/>
    <s v="phone"/>
    <n v="13648.03"/>
    <n v="69"/>
    <x v="0"/>
    <d v="2024-03-10T00:00:00"/>
    <n v="22941.86"/>
    <s v="online"/>
    <s v="WH-C"/>
    <n v="714"/>
    <d v="2024-03-10T00:00:00"/>
    <n v="5"/>
    <s v="Valid"/>
    <n v="0"/>
    <x v="3"/>
    <s v="On Time"/>
  </r>
  <r>
    <n v="10325"/>
    <n v="5609"/>
    <s v="phone"/>
    <n v="69632.95"/>
    <n v="11"/>
    <x v="1"/>
    <d v="2024-01-15T00:00:00"/>
    <n v="13743.65"/>
    <s v="offline"/>
    <s v="WH-B"/>
    <n v="1406"/>
    <d v="2024-02-10T00:00:00"/>
    <n v="5"/>
    <s v="Valid"/>
    <n v="26"/>
    <x v="1"/>
    <s v="Delayed"/>
  </r>
  <r>
    <n v="10326"/>
    <n v="6225"/>
    <s v="phone"/>
    <n v="46590.62"/>
    <n v="94"/>
    <x v="1"/>
    <d v="2024-04-01T00:00:00"/>
    <n v="104941.55"/>
    <s v="Retail"/>
    <s v="WH-C"/>
    <n v="1064"/>
    <d v="2024-04-15T00:00:00"/>
    <n v="4"/>
    <s v="Valid"/>
    <n v="14"/>
    <x v="2"/>
    <s v="Delayed"/>
  </r>
  <r>
    <n v="10327"/>
    <n v="6148"/>
    <s v="Laptop"/>
    <n v="76366.06"/>
    <n v="15"/>
    <x v="2"/>
    <d v="2024-03-10T00:00:00"/>
    <n v="171036.48"/>
    <s v="Retail"/>
    <s v="WH-C"/>
    <n v="134"/>
    <d v="2024-04-15T00:00:00"/>
    <n v="2"/>
    <s v="Valid"/>
    <n v="36"/>
    <x v="3"/>
    <s v="Delayed"/>
  </r>
  <r>
    <n v="10328"/>
    <n v="5187"/>
    <s v="phone"/>
    <n v="12274.32"/>
    <n v="91"/>
    <x v="1"/>
    <d v="2024-04-01T00:00:00"/>
    <n v="41709.96"/>
    <s v="online"/>
    <s v="WH-A"/>
    <n v="670"/>
    <d v="2024-04-15T00:00:00"/>
    <n v="12"/>
    <s v="Valid"/>
    <n v="14"/>
    <x v="2"/>
    <s v="Delayed"/>
  </r>
  <r>
    <n v="10329"/>
    <n v="6350"/>
    <s v="phone"/>
    <n v="72082.100000000006"/>
    <n v="35"/>
    <x v="1"/>
    <d v="2024-02-15T00:00:00"/>
    <n v="148828.59"/>
    <s v="online"/>
    <s v="WH-A"/>
    <n v="1104"/>
    <d v="2024-03-10T00:00:00"/>
    <n v="6"/>
    <s v="Valid"/>
    <n v="24"/>
    <x v="0"/>
    <s v="Delayed"/>
  </r>
  <r>
    <n v="10330"/>
    <n v="5464"/>
    <s v="phone"/>
    <n v="67737.75"/>
    <n v="33"/>
    <x v="1"/>
    <d v="2024-01-15T00:00:00"/>
    <n v="111721.28"/>
    <s v="online"/>
    <s v="WH-B"/>
    <n v="289"/>
    <d v="2024-04-15T00:00:00"/>
    <n v="9"/>
    <s v="Valid"/>
    <n v="91"/>
    <x v="1"/>
    <s v="Delayed"/>
  </r>
  <r>
    <n v="10331"/>
    <n v="6373"/>
    <s v="phone"/>
    <n v="38613.67"/>
    <n v="84"/>
    <x v="2"/>
    <d v="2024-02-15T00:00:00"/>
    <n v="73191.22"/>
    <s v="offline"/>
    <s v="WH-B"/>
    <n v="412"/>
    <d v="2024-02-10T00:00:00"/>
    <n v="12"/>
    <s v="Invalid Date Order"/>
    <s v=""/>
    <x v="0"/>
    <s v=""/>
  </r>
  <r>
    <n v="10332"/>
    <n v="6795"/>
    <s v="phone"/>
    <n v="13743.99"/>
    <n v="16"/>
    <x v="3"/>
    <d v="2024-02-15T00:00:00"/>
    <n v="149994.72"/>
    <s v="online"/>
    <s v="WH-C"/>
    <n v="871"/>
    <d v="2024-02-10T00:00:00"/>
    <n v="1"/>
    <s v="Invalid Date Order"/>
    <s v=""/>
    <x v="0"/>
    <s v=""/>
  </r>
  <r>
    <n v="10333"/>
    <n v="5660"/>
    <s v="phone"/>
    <n v="40313.49"/>
    <n v="34"/>
    <x v="1"/>
    <d v="2024-01-15T00:00:00"/>
    <n v="79052.63"/>
    <s v="online"/>
    <s v="WH-B"/>
    <n v="1462"/>
    <d v="2024-04-15T00:00:00"/>
    <n v="14"/>
    <s v="Valid"/>
    <n v="91"/>
    <x v="1"/>
    <s v="Delayed"/>
  </r>
  <r>
    <n v="10334"/>
    <n v="5764"/>
    <s v="phone"/>
    <n v="87120.8"/>
    <n v="66"/>
    <x v="1"/>
    <d v="2024-03-10T00:00:00"/>
    <n v="134402.19"/>
    <s v="offline"/>
    <s v="WH-B"/>
    <n v="717"/>
    <d v="2024-03-10T00:00:00"/>
    <n v="7"/>
    <s v="Valid"/>
    <n v="0"/>
    <x v="3"/>
    <s v="On Time"/>
  </r>
  <r>
    <n v="10335"/>
    <n v="5955"/>
    <s v="phone"/>
    <n v="19715.11"/>
    <n v="99"/>
    <x v="2"/>
    <d v="2024-01-15T00:00:00"/>
    <n v="76326.740000000005"/>
    <s v="online"/>
    <s v="WH-C"/>
    <n v="1372"/>
    <d v="2024-04-15T00:00:00"/>
    <n v="6"/>
    <s v="Valid"/>
    <n v="91"/>
    <x v="1"/>
    <s v="Delayed"/>
  </r>
  <r>
    <n v="10336"/>
    <n v="6956"/>
    <s v="phone"/>
    <n v="43579.74"/>
    <n v="40"/>
    <x v="3"/>
    <d v="2024-02-15T00:00:00"/>
    <n v="76672.55"/>
    <s v="Retail"/>
    <s v="WH-B"/>
    <n v="1444"/>
    <d v="2024-02-10T00:00:00"/>
    <n v="3"/>
    <s v="Invalid Date Order"/>
    <s v=""/>
    <x v="0"/>
    <s v=""/>
  </r>
  <r>
    <n v="10337"/>
    <n v="5403"/>
    <s v="phone"/>
    <n v="8234.51"/>
    <n v="28"/>
    <x v="1"/>
    <d v="2024-02-15T00:00:00"/>
    <n v="73094.69"/>
    <s v="offline"/>
    <s v="WH-B"/>
    <n v="148"/>
    <d v="2024-02-10T00:00:00"/>
    <n v="1"/>
    <s v="Invalid Date Order"/>
    <s v=""/>
    <x v="0"/>
    <s v=""/>
  </r>
  <r>
    <n v="10338"/>
    <n v="6370"/>
    <s v="Laptop"/>
    <n v="85357.4"/>
    <n v="47"/>
    <x v="0"/>
    <d v="2024-03-10T00:00:00"/>
    <n v="135846.01999999999"/>
    <s v="online"/>
    <s v="WH-C"/>
    <n v="96"/>
    <d v="2024-02-10T00:00:00"/>
    <n v="13"/>
    <s v="Invalid Date Order"/>
    <s v=""/>
    <x v="3"/>
    <s v=""/>
  </r>
  <r>
    <n v="10339"/>
    <n v="6987"/>
    <s v="phone"/>
    <n v="49269.59"/>
    <n v="39"/>
    <x v="2"/>
    <d v="2024-01-15T00:00:00"/>
    <n v="19690.57"/>
    <s v="offline"/>
    <s v="WH-C"/>
    <n v="888"/>
    <d v="2024-04-15T00:00:00"/>
    <n v="4"/>
    <s v="Valid"/>
    <n v="91"/>
    <x v="1"/>
    <s v="Delayed"/>
  </r>
  <r>
    <n v="10340"/>
    <n v="6535"/>
    <s v="phone"/>
    <n v="75050.16"/>
    <n v="70"/>
    <x v="1"/>
    <d v="2024-02-15T00:00:00"/>
    <n v="177260.55"/>
    <s v="online"/>
    <s v="WH-A"/>
    <n v="471"/>
    <d v="2024-02-10T00:00:00"/>
    <n v="14"/>
    <s v="Invalid Date Order"/>
    <s v=""/>
    <x v="0"/>
    <s v=""/>
  </r>
  <r>
    <n v="10341"/>
    <n v="5147"/>
    <s v="Laptop"/>
    <n v="60916.95"/>
    <n v="73"/>
    <x v="1"/>
    <d v="2024-04-01T00:00:00"/>
    <n v="75233.75"/>
    <s v="offline"/>
    <s v="WH-C"/>
    <n v="111"/>
    <d v="2024-03-10T00:00:00"/>
    <n v="9"/>
    <s v="Invalid Date Order"/>
    <s v=""/>
    <x v="2"/>
    <s v=""/>
  </r>
  <r>
    <n v="10342"/>
    <n v="6172"/>
    <s v="phone"/>
    <n v="93189.09"/>
    <n v="20"/>
    <x v="0"/>
    <d v="2024-02-15T00:00:00"/>
    <n v="96148.98"/>
    <s v="online"/>
    <s v="WH-A"/>
    <n v="1182"/>
    <d v="2024-04-15T00:00:00"/>
    <n v="2"/>
    <s v="Valid"/>
    <n v="60"/>
    <x v="0"/>
    <s v="Delayed"/>
  </r>
  <r>
    <n v="10343"/>
    <n v="5864"/>
    <s v="phone"/>
    <n v="67070.240000000005"/>
    <n v="1"/>
    <x v="0"/>
    <d v="2024-02-15T00:00:00"/>
    <n v="15834.24"/>
    <s v="offline"/>
    <s v="WH-B"/>
    <n v="1192"/>
    <d v="2024-04-15T00:00:00"/>
    <n v="3"/>
    <s v="Valid"/>
    <n v="60"/>
    <x v="0"/>
    <s v="Delayed"/>
  </r>
  <r>
    <n v="10344"/>
    <n v="6735"/>
    <s v="phone"/>
    <n v="32662.99"/>
    <n v="72"/>
    <x v="2"/>
    <d v="2024-03-10T00:00:00"/>
    <n v="83334.52"/>
    <s v="online"/>
    <s v="WH-C"/>
    <n v="1059"/>
    <d v="2024-02-10T00:00:00"/>
    <n v="2"/>
    <s v="Invalid Date Order"/>
    <s v=""/>
    <x v="3"/>
    <s v=""/>
  </r>
  <r>
    <n v="10345"/>
    <n v="6844"/>
    <s v="phone"/>
    <n v="69699.600000000006"/>
    <n v="87"/>
    <x v="2"/>
    <d v="2024-04-01T00:00:00"/>
    <n v="137618.47"/>
    <s v="offline"/>
    <s v="WH-C"/>
    <n v="647"/>
    <d v="2024-02-10T00:00:00"/>
    <n v="14"/>
    <s v="Invalid Date Order"/>
    <s v=""/>
    <x v="2"/>
    <s v=""/>
  </r>
  <r>
    <n v="10346"/>
    <n v="5489"/>
    <s v="phone"/>
    <n v="15758.1"/>
    <n v="63"/>
    <x v="0"/>
    <d v="2024-02-15T00:00:00"/>
    <n v="23566.47"/>
    <s v="Retail"/>
    <s v="WH-C"/>
    <n v="1455"/>
    <d v="2024-03-10T00:00:00"/>
    <n v="2"/>
    <s v="Valid"/>
    <n v="24"/>
    <x v="0"/>
    <s v="Delayed"/>
  </r>
  <r>
    <n v="10347"/>
    <n v="5929"/>
    <s v="Laptop"/>
    <n v="64352.38"/>
    <n v="67"/>
    <x v="2"/>
    <d v="2024-02-15T00:00:00"/>
    <n v="65993.47"/>
    <s v="Retail"/>
    <s v="WH-B"/>
    <n v="441"/>
    <d v="2024-04-15T00:00:00"/>
    <n v="10"/>
    <s v="Valid"/>
    <n v="60"/>
    <x v="0"/>
    <s v="Delayed"/>
  </r>
  <r>
    <n v="10348"/>
    <n v="6960"/>
    <s v="phone"/>
    <n v="48330.53"/>
    <n v="4"/>
    <x v="0"/>
    <d v="2024-04-01T00:00:00"/>
    <n v="124090.11"/>
    <s v="online"/>
    <s v="WH-A"/>
    <n v="1026"/>
    <d v="2024-02-10T00:00:00"/>
    <n v="11"/>
    <s v="Invalid Date Order"/>
    <s v=""/>
    <x v="2"/>
    <s v=""/>
  </r>
  <r>
    <n v="10349"/>
    <n v="6664"/>
    <s v="Laptop"/>
    <n v="39665.33"/>
    <n v="58"/>
    <x v="1"/>
    <d v="2024-01-15T00:00:00"/>
    <n v="77662.06"/>
    <s v="online"/>
    <s v="WH-B"/>
    <n v="1125"/>
    <d v="2024-03-10T00:00:00"/>
    <n v="11"/>
    <s v="Valid"/>
    <n v="55"/>
    <x v="1"/>
    <s v="Delayed"/>
  </r>
  <r>
    <n v="10350"/>
    <n v="5551"/>
    <s v="phone"/>
    <n v="15436.01"/>
    <n v="25"/>
    <x v="0"/>
    <d v="2024-01-15T00:00:00"/>
    <n v="81429.62"/>
    <s v="offline"/>
    <s v="WH-B"/>
    <n v="652"/>
    <d v="2024-02-10T00:00:00"/>
    <n v="8"/>
    <s v="Valid"/>
    <n v="26"/>
    <x v="1"/>
    <s v="Delayed"/>
  </r>
  <r>
    <n v="10351"/>
    <n v="5338"/>
    <s v="phone"/>
    <n v="35943.65"/>
    <n v="47"/>
    <x v="0"/>
    <d v="2024-02-15T00:00:00"/>
    <n v="136125.76999999999"/>
    <s v="online"/>
    <s v="WH-C"/>
    <n v="1362"/>
    <d v="2024-04-15T00:00:00"/>
    <n v="3"/>
    <s v="Valid"/>
    <n v="60"/>
    <x v="0"/>
    <s v="Delayed"/>
  </r>
  <r>
    <n v="10352"/>
    <n v="5872"/>
    <s v="Laptop"/>
    <n v="87766.76"/>
    <n v="38"/>
    <x v="3"/>
    <d v="2024-02-15T00:00:00"/>
    <n v="150540.49"/>
    <s v="Retail"/>
    <s v="WH-A"/>
    <n v="386"/>
    <d v="2024-02-10T00:00:00"/>
    <n v="7"/>
    <s v="Invalid Date Order"/>
    <s v=""/>
    <x v="0"/>
    <s v=""/>
  </r>
  <r>
    <n v="10353"/>
    <n v="5641"/>
    <s v="phone"/>
    <n v="76115.72"/>
    <n v="15"/>
    <x v="0"/>
    <d v="2024-01-15T00:00:00"/>
    <n v="29466.43"/>
    <s v="online"/>
    <s v="WH-B"/>
    <n v="859"/>
    <d v="2024-04-15T00:00:00"/>
    <n v="8"/>
    <s v="Valid"/>
    <n v="91"/>
    <x v="1"/>
    <s v="Delayed"/>
  </r>
  <r>
    <n v="10354"/>
    <n v="6803"/>
    <s v="phone"/>
    <n v="83827.28"/>
    <n v="63"/>
    <x v="0"/>
    <d v="2024-03-10T00:00:00"/>
    <n v="122022.81"/>
    <s v="offline"/>
    <s v="WH-C"/>
    <n v="1277"/>
    <d v="2024-02-10T00:00:00"/>
    <n v="3"/>
    <s v="Invalid Date Order"/>
    <s v=""/>
    <x v="3"/>
    <s v=""/>
  </r>
  <r>
    <n v="10355"/>
    <n v="6977"/>
    <s v="phone"/>
    <n v="69436.789999999994"/>
    <n v="21"/>
    <x v="3"/>
    <d v="2024-04-01T00:00:00"/>
    <n v="80512.42"/>
    <s v="online"/>
    <s v="WH-B"/>
    <n v="1311"/>
    <d v="2024-04-15T00:00:00"/>
    <n v="2"/>
    <s v="Valid"/>
    <n v="14"/>
    <x v="2"/>
    <s v="Delayed"/>
  </r>
  <r>
    <n v="10356"/>
    <n v="5473"/>
    <s v="phone"/>
    <n v="58237.760000000002"/>
    <n v="99"/>
    <x v="2"/>
    <d v="2024-04-01T00:00:00"/>
    <n v="149808.13"/>
    <s v="offline"/>
    <s v="WH-B"/>
    <n v="1455"/>
    <d v="2024-03-10T00:00:00"/>
    <n v="13"/>
    <s v="Invalid Date Order"/>
    <s v=""/>
    <x v="2"/>
    <s v=""/>
  </r>
  <r>
    <n v="10357"/>
    <n v="6970"/>
    <s v="phone"/>
    <n v="86823.12"/>
    <n v="57"/>
    <x v="3"/>
    <d v="2024-03-10T00:00:00"/>
    <n v="69701.990000000005"/>
    <s v="Retail"/>
    <s v="WH-C"/>
    <n v="801"/>
    <d v="2024-04-15T00:00:00"/>
    <n v="13"/>
    <s v="Valid"/>
    <n v="36"/>
    <x v="3"/>
    <s v="Delayed"/>
  </r>
  <r>
    <n v="10358"/>
    <n v="5151"/>
    <s v="phone"/>
    <n v="55359.74"/>
    <n v="53"/>
    <x v="1"/>
    <d v="2024-03-10T00:00:00"/>
    <n v="95450.11"/>
    <s v="Retail"/>
    <s v="WH-C"/>
    <n v="1209"/>
    <d v="2024-03-10T00:00:00"/>
    <n v="8"/>
    <s v="Valid"/>
    <n v="0"/>
    <x v="3"/>
    <s v="On Time"/>
  </r>
  <r>
    <n v="10359"/>
    <n v="6439"/>
    <s v="phone"/>
    <n v="80858.06"/>
    <n v="46"/>
    <x v="3"/>
    <d v="2024-03-10T00:00:00"/>
    <n v="18515.88"/>
    <s v="Retail"/>
    <s v="WH-A"/>
    <n v="1480"/>
    <d v="2024-04-15T00:00:00"/>
    <n v="3"/>
    <s v="Valid"/>
    <n v="36"/>
    <x v="3"/>
    <s v="Delayed"/>
  </r>
  <r>
    <n v="10360"/>
    <n v="6322"/>
    <s v="Laptop"/>
    <n v="93588.35"/>
    <n v="14"/>
    <x v="1"/>
    <d v="2024-03-10T00:00:00"/>
    <n v="102328.25"/>
    <s v="online"/>
    <s v="WH-B"/>
    <n v="1435"/>
    <d v="2024-03-10T00:00:00"/>
    <n v="7"/>
    <s v="Valid"/>
    <n v="0"/>
    <x v="3"/>
    <s v="On Time"/>
  </r>
  <r>
    <n v="10361"/>
    <n v="6635"/>
    <s v="Laptop"/>
    <n v="63083.4"/>
    <n v="76"/>
    <x v="2"/>
    <d v="2024-03-10T00:00:00"/>
    <n v="25065.06"/>
    <s v="Retail"/>
    <s v="WH-C"/>
    <n v="1454"/>
    <d v="2024-02-10T00:00:00"/>
    <n v="12"/>
    <s v="Invalid Date Order"/>
    <s v=""/>
    <x v="3"/>
    <s v=""/>
  </r>
  <r>
    <n v="10362"/>
    <n v="5263"/>
    <s v="phone"/>
    <n v="40260.03"/>
    <n v="17"/>
    <x v="3"/>
    <d v="2024-03-10T00:00:00"/>
    <n v="41625.599999999999"/>
    <s v="online"/>
    <s v="WH-C"/>
    <n v="930"/>
    <d v="2024-04-15T00:00:00"/>
    <n v="1"/>
    <s v="Valid"/>
    <n v="36"/>
    <x v="3"/>
    <s v="Delayed"/>
  </r>
  <r>
    <n v="10363"/>
    <n v="6788"/>
    <s v="phone"/>
    <n v="82754.929999999993"/>
    <n v="39"/>
    <x v="3"/>
    <d v="2024-04-01T00:00:00"/>
    <n v="41094.07"/>
    <s v="online"/>
    <s v="WH-A"/>
    <n v="684"/>
    <d v="2024-02-10T00:00:00"/>
    <n v="14"/>
    <s v="Invalid Date Order"/>
    <s v=""/>
    <x v="2"/>
    <s v=""/>
  </r>
  <r>
    <n v="10364"/>
    <n v="5144"/>
    <s v="phone"/>
    <n v="70092.61"/>
    <n v="9"/>
    <x v="2"/>
    <d v="2024-03-10T00:00:00"/>
    <n v="115241.67"/>
    <s v="Retail"/>
    <s v="WH-A"/>
    <n v="303"/>
    <d v="2024-03-10T00:00:00"/>
    <n v="12"/>
    <s v="Valid"/>
    <n v="0"/>
    <x v="3"/>
    <s v="On Time"/>
  </r>
  <r>
    <n v="10365"/>
    <n v="5346"/>
    <s v="phone"/>
    <n v="46536.72"/>
    <n v="99"/>
    <x v="1"/>
    <d v="2024-01-15T00:00:00"/>
    <n v="41579.24"/>
    <s v="online"/>
    <s v="WH-C"/>
    <n v="1187"/>
    <d v="2024-04-15T00:00:00"/>
    <n v="6"/>
    <s v="Valid"/>
    <n v="91"/>
    <x v="1"/>
    <s v="Delayed"/>
  </r>
  <r>
    <n v="10366"/>
    <n v="5624"/>
    <s v="Laptop"/>
    <n v="37286.07"/>
    <n v="77"/>
    <x v="3"/>
    <d v="2024-03-10T00:00:00"/>
    <n v="13270.17"/>
    <s v="online"/>
    <s v="WH-A"/>
    <n v="69"/>
    <d v="2024-04-15T00:00:00"/>
    <n v="12"/>
    <s v="Valid"/>
    <n v="36"/>
    <x v="3"/>
    <s v="Delayed"/>
  </r>
  <r>
    <n v="10367"/>
    <n v="6017"/>
    <s v="phone"/>
    <n v="54327.040000000001"/>
    <n v="79"/>
    <x v="1"/>
    <d v="2024-03-10T00:00:00"/>
    <n v="128754.61"/>
    <s v="online"/>
    <s v="WH-C"/>
    <n v="577"/>
    <d v="2024-02-10T00:00:00"/>
    <n v="12"/>
    <s v="Invalid Date Order"/>
    <s v=""/>
    <x v="3"/>
    <s v=""/>
  </r>
  <r>
    <n v="10368"/>
    <n v="6596"/>
    <s v="Laptop"/>
    <n v="87845.29"/>
    <n v="82"/>
    <x v="3"/>
    <d v="2024-04-01T00:00:00"/>
    <n v="51754.239999999998"/>
    <s v="offline"/>
    <s v="WH-B"/>
    <n v="1218"/>
    <d v="2024-04-15T00:00:00"/>
    <n v="13"/>
    <s v="Valid"/>
    <n v="14"/>
    <x v="2"/>
    <s v="Delayed"/>
  </r>
  <r>
    <n v="10369"/>
    <n v="5881"/>
    <s v="Laptop"/>
    <n v="33500.54"/>
    <n v="97"/>
    <x v="0"/>
    <d v="2024-04-01T00:00:00"/>
    <n v="22931.77"/>
    <s v="online"/>
    <s v="WH-A"/>
    <n v="1281"/>
    <d v="2024-04-15T00:00:00"/>
    <n v="9"/>
    <s v="Valid"/>
    <n v="14"/>
    <x v="2"/>
    <s v="Delayed"/>
  </r>
  <r>
    <n v="10370"/>
    <n v="5002"/>
    <s v="phone"/>
    <n v="31715.87"/>
    <n v="6"/>
    <x v="3"/>
    <d v="2024-03-10T00:00:00"/>
    <n v="26110.82"/>
    <s v="online"/>
    <s v="WH-B"/>
    <n v="425"/>
    <d v="2024-02-10T00:00:00"/>
    <n v="12"/>
    <s v="Invalid Date Order"/>
    <s v=""/>
    <x v="3"/>
    <s v=""/>
  </r>
  <r>
    <n v="10371"/>
    <n v="5897"/>
    <s v="phone"/>
    <n v="42479.29"/>
    <n v="91"/>
    <x v="2"/>
    <d v="2024-04-01T00:00:00"/>
    <n v="19346.8"/>
    <s v="offline"/>
    <s v="WH-B"/>
    <n v="215"/>
    <d v="2024-04-15T00:00:00"/>
    <n v="3"/>
    <s v="Valid"/>
    <n v="14"/>
    <x v="2"/>
    <s v="Delayed"/>
  </r>
  <r>
    <n v="10372"/>
    <n v="6328"/>
    <s v="phone"/>
    <n v="31902.53"/>
    <n v="23"/>
    <x v="2"/>
    <d v="2024-02-15T00:00:00"/>
    <n v="134710.85"/>
    <s v="Retail"/>
    <s v="WH-B"/>
    <n v="1254"/>
    <d v="2024-02-10T00:00:00"/>
    <n v="14"/>
    <s v="Invalid Date Order"/>
    <s v=""/>
    <x v="0"/>
    <s v=""/>
  </r>
  <r>
    <n v="10373"/>
    <n v="5254"/>
    <s v="phone"/>
    <n v="73884.39"/>
    <n v="59"/>
    <x v="1"/>
    <d v="2024-04-01T00:00:00"/>
    <n v="99533.64"/>
    <s v="online"/>
    <s v="WH-C"/>
    <n v="910"/>
    <d v="2024-02-10T00:00:00"/>
    <n v="7"/>
    <s v="Invalid Date Order"/>
    <s v=""/>
    <x v="2"/>
    <s v=""/>
  </r>
  <r>
    <n v="10374"/>
    <n v="6676"/>
    <s v="phone"/>
    <n v="19805.830000000002"/>
    <n v="91"/>
    <x v="3"/>
    <d v="2024-04-01T00:00:00"/>
    <n v="122259.51"/>
    <s v="offline"/>
    <s v="WH-B"/>
    <n v="666"/>
    <d v="2024-02-10T00:00:00"/>
    <n v="13"/>
    <s v="Invalid Date Order"/>
    <s v=""/>
    <x v="2"/>
    <s v=""/>
  </r>
  <r>
    <n v="10375"/>
    <n v="5453"/>
    <s v="phone"/>
    <n v="75389.61"/>
    <n v="98"/>
    <x v="1"/>
    <d v="2024-04-01T00:00:00"/>
    <n v="148593.94"/>
    <s v="online"/>
    <s v="WH-B"/>
    <n v="661"/>
    <d v="2024-02-10T00:00:00"/>
    <n v="6"/>
    <s v="Invalid Date Order"/>
    <s v=""/>
    <x v="2"/>
    <s v=""/>
  </r>
  <r>
    <n v="10376"/>
    <n v="6061"/>
    <s v="phone"/>
    <n v="46836.1"/>
    <n v="46"/>
    <x v="1"/>
    <d v="2024-04-01T00:00:00"/>
    <n v="48117.120000000003"/>
    <s v="online"/>
    <s v="WH-B"/>
    <n v="1405"/>
    <d v="2024-02-10T00:00:00"/>
    <n v="8"/>
    <s v="Invalid Date Order"/>
    <s v=""/>
    <x v="2"/>
    <s v=""/>
  </r>
  <r>
    <n v="10377"/>
    <n v="6184"/>
    <s v="Laptop"/>
    <n v="46447.62"/>
    <n v="38"/>
    <x v="0"/>
    <d v="2024-01-15T00:00:00"/>
    <n v="147549.09"/>
    <s v="online"/>
    <s v="WH-C"/>
    <n v="552"/>
    <d v="2024-03-10T00:00:00"/>
    <n v="3"/>
    <s v="Valid"/>
    <n v="55"/>
    <x v="1"/>
    <s v="Delayed"/>
  </r>
  <r>
    <n v="10378"/>
    <n v="6015"/>
    <s v="phone"/>
    <n v="53530.55"/>
    <n v="14"/>
    <x v="0"/>
    <d v="2024-01-15T00:00:00"/>
    <n v="98096.97"/>
    <s v="Retail"/>
    <s v="WH-B"/>
    <n v="962"/>
    <d v="2024-03-10T00:00:00"/>
    <n v="3"/>
    <s v="Valid"/>
    <n v="55"/>
    <x v="1"/>
    <s v="Delayed"/>
  </r>
  <r>
    <n v="10379"/>
    <n v="5009"/>
    <s v="phone"/>
    <n v="56134.69"/>
    <n v="72"/>
    <x v="2"/>
    <d v="2024-01-15T00:00:00"/>
    <n v="32185.43"/>
    <s v="online"/>
    <s v="WH-B"/>
    <n v="128"/>
    <d v="2024-02-10T00:00:00"/>
    <n v="4"/>
    <s v="Valid"/>
    <n v="26"/>
    <x v="1"/>
    <s v="Delayed"/>
  </r>
  <r>
    <n v="10380"/>
    <n v="6257"/>
    <s v="phone"/>
    <n v="99496.15"/>
    <n v="62"/>
    <x v="1"/>
    <d v="2024-03-10T00:00:00"/>
    <n v="110328.68"/>
    <s v="offline"/>
    <s v="WH-A"/>
    <n v="634"/>
    <d v="2024-03-10T00:00:00"/>
    <n v="3"/>
    <s v="Valid"/>
    <n v="0"/>
    <x v="3"/>
    <s v="On Time"/>
  </r>
  <r>
    <n v="10381"/>
    <n v="6123"/>
    <s v="Laptop"/>
    <n v="25385.61"/>
    <n v="35"/>
    <x v="2"/>
    <d v="2024-03-10T00:00:00"/>
    <n v="115031.5"/>
    <s v="Retail"/>
    <s v="WH-C"/>
    <n v="737"/>
    <d v="2024-03-10T00:00:00"/>
    <n v="9"/>
    <s v="Valid"/>
    <n v="0"/>
    <x v="3"/>
    <s v="On Time"/>
  </r>
  <r>
    <n v="10382"/>
    <n v="6683"/>
    <s v="phone"/>
    <n v="36884.9"/>
    <n v="19"/>
    <x v="3"/>
    <d v="2024-02-15T00:00:00"/>
    <n v="79140.69"/>
    <s v="online"/>
    <s v="WH-B"/>
    <n v="445"/>
    <d v="2024-04-15T00:00:00"/>
    <n v="11"/>
    <s v="Valid"/>
    <n v="60"/>
    <x v="0"/>
    <s v="Delayed"/>
  </r>
  <r>
    <n v="10383"/>
    <n v="5816"/>
    <s v="phone"/>
    <n v="82503.86"/>
    <n v="30"/>
    <x v="1"/>
    <d v="2024-01-15T00:00:00"/>
    <n v="148274.92000000001"/>
    <s v="Retail"/>
    <s v="WH-A"/>
    <n v="1176"/>
    <d v="2024-02-10T00:00:00"/>
    <n v="4"/>
    <s v="Valid"/>
    <n v="26"/>
    <x v="1"/>
    <s v="Delayed"/>
  </r>
  <r>
    <n v="10384"/>
    <n v="5208"/>
    <s v="phone"/>
    <n v="75345.509999999995"/>
    <n v="78"/>
    <x v="1"/>
    <d v="2024-03-10T00:00:00"/>
    <n v="120489.06"/>
    <s v="offline"/>
    <s v="WH-C"/>
    <n v="451"/>
    <d v="2024-03-10T00:00:00"/>
    <n v="6"/>
    <s v="Valid"/>
    <n v="0"/>
    <x v="3"/>
    <s v="On Time"/>
  </r>
  <r>
    <n v="10385"/>
    <n v="6155"/>
    <s v="Laptop"/>
    <n v="73829.13"/>
    <n v="84"/>
    <x v="3"/>
    <d v="2024-04-01T00:00:00"/>
    <n v="122309.72"/>
    <s v="Retail"/>
    <s v="WH-C"/>
    <n v="1024"/>
    <d v="2024-04-15T00:00:00"/>
    <n v="8"/>
    <s v="Valid"/>
    <n v="14"/>
    <x v="2"/>
    <s v="Delayed"/>
  </r>
  <r>
    <n v="10386"/>
    <n v="5404"/>
    <s v="phone"/>
    <n v="81586.09"/>
    <n v="25"/>
    <x v="3"/>
    <d v="2024-04-01T00:00:00"/>
    <n v="94092.71"/>
    <s v="Retail"/>
    <s v="WH-C"/>
    <n v="273"/>
    <d v="2024-04-15T00:00:00"/>
    <n v="11"/>
    <s v="Valid"/>
    <n v="14"/>
    <x v="2"/>
    <s v="Delayed"/>
  </r>
  <r>
    <n v="10387"/>
    <n v="5152"/>
    <s v="phone"/>
    <n v="64946.82"/>
    <n v="40"/>
    <x v="2"/>
    <d v="2024-01-15T00:00:00"/>
    <n v="93351.34"/>
    <s v="Retail"/>
    <s v="WH-C"/>
    <n v="567"/>
    <d v="2024-02-10T00:00:00"/>
    <n v="13"/>
    <s v="Valid"/>
    <n v="26"/>
    <x v="1"/>
    <s v="Delayed"/>
  </r>
  <r>
    <n v="10388"/>
    <n v="5054"/>
    <s v="Laptop"/>
    <n v="25548.06"/>
    <n v="88"/>
    <x v="2"/>
    <d v="2024-02-15T00:00:00"/>
    <n v="71817.41"/>
    <s v="online"/>
    <s v="WH-C"/>
    <n v="683"/>
    <d v="2024-02-10T00:00:00"/>
    <n v="8"/>
    <s v="Invalid Date Order"/>
    <s v=""/>
    <x v="0"/>
    <s v=""/>
  </r>
  <r>
    <n v="10389"/>
    <n v="6144"/>
    <s v="phone"/>
    <n v="68264.58"/>
    <n v="14"/>
    <x v="3"/>
    <d v="2024-02-15T00:00:00"/>
    <n v="142385.65"/>
    <s v="offline"/>
    <s v="WH-C"/>
    <n v="285"/>
    <d v="2024-04-15T00:00:00"/>
    <n v="5"/>
    <s v="Valid"/>
    <n v="60"/>
    <x v="0"/>
    <s v="Delayed"/>
  </r>
  <r>
    <n v="10390"/>
    <n v="6697"/>
    <s v="phone"/>
    <n v="62250.33"/>
    <n v="26"/>
    <x v="2"/>
    <d v="2024-04-01T00:00:00"/>
    <n v="139067.57999999999"/>
    <s v="online"/>
    <s v="WH-B"/>
    <n v="165"/>
    <d v="2024-02-10T00:00:00"/>
    <n v="5"/>
    <s v="Invalid Date Order"/>
    <s v=""/>
    <x v="2"/>
    <s v=""/>
  </r>
  <r>
    <n v="10391"/>
    <n v="6944"/>
    <s v="phone"/>
    <n v="68308.86"/>
    <n v="87"/>
    <x v="3"/>
    <d v="2024-02-15T00:00:00"/>
    <n v="51810.2"/>
    <s v="online"/>
    <s v="WH-B"/>
    <n v="1236"/>
    <d v="2024-02-10T00:00:00"/>
    <n v="6"/>
    <s v="Invalid Date Order"/>
    <s v=""/>
    <x v="0"/>
    <s v=""/>
  </r>
  <r>
    <n v="10392"/>
    <n v="5628"/>
    <s v="phone"/>
    <n v="21891.62"/>
    <n v="22"/>
    <x v="1"/>
    <d v="2024-01-15T00:00:00"/>
    <n v="131437.16"/>
    <s v="online"/>
    <s v="WH-B"/>
    <n v="275"/>
    <d v="2024-04-15T00:00:00"/>
    <n v="10"/>
    <s v="Valid"/>
    <n v="91"/>
    <x v="1"/>
    <s v="Delayed"/>
  </r>
  <r>
    <n v="10393"/>
    <n v="5587"/>
    <s v="phone"/>
    <n v="9013.67"/>
    <n v="48"/>
    <x v="1"/>
    <d v="2024-04-01T00:00:00"/>
    <n v="37555.17"/>
    <s v="online"/>
    <s v="WH-B"/>
    <n v="279"/>
    <d v="2024-04-15T00:00:00"/>
    <n v="7"/>
    <s v="Valid"/>
    <n v="14"/>
    <x v="2"/>
    <s v="Delayed"/>
  </r>
  <r>
    <n v="10394"/>
    <n v="6649"/>
    <s v="phone"/>
    <n v="87891.79"/>
    <n v="83"/>
    <x v="0"/>
    <d v="2024-03-10T00:00:00"/>
    <n v="24732.44"/>
    <s v="online"/>
    <s v="WH-A"/>
    <n v="231"/>
    <d v="2024-02-10T00:00:00"/>
    <n v="13"/>
    <s v="Invalid Date Order"/>
    <s v=""/>
    <x v="3"/>
    <s v=""/>
  </r>
  <r>
    <n v="10395"/>
    <n v="6992"/>
    <s v="phone"/>
    <n v="55124.1"/>
    <n v="51"/>
    <x v="1"/>
    <d v="2024-03-10T00:00:00"/>
    <n v="46861.73"/>
    <s v="online"/>
    <s v="WH-B"/>
    <n v="1322"/>
    <d v="2024-03-10T00:00:00"/>
    <n v="13"/>
    <s v="Valid"/>
    <n v="0"/>
    <x v="3"/>
    <s v="On Time"/>
  </r>
  <r>
    <n v="10396"/>
    <n v="6444"/>
    <s v="Laptop"/>
    <n v="42741.52"/>
    <n v="3"/>
    <x v="3"/>
    <d v="2024-02-15T00:00:00"/>
    <n v="97297.79"/>
    <s v="offline"/>
    <s v="WH-C"/>
    <n v="1391"/>
    <d v="2024-02-10T00:00:00"/>
    <n v="10"/>
    <s v="Invalid Date Order"/>
    <s v=""/>
    <x v="0"/>
    <s v=""/>
  </r>
  <r>
    <n v="10397"/>
    <n v="6446"/>
    <s v="Laptop"/>
    <n v="80956.89"/>
    <n v="42"/>
    <x v="2"/>
    <d v="2024-04-01T00:00:00"/>
    <n v="79882.679999999993"/>
    <s v="offline"/>
    <s v="WH-B"/>
    <n v="259"/>
    <d v="2024-03-10T00:00:00"/>
    <n v="14"/>
    <s v="Invalid Date Order"/>
    <s v=""/>
    <x v="2"/>
    <s v=""/>
  </r>
  <r>
    <n v="10398"/>
    <n v="5104"/>
    <s v="Laptop"/>
    <n v="25008.18"/>
    <n v="19"/>
    <x v="0"/>
    <d v="2024-04-01T00:00:00"/>
    <n v="114719.81"/>
    <s v="Retail"/>
    <s v="WH-B"/>
    <n v="1465"/>
    <d v="2024-04-15T00:00:00"/>
    <n v="7"/>
    <s v="Valid"/>
    <n v="14"/>
    <x v="2"/>
    <s v="Delayed"/>
  </r>
  <r>
    <n v="10399"/>
    <n v="6876"/>
    <s v="phone"/>
    <n v="90655.96"/>
    <n v="73"/>
    <x v="2"/>
    <d v="2024-03-10T00:00:00"/>
    <n v="46178.97"/>
    <s v="online"/>
    <s v="WH-C"/>
    <n v="145"/>
    <d v="2024-03-10T00:00:00"/>
    <n v="13"/>
    <s v="Valid"/>
    <n v="0"/>
    <x v="3"/>
    <s v="On Time"/>
  </r>
  <r>
    <n v="10400"/>
    <n v="5254"/>
    <s v="phone"/>
    <n v="33505.49"/>
    <n v="28"/>
    <x v="3"/>
    <d v="2024-04-01T00:00:00"/>
    <n v="74743.81"/>
    <s v="offline"/>
    <s v="WH-B"/>
    <n v="943"/>
    <d v="2024-04-15T00:00:00"/>
    <n v="4"/>
    <s v="Valid"/>
    <n v="14"/>
    <x v="2"/>
    <s v="Delayed"/>
  </r>
  <r>
    <n v="10401"/>
    <n v="6251"/>
    <s v="phone"/>
    <n v="75581.36"/>
    <n v="84"/>
    <x v="1"/>
    <d v="2024-04-01T00:00:00"/>
    <n v="75033.69"/>
    <s v="Retail"/>
    <s v="WH-B"/>
    <n v="805"/>
    <d v="2024-02-10T00:00:00"/>
    <n v="6"/>
    <s v="Invalid Date Order"/>
    <s v=""/>
    <x v="2"/>
    <s v=""/>
  </r>
  <r>
    <n v="10402"/>
    <n v="6136"/>
    <s v="Laptop"/>
    <n v="19442.59"/>
    <n v="45"/>
    <x v="0"/>
    <d v="2024-04-01T00:00:00"/>
    <n v="120428.8"/>
    <s v="offline"/>
    <s v="WH-B"/>
    <n v="1159"/>
    <d v="2024-02-10T00:00:00"/>
    <n v="7"/>
    <s v="Invalid Date Order"/>
    <s v=""/>
    <x v="2"/>
    <s v=""/>
  </r>
  <r>
    <n v="10403"/>
    <n v="5510"/>
    <s v="phone"/>
    <n v="22204.46"/>
    <n v="71"/>
    <x v="3"/>
    <d v="2024-02-15T00:00:00"/>
    <n v="142401.57"/>
    <s v="online"/>
    <s v="WH-A"/>
    <n v="464"/>
    <d v="2024-04-15T00:00:00"/>
    <n v="5"/>
    <s v="Valid"/>
    <n v="60"/>
    <x v="0"/>
    <s v="Delayed"/>
  </r>
  <r>
    <n v="10404"/>
    <n v="6497"/>
    <s v="phone"/>
    <n v="85602.71"/>
    <n v="78"/>
    <x v="0"/>
    <d v="2024-04-01T00:00:00"/>
    <n v="139284.9"/>
    <s v="offline"/>
    <s v="WH-B"/>
    <n v="443"/>
    <d v="2024-04-15T00:00:00"/>
    <n v="5"/>
    <s v="Valid"/>
    <n v="14"/>
    <x v="2"/>
    <s v="Delayed"/>
  </r>
  <r>
    <n v="10405"/>
    <n v="5099"/>
    <s v="phone"/>
    <n v="89644.81"/>
    <n v="63"/>
    <x v="0"/>
    <d v="2024-01-15T00:00:00"/>
    <n v="134211.34"/>
    <s v="online"/>
    <s v="WH-C"/>
    <n v="745"/>
    <d v="2024-04-15T00:00:00"/>
    <n v="2"/>
    <s v="Valid"/>
    <n v="91"/>
    <x v="1"/>
    <s v="Delayed"/>
  </r>
  <r>
    <n v="10406"/>
    <n v="5153"/>
    <s v="phone"/>
    <n v="74065.16"/>
    <n v="73"/>
    <x v="1"/>
    <d v="2024-02-15T00:00:00"/>
    <n v="58487.62"/>
    <s v="offline"/>
    <s v="WH-C"/>
    <n v="893"/>
    <d v="2024-02-10T00:00:00"/>
    <n v="7"/>
    <s v="Invalid Date Order"/>
    <s v=""/>
    <x v="0"/>
    <s v=""/>
  </r>
  <r>
    <n v="10407"/>
    <n v="6885"/>
    <s v="phone"/>
    <n v="12752.44"/>
    <n v="19"/>
    <x v="3"/>
    <d v="2024-04-01T00:00:00"/>
    <n v="91240.52"/>
    <s v="online"/>
    <s v="WH-B"/>
    <n v="653"/>
    <d v="2024-02-10T00:00:00"/>
    <n v="12"/>
    <s v="Invalid Date Order"/>
    <s v=""/>
    <x v="2"/>
    <s v=""/>
  </r>
  <r>
    <n v="10408"/>
    <n v="5914"/>
    <s v="phone"/>
    <n v="16971.75"/>
    <n v="47"/>
    <x v="2"/>
    <d v="2024-04-01T00:00:00"/>
    <n v="93007.26"/>
    <s v="online"/>
    <s v="WH-B"/>
    <n v="631"/>
    <d v="2024-03-10T00:00:00"/>
    <n v="6"/>
    <s v="Invalid Date Order"/>
    <s v=""/>
    <x v="2"/>
    <s v=""/>
  </r>
  <r>
    <n v="10409"/>
    <n v="6920"/>
    <s v="Laptop"/>
    <n v="95920.12"/>
    <n v="14"/>
    <x v="0"/>
    <d v="2024-01-15T00:00:00"/>
    <n v="111009.86"/>
    <s v="online"/>
    <s v="WH-B"/>
    <n v="182"/>
    <d v="2024-04-15T00:00:00"/>
    <n v="11"/>
    <s v="Valid"/>
    <n v="91"/>
    <x v="1"/>
    <s v="Delayed"/>
  </r>
  <r>
    <n v="10410"/>
    <n v="5878"/>
    <s v="Laptop"/>
    <n v="46879.73"/>
    <n v="38"/>
    <x v="0"/>
    <d v="2024-02-15T00:00:00"/>
    <n v="43900.58"/>
    <s v="offline"/>
    <s v="WH-C"/>
    <n v="840"/>
    <d v="2024-03-10T00:00:00"/>
    <n v="1"/>
    <s v="Valid"/>
    <n v="24"/>
    <x v="0"/>
    <s v="Delayed"/>
  </r>
  <r>
    <n v="10411"/>
    <n v="5338"/>
    <s v="phone"/>
    <n v="98369.82"/>
    <n v="53"/>
    <x v="2"/>
    <d v="2024-03-10T00:00:00"/>
    <n v="119196.01"/>
    <s v="Retail"/>
    <s v="WH-C"/>
    <n v="698"/>
    <d v="2024-02-10T00:00:00"/>
    <n v="4"/>
    <s v="Invalid Date Order"/>
    <s v=""/>
    <x v="3"/>
    <s v=""/>
  </r>
  <r>
    <n v="10412"/>
    <n v="6730"/>
    <s v="Laptop"/>
    <n v="55641.65"/>
    <n v="61"/>
    <x v="3"/>
    <d v="2024-03-10T00:00:00"/>
    <n v="31518.37"/>
    <s v="online"/>
    <s v="WH-A"/>
    <n v="1387"/>
    <d v="2024-03-10T00:00:00"/>
    <n v="3"/>
    <s v="Valid"/>
    <n v="0"/>
    <x v="3"/>
    <s v="On Time"/>
  </r>
  <r>
    <n v="10413"/>
    <n v="5822"/>
    <s v="phone"/>
    <n v="72182.33"/>
    <n v="36"/>
    <x v="0"/>
    <d v="2024-02-15T00:00:00"/>
    <n v="64789.14"/>
    <s v="offline"/>
    <s v="WH-A"/>
    <n v="270"/>
    <d v="2024-03-10T00:00:00"/>
    <n v="12"/>
    <s v="Valid"/>
    <n v="24"/>
    <x v="0"/>
    <s v="Delayed"/>
  </r>
  <r>
    <n v="10414"/>
    <n v="6187"/>
    <s v="phone"/>
    <n v="47319.360000000001"/>
    <n v="40"/>
    <x v="0"/>
    <d v="2024-04-01T00:00:00"/>
    <n v="130562.8"/>
    <s v="online"/>
    <s v="WH-A"/>
    <n v="1025"/>
    <d v="2024-02-10T00:00:00"/>
    <n v="3"/>
    <s v="Invalid Date Order"/>
    <s v=""/>
    <x v="2"/>
    <s v=""/>
  </r>
  <r>
    <n v="10415"/>
    <n v="6744"/>
    <s v="phone"/>
    <n v="95507.13"/>
    <n v="81"/>
    <x v="0"/>
    <d v="2024-04-01T00:00:00"/>
    <n v="60318.35"/>
    <s v="online"/>
    <s v="WH-C"/>
    <n v="1119"/>
    <d v="2024-02-10T00:00:00"/>
    <n v="7"/>
    <s v="Invalid Date Order"/>
    <s v=""/>
    <x v="2"/>
    <s v=""/>
  </r>
  <r>
    <n v="10416"/>
    <n v="5957"/>
    <s v="phone"/>
    <n v="13442.35"/>
    <n v="30"/>
    <x v="3"/>
    <d v="2024-03-10T00:00:00"/>
    <n v="107856.06"/>
    <s v="offline"/>
    <s v="WH-A"/>
    <n v="1265"/>
    <d v="2024-04-15T00:00:00"/>
    <n v="11"/>
    <s v="Valid"/>
    <n v="36"/>
    <x v="3"/>
    <s v="Delayed"/>
  </r>
  <r>
    <n v="10417"/>
    <n v="6705"/>
    <s v="phone"/>
    <n v="14866.8"/>
    <n v="9"/>
    <x v="3"/>
    <d v="2024-03-10T00:00:00"/>
    <n v="35463.06"/>
    <s v="offline"/>
    <s v="WH-B"/>
    <n v="1452"/>
    <d v="2024-03-10T00:00:00"/>
    <n v="12"/>
    <s v="Valid"/>
    <n v="0"/>
    <x v="3"/>
    <s v="On Time"/>
  </r>
  <r>
    <n v="10418"/>
    <n v="5161"/>
    <s v="phone"/>
    <n v="11423.37"/>
    <n v="64"/>
    <x v="2"/>
    <d v="2024-03-10T00:00:00"/>
    <n v="111218.96"/>
    <s v="Retail"/>
    <s v="WH-B"/>
    <n v="837"/>
    <d v="2024-02-10T00:00:00"/>
    <n v="10"/>
    <s v="Invalid Date Order"/>
    <s v=""/>
    <x v="3"/>
    <s v=""/>
  </r>
  <r>
    <n v="10419"/>
    <n v="6604"/>
    <s v="phone"/>
    <n v="38515.83"/>
    <n v="33"/>
    <x v="3"/>
    <d v="2024-01-15T00:00:00"/>
    <n v="58025.06"/>
    <s v="online"/>
    <s v="WH-C"/>
    <n v="740"/>
    <d v="2024-02-10T00:00:00"/>
    <n v="4"/>
    <s v="Valid"/>
    <n v="26"/>
    <x v="1"/>
    <s v="Delayed"/>
  </r>
  <r>
    <n v="10420"/>
    <n v="5801"/>
    <s v="phone"/>
    <n v="32440.53"/>
    <n v="52"/>
    <x v="3"/>
    <d v="2024-03-10T00:00:00"/>
    <n v="43508.31"/>
    <s v="online"/>
    <s v="WH-A"/>
    <n v="1407"/>
    <d v="2024-03-10T00:00:00"/>
    <n v="12"/>
    <s v="Valid"/>
    <n v="0"/>
    <x v="3"/>
    <s v="On Time"/>
  </r>
  <r>
    <n v="10421"/>
    <n v="5398"/>
    <s v="phone"/>
    <n v="89432.38"/>
    <n v="89"/>
    <x v="1"/>
    <d v="2024-01-15T00:00:00"/>
    <n v="17865.54"/>
    <s v="offline"/>
    <s v="WH-B"/>
    <n v="88"/>
    <d v="2024-02-10T00:00:00"/>
    <n v="8"/>
    <s v="Valid"/>
    <n v="26"/>
    <x v="1"/>
    <s v="Delayed"/>
  </r>
  <r>
    <n v="10422"/>
    <n v="6301"/>
    <s v="Laptop"/>
    <n v="32185.45"/>
    <n v="14"/>
    <x v="2"/>
    <d v="2024-02-15T00:00:00"/>
    <n v="132183.43"/>
    <s v="online"/>
    <s v="WH-C"/>
    <n v="1366"/>
    <d v="2024-04-15T00:00:00"/>
    <n v="11"/>
    <s v="Valid"/>
    <n v="60"/>
    <x v="0"/>
    <s v="Delayed"/>
  </r>
  <r>
    <n v="10423"/>
    <n v="5816"/>
    <s v="Laptop"/>
    <n v="33211.64"/>
    <n v="75"/>
    <x v="0"/>
    <d v="2024-04-01T00:00:00"/>
    <n v="137850.48000000001"/>
    <s v="offline"/>
    <s v="WH-A"/>
    <n v="739"/>
    <d v="2024-04-15T00:00:00"/>
    <n v="9"/>
    <s v="Valid"/>
    <n v="14"/>
    <x v="2"/>
    <s v="Delayed"/>
  </r>
  <r>
    <n v="10424"/>
    <n v="6940"/>
    <s v="phone"/>
    <n v="83076.75"/>
    <n v="53"/>
    <x v="3"/>
    <d v="2024-03-10T00:00:00"/>
    <n v="34878.199999999997"/>
    <s v="online"/>
    <s v="WH-B"/>
    <n v="211"/>
    <d v="2024-03-10T00:00:00"/>
    <n v="3"/>
    <s v="Valid"/>
    <n v="0"/>
    <x v="3"/>
    <s v="On Time"/>
  </r>
  <r>
    <n v="10425"/>
    <n v="6528"/>
    <s v="phone"/>
    <n v="45209.7"/>
    <n v="99"/>
    <x v="0"/>
    <d v="2024-04-01T00:00:00"/>
    <n v="103563"/>
    <s v="offline"/>
    <s v="WH-A"/>
    <n v="1404"/>
    <d v="2024-04-15T00:00:00"/>
    <n v="5"/>
    <s v="Valid"/>
    <n v="14"/>
    <x v="2"/>
    <s v="Delayed"/>
  </r>
  <r>
    <n v="10426"/>
    <n v="6920"/>
    <s v="phone"/>
    <n v="50190.6"/>
    <n v="59"/>
    <x v="0"/>
    <d v="2024-04-01T00:00:00"/>
    <n v="48719.54"/>
    <s v="Retail"/>
    <s v="WH-C"/>
    <n v="1177"/>
    <d v="2024-02-10T00:00:00"/>
    <n v="4"/>
    <s v="Invalid Date Order"/>
    <s v=""/>
    <x v="2"/>
    <s v=""/>
  </r>
  <r>
    <n v="10427"/>
    <n v="6416"/>
    <s v="phone"/>
    <n v="26915.4"/>
    <n v="78"/>
    <x v="1"/>
    <d v="2024-03-10T00:00:00"/>
    <n v="170136.4"/>
    <s v="online"/>
    <s v="WH-A"/>
    <n v="210"/>
    <d v="2024-02-10T00:00:00"/>
    <n v="14"/>
    <s v="Invalid Date Order"/>
    <s v=""/>
    <x v="3"/>
    <s v=""/>
  </r>
  <r>
    <n v="10428"/>
    <n v="6159"/>
    <s v="phone"/>
    <n v="35727.660000000003"/>
    <n v="94"/>
    <x v="3"/>
    <d v="2024-03-10T00:00:00"/>
    <n v="76031.25"/>
    <s v="offline"/>
    <s v="WH-C"/>
    <n v="1127"/>
    <d v="2024-02-10T00:00:00"/>
    <n v="12"/>
    <s v="Invalid Date Order"/>
    <s v=""/>
    <x v="3"/>
    <s v=""/>
  </r>
  <r>
    <n v="10429"/>
    <n v="6219"/>
    <s v="phone"/>
    <n v="27364.97"/>
    <n v="41"/>
    <x v="2"/>
    <d v="2024-02-15T00:00:00"/>
    <n v="18461.47"/>
    <s v="Retail"/>
    <s v="WH-A"/>
    <n v="1107"/>
    <d v="2024-02-10T00:00:00"/>
    <n v="10"/>
    <s v="Invalid Date Order"/>
    <s v=""/>
    <x v="0"/>
    <s v=""/>
  </r>
  <r>
    <n v="10430"/>
    <n v="5401"/>
    <s v="Laptop"/>
    <n v="61207.4"/>
    <n v="68"/>
    <x v="3"/>
    <d v="2024-01-15T00:00:00"/>
    <n v="149415.37"/>
    <s v="online"/>
    <s v="WH-B"/>
    <n v="291"/>
    <d v="2024-03-10T00:00:00"/>
    <n v="6"/>
    <s v="Valid"/>
    <n v="55"/>
    <x v="1"/>
    <s v="Delayed"/>
  </r>
  <r>
    <n v="10431"/>
    <n v="5640"/>
    <s v="phone"/>
    <n v="54500.57"/>
    <n v="68"/>
    <x v="0"/>
    <d v="2024-01-15T00:00:00"/>
    <n v="33643.56"/>
    <s v="offline"/>
    <s v="WH-C"/>
    <n v="1016"/>
    <d v="2024-04-15T00:00:00"/>
    <n v="11"/>
    <s v="Valid"/>
    <n v="91"/>
    <x v="1"/>
    <s v="Delayed"/>
  </r>
  <r>
    <n v="10432"/>
    <n v="6057"/>
    <s v="phone"/>
    <n v="54322.080000000002"/>
    <n v="92"/>
    <x v="2"/>
    <d v="2024-04-01T00:00:00"/>
    <n v="156290.73000000001"/>
    <s v="online"/>
    <s v="WH-C"/>
    <n v="939"/>
    <d v="2024-04-15T00:00:00"/>
    <n v="10"/>
    <s v="Valid"/>
    <n v="14"/>
    <x v="2"/>
    <s v="Delayed"/>
  </r>
  <r>
    <n v="10433"/>
    <n v="5688"/>
    <s v="phone"/>
    <n v="68850.75"/>
    <n v="8"/>
    <x v="3"/>
    <d v="2024-03-10T00:00:00"/>
    <n v="38202.92"/>
    <s v="Retail"/>
    <s v="WH-C"/>
    <n v="162"/>
    <d v="2024-02-10T00:00:00"/>
    <n v="4"/>
    <s v="Invalid Date Order"/>
    <s v=""/>
    <x v="3"/>
    <s v=""/>
  </r>
  <r>
    <n v="10434"/>
    <n v="5460"/>
    <s v="phone"/>
    <n v="52813.2"/>
    <n v="2"/>
    <x v="0"/>
    <d v="2024-02-15T00:00:00"/>
    <n v="107277.35"/>
    <s v="online"/>
    <s v="WH-A"/>
    <n v="1063"/>
    <d v="2024-03-10T00:00:00"/>
    <n v="8"/>
    <s v="Valid"/>
    <n v="24"/>
    <x v="0"/>
    <s v="Delayed"/>
  </r>
  <r>
    <n v="10435"/>
    <n v="5955"/>
    <s v="phone"/>
    <n v="87583.01"/>
    <n v="86"/>
    <x v="0"/>
    <d v="2024-02-15T00:00:00"/>
    <n v="142557"/>
    <s v="Retail"/>
    <s v="WH-A"/>
    <n v="367"/>
    <d v="2024-02-10T00:00:00"/>
    <n v="3"/>
    <s v="Invalid Date Order"/>
    <s v=""/>
    <x v="0"/>
    <s v=""/>
  </r>
  <r>
    <n v="10436"/>
    <n v="6907"/>
    <s v="phone"/>
    <n v="93563.08"/>
    <n v="41"/>
    <x v="1"/>
    <d v="2024-02-15T00:00:00"/>
    <n v="164594.53"/>
    <s v="Retail"/>
    <s v="WH-B"/>
    <n v="72"/>
    <d v="2024-02-10T00:00:00"/>
    <n v="11"/>
    <s v="Invalid Date Order"/>
    <s v=""/>
    <x v="0"/>
    <s v=""/>
  </r>
  <r>
    <n v="10437"/>
    <n v="5470"/>
    <s v="phone"/>
    <n v="88846.45"/>
    <n v="55"/>
    <x v="1"/>
    <d v="2024-02-15T00:00:00"/>
    <n v="129481.69"/>
    <s v="Retail"/>
    <s v="WH-C"/>
    <n v="873"/>
    <d v="2024-03-10T00:00:00"/>
    <n v="5"/>
    <s v="Valid"/>
    <n v="24"/>
    <x v="0"/>
    <s v="Delayed"/>
  </r>
  <r>
    <n v="10438"/>
    <n v="6399"/>
    <s v="phone"/>
    <n v="52559.08"/>
    <n v="16"/>
    <x v="1"/>
    <d v="2024-02-15T00:00:00"/>
    <n v="93034.68"/>
    <s v="offline"/>
    <s v="WH-C"/>
    <n v="1191"/>
    <d v="2024-03-10T00:00:00"/>
    <n v="13"/>
    <s v="Valid"/>
    <n v="24"/>
    <x v="0"/>
    <s v="Delayed"/>
  </r>
  <r>
    <n v="10439"/>
    <n v="6046"/>
    <s v="Laptop"/>
    <n v="32839.25"/>
    <n v="93"/>
    <x v="0"/>
    <d v="2024-01-15T00:00:00"/>
    <n v="113604.05"/>
    <s v="online"/>
    <s v="WH-A"/>
    <n v="750"/>
    <d v="2024-02-10T00:00:00"/>
    <n v="1"/>
    <s v="Valid"/>
    <n v="26"/>
    <x v="1"/>
    <s v="Delayed"/>
  </r>
  <r>
    <n v="10440"/>
    <n v="5750"/>
    <s v="Laptop"/>
    <n v="62890.32"/>
    <n v="62"/>
    <x v="3"/>
    <d v="2024-01-15T00:00:00"/>
    <n v="55145.29"/>
    <s v="online"/>
    <s v="WH-A"/>
    <n v="1068"/>
    <d v="2024-04-15T00:00:00"/>
    <n v="13"/>
    <s v="Valid"/>
    <n v="91"/>
    <x v="1"/>
    <s v="Delayed"/>
  </r>
  <r>
    <n v="10441"/>
    <n v="6694"/>
    <s v="phone"/>
    <n v="49078.92"/>
    <n v="48"/>
    <x v="1"/>
    <d v="2024-01-15T00:00:00"/>
    <n v="147853.94"/>
    <s v="online"/>
    <s v="WH-B"/>
    <n v="1285"/>
    <d v="2024-02-10T00:00:00"/>
    <n v="6"/>
    <s v="Valid"/>
    <n v="26"/>
    <x v="1"/>
    <s v="Delayed"/>
  </r>
  <r>
    <n v="10442"/>
    <n v="5038"/>
    <s v="phone"/>
    <n v="49568.04"/>
    <n v="30"/>
    <x v="3"/>
    <d v="2024-03-10T00:00:00"/>
    <n v="29600.97"/>
    <s v="online"/>
    <s v="WH-B"/>
    <n v="1491"/>
    <d v="2024-04-15T00:00:00"/>
    <n v="11"/>
    <s v="Valid"/>
    <n v="36"/>
    <x v="3"/>
    <s v="Delayed"/>
  </r>
  <r>
    <n v="10443"/>
    <n v="5230"/>
    <s v="phone"/>
    <n v="64974.81"/>
    <n v="12"/>
    <x v="1"/>
    <d v="2024-04-01T00:00:00"/>
    <n v="88700.98"/>
    <s v="online"/>
    <s v="WH-A"/>
    <n v="1186"/>
    <d v="2024-04-15T00:00:00"/>
    <n v="5"/>
    <s v="Valid"/>
    <n v="14"/>
    <x v="2"/>
    <s v="Delayed"/>
  </r>
  <r>
    <n v="10444"/>
    <n v="6389"/>
    <s v="Laptop"/>
    <n v="80810.600000000006"/>
    <n v="35"/>
    <x v="2"/>
    <d v="2024-02-15T00:00:00"/>
    <n v="82604"/>
    <s v="online"/>
    <s v="WH-C"/>
    <n v="1117"/>
    <d v="2024-03-10T00:00:00"/>
    <n v="8"/>
    <s v="Valid"/>
    <n v="24"/>
    <x v="0"/>
    <s v="Delayed"/>
  </r>
  <r>
    <n v="10445"/>
    <n v="5563"/>
    <s v="phone"/>
    <n v="16328.31"/>
    <n v="11"/>
    <x v="2"/>
    <d v="2024-03-10T00:00:00"/>
    <n v="40141.769999999997"/>
    <s v="online"/>
    <s v="WH-B"/>
    <n v="177"/>
    <d v="2024-03-10T00:00:00"/>
    <n v="9"/>
    <s v="Valid"/>
    <n v="0"/>
    <x v="3"/>
    <s v="On Time"/>
  </r>
  <r>
    <n v="10446"/>
    <n v="5438"/>
    <s v="phone"/>
    <n v="19509.490000000002"/>
    <n v="64"/>
    <x v="1"/>
    <d v="2024-02-15T00:00:00"/>
    <n v="143998.20000000001"/>
    <s v="Retail"/>
    <s v="WH-A"/>
    <n v="925"/>
    <d v="2024-02-10T00:00:00"/>
    <n v="8"/>
    <s v="Invalid Date Order"/>
    <s v=""/>
    <x v="0"/>
    <s v=""/>
  </r>
  <r>
    <n v="10447"/>
    <n v="6800"/>
    <s v="phone"/>
    <n v="63568.61"/>
    <n v="50"/>
    <x v="0"/>
    <d v="2024-01-15T00:00:00"/>
    <n v="92630.85"/>
    <s v="Retail"/>
    <s v="WH-A"/>
    <n v="207"/>
    <d v="2024-04-15T00:00:00"/>
    <n v="8"/>
    <s v="Valid"/>
    <n v="91"/>
    <x v="1"/>
    <s v="Delayed"/>
  </r>
  <r>
    <n v="10448"/>
    <n v="6307"/>
    <s v="phone"/>
    <n v="11331.65"/>
    <n v="85"/>
    <x v="1"/>
    <d v="2024-03-10T00:00:00"/>
    <n v="142183.71"/>
    <s v="offline"/>
    <s v="WH-C"/>
    <n v="876"/>
    <d v="2024-04-15T00:00:00"/>
    <n v="12"/>
    <s v="Valid"/>
    <n v="36"/>
    <x v="3"/>
    <s v="Delayed"/>
  </r>
  <r>
    <n v="10449"/>
    <n v="5027"/>
    <s v="phone"/>
    <n v="73954.17"/>
    <n v="21"/>
    <x v="1"/>
    <d v="2024-01-15T00:00:00"/>
    <n v="130261.54"/>
    <s v="Retail"/>
    <s v="WH-A"/>
    <n v="1467"/>
    <d v="2024-02-10T00:00:00"/>
    <n v="14"/>
    <s v="Valid"/>
    <n v="26"/>
    <x v="1"/>
    <s v="Delayed"/>
  </r>
  <r>
    <n v="10450"/>
    <n v="5226"/>
    <s v="phone"/>
    <n v="96916.73"/>
    <n v="69"/>
    <x v="0"/>
    <d v="2024-02-15T00:00:00"/>
    <n v="121352.72"/>
    <s v="online"/>
    <s v="WH-A"/>
    <n v="901"/>
    <d v="2024-02-10T00:00:00"/>
    <n v="13"/>
    <s v="Invalid Date Order"/>
    <s v=""/>
    <x v="0"/>
    <s v=""/>
  </r>
  <r>
    <n v="10451"/>
    <n v="6301"/>
    <s v="Laptop"/>
    <n v="10813.96"/>
    <n v="48"/>
    <x v="2"/>
    <d v="2024-02-15T00:00:00"/>
    <n v="134465.41"/>
    <s v="online"/>
    <s v="WH-B"/>
    <n v="561"/>
    <d v="2024-02-10T00:00:00"/>
    <n v="3"/>
    <s v="Invalid Date Order"/>
    <s v=""/>
    <x v="0"/>
    <s v=""/>
  </r>
  <r>
    <n v="10452"/>
    <n v="5798"/>
    <s v="phone"/>
    <n v="32985.919999999998"/>
    <n v="20"/>
    <x v="3"/>
    <d v="2024-04-01T00:00:00"/>
    <n v="81552.39"/>
    <s v="online"/>
    <s v="WH-A"/>
    <n v="94"/>
    <d v="2024-03-10T00:00:00"/>
    <n v="4"/>
    <s v="Invalid Date Order"/>
    <s v=""/>
    <x v="2"/>
    <s v=""/>
  </r>
  <r>
    <n v="10453"/>
    <n v="6633"/>
    <s v="phone"/>
    <n v="20555.8"/>
    <n v="67"/>
    <x v="1"/>
    <d v="2024-02-15T00:00:00"/>
    <n v="127514.31"/>
    <s v="offline"/>
    <s v="WH-A"/>
    <n v="1181"/>
    <d v="2024-02-10T00:00:00"/>
    <n v="11"/>
    <s v="Invalid Date Order"/>
    <s v=""/>
    <x v="0"/>
    <s v=""/>
  </r>
  <r>
    <n v="10454"/>
    <n v="5284"/>
    <s v="phone"/>
    <n v="62555.66"/>
    <n v="44"/>
    <x v="0"/>
    <d v="2024-01-15T00:00:00"/>
    <n v="71188.539999999994"/>
    <s v="online"/>
    <s v="WH-B"/>
    <n v="268"/>
    <d v="2024-02-10T00:00:00"/>
    <n v="4"/>
    <s v="Valid"/>
    <n v="26"/>
    <x v="1"/>
    <s v="Delayed"/>
  </r>
  <r>
    <n v="10455"/>
    <n v="5879"/>
    <s v="phone"/>
    <n v="34415.769999999997"/>
    <n v="33"/>
    <x v="1"/>
    <d v="2024-02-15T00:00:00"/>
    <n v="124093.28"/>
    <s v="Retail"/>
    <s v="WH-C"/>
    <n v="492"/>
    <d v="2024-04-15T00:00:00"/>
    <n v="14"/>
    <s v="Valid"/>
    <n v="60"/>
    <x v="0"/>
    <s v="Delayed"/>
  </r>
  <r>
    <n v="10456"/>
    <n v="5960"/>
    <s v="phone"/>
    <n v="68273.240000000005"/>
    <n v="73"/>
    <x v="0"/>
    <d v="2024-04-01T00:00:00"/>
    <n v="123659.86"/>
    <s v="online"/>
    <s v="WH-C"/>
    <n v="364"/>
    <d v="2024-02-10T00:00:00"/>
    <n v="11"/>
    <s v="Invalid Date Order"/>
    <s v=""/>
    <x v="2"/>
    <s v=""/>
  </r>
  <r>
    <n v="10457"/>
    <n v="6505"/>
    <s v="phone"/>
    <n v="79442.36"/>
    <n v="61"/>
    <x v="3"/>
    <d v="2024-04-01T00:00:00"/>
    <n v="35974.160000000003"/>
    <s v="online"/>
    <s v="WH-B"/>
    <n v="226"/>
    <d v="2024-04-15T00:00:00"/>
    <n v="5"/>
    <s v="Valid"/>
    <n v="14"/>
    <x v="2"/>
    <s v="Delayed"/>
  </r>
  <r>
    <n v="10458"/>
    <n v="5453"/>
    <s v="phone"/>
    <n v="29211.79"/>
    <n v="9"/>
    <x v="3"/>
    <d v="2024-01-15T00:00:00"/>
    <n v="68507.09"/>
    <s v="online"/>
    <s v="WH-B"/>
    <n v="277"/>
    <d v="2024-04-15T00:00:00"/>
    <n v="13"/>
    <s v="Valid"/>
    <n v="91"/>
    <x v="1"/>
    <s v="Delayed"/>
  </r>
  <r>
    <n v="10459"/>
    <n v="6020"/>
    <s v="phone"/>
    <n v="36091.08"/>
    <n v="68"/>
    <x v="2"/>
    <d v="2024-03-10T00:00:00"/>
    <n v="67484.86"/>
    <s v="online"/>
    <s v="WH-C"/>
    <n v="316"/>
    <d v="2024-03-10T00:00:00"/>
    <n v="9"/>
    <s v="Valid"/>
    <n v="0"/>
    <x v="3"/>
    <s v="On Time"/>
  </r>
  <r>
    <n v="10460"/>
    <n v="6853"/>
    <s v="Laptop"/>
    <n v="9146.74"/>
    <n v="35"/>
    <x v="0"/>
    <d v="2024-02-15T00:00:00"/>
    <n v="162881.46"/>
    <s v="Retail"/>
    <s v="WH-C"/>
    <n v="919"/>
    <d v="2024-02-10T00:00:00"/>
    <n v="12"/>
    <s v="Invalid Date Order"/>
    <s v=""/>
    <x v="0"/>
    <s v=""/>
  </r>
  <r>
    <n v="10461"/>
    <n v="5816"/>
    <s v="phone"/>
    <n v="64555.51"/>
    <n v="81"/>
    <x v="0"/>
    <d v="2024-04-01T00:00:00"/>
    <n v="79878.66"/>
    <s v="offline"/>
    <s v="WH-C"/>
    <n v="887"/>
    <d v="2024-02-10T00:00:00"/>
    <n v="9"/>
    <s v="Invalid Date Order"/>
    <s v=""/>
    <x v="2"/>
    <s v=""/>
  </r>
  <r>
    <n v="10462"/>
    <n v="5659"/>
    <s v="phone"/>
    <n v="22582.1"/>
    <n v="98"/>
    <x v="2"/>
    <d v="2024-02-15T00:00:00"/>
    <n v="88097.67"/>
    <s v="online"/>
    <s v="WH-C"/>
    <n v="1452"/>
    <d v="2024-04-15T00:00:00"/>
    <n v="10"/>
    <s v="Valid"/>
    <n v="60"/>
    <x v="0"/>
    <s v="Delayed"/>
  </r>
  <r>
    <n v="10463"/>
    <n v="6540"/>
    <s v="phone"/>
    <n v="45581.599999999999"/>
    <n v="88"/>
    <x v="2"/>
    <d v="2024-02-15T00:00:00"/>
    <n v="61829.85"/>
    <s v="Retail"/>
    <s v="WH-C"/>
    <n v="538"/>
    <d v="2024-03-10T00:00:00"/>
    <n v="13"/>
    <s v="Valid"/>
    <n v="24"/>
    <x v="0"/>
    <s v="Delayed"/>
  </r>
  <r>
    <n v="10464"/>
    <n v="5547"/>
    <s v="phone"/>
    <n v="26926.26"/>
    <n v="96"/>
    <x v="0"/>
    <d v="2024-03-10T00:00:00"/>
    <n v="78293.58"/>
    <s v="online"/>
    <s v="WH-B"/>
    <n v="751"/>
    <d v="2024-03-10T00:00:00"/>
    <n v="12"/>
    <s v="Valid"/>
    <n v="0"/>
    <x v="3"/>
    <s v="On Time"/>
  </r>
  <r>
    <n v="10465"/>
    <n v="6216"/>
    <s v="phone"/>
    <n v="47765.93"/>
    <n v="65"/>
    <x v="2"/>
    <d v="2024-04-01T00:00:00"/>
    <n v="58496.959999999999"/>
    <s v="online"/>
    <s v="WH-A"/>
    <n v="736"/>
    <d v="2024-02-10T00:00:00"/>
    <n v="14"/>
    <s v="Invalid Date Order"/>
    <s v=""/>
    <x v="2"/>
    <s v=""/>
  </r>
  <r>
    <n v="10466"/>
    <n v="6073"/>
    <s v="Laptop"/>
    <n v="30878.57"/>
    <n v="8"/>
    <x v="3"/>
    <d v="2024-02-15T00:00:00"/>
    <n v="71523.820000000007"/>
    <s v="online"/>
    <s v="WH-C"/>
    <n v="1363"/>
    <d v="2024-04-15T00:00:00"/>
    <n v="1"/>
    <s v="Valid"/>
    <n v="60"/>
    <x v="0"/>
    <s v="Delayed"/>
  </r>
  <r>
    <n v="10467"/>
    <n v="6536"/>
    <s v="phone"/>
    <n v="51097.85"/>
    <n v="45"/>
    <x v="1"/>
    <d v="2024-04-01T00:00:00"/>
    <n v="113134.85"/>
    <s v="online"/>
    <s v="WH-C"/>
    <n v="1045"/>
    <d v="2024-02-10T00:00:00"/>
    <n v="14"/>
    <s v="Invalid Date Order"/>
    <s v=""/>
    <x v="2"/>
    <s v=""/>
  </r>
  <r>
    <n v="10468"/>
    <n v="5017"/>
    <s v="phone"/>
    <n v="34764.699999999997"/>
    <n v="87"/>
    <x v="3"/>
    <d v="2024-01-15T00:00:00"/>
    <n v="109343.32"/>
    <s v="offline"/>
    <s v="WH-A"/>
    <n v="406"/>
    <d v="2024-02-10T00:00:00"/>
    <n v="14"/>
    <s v="Valid"/>
    <n v="26"/>
    <x v="1"/>
    <s v="Delayed"/>
  </r>
  <r>
    <n v="10469"/>
    <n v="6196"/>
    <s v="Laptop"/>
    <n v="52705.51"/>
    <n v="47"/>
    <x v="2"/>
    <d v="2024-01-15T00:00:00"/>
    <n v="51785.04"/>
    <s v="online"/>
    <s v="WH-A"/>
    <n v="921"/>
    <d v="2024-02-10T00:00:00"/>
    <n v="8"/>
    <s v="Valid"/>
    <n v="26"/>
    <x v="1"/>
    <s v="Delayed"/>
  </r>
  <r>
    <n v="10470"/>
    <n v="6244"/>
    <s v="phone"/>
    <n v="15520.07"/>
    <n v="40"/>
    <x v="0"/>
    <d v="2024-02-15T00:00:00"/>
    <n v="98597.35"/>
    <s v="online"/>
    <s v="WH-A"/>
    <n v="253"/>
    <d v="2024-02-10T00:00:00"/>
    <n v="14"/>
    <s v="Invalid Date Order"/>
    <s v=""/>
    <x v="0"/>
    <s v=""/>
  </r>
  <r>
    <n v="10471"/>
    <n v="5158"/>
    <s v="Laptop"/>
    <n v="22972.799999999999"/>
    <n v="76"/>
    <x v="0"/>
    <d v="2024-04-01T00:00:00"/>
    <n v="57753.13"/>
    <s v="offline"/>
    <s v="WH-A"/>
    <n v="1286"/>
    <d v="2024-04-15T00:00:00"/>
    <n v="1"/>
    <s v="Valid"/>
    <n v="14"/>
    <x v="2"/>
    <s v="Delayed"/>
  </r>
  <r>
    <n v="10472"/>
    <n v="5477"/>
    <s v="phone"/>
    <n v="75111.490000000005"/>
    <n v="54"/>
    <x v="3"/>
    <d v="2024-02-15T00:00:00"/>
    <n v="61031.24"/>
    <s v="online"/>
    <s v="WH-A"/>
    <n v="601"/>
    <d v="2024-03-10T00:00:00"/>
    <n v="2"/>
    <s v="Valid"/>
    <n v="24"/>
    <x v="0"/>
    <s v="Delayed"/>
  </r>
  <r>
    <n v="10473"/>
    <n v="6070"/>
    <s v="Laptop"/>
    <n v="83833.22"/>
    <n v="76"/>
    <x v="0"/>
    <d v="2024-04-01T00:00:00"/>
    <n v="25085.83"/>
    <s v="Retail"/>
    <s v="WH-A"/>
    <n v="372"/>
    <d v="2024-02-10T00:00:00"/>
    <n v="7"/>
    <s v="Invalid Date Order"/>
    <s v=""/>
    <x v="2"/>
    <s v=""/>
  </r>
  <r>
    <n v="10474"/>
    <n v="6397"/>
    <s v="Laptop"/>
    <n v="89567.65"/>
    <n v="46"/>
    <x v="2"/>
    <d v="2024-04-01T00:00:00"/>
    <n v="157330.66"/>
    <s v="online"/>
    <s v="WH-B"/>
    <n v="643"/>
    <d v="2024-02-10T00:00:00"/>
    <n v="8"/>
    <s v="Invalid Date Order"/>
    <s v=""/>
    <x v="2"/>
    <s v=""/>
  </r>
  <r>
    <n v="10475"/>
    <n v="5518"/>
    <s v="phone"/>
    <n v="65905.279999999999"/>
    <n v="47"/>
    <x v="3"/>
    <d v="2024-03-10T00:00:00"/>
    <n v="60993.89"/>
    <s v="online"/>
    <s v="WH-A"/>
    <n v="230"/>
    <d v="2024-02-10T00:00:00"/>
    <n v="1"/>
    <s v="Invalid Date Order"/>
    <s v=""/>
    <x v="3"/>
    <s v=""/>
  </r>
  <r>
    <n v="10476"/>
    <n v="5099"/>
    <s v="phone"/>
    <n v="20909.84"/>
    <n v="15"/>
    <x v="0"/>
    <d v="2024-03-10T00:00:00"/>
    <n v="107790.39999999999"/>
    <s v="online"/>
    <s v="WH-A"/>
    <n v="548"/>
    <d v="2024-02-10T00:00:00"/>
    <n v="3"/>
    <s v="Invalid Date Order"/>
    <s v=""/>
    <x v="3"/>
    <s v=""/>
  </r>
  <r>
    <n v="10477"/>
    <n v="6916"/>
    <s v="Laptop"/>
    <n v="15388"/>
    <n v="19"/>
    <x v="1"/>
    <d v="2024-03-10T00:00:00"/>
    <n v="51337.35"/>
    <s v="online"/>
    <s v="WH-B"/>
    <n v="1393"/>
    <d v="2024-03-10T00:00:00"/>
    <n v="7"/>
    <s v="Valid"/>
    <n v="0"/>
    <x v="3"/>
    <s v="On Time"/>
  </r>
  <r>
    <n v="10478"/>
    <n v="6769"/>
    <s v="Laptop"/>
    <n v="89621.31"/>
    <n v="26"/>
    <x v="1"/>
    <d v="2024-02-15T00:00:00"/>
    <n v="14015.84"/>
    <s v="online"/>
    <s v="WH-A"/>
    <n v="132"/>
    <d v="2024-03-10T00:00:00"/>
    <n v="13"/>
    <s v="Valid"/>
    <n v="24"/>
    <x v="0"/>
    <s v="Delayed"/>
  </r>
  <r>
    <n v="10479"/>
    <n v="6061"/>
    <s v="phone"/>
    <n v="28481.919999999998"/>
    <n v="52"/>
    <x v="2"/>
    <d v="2024-03-10T00:00:00"/>
    <n v="67885.710000000006"/>
    <s v="online"/>
    <s v="WH-C"/>
    <n v="352"/>
    <d v="2024-03-10T00:00:00"/>
    <n v="9"/>
    <s v="Valid"/>
    <n v="0"/>
    <x v="3"/>
    <s v="On Time"/>
  </r>
  <r>
    <n v="10480"/>
    <n v="5280"/>
    <s v="phone"/>
    <n v="26633.3"/>
    <n v="93"/>
    <x v="0"/>
    <d v="2024-03-10T00:00:00"/>
    <n v="85203.58"/>
    <s v="Retail"/>
    <s v="WH-C"/>
    <n v="311"/>
    <d v="2024-03-10T00:00:00"/>
    <n v="8"/>
    <s v="Valid"/>
    <n v="0"/>
    <x v="3"/>
    <s v="On Time"/>
  </r>
  <r>
    <n v="10481"/>
    <n v="6373"/>
    <s v="phone"/>
    <n v="14366.92"/>
    <n v="22"/>
    <x v="2"/>
    <d v="2024-01-15T00:00:00"/>
    <n v="137168.25"/>
    <s v="online"/>
    <s v="WH-A"/>
    <n v="833"/>
    <d v="2024-02-10T00:00:00"/>
    <n v="8"/>
    <s v="Valid"/>
    <n v="26"/>
    <x v="1"/>
    <s v="Delayed"/>
  </r>
  <r>
    <n v="10482"/>
    <n v="5497"/>
    <s v="phone"/>
    <n v="29558.400000000001"/>
    <n v="21"/>
    <x v="3"/>
    <d v="2024-04-01T00:00:00"/>
    <n v="120776.75"/>
    <s v="Retail"/>
    <s v="WH-B"/>
    <n v="1273"/>
    <d v="2024-04-15T00:00:00"/>
    <n v="9"/>
    <s v="Valid"/>
    <n v="14"/>
    <x v="2"/>
    <s v="Delayed"/>
  </r>
  <r>
    <n v="10483"/>
    <n v="5302"/>
    <s v="phone"/>
    <n v="99609.32"/>
    <n v="51"/>
    <x v="1"/>
    <d v="2024-04-01T00:00:00"/>
    <n v="90999.58"/>
    <s v="Retail"/>
    <s v="WH-C"/>
    <n v="1313"/>
    <d v="2024-03-10T00:00:00"/>
    <n v="10"/>
    <s v="Invalid Date Order"/>
    <s v=""/>
    <x v="2"/>
    <s v=""/>
  </r>
  <r>
    <n v="10484"/>
    <n v="5181"/>
    <s v="Laptop"/>
    <n v="34138.58"/>
    <n v="38"/>
    <x v="3"/>
    <d v="2024-03-10T00:00:00"/>
    <n v="149163.04"/>
    <s v="online"/>
    <s v="WH-B"/>
    <n v="963"/>
    <d v="2024-03-10T00:00:00"/>
    <n v="3"/>
    <s v="Valid"/>
    <n v="0"/>
    <x v="3"/>
    <s v="On Time"/>
  </r>
  <r>
    <n v="10485"/>
    <n v="5607"/>
    <s v="Laptop"/>
    <n v="91186.43"/>
    <n v="20"/>
    <x v="0"/>
    <d v="2024-04-01T00:00:00"/>
    <n v="18443.71"/>
    <s v="Retail"/>
    <s v="WH-C"/>
    <n v="741"/>
    <d v="2024-02-10T00:00:00"/>
    <n v="8"/>
    <s v="Invalid Date Order"/>
    <s v=""/>
    <x v="2"/>
    <s v=""/>
  </r>
  <r>
    <n v="10486"/>
    <n v="6123"/>
    <s v="phone"/>
    <n v="69566.559999999998"/>
    <n v="29"/>
    <x v="2"/>
    <d v="2024-01-15T00:00:00"/>
    <n v="168958.34"/>
    <s v="online"/>
    <s v="WH-A"/>
    <n v="993"/>
    <d v="2024-02-10T00:00:00"/>
    <n v="1"/>
    <s v="Valid"/>
    <n v="26"/>
    <x v="1"/>
    <s v="Delayed"/>
  </r>
  <r>
    <n v="10487"/>
    <n v="5700"/>
    <s v="phone"/>
    <n v="77554.45"/>
    <n v="51"/>
    <x v="2"/>
    <d v="2024-01-15T00:00:00"/>
    <n v="121491.9"/>
    <s v="offline"/>
    <s v="WH-B"/>
    <n v="732"/>
    <d v="2024-02-10T00:00:00"/>
    <n v="8"/>
    <s v="Valid"/>
    <n v="26"/>
    <x v="1"/>
    <s v="Delayed"/>
  </r>
  <r>
    <n v="10488"/>
    <n v="5993"/>
    <s v="phone"/>
    <n v="68386.559999999998"/>
    <n v="4"/>
    <x v="2"/>
    <d v="2024-03-10T00:00:00"/>
    <n v="152446.6"/>
    <s v="online"/>
    <s v="WH-B"/>
    <n v="1368"/>
    <d v="2024-02-10T00:00:00"/>
    <n v="13"/>
    <s v="Invalid Date Order"/>
    <s v=""/>
    <x v="3"/>
    <s v=""/>
  </r>
  <r>
    <n v="10489"/>
    <n v="6140"/>
    <s v="phone"/>
    <n v="65518.73"/>
    <n v="55"/>
    <x v="3"/>
    <d v="2024-01-15T00:00:00"/>
    <n v="37584.33"/>
    <s v="Retail"/>
    <s v="WH-B"/>
    <n v="738"/>
    <d v="2024-04-15T00:00:00"/>
    <n v="7"/>
    <s v="Valid"/>
    <n v="91"/>
    <x v="1"/>
    <s v="Delayed"/>
  </r>
  <r>
    <n v="10490"/>
    <n v="5191"/>
    <s v="phone"/>
    <n v="95700.07"/>
    <n v="71"/>
    <x v="1"/>
    <d v="2024-04-01T00:00:00"/>
    <n v="107638.74"/>
    <s v="offline"/>
    <s v="WH-C"/>
    <n v="445"/>
    <d v="2024-04-15T00:00:00"/>
    <n v="13"/>
    <s v="Valid"/>
    <n v="14"/>
    <x v="2"/>
    <s v="Delayed"/>
  </r>
  <r>
    <n v="10491"/>
    <n v="5253"/>
    <s v="phone"/>
    <n v="39124.74"/>
    <n v="92"/>
    <x v="3"/>
    <d v="2024-02-15T00:00:00"/>
    <n v="80684.67"/>
    <s v="online"/>
    <s v="WH-C"/>
    <n v="1211"/>
    <d v="2024-03-10T00:00:00"/>
    <n v="8"/>
    <s v="Valid"/>
    <n v="24"/>
    <x v="0"/>
    <s v="Delayed"/>
  </r>
  <r>
    <n v="10492"/>
    <n v="5981"/>
    <s v="phone"/>
    <n v="53748.62"/>
    <n v="28"/>
    <x v="3"/>
    <d v="2024-04-01T00:00:00"/>
    <n v="88932.17"/>
    <s v="Retail"/>
    <s v="WH-C"/>
    <n v="888"/>
    <d v="2024-04-15T00:00:00"/>
    <n v="1"/>
    <s v="Valid"/>
    <n v="14"/>
    <x v="2"/>
    <s v="Delayed"/>
  </r>
  <r>
    <n v="10493"/>
    <n v="5928"/>
    <s v="Laptop"/>
    <n v="64238.02"/>
    <n v="4"/>
    <x v="0"/>
    <d v="2024-02-15T00:00:00"/>
    <n v="60554.01"/>
    <s v="online"/>
    <s v="WH-A"/>
    <n v="927"/>
    <d v="2024-03-10T00:00:00"/>
    <n v="6"/>
    <s v="Valid"/>
    <n v="24"/>
    <x v="0"/>
    <s v="Delayed"/>
  </r>
  <r>
    <n v="10494"/>
    <n v="6185"/>
    <s v="phone"/>
    <n v="76613.97"/>
    <n v="22"/>
    <x v="0"/>
    <d v="2024-03-10T00:00:00"/>
    <n v="49214.17"/>
    <s v="online"/>
    <s v="WH-C"/>
    <n v="872"/>
    <d v="2024-03-10T00:00:00"/>
    <n v="7"/>
    <s v="Valid"/>
    <n v="0"/>
    <x v="3"/>
    <s v="On Time"/>
  </r>
  <r>
    <n v="10495"/>
    <n v="6280"/>
    <s v="Laptop"/>
    <n v="87630.52"/>
    <n v="76"/>
    <x v="0"/>
    <d v="2024-02-15T00:00:00"/>
    <n v="69181.649999999994"/>
    <s v="online"/>
    <s v="WH-A"/>
    <n v="1202"/>
    <d v="2024-04-15T00:00:00"/>
    <n v="14"/>
    <s v="Valid"/>
    <n v="60"/>
    <x v="0"/>
    <s v="Delayed"/>
  </r>
  <r>
    <n v="10496"/>
    <n v="6347"/>
    <s v="phone"/>
    <n v="32161.58"/>
    <n v="45"/>
    <x v="1"/>
    <d v="2024-01-15T00:00:00"/>
    <n v="50749.3"/>
    <s v="online"/>
    <s v="WH-B"/>
    <n v="98"/>
    <d v="2024-03-10T00:00:00"/>
    <n v="11"/>
    <s v="Valid"/>
    <n v="55"/>
    <x v="1"/>
    <s v="Delayed"/>
  </r>
  <r>
    <n v="10497"/>
    <n v="5128"/>
    <s v="Laptop"/>
    <n v="85282.06"/>
    <n v="67"/>
    <x v="1"/>
    <d v="2024-04-01T00:00:00"/>
    <n v="96633.16"/>
    <s v="online"/>
    <s v="WH-B"/>
    <n v="838"/>
    <d v="2024-02-10T00:00:00"/>
    <n v="5"/>
    <s v="Invalid Date Order"/>
    <s v=""/>
    <x v="2"/>
    <s v=""/>
  </r>
  <r>
    <n v="10498"/>
    <n v="5018"/>
    <s v="phone"/>
    <n v="14070.11"/>
    <n v="86"/>
    <x v="0"/>
    <d v="2024-02-15T00:00:00"/>
    <n v="42286.18"/>
    <s v="Retail"/>
    <s v="WH-A"/>
    <n v="342"/>
    <d v="2024-03-10T00:00:00"/>
    <n v="14"/>
    <s v="Valid"/>
    <n v="24"/>
    <x v="0"/>
    <s v="Delayed"/>
  </r>
  <r>
    <n v="10499"/>
    <n v="6817"/>
    <s v="phone"/>
    <n v="21126.01"/>
    <n v="66"/>
    <x v="0"/>
    <d v="2024-04-01T00:00:00"/>
    <n v="22233.759999999998"/>
    <s v="Retail"/>
    <s v="WH-C"/>
    <n v="585"/>
    <d v="2024-02-10T00:00:00"/>
    <n v="5"/>
    <s v="Invalid Date Order"/>
    <s v=""/>
    <x v="2"/>
    <s v=""/>
  </r>
  <r>
    <n v="10500"/>
    <n v="6759"/>
    <s v="phone"/>
    <n v="42130.83"/>
    <n v="88"/>
    <x v="1"/>
    <d v="2024-03-10T00:00:00"/>
    <n v="113955.45"/>
    <s v="Retail"/>
    <s v="WH-A"/>
    <n v="360"/>
    <d v="2024-04-15T00:00:00"/>
    <n v="7"/>
    <s v="Valid"/>
    <n v="36"/>
    <x v="3"/>
    <s v="Delayed"/>
  </r>
  <r>
    <n v="10501"/>
    <n v="5566"/>
    <s v="phone"/>
    <n v="21005.46"/>
    <n v="34"/>
    <x v="2"/>
    <d v="2024-03-10T00:00:00"/>
    <n v="16619.89"/>
    <s v="online"/>
    <s v="WH-B"/>
    <n v="586"/>
    <d v="2024-04-15T00:00:00"/>
    <n v="11"/>
    <s v="Valid"/>
    <n v="36"/>
    <x v="3"/>
    <s v="Delayed"/>
  </r>
  <r>
    <n v="10502"/>
    <n v="5570"/>
    <s v="Laptop"/>
    <n v="74653.740000000005"/>
    <n v="91"/>
    <x v="1"/>
    <d v="2024-01-15T00:00:00"/>
    <n v="19781.88"/>
    <s v="offline"/>
    <s v="WH-B"/>
    <n v="688"/>
    <d v="2024-03-10T00:00:00"/>
    <n v="3"/>
    <s v="Valid"/>
    <n v="55"/>
    <x v="1"/>
    <s v="Delayed"/>
  </r>
  <r>
    <n v="10503"/>
    <n v="6347"/>
    <s v="phone"/>
    <n v="14571.88"/>
    <n v="55"/>
    <x v="1"/>
    <d v="2024-03-10T00:00:00"/>
    <n v="140069.01999999999"/>
    <s v="offline"/>
    <s v="WH-A"/>
    <n v="283"/>
    <d v="2024-02-10T00:00:00"/>
    <n v="6"/>
    <s v="Invalid Date Order"/>
    <s v=""/>
    <x v="3"/>
    <s v=""/>
  </r>
  <r>
    <n v="10504"/>
    <n v="6896"/>
    <s v="Laptop"/>
    <n v="40815.449999999997"/>
    <n v="1"/>
    <x v="1"/>
    <d v="2024-02-15T00:00:00"/>
    <n v="59745.01"/>
    <s v="offline"/>
    <s v="WH-C"/>
    <n v="1282"/>
    <d v="2024-03-10T00:00:00"/>
    <n v="7"/>
    <s v="Valid"/>
    <n v="24"/>
    <x v="0"/>
    <s v="Delayed"/>
  </r>
  <r>
    <n v="10505"/>
    <n v="5686"/>
    <s v="phone"/>
    <n v="71804.19"/>
    <n v="72"/>
    <x v="0"/>
    <d v="2024-03-10T00:00:00"/>
    <n v="87311.32"/>
    <s v="offline"/>
    <s v="WH-C"/>
    <n v="654"/>
    <d v="2024-04-15T00:00:00"/>
    <n v="1"/>
    <s v="Valid"/>
    <n v="36"/>
    <x v="3"/>
    <s v="Delayed"/>
  </r>
  <r>
    <n v="10506"/>
    <n v="6816"/>
    <s v="phone"/>
    <n v="86897.39"/>
    <n v="87"/>
    <x v="2"/>
    <d v="2024-01-15T00:00:00"/>
    <n v="139236.98000000001"/>
    <s v="offline"/>
    <s v="WH-A"/>
    <n v="143"/>
    <d v="2024-03-10T00:00:00"/>
    <n v="12"/>
    <s v="Valid"/>
    <n v="55"/>
    <x v="1"/>
    <s v="Delayed"/>
  </r>
  <r>
    <n v="10507"/>
    <n v="5626"/>
    <s v="phone"/>
    <n v="78789.820000000007"/>
    <n v="38"/>
    <x v="1"/>
    <d v="2024-04-01T00:00:00"/>
    <n v="139671.4"/>
    <s v="online"/>
    <s v="WH-A"/>
    <n v="376"/>
    <d v="2024-03-10T00:00:00"/>
    <n v="2"/>
    <s v="Invalid Date Order"/>
    <s v=""/>
    <x v="2"/>
    <s v=""/>
  </r>
  <r>
    <n v="10508"/>
    <n v="6312"/>
    <s v="phone"/>
    <n v="33967.370000000003"/>
    <n v="6"/>
    <x v="0"/>
    <d v="2024-04-01T00:00:00"/>
    <n v="137641.93"/>
    <s v="online"/>
    <s v="WH-C"/>
    <n v="274"/>
    <d v="2024-02-10T00:00:00"/>
    <n v="12"/>
    <s v="Invalid Date Order"/>
    <s v=""/>
    <x v="2"/>
    <s v=""/>
  </r>
  <r>
    <n v="10509"/>
    <n v="6967"/>
    <s v="phone"/>
    <n v="74576.92"/>
    <n v="86"/>
    <x v="3"/>
    <d v="2024-03-10T00:00:00"/>
    <n v="80721.649999999994"/>
    <s v="offline"/>
    <s v="WH-B"/>
    <n v="1016"/>
    <d v="2024-04-15T00:00:00"/>
    <n v="4"/>
    <s v="Valid"/>
    <n v="36"/>
    <x v="3"/>
    <s v="Delayed"/>
  </r>
  <r>
    <n v="10510"/>
    <n v="5854"/>
    <s v="phone"/>
    <n v="76787.31"/>
    <n v="25"/>
    <x v="3"/>
    <d v="2024-02-15T00:00:00"/>
    <n v="43080.27"/>
    <s v="online"/>
    <s v="WH-A"/>
    <n v="939"/>
    <d v="2024-03-10T00:00:00"/>
    <n v="13"/>
    <s v="Valid"/>
    <n v="24"/>
    <x v="0"/>
    <s v="Delayed"/>
  </r>
  <r>
    <n v="10511"/>
    <n v="6687"/>
    <s v="Laptop"/>
    <n v="12228.52"/>
    <n v="82"/>
    <x v="1"/>
    <d v="2024-01-15T00:00:00"/>
    <n v="142231.35999999999"/>
    <s v="online"/>
    <s v="WH-C"/>
    <n v="60"/>
    <d v="2024-02-10T00:00:00"/>
    <n v="8"/>
    <s v="Valid"/>
    <n v="26"/>
    <x v="1"/>
    <s v="Delayed"/>
  </r>
  <r>
    <n v="10512"/>
    <n v="5962"/>
    <s v="phone"/>
    <n v="26840.45"/>
    <n v="17"/>
    <x v="3"/>
    <d v="2024-02-15T00:00:00"/>
    <n v="87879.63"/>
    <s v="offline"/>
    <s v="WH-C"/>
    <n v="1402"/>
    <d v="2024-03-10T00:00:00"/>
    <n v="11"/>
    <s v="Valid"/>
    <n v="24"/>
    <x v="0"/>
    <s v="Delayed"/>
  </r>
  <r>
    <n v="10513"/>
    <n v="6663"/>
    <s v="phone"/>
    <n v="75750.13"/>
    <n v="61"/>
    <x v="2"/>
    <d v="2024-01-15T00:00:00"/>
    <n v="113939.66"/>
    <s v="Retail"/>
    <s v="WH-B"/>
    <n v="1085"/>
    <d v="2024-02-10T00:00:00"/>
    <n v="13"/>
    <s v="Valid"/>
    <n v="26"/>
    <x v="1"/>
    <s v="Delayed"/>
  </r>
  <r>
    <n v="10514"/>
    <n v="5155"/>
    <s v="phone"/>
    <n v="94427.47"/>
    <n v="12"/>
    <x v="3"/>
    <d v="2024-03-10T00:00:00"/>
    <n v="12015.78"/>
    <s v="online"/>
    <s v="WH-B"/>
    <n v="84"/>
    <d v="2024-02-10T00:00:00"/>
    <n v="14"/>
    <s v="Invalid Date Order"/>
    <s v=""/>
    <x v="3"/>
    <s v=""/>
  </r>
  <r>
    <n v="10515"/>
    <n v="5490"/>
    <s v="Laptop"/>
    <n v="35708.89"/>
    <n v="6"/>
    <x v="3"/>
    <d v="2024-01-15T00:00:00"/>
    <n v="128993.7"/>
    <s v="Retail"/>
    <s v="WH-B"/>
    <n v="496"/>
    <d v="2024-03-10T00:00:00"/>
    <n v="10"/>
    <s v="Valid"/>
    <n v="55"/>
    <x v="1"/>
    <s v="Delayed"/>
  </r>
  <r>
    <n v="10516"/>
    <n v="6410"/>
    <s v="Laptop"/>
    <n v="89514.45"/>
    <n v="90"/>
    <x v="2"/>
    <d v="2024-01-15T00:00:00"/>
    <n v="145307.53"/>
    <s v="online"/>
    <s v="WH-B"/>
    <n v="1293"/>
    <d v="2024-04-15T00:00:00"/>
    <n v="6"/>
    <s v="Valid"/>
    <n v="91"/>
    <x v="1"/>
    <s v="Delayed"/>
  </r>
  <r>
    <n v="10517"/>
    <n v="5785"/>
    <s v="phone"/>
    <n v="66333.73"/>
    <n v="27"/>
    <x v="1"/>
    <d v="2024-03-10T00:00:00"/>
    <n v="39750.36"/>
    <s v="online"/>
    <s v="WH-B"/>
    <n v="490"/>
    <d v="2024-04-15T00:00:00"/>
    <n v="1"/>
    <s v="Valid"/>
    <n v="36"/>
    <x v="3"/>
    <s v="Delayed"/>
  </r>
  <r>
    <n v="10518"/>
    <n v="6128"/>
    <s v="phone"/>
    <n v="88632.22"/>
    <n v="8"/>
    <x v="1"/>
    <d v="2024-02-15T00:00:00"/>
    <n v="86616.93"/>
    <s v="offline"/>
    <s v="WH-A"/>
    <n v="702"/>
    <d v="2024-02-10T00:00:00"/>
    <n v="10"/>
    <s v="Invalid Date Order"/>
    <s v=""/>
    <x v="0"/>
    <s v=""/>
  </r>
  <r>
    <n v="10519"/>
    <n v="6953"/>
    <s v="Laptop"/>
    <n v="11773.36"/>
    <n v="83"/>
    <x v="2"/>
    <d v="2024-03-10T00:00:00"/>
    <n v="71085.55"/>
    <s v="online"/>
    <s v="WH-C"/>
    <n v="644"/>
    <d v="2024-04-15T00:00:00"/>
    <n v="5"/>
    <s v="Valid"/>
    <n v="36"/>
    <x v="3"/>
    <s v="Delayed"/>
  </r>
  <r>
    <n v="10520"/>
    <n v="6417"/>
    <s v="phone"/>
    <n v="14902.62"/>
    <n v="65"/>
    <x v="2"/>
    <d v="2024-01-15T00:00:00"/>
    <n v="174639.18"/>
    <s v="online"/>
    <s v="WH-A"/>
    <n v="278"/>
    <d v="2024-02-10T00:00:00"/>
    <n v="7"/>
    <s v="Valid"/>
    <n v="26"/>
    <x v="1"/>
    <s v="Delayed"/>
  </r>
  <r>
    <n v="10521"/>
    <n v="6835"/>
    <s v="phone"/>
    <n v="74880.25"/>
    <n v="57"/>
    <x v="2"/>
    <d v="2024-03-10T00:00:00"/>
    <n v="122038.54"/>
    <s v="online"/>
    <s v="WH-A"/>
    <n v="393"/>
    <d v="2024-04-15T00:00:00"/>
    <n v="13"/>
    <s v="Valid"/>
    <n v="36"/>
    <x v="3"/>
    <s v="Delayed"/>
  </r>
  <r>
    <n v="10522"/>
    <n v="5246"/>
    <s v="phone"/>
    <n v="35459.96"/>
    <n v="93"/>
    <x v="3"/>
    <d v="2024-01-15T00:00:00"/>
    <n v="175364.31"/>
    <s v="offline"/>
    <s v="WH-A"/>
    <n v="1153"/>
    <d v="2024-03-10T00:00:00"/>
    <n v="6"/>
    <s v="Valid"/>
    <n v="55"/>
    <x v="1"/>
    <s v="Delayed"/>
  </r>
  <r>
    <n v="10523"/>
    <n v="6200"/>
    <s v="phone"/>
    <n v="63465.440000000002"/>
    <n v="99"/>
    <x v="2"/>
    <d v="2024-03-10T00:00:00"/>
    <n v="122210.83"/>
    <s v="Retail"/>
    <s v="WH-A"/>
    <n v="1426"/>
    <d v="2024-04-15T00:00:00"/>
    <n v="13"/>
    <s v="Valid"/>
    <n v="36"/>
    <x v="3"/>
    <s v="Delayed"/>
  </r>
  <r>
    <n v="10524"/>
    <n v="6063"/>
    <s v="phone"/>
    <n v="78311.98"/>
    <n v="40"/>
    <x v="0"/>
    <d v="2024-04-01T00:00:00"/>
    <n v="128028.52"/>
    <s v="Retail"/>
    <s v="WH-A"/>
    <n v="1469"/>
    <d v="2024-02-10T00:00:00"/>
    <n v="13"/>
    <s v="Invalid Date Order"/>
    <s v=""/>
    <x v="2"/>
    <s v=""/>
  </r>
  <r>
    <n v="10525"/>
    <n v="6501"/>
    <s v="phone"/>
    <n v="27639.83"/>
    <n v="14"/>
    <x v="3"/>
    <d v="2024-04-01T00:00:00"/>
    <n v="52427.76"/>
    <s v="Retail"/>
    <s v="WH-B"/>
    <n v="1363"/>
    <d v="2024-02-10T00:00:00"/>
    <n v="12"/>
    <s v="Invalid Date Order"/>
    <s v=""/>
    <x v="2"/>
    <s v=""/>
  </r>
  <r>
    <n v="10526"/>
    <n v="6706"/>
    <s v="Laptop"/>
    <n v="65684.429999999993"/>
    <n v="35"/>
    <x v="1"/>
    <d v="2024-03-10T00:00:00"/>
    <n v="92944.07"/>
    <s v="online"/>
    <s v="WH-B"/>
    <n v="1038"/>
    <d v="2024-04-15T00:00:00"/>
    <n v="9"/>
    <s v="Valid"/>
    <n v="36"/>
    <x v="3"/>
    <s v="Delayed"/>
  </r>
  <r>
    <n v="10527"/>
    <n v="5759"/>
    <s v="phone"/>
    <n v="47557.75"/>
    <n v="48"/>
    <x v="1"/>
    <d v="2024-02-15T00:00:00"/>
    <n v="76907.460000000006"/>
    <s v="Retail"/>
    <s v="WH-C"/>
    <n v="1201"/>
    <d v="2024-03-10T00:00:00"/>
    <n v="8"/>
    <s v="Valid"/>
    <n v="24"/>
    <x v="0"/>
    <s v="Delayed"/>
  </r>
  <r>
    <n v="10528"/>
    <n v="5538"/>
    <s v="phone"/>
    <n v="69180.94"/>
    <n v="84"/>
    <x v="1"/>
    <d v="2024-01-15T00:00:00"/>
    <n v="55043.91"/>
    <s v="Retail"/>
    <s v="WH-A"/>
    <n v="958"/>
    <d v="2024-02-10T00:00:00"/>
    <n v="4"/>
    <s v="Valid"/>
    <n v="26"/>
    <x v="1"/>
    <s v="Delayed"/>
  </r>
  <r>
    <n v="10529"/>
    <n v="6891"/>
    <s v="phone"/>
    <n v="78224.58"/>
    <n v="56"/>
    <x v="3"/>
    <d v="2024-04-01T00:00:00"/>
    <n v="136826.76999999999"/>
    <s v="offline"/>
    <s v="WH-C"/>
    <n v="1432"/>
    <d v="2024-02-10T00:00:00"/>
    <n v="13"/>
    <s v="Invalid Date Order"/>
    <s v=""/>
    <x v="2"/>
    <s v=""/>
  </r>
  <r>
    <n v="10530"/>
    <n v="6842"/>
    <s v="phone"/>
    <n v="35783.21"/>
    <n v="49"/>
    <x v="0"/>
    <d v="2024-02-15T00:00:00"/>
    <n v="15030.19"/>
    <s v="Retail"/>
    <s v="WH-B"/>
    <n v="576"/>
    <d v="2024-02-10T00:00:00"/>
    <n v="11"/>
    <s v="Invalid Date Order"/>
    <s v=""/>
    <x v="0"/>
    <s v=""/>
  </r>
  <r>
    <n v="10531"/>
    <n v="5921"/>
    <s v="phone"/>
    <n v="90170.7"/>
    <n v="13"/>
    <x v="2"/>
    <d v="2024-01-15T00:00:00"/>
    <n v="104965.82"/>
    <s v="online"/>
    <s v="WH-B"/>
    <n v="1386"/>
    <d v="2024-02-10T00:00:00"/>
    <n v="12"/>
    <s v="Valid"/>
    <n v="26"/>
    <x v="1"/>
    <s v="Delayed"/>
  </r>
  <r>
    <n v="10532"/>
    <n v="5408"/>
    <s v="phone"/>
    <n v="29262.33"/>
    <n v="61"/>
    <x v="2"/>
    <d v="2024-04-01T00:00:00"/>
    <n v="15206.02"/>
    <s v="online"/>
    <s v="WH-B"/>
    <n v="124"/>
    <d v="2024-02-10T00:00:00"/>
    <n v="5"/>
    <s v="Invalid Date Order"/>
    <s v=""/>
    <x v="2"/>
    <s v=""/>
  </r>
  <r>
    <n v="10533"/>
    <n v="5525"/>
    <s v="phone"/>
    <n v="95717.91"/>
    <n v="49"/>
    <x v="1"/>
    <d v="2024-04-01T00:00:00"/>
    <n v="62528.14"/>
    <s v="online"/>
    <s v="WH-A"/>
    <n v="245"/>
    <d v="2024-03-10T00:00:00"/>
    <n v="7"/>
    <s v="Invalid Date Order"/>
    <s v=""/>
    <x v="2"/>
    <s v=""/>
  </r>
  <r>
    <n v="10534"/>
    <n v="5828"/>
    <s v="Laptop"/>
    <n v="41200.370000000003"/>
    <n v="46"/>
    <x v="1"/>
    <d v="2024-03-10T00:00:00"/>
    <n v="73856.59"/>
    <s v="offline"/>
    <s v="WH-A"/>
    <n v="78"/>
    <d v="2024-04-15T00:00:00"/>
    <n v="8"/>
    <s v="Valid"/>
    <n v="36"/>
    <x v="3"/>
    <s v="Delayed"/>
  </r>
  <r>
    <n v="10535"/>
    <n v="6530"/>
    <s v="Laptop"/>
    <n v="39331.120000000003"/>
    <n v="62"/>
    <x v="3"/>
    <d v="2024-01-15T00:00:00"/>
    <n v="35602.449999999997"/>
    <s v="offline"/>
    <s v="WH-B"/>
    <n v="755"/>
    <d v="2024-03-10T00:00:00"/>
    <n v="5"/>
    <s v="Valid"/>
    <n v="55"/>
    <x v="1"/>
    <s v="Delayed"/>
  </r>
  <r>
    <n v="10536"/>
    <n v="5903"/>
    <s v="phone"/>
    <n v="22051.86"/>
    <n v="8"/>
    <x v="0"/>
    <d v="2024-02-15T00:00:00"/>
    <n v="162887.07"/>
    <s v="online"/>
    <s v="WH-C"/>
    <n v="1070"/>
    <d v="2024-03-10T00:00:00"/>
    <n v="9"/>
    <s v="Valid"/>
    <n v="24"/>
    <x v="0"/>
    <s v="Delayed"/>
  </r>
  <r>
    <n v="10537"/>
    <n v="6849"/>
    <s v="phone"/>
    <n v="39369.5"/>
    <n v="43"/>
    <x v="2"/>
    <d v="2024-02-15T00:00:00"/>
    <n v="106443.93"/>
    <s v="Retail"/>
    <s v="WH-C"/>
    <n v="65"/>
    <d v="2024-02-10T00:00:00"/>
    <n v="14"/>
    <s v="Invalid Date Order"/>
    <s v=""/>
    <x v="0"/>
    <s v=""/>
  </r>
  <r>
    <n v="10538"/>
    <n v="5036"/>
    <s v="phone"/>
    <n v="43390.63"/>
    <n v="20"/>
    <x v="3"/>
    <d v="2024-02-15T00:00:00"/>
    <n v="23747"/>
    <s v="offline"/>
    <s v="WH-B"/>
    <n v="1496"/>
    <d v="2024-03-10T00:00:00"/>
    <n v="10"/>
    <s v="Valid"/>
    <n v="24"/>
    <x v="0"/>
    <s v="Delayed"/>
  </r>
  <r>
    <n v="10539"/>
    <n v="5685"/>
    <s v="phone"/>
    <n v="75974.61"/>
    <n v="97"/>
    <x v="2"/>
    <d v="2024-01-15T00:00:00"/>
    <n v="132145.26999999999"/>
    <s v="online"/>
    <s v="WH-C"/>
    <n v="854"/>
    <d v="2024-02-10T00:00:00"/>
    <n v="12"/>
    <s v="Valid"/>
    <n v="26"/>
    <x v="1"/>
    <s v="Delayed"/>
  </r>
  <r>
    <n v="10540"/>
    <n v="5020"/>
    <s v="phone"/>
    <n v="29281.48"/>
    <n v="90"/>
    <x v="1"/>
    <d v="2024-02-15T00:00:00"/>
    <n v="157122.96"/>
    <s v="online"/>
    <s v="WH-B"/>
    <n v="1478"/>
    <d v="2024-03-10T00:00:00"/>
    <n v="4"/>
    <s v="Valid"/>
    <n v="24"/>
    <x v="0"/>
    <s v="Delayed"/>
  </r>
  <r>
    <n v="10541"/>
    <n v="5321"/>
    <s v="phone"/>
    <n v="75887.710000000006"/>
    <n v="39"/>
    <x v="2"/>
    <d v="2024-02-15T00:00:00"/>
    <n v="27832.68"/>
    <s v="offline"/>
    <s v="WH-C"/>
    <n v="989"/>
    <d v="2024-02-10T00:00:00"/>
    <n v="4"/>
    <s v="Invalid Date Order"/>
    <s v=""/>
    <x v="0"/>
    <s v=""/>
  </r>
  <r>
    <n v="10542"/>
    <n v="6800"/>
    <s v="phone"/>
    <n v="10936.33"/>
    <n v="85"/>
    <x v="0"/>
    <d v="2024-02-15T00:00:00"/>
    <n v="83712.36"/>
    <s v="offline"/>
    <s v="WH-B"/>
    <n v="1016"/>
    <d v="2024-02-10T00:00:00"/>
    <n v="13"/>
    <s v="Invalid Date Order"/>
    <s v=""/>
    <x v="0"/>
    <s v=""/>
  </r>
  <r>
    <n v="10543"/>
    <n v="5512"/>
    <s v="phone"/>
    <n v="45482.06"/>
    <n v="49"/>
    <x v="0"/>
    <d v="2024-03-10T00:00:00"/>
    <n v="42232.66"/>
    <s v="offline"/>
    <s v="WH-C"/>
    <n v="1150"/>
    <d v="2024-03-10T00:00:00"/>
    <n v="8"/>
    <s v="Valid"/>
    <n v="0"/>
    <x v="3"/>
    <s v="On Time"/>
  </r>
  <r>
    <n v="10544"/>
    <n v="5400"/>
    <s v="phone"/>
    <n v="17798.099999999999"/>
    <n v="64"/>
    <x v="1"/>
    <d v="2024-03-10T00:00:00"/>
    <n v="137787.96"/>
    <s v="online"/>
    <s v="WH-A"/>
    <n v="278"/>
    <d v="2024-03-10T00:00:00"/>
    <n v="1"/>
    <s v="Valid"/>
    <n v="0"/>
    <x v="3"/>
    <s v="On Time"/>
  </r>
  <r>
    <n v="10545"/>
    <n v="5654"/>
    <s v="phone"/>
    <n v="75610.98"/>
    <n v="62"/>
    <x v="0"/>
    <d v="2024-01-15T00:00:00"/>
    <n v="131721.48000000001"/>
    <s v="online"/>
    <s v="WH-B"/>
    <n v="1011"/>
    <d v="2024-04-15T00:00:00"/>
    <n v="8"/>
    <s v="Valid"/>
    <n v="91"/>
    <x v="1"/>
    <s v="Delayed"/>
  </r>
  <r>
    <n v="10546"/>
    <n v="5972"/>
    <s v="phone"/>
    <n v="12824.96"/>
    <n v="54"/>
    <x v="0"/>
    <d v="2024-01-15T00:00:00"/>
    <n v="126078.6"/>
    <s v="online"/>
    <s v="WH-B"/>
    <n v="1370"/>
    <d v="2024-04-15T00:00:00"/>
    <n v="5"/>
    <s v="Valid"/>
    <n v="91"/>
    <x v="1"/>
    <s v="Delayed"/>
  </r>
  <r>
    <n v="10547"/>
    <n v="6907"/>
    <s v="phone"/>
    <n v="43551.33"/>
    <n v="9"/>
    <x v="3"/>
    <d v="2024-02-15T00:00:00"/>
    <n v="24471.87"/>
    <s v="online"/>
    <s v="WH-C"/>
    <n v="764"/>
    <d v="2024-04-15T00:00:00"/>
    <n v="13"/>
    <s v="Valid"/>
    <n v="60"/>
    <x v="0"/>
    <s v="Delayed"/>
  </r>
  <r>
    <n v="10548"/>
    <n v="5471"/>
    <s v="phone"/>
    <n v="15123.02"/>
    <n v="88"/>
    <x v="2"/>
    <d v="2024-03-10T00:00:00"/>
    <n v="32331.72"/>
    <s v="Retail"/>
    <s v="WH-B"/>
    <n v="1033"/>
    <d v="2024-03-10T00:00:00"/>
    <n v="14"/>
    <s v="Valid"/>
    <n v="0"/>
    <x v="3"/>
    <s v="On Time"/>
  </r>
  <r>
    <n v="10549"/>
    <n v="6167"/>
    <s v="phone"/>
    <n v="21201"/>
    <n v="37"/>
    <x v="1"/>
    <d v="2024-04-01T00:00:00"/>
    <n v="143927.57999999999"/>
    <s v="online"/>
    <s v="WH-B"/>
    <n v="622"/>
    <d v="2024-03-10T00:00:00"/>
    <n v="11"/>
    <s v="Invalid Date Order"/>
    <s v=""/>
    <x v="2"/>
    <s v=""/>
  </r>
  <r>
    <n v="10550"/>
    <n v="6116"/>
    <s v="phone"/>
    <n v="78573.009999999995"/>
    <n v="49"/>
    <x v="1"/>
    <d v="2024-04-01T00:00:00"/>
    <n v="18620.23"/>
    <s v="online"/>
    <s v="WH-B"/>
    <n v="664"/>
    <d v="2024-02-10T00:00:00"/>
    <n v="1"/>
    <s v="Invalid Date Order"/>
    <s v=""/>
    <x v="2"/>
    <s v=""/>
  </r>
  <r>
    <n v="10551"/>
    <n v="6378"/>
    <s v="Laptop"/>
    <n v="31488.27"/>
    <n v="41"/>
    <x v="1"/>
    <d v="2024-02-15T00:00:00"/>
    <n v="145404.9"/>
    <s v="offline"/>
    <s v="WH-A"/>
    <n v="375"/>
    <d v="2024-04-15T00:00:00"/>
    <n v="4"/>
    <s v="Valid"/>
    <n v="60"/>
    <x v="0"/>
    <s v="Delayed"/>
  </r>
  <r>
    <n v="10552"/>
    <n v="5834"/>
    <s v="phone"/>
    <n v="38295.03"/>
    <n v="17"/>
    <x v="1"/>
    <d v="2024-02-15T00:00:00"/>
    <n v="12536.45"/>
    <s v="offline"/>
    <s v="WH-A"/>
    <n v="1436"/>
    <d v="2024-02-10T00:00:00"/>
    <n v="2"/>
    <s v="Invalid Date Order"/>
    <s v=""/>
    <x v="0"/>
    <s v=""/>
  </r>
  <r>
    <n v="10553"/>
    <n v="6824"/>
    <s v="phone"/>
    <n v="22630.14"/>
    <n v="88"/>
    <x v="1"/>
    <d v="2024-03-10T00:00:00"/>
    <n v="90315.4"/>
    <s v="Retail"/>
    <s v="WH-C"/>
    <n v="924"/>
    <d v="2024-02-10T00:00:00"/>
    <n v="4"/>
    <s v="Invalid Date Order"/>
    <s v=""/>
    <x v="3"/>
    <s v=""/>
  </r>
  <r>
    <n v="10554"/>
    <n v="5727"/>
    <s v="phone"/>
    <n v="46725.64"/>
    <n v="21"/>
    <x v="0"/>
    <d v="2024-03-10T00:00:00"/>
    <n v="146743.04999999999"/>
    <s v="online"/>
    <s v="WH-A"/>
    <n v="408"/>
    <d v="2024-02-10T00:00:00"/>
    <n v="8"/>
    <s v="Invalid Date Order"/>
    <s v=""/>
    <x v="3"/>
    <s v=""/>
  </r>
  <r>
    <n v="10555"/>
    <n v="6983"/>
    <s v="phone"/>
    <n v="78907.520000000004"/>
    <n v="51"/>
    <x v="3"/>
    <d v="2024-03-10T00:00:00"/>
    <n v="74529.100000000006"/>
    <s v="offline"/>
    <s v="WH-C"/>
    <n v="373"/>
    <d v="2024-02-10T00:00:00"/>
    <n v="5"/>
    <s v="Invalid Date Order"/>
    <s v=""/>
    <x v="3"/>
    <s v=""/>
  </r>
  <r>
    <n v="10556"/>
    <n v="5854"/>
    <s v="phone"/>
    <n v="36582.58"/>
    <n v="59"/>
    <x v="1"/>
    <d v="2024-01-15T00:00:00"/>
    <n v="86901.29"/>
    <s v="offline"/>
    <s v="WH-A"/>
    <n v="1399"/>
    <d v="2024-04-15T00:00:00"/>
    <n v="1"/>
    <s v="Valid"/>
    <n v="91"/>
    <x v="1"/>
    <s v="Delayed"/>
  </r>
  <r>
    <n v="10557"/>
    <n v="5051"/>
    <s v="Laptop"/>
    <n v="66133.149999999994"/>
    <n v="39"/>
    <x v="3"/>
    <d v="2024-01-15T00:00:00"/>
    <n v="89667.51"/>
    <s v="online"/>
    <s v="WH-C"/>
    <n v="214"/>
    <d v="2024-02-10T00:00:00"/>
    <n v="7"/>
    <s v="Valid"/>
    <n v="26"/>
    <x v="1"/>
    <s v="Delayed"/>
  </r>
  <r>
    <n v="10558"/>
    <n v="6689"/>
    <s v="phone"/>
    <n v="89333.98"/>
    <n v="55"/>
    <x v="3"/>
    <d v="2024-02-15T00:00:00"/>
    <n v="104281.79"/>
    <s v="online"/>
    <s v="WH-A"/>
    <n v="847"/>
    <d v="2024-03-10T00:00:00"/>
    <n v="1"/>
    <s v="Valid"/>
    <n v="24"/>
    <x v="0"/>
    <s v="Delayed"/>
  </r>
  <r>
    <n v="10559"/>
    <n v="6722"/>
    <s v="Laptop"/>
    <n v="67739.7"/>
    <n v="41"/>
    <x v="0"/>
    <d v="2024-01-15T00:00:00"/>
    <n v="94794.8"/>
    <s v="offline"/>
    <s v="WH-A"/>
    <n v="504"/>
    <d v="2024-03-10T00:00:00"/>
    <n v="9"/>
    <s v="Valid"/>
    <n v="55"/>
    <x v="1"/>
    <s v="Delayed"/>
  </r>
  <r>
    <n v="10560"/>
    <n v="5575"/>
    <s v="phone"/>
    <n v="78946.929999999993"/>
    <n v="39"/>
    <x v="1"/>
    <d v="2024-03-10T00:00:00"/>
    <n v="50489.48"/>
    <s v="online"/>
    <s v="WH-C"/>
    <n v="1226"/>
    <d v="2024-03-10T00:00:00"/>
    <n v="3"/>
    <s v="Valid"/>
    <n v="0"/>
    <x v="3"/>
    <s v="On Time"/>
  </r>
  <r>
    <n v="10561"/>
    <n v="6214"/>
    <s v="phone"/>
    <n v="67552.289999999994"/>
    <n v="13"/>
    <x v="0"/>
    <d v="2024-03-10T00:00:00"/>
    <n v="15231.8"/>
    <s v="Retail"/>
    <s v="WH-B"/>
    <n v="1200"/>
    <d v="2024-04-15T00:00:00"/>
    <n v="12"/>
    <s v="Valid"/>
    <n v="36"/>
    <x v="3"/>
    <s v="Delayed"/>
  </r>
  <r>
    <n v="10562"/>
    <n v="6149"/>
    <s v="phone"/>
    <n v="12628.71"/>
    <n v="64"/>
    <x v="1"/>
    <d v="2024-01-15T00:00:00"/>
    <n v="157059.01999999999"/>
    <s v="offline"/>
    <s v="WH-B"/>
    <n v="242"/>
    <d v="2024-02-10T00:00:00"/>
    <n v="3"/>
    <s v="Valid"/>
    <n v="26"/>
    <x v="1"/>
    <s v="Delayed"/>
  </r>
  <r>
    <n v="10563"/>
    <n v="5150"/>
    <s v="phone"/>
    <n v="29489.37"/>
    <n v="11"/>
    <x v="0"/>
    <d v="2024-04-01T00:00:00"/>
    <n v="14547.45"/>
    <s v="online"/>
    <s v="WH-A"/>
    <n v="676"/>
    <d v="2024-04-15T00:00:00"/>
    <n v="6"/>
    <s v="Valid"/>
    <n v="14"/>
    <x v="2"/>
    <s v="Delayed"/>
  </r>
  <r>
    <n v="10564"/>
    <n v="5314"/>
    <s v="phone"/>
    <n v="48076.47"/>
    <n v="19"/>
    <x v="3"/>
    <d v="2024-02-15T00:00:00"/>
    <n v="144530.28"/>
    <s v="Retail"/>
    <s v="WH-C"/>
    <n v="579"/>
    <d v="2024-02-10T00:00:00"/>
    <n v="10"/>
    <s v="Invalid Date Order"/>
    <s v=""/>
    <x v="0"/>
    <s v=""/>
  </r>
  <r>
    <n v="10565"/>
    <n v="5570"/>
    <s v="phone"/>
    <n v="55039.27"/>
    <n v="11"/>
    <x v="1"/>
    <d v="2024-04-01T00:00:00"/>
    <n v="92000.4"/>
    <s v="online"/>
    <s v="WH-B"/>
    <n v="1083"/>
    <d v="2024-04-15T00:00:00"/>
    <n v="6"/>
    <s v="Valid"/>
    <n v="14"/>
    <x v="2"/>
    <s v="Delayed"/>
  </r>
  <r>
    <n v="10566"/>
    <n v="6366"/>
    <s v="phone"/>
    <n v="56955.199999999997"/>
    <n v="77"/>
    <x v="2"/>
    <d v="2024-02-15T00:00:00"/>
    <n v="101052.14"/>
    <s v="online"/>
    <s v="WH-C"/>
    <n v="141"/>
    <d v="2024-04-15T00:00:00"/>
    <n v="13"/>
    <s v="Valid"/>
    <n v="60"/>
    <x v="0"/>
    <s v="Delayed"/>
  </r>
  <r>
    <n v="10567"/>
    <n v="5305"/>
    <s v="phone"/>
    <n v="32850.99"/>
    <n v="46"/>
    <x v="3"/>
    <d v="2024-04-01T00:00:00"/>
    <n v="177370.64"/>
    <s v="online"/>
    <s v="WH-B"/>
    <n v="188"/>
    <d v="2024-02-10T00:00:00"/>
    <n v="11"/>
    <s v="Invalid Date Order"/>
    <s v=""/>
    <x v="2"/>
    <s v=""/>
  </r>
  <r>
    <n v="10568"/>
    <n v="6716"/>
    <s v="Laptop"/>
    <n v="46916.86"/>
    <n v="45"/>
    <x v="2"/>
    <d v="2024-01-15T00:00:00"/>
    <n v="106156.84"/>
    <s v="offline"/>
    <s v="WH-C"/>
    <n v="530"/>
    <d v="2024-04-15T00:00:00"/>
    <n v="11"/>
    <s v="Valid"/>
    <n v="91"/>
    <x v="1"/>
    <s v="Delayed"/>
  </r>
  <r>
    <n v="10569"/>
    <n v="5682"/>
    <s v="phone"/>
    <n v="61806"/>
    <n v="1"/>
    <x v="3"/>
    <d v="2024-02-15T00:00:00"/>
    <n v="42648.63"/>
    <s v="online"/>
    <s v="WH-A"/>
    <n v="498"/>
    <d v="2024-02-10T00:00:00"/>
    <n v="6"/>
    <s v="Invalid Date Order"/>
    <s v=""/>
    <x v="0"/>
    <s v=""/>
  </r>
  <r>
    <n v="10570"/>
    <n v="5838"/>
    <s v="phone"/>
    <n v="84350.56"/>
    <n v="40"/>
    <x v="0"/>
    <d v="2024-02-15T00:00:00"/>
    <n v="64112.63"/>
    <s v="online"/>
    <s v="WH-C"/>
    <n v="1406"/>
    <d v="2024-03-10T00:00:00"/>
    <n v="13"/>
    <s v="Valid"/>
    <n v="24"/>
    <x v="0"/>
    <s v="Delayed"/>
  </r>
  <r>
    <n v="10571"/>
    <n v="6807"/>
    <s v="phone"/>
    <n v="55727.59"/>
    <n v="19"/>
    <x v="1"/>
    <d v="2024-02-15T00:00:00"/>
    <n v="40899.99"/>
    <s v="Retail"/>
    <s v="WH-B"/>
    <n v="918"/>
    <d v="2024-03-10T00:00:00"/>
    <n v="1"/>
    <s v="Valid"/>
    <n v="24"/>
    <x v="0"/>
    <s v="Delayed"/>
  </r>
  <r>
    <n v="10572"/>
    <n v="6078"/>
    <s v="Laptop"/>
    <n v="47637.77"/>
    <n v="76"/>
    <x v="3"/>
    <d v="2024-03-10T00:00:00"/>
    <n v="97572.63"/>
    <s v="offline"/>
    <s v="WH-A"/>
    <n v="389"/>
    <d v="2024-03-10T00:00:00"/>
    <n v="5"/>
    <s v="Valid"/>
    <n v="0"/>
    <x v="3"/>
    <s v="On Time"/>
  </r>
  <r>
    <n v="10573"/>
    <n v="6003"/>
    <s v="phone"/>
    <n v="90561.5"/>
    <n v="72"/>
    <x v="0"/>
    <d v="2024-03-10T00:00:00"/>
    <n v="76862.720000000001"/>
    <s v="offline"/>
    <s v="WH-C"/>
    <n v="1125"/>
    <d v="2024-04-15T00:00:00"/>
    <n v="12"/>
    <s v="Valid"/>
    <n v="36"/>
    <x v="3"/>
    <s v="Delayed"/>
  </r>
  <r>
    <n v="10574"/>
    <n v="5444"/>
    <s v="Laptop"/>
    <n v="38400.230000000003"/>
    <n v="72"/>
    <x v="1"/>
    <d v="2024-04-01T00:00:00"/>
    <n v="44020.15"/>
    <s v="Retail"/>
    <s v="WH-B"/>
    <n v="515"/>
    <d v="2024-03-10T00:00:00"/>
    <n v="6"/>
    <s v="Invalid Date Order"/>
    <s v=""/>
    <x v="2"/>
    <s v=""/>
  </r>
  <r>
    <n v="10575"/>
    <n v="5613"/>
    <s v="Laptop"/>
    <n v="37834.31"/>
    <n v="61"/>
    <x v="1"/>
    <d v="2024-01-15T00:00:00"/>
    <n v="140413.62"/>
    <s v="online"/>
    <s v="WH-A"/>
    <n v="767"/>
    <d v="2024-02-10T00:00:00"/>
    <n v="8"/>
    <s v="Valid"/>
    <n v="26"/>
    <x v="1"/>
    <s v="Delayed"/>
  </r>
  <r>
    <n v="10576"/>
    <n v="5993"/>
    <s v="phone"/>
    <n v="63163.79"/>
    <n v="12"/>
    <x v="3"/>
    <d v="2024-03-10T00:00:00"/>
    <n v="87887.55"/>
    <s v="online"/>
    <s v="WH-C"/>
    <n v="848"/>
    <d v="2024-03-10T00:00:00"/>
    <n v="13"/>
    <s v="Valid"/>
    <n v="0"/>
    <x v="3"/>
    <s v="On Time"/>
  </r>
  <r>
    <n v="10577"/>
    <n v="5264"/>
    <s v="phone"/>
    <n v="22886.84"/>
    <n v="61"/>
    <x v="1"/>
    <d v="2024-02-15T00:00:00"/>
    <n v="46271.62"/>
    <s v="online"/>
    <s v="WH-B"/>
    <n v="524"/>
    <d v="2024-03-10T00:00:00"/>
    <n v="1"/>
    <s v="Valid"/>
    <n v="24"/>
    <x v="0"/>
    <s v="Delayed"/>
  </r>
  <r>
    <n v="10578"/>
    <n v="6077"/>
    <s v="phone"/>
    <n v="59916.04"/>
    <n v="33"/>
    <x v="3"/>
    <d v="2024-03-10T00:00:00"/>
    <n v="117963.97"/>
    <s v="Retail"/>
    <s v="WH-C"/>
    <n v="450"/>
    <d v="2024-04-15T00:00:00"/>
    <n v="5"/>
    <s v="Valid"/>
    <n v="36"/>
    <x v="3"/>
    <s v="Delayed"/>
  </r>
  <r>
    <n v="10579"/>
    <n v="6596"/>
    <s v="phone"/>
    <n v="12805.76"/>
    <n v="45"/>
    <x v="1"/>
    <d v="2024-01-15T00:00:00"/>
    <n v="73802.42"/>
    <s v="offline"/>
    <s v="WH-C"/>
    <n v="654"/>
    <d v="2024-02-10T00:00:00"/>
    <n v="3"/>
    <s v="Valid"/>
    <n v="26"/>
    <x v="1"/>
    <s v="Delayed"/>
  </r>
  <r>
    <n v="10580"/>
    <n v="6004"/>
    <s v="phone"/>
    <n v="28218.94"/>
    <n v="90"/>
    <x v="2"/>
    <d v="2024-03-10T00:00:00"/>
    <n v="95764.27"/>
    <s v="online"/>
    <s v="WH-A"/>
    <n v="981"/>
    <d v="2024-04-15T00:00:00"/>
    <n v="2"/>
    <s v="Valid"/>
    <n v="36"/>
    <x v="3"/>
    <s v="Delayed"/>
  </r>
  <r>
    <n v="10581"/>
    <n v="6644"/>
    <s v="phone"/>
    <n v="39283.019999999997"/>
    <n v="92"/>
    <x v="0"/>
    <d v="2024-02-15T00:00:00"/>
    <n v="81162.75"/>
    <s v="offline"/>
    <s v="WH-A"/>
    <n v="1046"/>
    <d v="2024-04-15T00:00:00"/>
    <n v="11"/>
    <s v="Valid"/>
    <n v="60"/>
    <x v="0"/>
    <s v="Delayed"/>
  </r>
  <r>
    <n v="10582"/>
    <n v="5005"/>
    <s v="phone"/>
    <n v="53124.62"/>
    <n v="69"/>
    <x v="2"/>
    <d v="2024-04-01T00:00:00"/>
    <n v="130383.76"/>
    <s v="Retail"/>
    <s v="WH-B"/>
    <n v="971"/>
    <d v="2024-02-10T00:00:00"/>
    <n v="8"/>
    <s v="Invalid Date Order"/>
    <s v=""/>
    <x v="2"/>
    <s v=""/>
  </r>
  <r>
    <n v="10583"/>
    <n v="6127"/>
    <s v="phone"/>
    <n v="19475.96"/>
    <n v="8"/>
    <x v="3"/>
    <d v="2024-02-15T00:00:00"/>
    <n v="140480.67000000001"/>
    <s v="online"/>
    <s v="WH-A"/>
    <n v="870"/>
    <d v="2024-04-15T00:00:00"/>
    <n v="7"/>
    <s v="Valid"/>
    <n v="60"/>
    <x v="0"/>
    <s v="Delayed"/>
  </r>
  <r>
    <n v="10584"/>
    <n v="6220"/>
    <s v="phone"/>
    <n v="10422.25"/>
    <n v="25"/>
    <x v="2"/>
    <d v="2024-01-15T00:00:00"/>
    <n v="69703.41"/>
    <s v="online"/>
    <s v="WH-B"/>
    <n v="706"/>
    <d v="2024-02-10T00:00:00"/>
    <n v="10"/>
    <s v="Valid"/>
    <n v="26"/>
    <x v="1"/>
    <s v="Delayed"/>
  </r>
  <r>
    <n v="10585"/>
    <n v="5774"/>
    <s v="phone"/>
    <n v="57373.31"/>
    <n v="91"/>
    <x v="3"/>
    <d v="2024-04-01T00:00:00"/>
    <n v="102702.08"/>
    <s v="offline"/>
    <s v="WH-C"/>
    <n v="647"/>
    <d v="2024-03-10T00:00:00"/>
    <n v="7"/>
    <s v="Invalid Date Order"/>
    <s v=""/>
    <x v="2"/>
    <s v=""/>
  </r>
  <r>
    <n v="10586"/>
    <n v="5877"/>
    <s v="Laptop"/>
    <n v="9914.02"/>
    <n v="46"/>
    <x v="1"/>
    <d v="2024-03-10T00:00:00"/>
    <n v="147115.25"/>
    <s v="offline"/>
    <s v="WH-C"/>
    <n v="1226"/>
    <d v="2024-02-10T00:00:00"/>
    <n v="5"/>
    <s v="Invalid Date Order"/>
    <s v=""/>
    <x v="3"/>
    <s v=""/>
  </r>
  <r>
    <n v="10587"/>
    <n v="5992"/>
    <s v="Laptop"/>
    <n v="53659.98"/>
    <n v="87"/>
    <x v="1"/>
    <d v="2024-03-10T00:00:00"/>
    <n v="111781.71"/>
    <s v="offline"/>
    <s v="WH-B"/>
    <n v="563"/>
    <d v="2024-02-10T00:00:00"/>
    <n v="12"/>
    <s v="Invalid Date Order"/>
    <s v=""/>
    <x v="3"/>
    <s v=""/>
  </r>
  <r>
    <n v="10588"/>
    <n v="5884"/>
    <s v="Laptop"/>
    <n v="79343.87"/>
    <n v="30"/>
    <x v="3"/>
    <d v="2024-03-10T00:00:00"/>
    <n v="92313.64"/>
    <s v="online"/>
    <s v="WH-C"/>
    <n v="1079"/>
    <d v="2024-02-10T00:00:00"/>
    <n v="13"/>
    <s v="Invalid Date Order"/>
    <s v=""/>
    <x v="3"/>
    <s v=""/>
  </r>
  <r>
    <n v="10589"/>
    <n v="6374"/>
    <s v="phone"/>
    <n v="9551.8799999999992"/>
    <n v="47"/>
    <x v="2"/>
    <d v="2024-04-01T00:00:00"/>
    <n v="112230.47"/>
    <s v="online"/>
    <s v="WH-A"/>
    <n v="549"/>
    <d v="2024-04-15T00:00:00"/>
    <n v="9"/>
    <s v="Valid"/>
    <n v="14"/>
    <x v="2"/>
    <s v="Delayed"/>
  </r>
  <r>
    <n v="10590"/>
    <n v="5047"/>
    <s v="phone"/>
    <n v="60017.96"/>
    <n v="87"/>
    <x v="1"/>
    <d v="2024-02-15T00:00:00"/>
    <n v="85583.47"/>
    <s v="online"/>
    <s v="WH-C"/>
    <n v="766"/>
    <d v="2024-02-10T00:00:00"/>
    <n v="5"/>
    <s v="Invalid Date Order"/>
    <s v=""/>
    <x v="0"/>
    <s v=""/>
  </r>
  <r>
    <n v="10591"/>
    <n v="5867"/>
    <s v="phone"/>
    <n v="10496.38"/>
    <n v="49"/>
    <x v="0"/>
    <d v="2024-04-01T00:00:00"/>
    <n v="166561.13"/>
    <s v="online"/>
    <s v="WH-A"/>
    <n v="1191"/>
    <d v="2024-02-10T00:00:00"/>
    <n v="2"/>
    <s v="Invalid Date Order"/>
    <s v=""/>
    <x v="2"/>
    <s v=""/>
  </r>
  <r>
    <n v="10592"/>
    <n v="5823"/>
    <s v="phone"/>
    <n v="38910.699999999997"/>
    <n v="47"/>
    <x v="1"/>
    <d v="2024-04-01T00:00:00"/>
    <n v="100915.3"/>
    <s v="online"/>
    <s v="WH-B"/>
    <n v="650"/>
    <d v="2024-02-10T00:00:00"/>
    <n v="3"/>
    <s v="Invalid Date Order"/>
    <s v=""/>
    <x v="2"/>
    <s v=""/>
  </r>
  <r>
    <n v="10593"/>
    <n v="5936"/>
    <s v="Laptop"/>
    <n v="67217.16"/>
    <n v="84"/>
    <x v="0"/>
    <d v="2024-01-15T00:00:00"/>
    <n v="22146.21"/>
    <s v="Retail"/>
    <s v="WH-B"/>
    <n v="715"/>
    <d v="2024-03-10T00:00:00"/>
    <n v="4"/>
    <s v="Valid"/>
    <n v="55"/>
    <x v="1"/>
    <s v="Delayed"/>
  </r>
  <r>
    <n v="10594"/>
    <n v="6844"/>
    <s v="phone"/>
    <n v="34048.89"/>
    <n v="82"/>
    <x v="2"/>
    <d v="2024-04-01T00:00:00"/>
    <n v="48856.43"/>
    <s v="Retail"/>
    <s v="WH-C"/>
    <n v="517"/>
    <d v="2024-02-10T00:00:00"/>
    <n v="5"/>
    <s v="Invalid Date Order"/>
    <s v=""/>
    <x v="2"/>
    <s v=""/>
  </r>
  <r>
    <n v="10595"/>
    <n v="5656"/>
    <s v="phone"/>
    <n v="51108.72"/>
    <n v="18"/>
    <x v="0"/>
    <d v="2024-03-10T00:00:00"/>
    <n v="48997.01"/>
    <s v="Retail"/>
    <s v="WH-C"/>
    <n v="210"/>
    <d v="2024-04-15T00:00:00"/>
    <n v="13"/>
    <s v="Valid"/>
    <n v="36"/>
    <x v="3"/>
    <s v="Delayed"/>
  </r>
  <r>
    <n v="10596"/>
    <n v="5269"/>
    <s v="phone"/>
    <n v="64823.839999999997"/>
    <n v="66"/>
    <x v="0"/>
    <d v="2024-02-15T00:00:00"/>
    <n v="143850.46"/>
    <s v="online"/>
    <s v="WH-A"/>
    <n v="319"/>
    <d v="2024-02-10T00:00:00"/>
    <n v="3"/>
    <s v="Invalid Date Order"/>
    <s v=""/>
    <x v="0"/>
    <s v=""/>
  </r>
  <r>
    <n v="10597"/>
    <n v="5370"/>
    <s v="phone"/>
    <n v="47725.79"/>
    <n v="68"/>
    <x v="0"/>
    <d v="2024-02-15T00:00:00"/>
    <n v="148872.28"/>
    <s v="online"/>
    <s v="WH-A"/>
    <n v="1129"/>
    <d v="2024-02-10T00:00:00"/>
    <n v="12"/>
    <s v="Invalid Date Order"/>
    <s v=""/>
    <x v="0"/>
    <s v=""/>
  </r>
  <r>
    <n v="10598"/>
    <n v="5636"/>
    <s v="phone"/>
    <n v="67724.509999999995"/>
    <n v="94"/>
    <x v="0"/>
    <d v="2024-02-15T00:00:00"/>
    <n v="46445.75"/>
    <s v="online"/>
    <s v="WH-C"/>
    <n v="277"/>
    <d v="2024-03-10T00:00:00"/>
    <n v="14"/>
    <s v="Valid"/>
    <n v="24"/>
    <x v="0"/>
    <s v="Delayed"/>
  </r>
  <r>
    <n v="10599"/>
    <n v="6130"/>
    <s v="phone"/>
    <n v="30361.38"/>
    <n v="33"/>
    <x v="1"/>
    <d v="2024-03-10T00:00:00"/>
    <n v="65940.850000000006"/>
    <s v="Retail"/>
    <s v="WH-C"/>
    <n v="898"/>
    <d v="2024-02-10T00:00:00"/>
    <n v="7"/>
    <s v="Invalid Date Order"/>
    <s v=""/>
    <x v="3"/>
    <s v=""/>
  </r>
  <r>
    <n v="10600"/>
    <n v="6694"/>
    <s v="Laptop"/>
    <n v="53445.37"/>
    <n v="36"/>
    <x v="0"/>
    <d v="2024-03-10T00:00:00"/>
    <n v="69811.100000000006"/>
    <s v="online"/>
    <s v="WH-B"/>
    <n v="198"/>
    <d v="2024-04-15T00:00:00"/>
    <n v="5"/>
    <s v="Valid"/>
    <n v="36"/>
    <x v="3"/>
    <s v="Delayed"/>
  </r>
  <r>
    <n v="10601"/>
    <n v="6683"/>
    <s v="phone"/>
    <n v="20441.79"/>
    <n v="82"/>
    <x v="1"/>
    <d v="2024-03-10T00:00:00"/>
    <n v="143440.12"/>
    <s v="online"/>
    <s v="WH-B"/>
    <n v="1119"/>
    <d v="2024-02-10T00:00:00"/>
    <n v="5"/>
    <s v="Invalid Date Order"/>
    <s v=""/>
    <x v="3"/>
    <s v=""/>
  </r>
  <r>
    <n v="10602"/>
    <n v="5657"/>
    <s v="phone"/>
    <n v="46579.63"/>
    <n v="19"/>
    <x v="0"/>
    <d v="2024-03-10T00:00:00"/>
    <n v="76494.05"/>
    <s v="offline"/>
    <s v="WH-B"/>
    <n v="1217"/>
    <d v="2024-04-15T00:00:00"/>
    <n v="6"/>
    <s v="Valid"/>
    <n v="36"/>
    <x v="3"/>
    <s v="Delayed"/>
  </r>
  <r>
    <n v="10603"/>
    <n v="5120"/>
    <s v="phone"/>
    <n v="70198.63"/>
    <n v="28"/>
    <x v="3"/>
    <d v="2024-03-10T00:00:00"/>
    <n v="157688.22"/>
    <s v="online"/>
    <s v="WH-C"/>
    <n v="681"/>
    <d v="2024-03-10T00:00:00"/>
    <n v="7"/>
    <s v="Valid"/>
    <n v="0"/>
    <x v="3"/>
    <s v="On Time"/>
  </r>
  <r>
    <n v="10604"/>
    <n v="5831"/>
    <s v="phone"/>
    <n v="48231.17"/>
    <n v="40"/>
    <x v="2"/>
    <d v="2024-04-01T00:00:00"/>
    <n v="91438.28"/>
    <s v="offline"/>
    <s v="WH-C"/>
    <n v="1413"/>
    <d v="2024-02-10T00:00:00"/>
    <n v="10"/>
    <s v="Invalid Date Order"/>
    <s v=""/>
    <x v="2"/>
    <s v=""/>
  </r>
  <r>
    <n v="10605"/>
    <n v="6811"/>
    <s v="phone"/>
    <n v="92210.55"/>
    <n v="84"/>
    <x v="0"/>
    <d v="2024-03-10T00:00:00"/>
    <n v="134599.70000000001"/>
    <s v="online"/>
    <s v="WH-C"/>
    <n v="462"/>
    <d v="2024-03-10T00:00:00"/>
    <n v="10"/>
    <s v="Valid"/>
    <n v="0"/>
    <x v="3"/>
    <s v="On Time"/>
  </r>
  <r>
    <n v="10606"/>
    <n v="6628"/>
    <s v="phone"/>
    <n v="60619.05"/>
    <n v="97"/>
    <x v="3"/>
    <d v="2024-03-10T00:00:00"/>
    <n v="101491.36"/>
    <s v="online"/>
    <s v="WH-B"/>
    <n v="569"/>
    <d v="2024-02-10T00:00:00"/>
    <n v="8"/>
    <s v="Invalid Date Order"/>
    <s v=""/>
    <x v="3"/>
    <s v=""/>
  </r>
  <r>
    <n v="10607"/>
    <n v="6082"/>
    <s v="phone"/>
    <n v="84896.49"/>
    <n v="76"/>
    <x v="0"/>
    <d v="2024-03-10T00:00:00"/>
    <n v="39542.839999999997"/>
    <s v="Retail"/>
    <s v="WH-C"/>
    <n v="1417"/>
    <d v="2024-04-15T00:00:00"/>
    <n v="9"/>
    <s v="Valid"/>
    <n v="36"/>
    <x v="3"/>
    <s v="Delayed"/>
  </r>
  <r>
    <n v="10608"/>
    <n v="6975"/>
    <s v="phone"/>
    <n v="35822.43"/>
    <n v="15"/>
    <x v="0"/>
    <d v="2024-03-10T00:00:00"/>
    <n v="134920.99"/>
    <s v="offline"/>
    <s v="WH-A"/>
    <n v="436"/>
    <d v="2024-03-10T00:00:00"/>
    <n v="11"/>
    <s v="Valid"/>
    <n v="0"/>
    <x v="3"/>
    <s v="On Time"/>
  </r>
  <r>
    <n v="10609"/>
    <n v="6370"/>
    <s v="phone"/>
    <n v="99298.87"/>
    <n v="41"/>
    <x v="0"/>
    <d v="2024-02-15T00:00:00"/>
    <n v="27854.31"/>
    <s v="Retail"/>
    <s v="WH-C"/>
    <n v="324"/>
    <d v="2024-02-10T00:00:00"/>
    <n v="4"/>
    <s v="Invalid Date Order"/>
    <s v=""/>
    <x v="0"/>
    <s v=""/>
  </r>
  <r>
    <n v="10610"/>
    <n v="5741"/>
    <s v="phone"/>
    <n v="18457.2"/>
    <n v="39"/>
    <x v="3"/>
    <d v="2024-03-10T00:00:00"/>
    <n v="98326.76"/>
    <s v="offline"/>
    <s v="WH-C"/>
    <n v="402"/>
    <d v="2024-04-15T00:00:00"/>
    <n v="5"/>
    <s v="Valid"/>
    <n v="36"/>
    <x v="3"/>
    <s v="Delayed"/>
  </r>
  <r>
    <n v="10611"/>
    <n v="6498"/>
    <s v="Laptop"/>
    <n v="17172.53"/>
    <n v="2"/>
    <x v="2"/>
    <d v="2024-04-01T00:00:00"/>
    <n v="86345.22"/>
    <s v="offline"/>
    <s v="WH-C"/>
    <n v="1139"/>
    <d v="2024-03-10T00:00:00"/>
    <n v="5"/>
    <s v="Invalid Date Order"/>
    <s v=""/>
    <x v="2"/>
    <s v=""/>
  </r>
  <r>
    <n v="10612"/>
    <n v="5117"/>
    <s v="Laptop"/>
    <n v="39502.6"/>
    <n v="63"/>
    <x v="3"/>
    <d v="2024-04-01T00:00:00"/>
    <n v="66516.899999999994"/>
    <s v="offline"/>
    <s v="WH-C"/>
    <n v="1152"/>
    <d v="2024-02-10T00:00:00"/>
    <n v="8"/>
    <s v="Invalid Date Order"/>
    <s v=""/>
    <x v="2"/>
    <s v=""/>
  </r>
  <r>
    <n v="10613"/>
    <n v="6854"/>
    <s v="phone"/>
    <n v="57204.800000000003"/>
    <n v="29"/>
    <x v="2"/>
    <d v="2024-04-01T00:00:00"/>
    <n v="71406.78"/>
    <s v="online"/>
    <s v="WH-C"/>
    <n v="647"/>
    <d v="2024-03-10T00:00:00"/>
    <n v="9"/>
    <s v="Invalid Date Order"/>
    <s v=""/>
    <x v="2"/>
    <s v=""/>
  </r>
  <r>
    <n v="10614"/>
    <n v="5791"/>
    <s v="phone"/>
    <n v="9414.5"/>
    <n v="74"/>
    <x v="0"/>
    <d v="2024-01-15T00:00:00"/>
    <n v="81768.87"/>
    <s v="online"/>
    <s v="WH-A"/>
    <n v="1275"/>
    <d v="2024-02-10T00:00:00"/>
    <n v="7"/>
    <s v="Valid"/>
    <n v="26"/>
    <x v="1"/>
    <s v="Delayed"/>
  </r>
  <r>
    <n v="10615"/>
    <n v="6151"/>
    <s v="phone"/>
    <n v="73000.179999999993"/>
    <n v="66"/>
    <x v="1"/>
    <d v="2024-02-15T00:00:00"/>
    <n v="110261.22"/>
    <s v="offline"/>
    <s v="WH-A"/>
    <n v="607"/>
    <d v="2024-04-15T00:00:00"/>
    <n v="5"/>
    <s v="Valid"/>
    <n v="60"/>
    <x v="0"/>
    <s v="Delayed"/>
  </r>
  <r>
    <n v="10616"/>
    <n v="6417"/>
    <s v="phone"/>
    <n v="54352.52"/>
    <n v="51"/>
    <x v="0"/>
    <d v="2024-03-10T00:00:00"/>
    <n v="176587.19"/>
    <s v="online"/>
    <s v="WH-C"/>
    <n v="162"/>
    <d v="2024-04-15T00:00:00"/>
    <n v="3"/>
    <s v="Valid"/>
    <n v="36"/>
    <x v="3"/>
    <s v="Delayed"/>
  </r>
  <r>
    <n v="10617"/>
    <n v="6932"/>
    <s v="Laptop"/>
    <n v="36915.129999999997"/>
    <n v="75"/>
    <x v="2"/>
    <d v="2024-01-15T00:00:00"/>
    <n v="98995.18"/>
    <s v="offline"/>
    <s v="WH-B"/>
    <n v="1164"/>
    <d v="2024-03-10T00:00:00"/>
    <n v="1"/>
    <s v="Valid"/>
    <n v="55"/>
    <x v="1"/>
    <s v="Delayed"/>
  </r>
  <r>
    <n v="10618"/>
    <n v="6013"/>
    <s v="phone"/>
    <n v="47579.59"/>
    <n v="77"/>
    <x v="3"/>
    <d v="2024-03-10T00:00:00"/>
    <n v="152960.66"/>
    <s v="online"/>
    <s v="WH-C"/>
    <n v="190"/>
    <d v="2024-03-10T00:00:00"/>
    <n v="11"/>
    <s v="Valid"/>
    <n v="0"/>
    <x v="3"/>
    <s v="On Time"/>
  </r>
  <r>
    <n v="10619"/>
    <n v="6665"/>
    <s v="Laptop"/>
    <n v="95850.67"/>
    <n v="10"/>
    <x v="0"/>
    <d v="2024-01-15T00:00:00"/>
    <n v="76191.62"/>
    <s v="offline"/>
    <s v="WH-C"/>
    <n v="1362"/>
    <d v="2024-02-10T00:00:00"/>
    <n v="9"/>
    <s v="Valid"/>
    <n v="26"/>
    <x v="1"/>
    <s v="Delayed"/>
  </r>
  <r>
    <n v="10620"/>
    <n v="6082"/>
    <s v="phone"/>
    <n v="55355.23"/>
    <n v="14"/>
    <x v="3"/>
    <d v="2024-01-15T00:00:00"/>
    <n v="84333.08"/>
    <s v="online"/>
    <s v="WH-C"/>
    <n v="779"/>
    <d v="2024-04-15T00:00:00"/>
    <n v="5"/>
    <s v="Valid"/>
    <n v="91"/>
    <x v="1"/>
    <s v="Delayed"/>
  </r>
  <r>
    <n v="10621"/>
    <n v="5634"/>
    <s v="phone"/>
    <n v="54030.06"/>
    <n v="82"/>
    <x v="3"/>
    <d v="2024-04-01T00:00:00"/>
    <n v="67378.06"/>
    <s v="online"/>
    <s v="WH-B"/>
    <n v="638"/>
    <d v="2024-02-10T00:00:00"/>
    <n v="9"/>
    <s v="Invalid Date Order"/>
    <s v=""/>
    <x v="2"/>
    <s v=""/>
  </r>
  <r>
    <n v="10622"/>
    <n v="5513"/>
    <s v="phone"/>
    <n v="25536.04"/>
    <n v="51"/>
    <x v="3"/>
    <d v="2024-04-01T00:00:00"/>
    <n v="52313.84"/>
    <s v="online"/>
    <s v="WH-B"/>
    <n v="460"/>
    <d v="2024-04-15T00:00:00"/>
    <n v="10"/>
    <s v="Valid"/>
    <n v="14"/>
    <x v="2"/>
    <s v="Delayed"/>
  </r>
  <r>
    <n v="10623"/>
    <n v="6775"/>
    <s v="phone"/>
    <n v="68508.28"/>
    <n v="73"/>
    <x v="0"/>
    <d v="2024-01-15T00:00:00"/>
    <n v="50587.66"/>
    <s v="online"/>
    <s v="WH-B"/>
    <n v="426"/>
    <d v="2024-03-10T00:00:00"/>
    <n v="12"/>
    <s v="Valid"/>
    <n v="55"/>
    <x v="1"/>
    <s v="Delayed"/>
  </r>
  <r>
    <n v="10624"/>
    <n v="5802"/>
    <s v="phone"/>
    <n v="28552.33"/>
    <n v="39"/>
    <x v="3"/>
    <d v="2024-04-01T00:00:00"/>
    <n v="57436.57"/>
    <s v="online"/>
    <s v="WH-A"/>
    <n v="1457"/>
    <d v="2024-02-10T00:00:00"/>
    <n v="13"/>
    <s v="Invalid Date Order"/>
    <s v=""/>
    <x v="2"/>
    <s v=""/>
  </r>
  <r>
    <n v="10625"/>
    <n v="6120"/>
    <s v="phone"/>
    <n v="34934.46"/>
    <n v="28"/>
    <x v="3"/>
    <d v="2024-01-15T00:00:00"/>
    <n v="165769.16"/>
    <s v="Retail"/>
    <s v="WH-B"/>
    <n v="1225"/>
    <d v="2024-02-10T00:00:00"/>
    <n v="14"/>
    <s v="Valid"/>
    <n v="26"/>
    <x v="1"/>
    <s v="Delayed"/>
  </r>
  <r>
    <n v="10626"/>
    <n v="6662"/>
    <s v="phone"/>
    <n v="12202.22"/>
    <n v="3"/>
    <x v="0"/>
    <d v="2024-02-15T00:00:00"/>
    <n v="112952.57"/>
    <s v="Retail"/>
    <s v="WH-A"/>
    <n v="800"/>
    <d v="2024-04-15T00:00:00"/>
    <n v="4"/>
    <s v="Valid"/>
    <n v="60"/>
    <x v="0"/>
    <s v="Delayed"/>
  </r>
  <r>
    <n v="10627"/>
    <n v="6142"/>
    <s v="phone"/>
    <n v="32664"/>
    <n v="84"/>
    <x v="3"/>
    <d v="2024-04-01T00:00:00"/>
    <n v="61703.82"/>
    <s v="Retail"/>
    <s v="WH-A"/>
    <n v="676"/>
    <d v="2024-04-15T00:00:00"/>
    <n v="5"/>
    <s v="Valid"/>
    <n v="14"/>
    <x v="2"/>
    <s v="Delayed"/>
  </r>
  <r>
    <n v="10628"/>
    <n v="5560"/>
    <s v="phone"/>
    <n v="67094.41"/>
    <n v="70"/>
    <x v="0"/>
    <d v="2024-04-01T00:00:00"/>
    <n v="31001.53"/>
    <s v="online"/>
    <s v="WH-B"/>
    <n v="1392"/>
    <d v="2024-04-15T00:00:00"/>
    <n v="4"/>
    <s v="Valid"/>
    <n v="14"/>
    <x v="2"/>
    <s v="Delayed"/>
  </r>
  <r>
    <n v="10629"/>
    <n v="6625"/>
    <s v="phone"/>
    <n v="22807.200000000001"/>
    <n v="27"/>
    <x v="2"/>
    <d v="2024-04-01T00:00:00"/>
    <n v="75398.600000000006"/>
    <s v="offline"/>
    <s v="WH-B"/>
    <n v="1442"/>
    <d v="2024-03-10T00:00:00"/>
    <n v="2"/>
    <s v="Invalid Date Order"/>
    <s v=""/>
    <x v="2"/>
    <s v=""/>
  </r>
  <r>
    <n v="10630"/>
    <n v="5488"/>
    <s v="phone"/>
    <n v="45485.36"/>
    <n v="2"/>
    <x v="2"/>
    <d v="2024-02-15T00:00:00"/>
    <n v="164654.31"/>
    <s v="online"/>
    <s v="WH-B"/>
    <n v="1044"/>
    <d v="2024-02-10T00:00:00"/>
    <n v="12"/>
    <s v="Invalid Date Order"/>
    <s v=""/>
    <x v="0"/>
    <s v=""/>
  </r>
  <r>
    <n v="10631"/>
    <n v="6261"/>
    <s v="phone"/>
    <n v="8791.91"/>
    <n v="93"/>
    <x v="2"/>
    <d v="2024-01-15T00:00:00"/>
    <n v="73285.5"/>
    <s v="online"/>
    <s v="WH-A"/>
    <n v="752"/>
    <d v="2024-04-15T00:00:00"/>
    <n v="1"/>
    <s v="Valid"/>
    <n v="91"/>
    <x v="1"/>
    <s v="Delayed"/>
  </r>
  <r>
    <n v="10632"/>
    <n v="6909"/>
    <s v="Laptop"/>
    <n v="82880.789999999994"/>
    <n v="38"/>
    <x v="3"/>
    <d v="2024-03-10T00:00:00"/>
    <n v="119165.48"/>
    <s v="online"/>
    <s v="WH-C"/>
    <n v="511"/>
    <d v="2024-03-10T00:00:00"/>
    <n v="8"/>
    <s v="Valid"/>
    <n v="0"/>
    <x v="3"/>
    <s v="On Time"/>
  </r>
  <r>
    <n v="10633"/>
    <n v="5897"/>
    <s v="Laptop"/>
    <n v="48007.62"/>
    <n v="3"/>
    <x v="1"/>
    <d v="2024-04-01T00:00:00"/>
    <n v="150005.63"/>
    <s v="Retail"/>
    <s v="WH-B"/>
    <n v="61"/>
    <d v="2024-04-15T00:00:00"/>
    <n v="4"/>
    <s v="Valid"/>
    <n v="14"/>
    <x v="2"/>
    <s v="Delayed"/>
  </r>
  <r>
    <n v="10634"/>
    <n v="6296"/>
    <s v="phone"/>
    <n v="33873.08"/>
    <n v="16"/>
    <x v="1"/>
    <d v="2024-01-15T00:00:00"/>
    <n v="61273.73"/>
    <s v="online"/>
    <s v="WH-B"/>
    <n v="1229"/>
    <d v="2024-02-10T00:00:00"/>
    <n v="5"/>
    <s v="Valid"/>
    <n v="26"/>
    <x v="1"/>
    <s v="Delayed"/>
  </r>
  <r>
    <n v="10635"/>
    <n v="6213"/>
    <s v="phone"/>
    <n v="62091.49"/>
    <n v="94"/>
    <x v="3"/>
    <d v="2024-02-15T00:00:00"/>
    <n v="10691.92"/>
    <s v="Retail"/>
    <s v="WH-B"/>
    <n v="526"/>
    <d v="2024-04-15T00:00:00"/>
    <n v="6"/>
    <s v="Valid"/>
    <n v="60"/>
    <x v="0"/>
    <s v="Delayed"/>
  </r>
  <r>
    <n v="10636"/>
    <n v="5704"/>
    <s v="Laptop"/>
    <n v="44025.21"/>
    <n v="40"/>
    <x v="1"/>
    <d v="2024-03-10T00:00:00"/>
    <n v="110292.1"/>
    <s v="offline"/>
    <s v="WH-A"/>
    <n v="988"/>
    <d v="2024-02-10T00:00:00"/>
    <n v="14"/>
    <s v="Invalid Date Order"/>
    <s v=""/>
    <x v="3"/>
    <s v=""/>
  </r>
  <r>
    <n v="10637"/>
    <n v="6471"/>
    <s v="phone"/>
    <n v="58105.61"/>
    <n v="2"/>
    <x v="0"/>
    <d v="2024-04-01T00:00:00"/>
    <n v="63063.47"/>
    <s v="online"/>
    <s v="WH-A"/>
    <n v="450"/>
    <d v="2024-03-10T00:00:00"/>
    <n v="8"/>
    <s v="Invalid Date Order"/>
    <s v=""/>
    <x v="2"/>
    <s v=""/>
  </r>
  <r>
    <n v="10638"/>
    <n v="5581"/>
    <s v="Laptop"/>
    <n v="58841.74"/>
    <n v="81"/>
    <x v="1"/>
    <d v="2024-02-15T00:00:00"/>
    <n v="100357.72"/>
    <s v="online"/>
    <s v="WH-C"/>
    <n v="857"/>
    <d v="2024-03-10T00:00:00"/>
    <n v="11"/>
    <s v="Valid"/>
    <n v="24"/>
    <x v="0"/>
    <s v="Delayed"/>
  </r>
  <r>
    <n v="10639"/>
    <n v="5790"/>
    <s v="phone"/>
    <n v="33879.870000000003"/>
    <n v="41"/>
    <x v="3"/>
    <d v="2024-02-15T00:00:00"/>
    <n v="36133.39"/>
    <s v="Retail"/>
    <s v="WH-B"/>
    <n v="226"/>
    <d v="2024-04-15T00:00:00"/>
    <n v="8"/>
    <s v="Valid"/>
    <n v="60"/>
    <x v="0"/>
    <s v="Delayed"/>
  </r>
  <r>
    <n v="10640"/>
    <n v="5861"/>
    <s v="phone"/>
    <n v="29706.29"/>
    <n v="12"/>
    <x v="3"/>
    <d v="2024-03-10T00:00:00"/>
    <n v="37097.5"/>
    <s v="Retail"/>
    <s v="WH-A"/>
    <n v="1414"/>
    <d v="2024-02-10T00:00:00"/>
    <n v="7"/>
    <s v="Invalid Date Order"/>
    <s v=""/>
    <x v="3"/>
    <s v=""/>
  </r>
  <r>
    <n v="10641"/>
    <n v="5247"/>
    <s v="phone"/>
    <n v="28173.14"/>
    <n v="35"/>
    <x v="0"/>
    <d v="2024-01-15T00:00:00"/>
    <n v="83392.05"/>
    <s v="offline"/>
    <s v="WH-C"/>
    <n v="106"/>
    <d v="2024-02-10T00:00:00"/>
    <n v="4"/>
    <s v="Valid"/>
    <n v="26"/>
    <x v="1"/>
    <s v="Delayed"/>
  </r>
  <r>
    <n v="10642"/>
    <n v="6987"/>
    <s v="Laptop"/>
    <n v="67438.62"/>
    <n v="65"/>
    <x v="2"/>
    <d v="2024-04-01T00:00:00"/>
    <n v="34820.36"/>
    <s v="offline"/>
    <s v="WH-B"/>
    <n v="497"/>
    <d v="2024-02-10T00:00:00"/>
    <n v="6"/>
    <s v="Invalid Date Order"/>
    <s v=""/>
    <x v="2"/>
    <s v=""/>
  </r>
  <r>
    <n v="10643"/>
    <n v="6100"/>
    <s v="phone"/>
    <n v="70102.44"/>
    <n v="55"/>
    <x v="3"/>
    <d v="2024-04-01T00:00:00"/>
    <n v="95038.88"/>
    <s v="Retail"/>
    <s v="WH-A"/>
    <n v="252"/>
    <d v="2024-04-15T00:00:00"/>
    <n v="4"/>
    <s v="Valid"/>
    <n v="14"/>
    <x v="2"/>
    <s v="Delayed"/>
  </r>
  <r>
    <n v="10644"/>
    <n v="5154"/>
    <s v="phone"/>
    <n v="48046.09"/>
    <n v="45"/>
    <x v="0"/>
    <d v="2024-01-15T00:00:00"/>
    <n v="19800.04"/>
    <s v="offline"/>
    <s v="WH-B"/>
    <n v="787"/>
    <d v="2024-02-10T00:00:00"/>
    <n v="14"/>
    <s v="Valid"/>
    <n v="26"/>
    <x v="1"/>
    <s v="Delayed"/>
  </r>
  <r>
    <n v="10645"/>
    <n v="6680"/>
    <s v="phone"/>
    <n v="60313.83"/>
    <n v="79"/>
    <x v="1"/>
    <d v="2024-01-15T00:00:00"/>
    <n v="170009.95"/>
    <s v="online"/>
    <s v="WH-B"/>
    <n v="251"/>
    <d v="2024-02-10T00:00:00"/>
    <n v="7"/>
    <s v="Valid"/>
    <n v="26"/>
    <x v="1"/>
    <s v="Delayed"/>
  </r>
  <r>
    <n v="10646"/>
    <n v="6459"/>
    <s v="phone"/>
    <n v="38715.660000000003"/>
    <n v="90"/>
    <x v="1"/>
    <d v="2024-01-15T00:00:00"/>
    <n v="71066.97"/>
    <s v="offline"/>
    <s v="WH-A"/>
    <n v="1403"/>
    <d v="2024-02-10T00:00:00"/>
    <n v="12"/>
    <s v="Valid"/>
    <n v="26"/>
    <x v="1"/>
    <s v="Delayed"/>
  </r>
  <r>
    <n v="10647"/>
    <n v="5997"/>
    <s v="phone"/>
    <n v="77343.399999999994"/>
    <n v="85"/>
    <x v="0"/>
    <d v="2024-03-10T00:00:00"/>
    <n v="135817.53"/>
    <s v="offline"/>
    <s v="WH-A"/>
    <n v="412"/>
    <d v="2024-02-10T00:00:00"/>
    <n v="13"/>
    <s v="Invalid Date Order"/>
    <s v=""/>
    <x v="3"/>
    <s v=""/>
  </r>
  <r>
    <n v="10648"/>
    <n v="6110"/>
    <s v="phone"/>
    <n v="42136.68"/>
    <n v="62"/>
    <x v="0"/>
    <d v="2024-03-10T00:00:00"/>
    <n v="136571.74"/>
    <s v="Retail"/>
    <s v="WH-A"/>
    <n v="941"/>
    <d v="2024-04-15T00:00:00"/>
    <n v="12"/>
    <s v="Valid"/>
    <n v="36"/>
    <x v="3"/>
    <s v="Delayed"/>
  </r>
  <r>
    <n v="10649"/>
    <n v="5697"/>
    <s v="phone"/>
    <n v="33435.46"/>
    <n v="49"/>
    <x v="3"/>
    <d v="2024-04-01T00:00:00"/>
    <n v="85104.35"/>
    <s v="Retail"/>
    <s v="WH-B"/>
    <n v="503"/>
    <d v="2024-04-15T00:00:00"/>
    <n v="13"/>
    <s v="Valid"/>
    <n v="14"/>
    <x v="2"/>
    <s v="Delayed"/>
  </r>
  <r>
    <n v="10650"/>
    <n v="6309"/>
    <s v="phone"/>
    <n v="50251.07"/>
    <n v="95"/>
    <x v="1"/>
    <d v="2024-03-10T00:00:00"/>
    <n v="11696.59"/>
    <s v="online"/>
    <s v="WH-B"/>
    <n v="405"/>
    <d v="2024-02-10T00:00:00"/>
    <n v="13"/>
    <s v="Invalid Date Order"/>
    <s v=""/>
    <x v="3"/>
    <s v=""/>
  </r>
  <r>
    <n v="10651"/>
    <n v="6998"/>
    <s v="phone"/>
    <n v="66704.820000000007"/>
    <n v="25"/>
    <x v="0"/>
    <d v="2024-02-15T00:00:00"/>
    <n v="126477.18"/>
    <s v="online"/>
    <s v="WH-C"/>
    <n v="265"/>
    <d v="2024-02-10T00:00:00"/>
    <n v="11"/>
    <s v="Invalid Date Order"/>
    <s v=""/>
    <x v="0"/>
    <s v=""/>
  </r>
  <r>
    <n v="10652"/>
    <n v="6244"/>
    <s v="phone"/>
    <n v="97148.23"/>
    <n v="23"/>
    <x v="1"/>
    <d v="2024-04-01T00:00:00"/>
    <n v="26369.93"/>
    <s v="Retail"/>
    <s v="WH-B"/>
    <n v="1021"/>
    <d v="2024-03-10T00:00:00"/>
    <n v="14"/>
    <s v="Invalid Date Order"/>
    <s v=""/>
    <x v="2"/>
    <s v=""/>
  </r>
  <r>
    <n v="10653"/>
    <n v="6093"/>
    <s v="phone"/>
    <n v="17310.87"/>
    <n v="24"/>
    <x v="0"/>
    <d v="2024-03-10T00:00:00"/>
    <n v="96166.78"/>
    <s v="offline"/>
    <s v="WH-A"/>
    <n v="604"/>
    <d v="2024-03-10T00:00:00"/>
    <n v="1"/>
    <s v="Valid"/>
    <n v="0"/>
    <x v="3"/>
    <s v="On Time"/>
  </r>
  <r>
    <n v="10654"/>
    <n v="6071"/>
    <s v="phone"/>
    <n v="56566.67"/>
    <n v="38"/>
    <x v="1"/>
    <d v="2024-01-15T00:00:00"/>
    <n v="159024.75"/>
    <s v="offline"/>
    <s v="WH-B"/>
    <n v="936"/>
    <d v="2024-02-10T00:00:00"/>
    <n v="5"/>
    <s v="Valid"/>
    <n v="26"/>
    <x v="1"/>
    <s v="Delayed"/>
  </r>
  <r>
    <n v="10655"/>
    <n v="6009"/>
    <s v="phone"/>
    <n v="75725.95"/>
    <n v="28"/>
    <x v="2"/>
    <d v="2024-02-15T00:00:00"/>
    <n v="21640.92"/>
    <s v="online"/>
    <s v="WH-C"/>
    <n v="72"/>
    <d v="2024-02-10T00:00:00"/>
    <n v="14"/>
    <s v="Invalid Date Order"/>
    <s v=""/>
    <x v="0"/>
    <s v=""/>
  </r>
  <r>
    <n v="10656"/>
    <n v="5094"/>
    <s v="phone"/>
    <n v="27409.040000000001"/>
    <n v="21"/>
    <x v="3"/>
    <d v="2024-01-15T00:00:00"/>
    <n v="101902.31"/>
    <s v="online"/>
    <s v="WH-C"/>
    <n v="204"/>
    <d v="2024-03-10T00:00:00"/>
    <n v="10"/>
    <s v="Valid"/>
    <n v="55"/>
    <x v="1"/>
    <s v="Delayed"/>
  </r>
  <r>
    <n v="10657"/>
    <n v="6774"/>
    <s v="phone"/>
    <n v="69254.63"/>
    <n v="54"/>
    <x v="1"/>
    <d v="2024-04-01T00:00:00"/>
    <n v="37067.35"/>
    <s v="online"/>
    <s v="WH-A"/>
    <n v="1259"/>
    <d v="2024-03-10T00:00:00"/>
    <n v="12"/>
    <s v="Invalid Date Order"/>
    <s v=""/>
    <x v="2"/>
    <s v=""/>
  </r>
  <r>
    <n v="10658"/>
    <n v="5958"/>
    <s v="phone"/>
    <n v="72831.77"/>
    <n v="18"/>
    <x v="2"/>
    <d v="2024-01-15T00:00:00"/>
    <n v="113298.34"/>
    <s v="online"/>
    <s v="WH-A"/>
    <n v="298"/>
    <d v="2024-02-10T00:00:00"/>
    <n v="10"/>
    <s v="Valid"/>
    <n v="26"/>
    <x v="1"/>
    <s v="Delayed"/>
  </r>
  <r>
    <n v="10659"/>
    <n v="6012"/>
    <s v="phone"/>
    <n v="96366.97"/>
    <n v="36"/>
    <x v="1"/>
    <d v="2024-03-10T00:00:00"/>
    <n v="122718.29"/>
    <s v="online"/>
    <s v="WH-C"/>
    <n v="798"/>
    <d v="2024-04-15T00:00:00"/>
    <n v="4"/>
    <s v="Valid"/>
    <n v="36"/>
    <x v="3"/>
    <s v="Delayed"/>
  </r>
  <r>
    <n v="10660"/>
    <n v="5453"/>
    <s v="phone"/>
    <n v="61822.76"/>
    <n v="99"/>
    <x v="1"/>
    <d v="2024-03-10T00:00:00"/>
    <n v="113068.58"/>
    <s v="online"/>
    <s v="WH-C"/>
    <n v="854"/>
    <d v="2024-04-15T00:00:00"/>
    <n v="11"/>
    <s v="Valid"/>
    <n v="36"/>
    <x v="3"/>
    <s v="Delayed"/>
  </r>
  <r>
    <n v="10661"/>
    <n v="6228"/>
    <s v="phone"/>
    <n v="80326.710000000006"/>
    <n v="45"/>
    <x v="2"/>
    <d v="2024-04-01T00:00:00"/>
    <n v="42989.5"/>
    <s v="offline"/>
    <s v="WH-C"/>
    <n v="183"/>
    <d v="2024-02-10T00:00:00"/>
    <n v="7"/>
    <s v="Invalid Date Order"/>
    <s v=""/>
    <x v="2"/>
    <s v=""/>
  </r>
  <r>
    <n v="10662"/>
    <n v="5912"/>
    <s v="phone"/>
    <n v="31283.67"/>
    <n v="73"/>
    <x v="1"/>
    <d v="2024-01-15T00:00:00"/>
    <n v="65987.850000000006"/>
    <s v="online"/>
    <s v="WH-A"/>
    <n v="370"/>
    <d v="2024-02-10T00:00:00"/>
    <n v="13"/>
    <s v="Valid"/>
    <n v="26"/>
    <x v="1"/>
    <s v="Delayed"/>
  </r>
  <r>
    <n v="10663"/>
    <n v="5218"/>
    <s v="phone"/>
    <n v="94979.44"/>
    <n v="53"/>
    <x v="1"/>
    <d v="2024-04-01T00:00:00"/>
    <n v="63958.36"/>
    <s v="online"/>
    <s v="WH-C"/>
    <n v="439"/>
    <d v="2024-03-10T00:00:00"/>
    <n v="9"/>
    <s v="Invalid Date Order"/>
    <s v=""/>
    <x v="2"/>
    <s v=""/>
  </r>
  <r>
    <n v="10664"/>
    <n v="5474"/>
    <s v="Laptop"/>
    <n v="62191.27"/>
    <n v="30"/>
    <x v="3"/>
    <d v="2024-01-15T00:00:00"/>
    <n v="37606.339999999997"/>
    <s v="offline"/>
    <s v="WH-C"/>
    <n v="483"/>
    <d v="2024-03-10T00:00:00"/>
    <n v="5"/>
    <s v="Valid"/>
    <n v="55"/>
    <x v="1"/>
    <s v="Delayed"/>
  </r>
  <r>
    <n v="10665"/>
    <n v="5432"/>
    <s v="phone"/>
    <n v="83754.55"/>
    <n v="60"/>
    <x v="2"/>
    <d v="2024-02-15T00:00:00"/>
    <n v="92084.91"/>
    <s v="online"/>
    <s v="WH-A"/>
    <n v="1095"/>
    <d v="2024-04-15T00:00:00"/>
    <n v="4"/>
    <s v="Valid"/>
    <n v="60"/>
    <x v="0"/>
    <s v="Delayed"/>
  </r>
  <r>
    <n v="10666"/>
    <n v="5341"/>
    <s v="Laptop"/>
    <n v="43776.41"/>
    <n v="98"/>
    <x v="2"/>
    <d v="2024-03-10T00:00:00"/>
    <n v="39656.07"/>
    <s v="offline"/>
    <s v="WH-B"/>
    <n v="922"/>
    <d v="2024-02-10T00:00:00"/>
    <n v="9"/>
    <s v="Invalid Date Order"/>
    <s v=""/>
    <x v="3"/>
    <s v=""/>
  </r>
  <r>
    <n v="10667"/>
    <n v="5551"/>
    <s v="phone"/>
    <n v="28152.75"/>
    <n v="32"/>
    <x v="0"/>
    <d v="2024-04-01T00:00:00"/>
    <n v="57697.23"/>
    <s v="online"/>
    <s v="WH-B"/>
    <n v="1198"/>
    <d v="2024-03-10T00:00:00"/>
    <n v="5"/>
    <s v="Invalid Date Order"/>
    <s v=""/>
    <x v="2"/>
    <s v=""/>
  </r>
  <r>
    <n v="10668"/>
    <n v="6636"/>
    <s v="phone"/>
    <n v="48602.47"/>
    <n v="67"/>
    <x v="1"/>
    <d v="2024-02-15T00:00:00"/>
    <n v="174909.36"/>
    <s v="offline"/>
    <s v="WH-C"/>
    <n v="1152"/>
    <d v="2024-04-15T00:00:00"/>
    <n v="9"/>
    <s v="Valid"/>
    <n v="60"/>
    <x v="0"/>
    <s v="Delayed"/>
  </r>
  <r>
    <n v="10669"/>
    <n v="6313"/>
    <s v="phone"/>
    <n v="8211.98"/>
    <n v="67"/>
    <x v="3"/>
    <d v="2024-02-15T00:00:00"/>
    <n v="76847.960000000006"/>
    <s v="offline"/>
    <s v="WH-B"/>
    <n v="907"/>
    <d v="2024-04-15T00:00:00"/>
    <n v="8"/>
    <s v="Valid"/>
    <n v="60"/>
    <x v="0"/>
    <s v="Delayed"/>
  </r>
  <r>
    <n v="10670"/>
    <n v="6278"/>
    <s v="phone"/>
    <n v="79241.67"/>
    <n v="28"/>
    <x v="1"/>
    <d v="2024-04-01T00:00:00"/>
    <n v="107198.94"/>
    <s v="offline"/>
    <s v="WH-B"/>
    <n v="100"/>
    <d v="2024-04-15T00:00:00"/>
    <n v="4"/>
    <s v="Valid"/>
    <n v="14"/>
    <x v="2"/>
    <s v="Delayed"/>
  </r>
  <r>
    <n v="10671"/>
    <n v="6758"/>
    <s v="phone"/>
    <n v="64542.48"/>
    <n v="44"/>
    <x v="1"/>
    <d v="2024-04-01T00:00:00"/>
    <n v="24710.89"/>
    <s v="offline"/>
    <s v="WH-B"/>
    <n v="225"/>
    <d v="2024-03-10T00:00:00"/>
    <n v="11"/>
    <s v="Invalid Date Order"/>
    <s v=""/>
    <x v="2"/>
    <s v=""/>
  </r>
  <r>
    <n v="10672"/>
    <n v="5357"/>
    <s v="phone"/>
    <n v="95897.279999999999"/>
    <n v="79"/>
    <x v="0"/>
    <d v="2024-02-15T00:00:00"/>
    <n v="148295.25"/>
    <s v="Retail"/>
    <s v="WH-B"/>
    <n v="919"/>
    <d v="2024-03-10T00:00:00"/>
    <n v="11"/>
    <s v="Valid"/>
    <n v="24"/>
    <x v="0"/>
    <s v="Delayed"/>
  </r>
  <r>
    <n v="10673"/>
    <n v="5023"/>
    <s v="phone"/>
    <n v="92588.73"/>
    <n v="41"/>
    <x v="1"/>
    <d v="2024-01-15T00:00:00"/>
    <n v="34814.6"/>
    <s v="online"/>
    <s v="WH-C"/>
    <n v="302"/>
    <d v="2024-02-10T00:00:00"/>
    <n v="7"/>
    <s v="Valid"/>
    <n v="26"/>
    <x v="1"/>
    <s v="Delayed"/>
  </r>
  <r>
    <n v="10674"/>
    <n v="6786"/>
    <s v="phone"/>
    <n v="30252.84"/>
    <n v="63"/>
    <x v="3"/>
    <d v="2024-02-15T00:00:00"/>
    <n v="150689.66"/>
    <s v="online"/>
    <s v="WH-B"/>
    <n v="1015"/>
    <d v="2024-02-10T00:00:00"/>
    <n v="5"/>
    <s v="Invalid Date Order"/>
    <s v=""/>
    <x v="0"/>
    <s v=""/>
  </r>
  <r>
    <n v="10675"/>
    <n v="5522"/>
    <s v="phone"/>
    <n v="65406.63"/>
    <n v="23"/>
    <x v="3"/>
    <d v="2024-04-01T00:00:00"/>
    <n v="78925.94"/>
    <s v="Retail"/>
    <s v="WH-B"/>
    <n v="1319"/>
    <d v="2024-04-15T00:00:00"/>
    <n v="10"/>
    <s v="Valid"/>
    <n v="14"/>
    <x v="2"/>
    <s v="Delayed"/>
  </r>
  <r>
    <n v="10676"/>
    <n v="6782"/>
    <s v="phone"/>
    <n v="36741.61"/>
    <n v="75"/>
    <x v="0"/>
    <d v="2024-02-15T00:00:00"/>
    <n v="35408.85"/>
    <s v="offline"/>
    <s v="WH-A"/>
    <n v="788"/>
    <d v="2024-04-15T00:00:00"/>
    <n v="4"/>
    <s v="Valid"/>
    <n v="60"/>
    <x v="0"/>
    <s v="Delayed"/>
  </r>
  <r>
    <n v="10677"/>
    <n v="6861"/>
    <s v="phone"/>
    <n v="85095.79"/>
    <n v="48"/>
    <x v="1"/>
    <d v="2024-01-15T00:00:00"/>
    <n v="172250.05"/>
    <s v="offline"/>
    <s v="WH-C"/>
    <n v="1179"/>
    <d v="2024-03-10T00:00:00"/>
    <n v="5"/>
    <s v="Valid"/>
    <n v="55"/>
    <x v="1"/>
    <s v="Delayed"/>
  </r>
  <r>
    <n v="10678"/>
    <n v="6124"/>
    <s v="Laptop"/>
    <n v="34229.47"/>
    <n v="32"/>
    <x v="3"/>
    <d v="2024-03-10T00:00:00"/>
    <n v="40268.14"/>
    <s v="online"/>
    <s v="WH-A"/>
    <n v="1266"/>
    <d v="2024-03-10T00:00:00"/>
    <n v="5"/>
    <s v="Valid"/>
    <n v="0"/>
    <x v="3"/>
    <s v="On Time"/>
  </r>
  <r>
    <n v="10679"/>
    <n v="5802"/>
    <s v="phone"/>
    <n v="74313.42"/>
    <n v="57"/>
    <x v="1"/>
    <d v="2024-03-10T00:00:00"/>
    <n v="138355.73000000001"/>
    <s v="Retail"/>
    <s v="WH-A"/>
    <n v="1389"/>
    <d v="2024-02-10T00:00:00"/>
    <n v="11"/>
    <s v="Invalid Date Order"/>
    <s v=""/>
    <x v="3"/>
    <s v=""/>
  </r>
  <r>
    <n v="10680"/>
    <n v="6204"/>
    <s v="phone"/>
    <n v="84211.199999999997"/>
    <n v="33"/>
    <x v="1"/>
    <d v="2024-02-15T00:00:00"/>
    <n v="60409.19"/>
    <s v="offline"/>
    <s v="WH-C"/>
    <n v="351"/>
    <d v="2024-02-10T00:00:00"/>
    <n v="9"/>
    <s v="Invalid Date Order"/>
    <s v=""/>
    <x v="0"/>
    <s v=""/>
  </r>
  <r>
    <n v="10681"/>
    <n v="6247"/>
    <s v="phone"/>
    <n v="52120.959999999999"/>
    <n v="24"/>
    <x v="1"/>
    <d v="2024-01-15T00:00:00"/>
    <n v="131732.29999999999"/>
    <s v="offline"/>
    <s v="WH-B"/>
    <n v="597"/>
    <d v="2024-02-10T00:00:00"/>
    <n v="12"/>
    <s v="Valid"/>
    <n v="26"/>
    <x v="1"/>
    <s v="Delayed"/>
  </r>
  <r>
    <n v="10682"/>
    <n v="6930"/>
    <s v="phone"/>
    <n v="27457.26"/>
    <n v="39"/>
    <x v="0"/>
    <d v="2024-03-10T00:00:00"/>
    <n v="167766.21"/>
    <s v="offline"/>
    <s v="WH-A"/>
    <n v="765"/>
    <d v="2024-03-10T00:00:00"/>
    <n v="9"/>
    <s v="Valid"/>
    <n v="0"/>
    <x v="3"/>
    <s v="On Time"/>
  </r>
  <r>
    <n v="10683"/>
    <n v="5762"/>
    <s v="phone"/>
    <n v="49108.84"/>
    <n v="34"/>
    <x v="1"/>
    <d v="2024-02-15T00:00:00"/>
    <n v="127447.87"/>
    <s v="online"/>
    <s v="WH-C"/>
    <n v="828"/>
    <d v="2024-04-15T00:00:00"/>
    <n v="6"/>
    <s v="Valid"/>
    <n v="60"/>
    <x v="0"/>
    <s v="Delayed"/>
  </r>
  <r>
    <n v="10684"/>
    <n v="6683"/>
    <s v="phone"/>
    <n v="82273.149999999994"/>
    <n v="56"/>
    <x v="3"/>
    <d v="2024-02-15T00:00:00"/>
    <n v="31136.14"/>
    <s v="Retail"/>
    <s v="WH-B"/>
    <n v="317"/>
    <d v="2024-02-10T00:00:00"/>
    <n v="14"/>
    <s v="Invalid Date Order"/>
    <s v=""/>
    <x v="0"/>
    <s v=""/>
  </r>
  <r>
    <n v="10685"/>
    <n v="5442"/>
    <s v="phone"/>
    <n v="78380.100000000006"/>
    <n v="28"/>
    <x v="1"/>
    <d v="2024-01-15T00:00:00"/>
    <n v="59194.71"/>
    <s v="offline"/>
    <s v="WH-C"/>
    <n v="1243"/>
    <d v="2024-02-10T00:00:00"/>
    <n v="4"/>
    <s v="Valid"/>
    <n v="26"/>
    <x v="1"/>
    <s v="Delayed"/>
  </r>
  <r>
    <n v="10686"/>
    <n v="6632"/>
    <s v="phone"/>
    <n v="18397.07"/>
    <n v="37"/>
    <x v="3"/>
    <d v="2024-04-01T00:00:00"/>
    <n v="36080.25"/>
    <s v="online"/>
    <s v="WH-A"/>
    <n v="1059"/>
    <d v="2024-03-10T00:00:00"/>
    <n v="2"/>
    <s v="Invalid Date Order"/>
    <s v=""/>
    <x v="2"/>
    <s v=""/>
  </r>
  <r>
    <n v="10687"/>
    <n v="5769"/>
    <s v="phone"/>
    <n v="56304.23"/>
    <n v="7"/>
    <x v="1"/>
    <d v="2024-02-15T00:00:00"/>
    <n v="24286.84"/>
    <s v="Retail"/>
    <s v="WH-B"/>
    <n v="600"/>
    <d v="2024-02-10T00:00:00"/>
    <n v="14"/>
    <s v="Invalid Date Order"/>
    <s v=""/>
    <x v="0"/>
    <s v=""/>
  </r>
  <r>
    <n v="10688"/>
    <n v="6016"/>
    <s v="phone"/>
    <n v="61266.21"/>
    <n v="68"/>
    <x v="3"/>
    <d v="2024-04-01T00:00:00"/>
    <n v="45767.040000000001"/>
    <s v="offline"/>
    <s v="WH-B"/>
    <n v="1365"/>
    <d v="2024-04-15T00:00:00"/>
    <n v="3"/>
    <s v="Valid"/>
    <n v="14"/>
    <x v="2"/>
    <s v="Delayed"/>
  </r>
  <r>
    <n v="10689"/>
    <n v="6349"/>
    <s v="phone"/>
    <n v="30929.62"/>
    <n v="37"/>
    <x v="3"/>
    <d v="2024-04-01T00:00:00"/>
    <n v="83896.09"/>
    <s v="online"/>
    <s v="WH-C"/>
    <n v="1214"/>
    <d v="2024-03-10T00:00:00"/>
    <n v="2"/>
    <s v="Invalid Date Order"/>
    <s v=""/>
    <x v="2"/>
    <s v=""/>
  </r>
  <r>
    <n v="10690"/>
    <n v="5516"/>
    <s v="phone"/>
    <n v="47304.28"/>
    <n v="56"/>
    <x v="1"/>
    <d v="2024-03-10T00:00:00"/>
    <n v="33456.83"/>
    <s v="online"/>
    <s v="WH-B"/>
    <n v="1219"/>
    <d v="2024-02-10T00:00:00"/>
    <n v="5"/>
    <s v="Invalid Date Order"/>
    <s v=""/>
    <x v="3"/>
    <s v=""/>
  </r>
  <r>
    <n v="10691"/>
    <n v="6040"/>
    <s v="phone"/>
    <n v="48870.17"/>
    <n v="65"/>
    <x v="1"/>
    <d v="2024-04-01T00:00:00"/>
    <n v="69368.36"/>
    <s v="online"/>
    <s v="WH-A"/>
    <n v="1498"/>
    <d v="2024-02-10T00:00:00"/>
    <n v="6"/>
    <s v="Invalid Date Order"/>
    <s v=""/>
    <x v="2"/>
    <s v=""/>
  </r>
  <r>
    <n v="10692"/>
    <n v="5792"/>
    <s v="phone"/>
    <n v="21012.799999999999"/>
    <n v="65"/>
    <x v="3"/>
    <d v="2024-01-15T00:00:00"/>
    <n v="129508.16"/>
    <s v="offline"/>
    <s v="WH-A"/>
    <n v="363"/>
    <d v="2024-03-10T00:00:00"/>
    <n v="11"/>
    <s v="Valid"/>
    <n v="55"/>
    <x v="1"/>
    <s v="Delayed"/>
  </r>
  <r>
    <n v="10693"/>
    <n v="5336"/>
    <s v="phone"/>
    <n v="43524.65"/>
    <n v="47"/>
    <x v="2"/>
    <d v="2024-03-10T00:00:00"/>
    <n v="153224.04"/>
    <s v="offline"/>
    <s v="WH-A"/>
    <n v="233"/>
    <d v="2024-03-10T00:00:00"/>
    <n v="5"/>
    <s v="Valid"/>
    <n v="0"/>
    <x v="3"/>
    <s v="On Time"/>
  </r>
  <r>
    <n v="10694"/>
    <n v="6783"/>
    <s v="phone"/>
    <n v="93928.97"/>
    <n v="20"/>
    <x v="0"/>
    <d v="2024-03-10T00:00:00"/>
    <n v="56871.05"/>
    <s v="online"/>
    <s v="WH-C"/>
    <n v="762"/>
    <d v="2024-02-10T00:00:00"/>
    <n v="2"/>
    <s v="Invalid Date Order"/>
    <s v=""/>
    <x v="3"/>
    <s v=""/>
  </r>
  <r>
    <n v="10695"/>
    <n v="5258"/>
    <s v="phone"/>
    <n v="64821.03"/>
    <n v="19"/>
    <x v="2"/>
    <d v="2024-03-10T00:00:00"/>
    <n v="46443.81"/>
    <s v="online"/>
    <s v="WH-B"/>
    <n v="177"/>
    <d v="2024-04-15T00:00:00"/>
    <n v="12"/>
    <s v="Valid"/>
    <n v="36"/>
    <x v="3"/>
    <s v="Delayed"/>
  </r>
  <r>
    <n v="10696"/>
    <n v="5497"/>
    <s v="phone"/>
    <n v="20794.78"/>
    <n v="29"/>
    <x v="2"/>
    <d v="2024-02-15T00:00:00"/>
    <n v="112211.33"/>
    <s v="online"/>
    <s v="WH-B"/>
    <n v="1360"/>
    <d v="2024-03-10T00:00:00"/>
    <n v="5"/>
    <s v="Valid"/>
    <n v="24"/>
    <x v="0"/>
    <s v="Delayed"/>
  </r>
  <r>
    <n v="10697"/>
    <n v="5896"/>
    <s v="phone"/>
    <n v="15214.25"/>
    <n v="74"/>
    <x v="1"/>
    <d v="2024-02-15T00:00:00"/>
    <n v="144921.73000000001"/>
    <s v="Retail"/>
    <s v="WH-B"/>
    <n v="1326"/>
    <d v="2024-04-15T00:00:00"/>
    <n v="9"/>
    <s v="Valid"/>
    <n v="60"/>
    <x v="0"/>
    <s v="Delayed"/>
  </r>
  <r>
    <n v="10698"/>
    <n v="5160"/>
    <s v="phone"/>
    <n v="32330.6"/>
    <n v="60"/>
    <x v="0"/>
    <d v="2024-04-01T00:00:00"/>
    <n v="122646.86"/>
    <s v="offline"/>
    <s v="WH-A"/>
    <n v="749"/>
    <d v="2024-02-10T00:00:00"/>
    <n v="4"/>
    <s v="Invalid Date Order"/>
    <s v=""/>
    <x v="2"/>
    <s v=""/>
  </r>
  <r>
    <n v="10699"/>
    <n v="6499"/>
    <s v="phone"/>
    <n v="51425.38"/>
    <n v="18"/>
    <x v="2"/>
    <d v="2024-03-10T00:00:00"/>
    <n v="103037.04"/>
    <s v="online"/>
    <s v="WH-B"/>
    <n v="435"/>
    <d v="2024-04-15T00:00:00"/>
    <n v="12"/>
    <s v="Valid"/>
    <n v="36"/>
    <x v="3"/>
    <s v="Delayed"/>
  </r>
  <r>
    <n v="10700"/>
    <n v="5852"/>
    <s v="phone"/>
    <n v="18990.900000000001"/>
    <n v="92"/>
    <x v="1"/>
    <d v="2024-03-10T00:00:00"/>
    <n v="101986.44"/>
    <s v="Retail"/>
    <s v="WH-A"/>
    <n v="1303"/>
    <d v="2024-02-10T00:00:00"/>
    <n v="10"/>
    <s v="Invalid Date Order"/>
    <s v=""/>
    <x v="3"/>
    <s v=""/>
  </r>
  <r>
    <n v="10701"/>
    <n v="6688"/>
    <s v="phone"/>
    <n v="94212.68"/>
    <n v="35"/>
    <x v="2"/>
    <d v="2024-01-15T00:00:00"/>
    <n v="134813.26"/>
    <s v="online"/>
    <s v="WH-B"/>
    <n v="320"/>
    <d v="2024-02-10T00:00:00"/>
    <n v="2"/>
    <s v="Valid"/>
    <n v="26"/>
    <x v="1"/>
    <s v="Delayed"/>
  </r>
  <r>
    <n v="10702"/>
    <n v="6932"/>
    <s v="phone"/>
    <n v="53016.32"/>
    <n v="43"/>
    <x v="2"/>
    <d v="2024-04-01T00:00:00"/>
    <n v="26596.07"/>
    <s v="offline"/>
    <s v="WH-A"/>
    <n v="860"/>
    <d v="2024-02-10T00:00:00"/>
    <n v="3"/>
    <s v="Invalid Date Order"/>
    <s v=""/>
    <x v="2"/>
    <s v=""/>
  </r>
  <r>
    <n v="10703"/>
    <n v="5690"/>
    <s v="Laptop"/>
    <n v="16927.28"/>
    <n v="95"/>
    <x v="1"/>
    <d v="2024-01-15T00:00:00"/>
    <n v="56371.66"/>
    <s v="Retail"/>
    <s v="WH-B"/>
    <n v="464"/>
    <d v="2024-02-10T00:00:00"/>
    <n v="3"/>
    <s v="Valid"/>
    <n v="26"/>
    <x v="1"/>
    <s v="Delayed"/>
  </r>
  <r>
    <n v="10704"/>
    <n v="6699"/>
    <s v="phone"/>
    <n v="20686.86"/>
    <n v="91"/>
    <x v="1"/>
    <d v="2024-04-01T00:00:00"/>
    <n v="46900.3"/>
    <s v="Retail"/>
    <s v="WH-C"/>
    <n v="247"/>
    <d v="2024-04-15T00:00:00"/>
    <n v="9"/>
    <s v="Valid"/>
    <n v="14"/>
    <x v="2"/>
    <s v="Delayed"/>
  </r>
  <r>
    <n v="10705"/>
    <n v="5380"/>
    <s v="Laptop"/>
    <n v="27210.67"/>
    <n v="11"/>
    <x v="1"/>
    <d v="2024-04-01T00:00:00"/>
    <n v="139825.85999999999"/>
    <s v="Retail"/>
    <s v="WH-C"/>
    <n v="1396"/>
    <d v="2024-02-10T00:00:00"/>
    <n v="4"/>
    <s v="Invalid Date Order"/>
    <s v=""/>
    <x v="2"/>
    <s v=""/>
  </r>
  <r>
    <n v="10706"/>
    <n v="6569"/>
    <s v="phone"/>
    <n v="57736.6"/>
    <n v="49"/>
    <x v="0"/>
    <d v="2024-02-15T00:00:00"/>
    <n v="126245.49"/>
    <s v="online"/>
    <s v="WH-A"/>
    <n v="1129"/>
    <d v="2024-02-10T00:00:00"/>
    <n v="1"/>
    <s v="Invalid Date Order"/>
    <s v=""/>
    <x v="0"/>
    <s v=""/>
  </r>
  <r>
    <n v="10707"/>
    <n v="6953"/>
    <s v="phone"/>
    <n v="13959.74"/>
    <n v="38"/>
    <x v="2"/>
    <d v="2024-02-15T00:00:00"/>
    <n v="91145.47"/>
    <s v="offline"/>
    <s v="WH-A"/>
    <n v="880"/>
    <d v="2024-04-15T00:00:00"/>
    <n v="1"/>
    <s v="Valid"/>
    <n v="60"/>
    <x v="0"/>
    <s v="Delayed"/>
  </r>
  <r>
    <n v="10708"/>
    <n v="5957"/>
    <s v="phone"/>
    <n v="42414.94"/>
    <n v="64"/>
    <x v="1"/>
    <d v="2024-01-15T00:00:00"/>
    <n v="52081.2"/>
    <s v="Retail"/>
    <s v="WH-B"/>
    <n v="1276"/>
    <d v="2024-03-10T00:00:00"/>
    <n v="7"/>
    <s v="Valid"/>
    <n v="55"/>
    <x v="1"/>
    <s v="Delayed"/>
  </r>
  <r>
    <n v="10709"/>
    <n v="5691"/>
    <s v="phone"/>
    <n v="69359.17"/>
    <n v="69"/>
    <x v="3"/>
    <d v="2024-04-01T00:00:00"/>
    <n v="27509.52"/>
    <s v="online"/>
    <s v="WH-B"/>
    <n v="677"/>
    <d v="2024-04-15T00:00:00"/>
    <n v="7"/>
    <s v="Valid"/>
    <n v="14"/>
    <x v="2"/>
    <s v="Delayed"/>
  </r>
  <r>
    <n v="10710"/>
    <n v="6451"/>
    <s v="Laptop"/>
    <n v="74586.64"/>
    <n v="8"/>
    <x v="2"/>
    <d v="2024-03-10T00:00:00"/>
    <n v="175242.97"/>
    <s v="offline"/>
    <s v="WH-C"/>
    <n v="653"/>
    <d v="2024-04-15T00:00:00"/>
    <n v="2"/>
    <s v="Valid"/>
    <n v="36"/>
    <x v="3"/>
    <s v="Delayed"/>
  </r>
  <r>
    <n v="10711"/>
    <n v="6637"/>
    <s v="Laptop"/>
    <n v="27425.09"/>
    <n v="34"/>
    <x v="3"/>
    <d v="2024-02-15T00:00:00"/>
    <n v="23411.26"/>
    <s v="online"/>
    <s v="WH-B"/>
    <n v="1211"/>
    <d v="2024-04-15T00:00:00"/>
    <n v="9"/>
    <s v="Valid"/>
    <n v="60"/>
    <x v="0"/>
    <s v="Delayed"/>
  </r>
  <r>
    <n v="10712"/>
    <n v="6292"/>
    <s v="Laptop"/>
    <n v="30431.24"/>
    <n v="48"/>
    <x v="0"/>
    <d v="2024-03-10T00:00:00"/>
    <n v="23767.19"/>
    <s v="online"/>
    <s v="WH-A"/>
    <n v="1495"/>
    <d v="2024-02-10T00:00:00"/>
    <n v="9"/>
    <s v="Invalid Date Order"/>
    <s v=""/>
    <x v="3"/>
    <s v=""/>
  </r>
  <r>
    <n v="10713"/>
    <n v="6859"/>
    <s v="phone"/>
    <n v="24062.22"/>
    <n v="56"/>
    <x v="1"/>
    <d v="2024-01-15T00:00:00"/>
    <n v="68001.89"/>
    <s v="Retail"/>
    <s v="WH-A"/>
    <n v="1130"/>
    <d v="2024-02-10T00:00:00"/>
    <n v="5"/>
    <s v="Valid"/>
    <n v="26"/>
    <x v="1"/>
    <s v="Delayed"/>
  </r>
  <r>
    <n v="10714"/>
    <n v="6601"/>
    <s v="phone"/>
    <n v="49878.35"/>
    <n v="76"/>
    <x v="3"/>
    <d v="2024-02-15T00:00:00"/>
    <n v="148858.76999999999"/>
    <s v="Retail"/>
    <s v="WH-A"/>
    <n v="1059"/>
    <d v="2024-02-10T00:00:00"/>
    <n v="3"/>
    <s v="Invalid Date Order"/>
    <s v=""/>
    <x v="0"/>
    <s v=""/>
  </r>
  <r>
    <n v="10715"/>
    <n v="6441"/>
    <s v="phone"/>
    <n v="72438.19"/>
    <n v="65"/>
    <x v="0"/>
    <d v="2024-02-15T00:00:00"/>
    <n v="21543.97"/>
    <s v="online"/>
    <s v="WH-A"/>
    <n v="120"/>
    <d v="2024-03-10T00:00:00"/>
    <n v="3"/>
    <s v="Valid"/>
    <n v="24"/>
    <x v="0"/>
    <s v="Delayed"/>
  </r>
  <r>
    <n v="10716"/>
    <n v="6192"/>
    <s v="phone"/>
    <n v="50654.34"/>
    <n v="31"/>
    <x v="1"/>
    <d v="2024-04-01T00:00:00"/>
    <n v="32848.43"/>
    <s v="online"/>
    <s v="WH-A"/>
    <n v="960"/>
    <d v="2024-02-10T00:00:00"/>
    <n v="12"/>
    <s v="Invalid Date Order"/>
    <s v=""/>
    <x v="2"/>
    <s v=""/>
  </r>
  <r>
    <n v="10717"/>
    <n v="6866"/>
    <s v="phone"/>
    <n v="56335.49"/>
    <n v="4"/>
    <x v="3"/>
    <d v="2024-01-15T00:00:00"/>
    <n v="114016.48"/>
    <s v="online"/>
    <s v="WH-C"/>
    <n v="643"/>
    <d v="2024-03-10T00:00:00"/>
    <n v="3"/>
    <s v="Valid"/>
    <n v="55"/>
    <x v="1"/>
    <s v="Delayed"/>
  </r>
  <r>
    <n v="10718"/>
    <n v="6067"/>
    <s v="Laptop"/>
    <n v="23808.38"/>
    <n v="50"/>
    <x v="3"/>
    <d v="2024-04-01T00:00:00"/>
    <n v="78214.94"/>
    <s v="offline"/>
    <s v="WH-C"/>
    <n v="1445"/>
    <d v="2024-02-10T00:00:00"/>
    <n v="6"/>
    <s v="Invalid Date Order"/>
    <s v=""/>
    <x v="2"/>
    <s v=""/>
  </r>
  <r>
    <n v="10719"/>
    <n v="6580"/>
    <s v="phone"/>
    <n v="26718.240000000002"/>
    <n v="69"/>
    <x v="0"/>
    <d v="2024-02-15T00:00:00"/>
    <n v="75377.490000000005"/>
    <s v="online"/>
    <s v="WH-A"/>
    <n v="649"/>
    <d v="2024-04-15T00:00:00"/>
    <n v="4"/>
    <s v="Valid"/>
    <n v="60"/>
    <x v="0"/>
    <s v="Delayed"/>
  </r>
  <r>
    <n v="10720"/>
    <n v="5285"/>
    <s v="phone"/>
    <n v="42709.98"/>
    <n v="30"/>
    <x v="1"/>
    <d v="2024-01-15T00:00:00"/>
    <n v="20554.03"/>
    <s v="online"/>
    <s v="WH-B"/>
    <n v="563"/>
    <d v="2024-02-10T00:00:00"/>
    <n v="8"/>
    <s v="Valid"/>
    <n v="26"/>
    <x v="1"/>
    <s v="Delayed"/>
  </r>
  <r>
    <n v="10721"/>
    <n v="5397"/>
    <s v="phone"/>
    <n v="60500.56"/>
    <n v="88"/>
    <x v="1"/>
    <d v="2024-02-15T00:00:00"/>
    <n v="80137.27"/>
    <s v="online"/>
    <s v="WH-A"/>
    <n v="133"/>
    <d v="2024-03-10T00:00:00"/>
    <n v="13"/>
    <s v="Valid"/>
    <n v="24"/>
    <x v="0"/>
    <s v="Delayed"/>
  </r>
  <r>
    <n v="10722"/>
    <n v="5012"/>
    <s v="phone"/>
    <n v="50427.44"/>
    <n v="59"/>
    <x v="3"/>
    <d v="2024-01-15T00:00:00"/>
    <n v="32355.38"/>
    <s v="Retail"/>
    <s v="WH-C"/>
    <n v="1043"/>
    <d v="2024-03-10T00:00:00"/>
    <n v="11"/>
    <s v="Valid"/>
    <n v="55"/>
    <x v="1"/>
    <s v="Delayed"/>
  </r>
  <r>
    <n v="10723"/>
    <n v="6631"/>
    <s v="phone"/>
    <n v="21413.27"/>
    <n v="67"/>
    <x v="3"/>
    <d v="2024-02-15T00:00:00"/>
    <n v="142311.57"/>
    <s v="online"/>
    <s v="WH-A"/>
    <n v="1116"/>
    <d v="2024-02-10T00:00:00"/>
    <n v="13"/>
    <s v="Invalid Date Order"/>
    <s v=""/>
    <x v="0"/>
    <s v=""/>
  </r>
  <r>
    <n v="10724"/>
    <n v="6326"/>
    <s v="phone"/>
    <n v="49331.28"/>
    <n v="75"/>
    <x v="3"/>
    <d v="2024-03-10T00:00:00"/>
    <n v="31137.919999999998"/>
    <s v="offline"/>
    <s v="WH-C"/>
    <n v="888"/>
    <d v="2024-04-15T00:00:00"/>
    <n v="11"/>
    <s v="Valid"/>
    <n v="36"/>
    <x v="3"/>
    <s v="Delayed"/>
  </r>
  <r>
    <n v="10725"/>
    <n v="6922"/>
    <s v="phone"/>
    <n v="21649.19"/>
    <n v="45"/>
    <x v="1"/>
    <d v="2024-03-10T00:00:00"/>
    <n v="46656.22"/>
    <s v="offline"/>
    <s v="WH-C"/>
    <n v="655"/>
    <d v="2024-02-10T00:00:00"/>
    <n v="11"/>
    <s v="Invalid Date Order"/>
    <s v=""/>
    <x v="3"/>
    <s v=""/>
  </r>
  <r>
    <n v="10726"/>
    <n v="6277"/>
    <s v="Laptop"/>
    <n v="88824.36"/>
    <n v="4"/>
    <x v="0"/>
    <d v="2024-04-01T00:00:00"/>
    <n v="150393.99"/>
    <s v="online"/>
    <s v="WH-A"/>
    <n v="859"/>
    <d v="2024-02-10T00:00:00"/>
    <n v="5"/>
    <s v="Invalid Date Order"/>
    <s v=""/>
    <x v="2"/>
    <s v=""/>
  </r>
  <r>
    <n v="10727"/>
    <n v="5499"/>
    <s v="Laptop"/>
    <n v="33368.49"/>
    <n v="26"/>
    <x v="0"/>
    <d v="2024-03-10T00:00:00"/>
    <n v="152140.64000000001"/>
    <s v="offline"/>
    <s v="WH-A"/>
    <n v="182"/>
    <d v="2024-02-10T00:00:00"/>
    <n v="1"/>
    <s v="Invalid Date Order"/>
    <s v=""/>
    <x v="3"/>
    <s v=""/>
  </r>
  <r>
    <n v="10728"/>
    <n v="5754"/>
    <s v="phone"/>
    <n v="9804.0400000000009"/>
    <n v="27"/>
    <x v="1"/>
    <d v="2024-02-15T00:00:00"/>
    <n v="70715.28"/>
    <s v="online"/>
    <s v="WH-B"/>
    <n v="1468"/>
    <d v="2024-04-15T00:00:00"/>
    <n v="9"/>
    <s v="Valid"/>
    <n v="60"/>
    <x v="0"/>
    <s v="Delayed"/>
  </r>
  <r>
    <n v="10729"/>
    <n v="5035"/>
    <s v="phone"/>
    <n v="45197.14"/>
    <n v="46"/>
    <x v="2"/>
    <d v="2024-02-15T00:00:00"/>
    <n v="23242.76"/>
    <s v="Retail"/>
    <s v="WH-C"/>
    <n v="1138"/>
    <d v="2024-03-10T00:00:00"/>
    <n v="1"/>
    <s v="Valid"/>
    <n v="24"/>
    <x v="0"/>
    <s v="Delayed"/>
  </r>
  <r>
    <n v="10730"/>
    <n v="5727"/>
    <s v="phone"/>
    <n v="31289.09"/>
    <n v="64"/>
    <x v="0"/>
    <d v="2024-03-10T00:00:00"/>
    <n v="61498.2"/>
    <s v="offline"/>
    <s v="WH-B"/>
    <n v="339"/>
    <d v="2024-04-15T00:00:00"/>
    <n v="6"/>
    <s v="Valid"/>
    <n v="36"/>
    <x v="3"/>
    <s v="Delayed"/>
  </r>
  <r>
    <n v="10731"/>
    <n v="5849"/>
    <s v="Laptop"/>
    <n v="13936.1"/>
    <n v="91"/>
    <x v="3"/>
    <d v="2024-04-01T00:00:00"/>
    <n v="70881.440000000002"/>
    <s v="online"/>
    <s v="WH-A"/>
    <n v="425"/>
    <d v="2024-03-10T00:00:00"/>
    <n v="1"/>
    <s v="Invalid Date Order"/>
    <s v=""/>
    <x v="2"/>
    <s v=""/>
  </r>
  <r>
    <n v="10732"/>
    <n v="5090"/>
    <s v="phone"/>
    <n v="9748.92"/>
    <n v="51"/>
    <x v="2"/>
    <d v="2024-03-10T00:00:00"/>
    <n v="121445.69"/>
    <s v="online"/>
    <s v="WH-C"/>
    <n v="818"/>
    <d v="2024-03-10T00:00:00"/>
    <n v="3"/>
    <s v="Valid"/>
    <n v="0"/>
    <x v="3"/>
    <s v="On Time"/>
  </r>
  <r>
    <n v="10733"/>
    <n v="5776"/>
    <s v="Laptop"/>
    <n v="63412.24"/>
    <n v="50"/>
    <x v="2"/>
    <d v="2024-01-15T00:00:00"/>
    <n v="83236.399999999994"/>
    <s v="online"/>
    <s v="WH-B"/>
    <n v="516"/>
    <d v="2024-03-10T00:00:00"/>
    <n v="10"/>
    <s v="Valid"/>
    <n v="55"/>
    <x v="1"/>
    <s v="Delayed"/>
  </r>
  <r>
    <n v="10734"/>
    <n v="5605"/>
    <s v="phone"/>
    <n v="74384.38"/>
    <n v="6"/>
    <x v="0"/>
    <d v="2024-01-15T00:00:00"/>
    <n v="143154.37"/>
    <s v="offline"/>
    <s v="WH-B"/>
    <n v="1286"/>
    <d v="2024-04-15T00:00:00"/>
    <n v="5"/>
    <s v="Valid"/>
    <n v="91"/>
    <x v="1"/>
    <s v="Delayed"/>
  </r>
  <r>
    <n v="10735"/>
    <n v="6946"/>
    <s v="Laptop"/>
    <n v="27223.23"/>
    <n v="59"/>
    <x v="2"/>
    <d v="2024-01-15T00:00:00"/>
    <n v="43060.88"/>
    <s v="offline"/>
    <s v="WH-B"/>
    <n v="1221"/>
    <d v="2024-02-10T00:00:00"/>
    <n v="10"/>
    <s v="Valid"/>
    <n v="26"/>
    <x v="1"/>
    <s v="Delayed"/>
  </r>
  <r>
    <n v="10736"/>
    <n v="5970"/>
    <s v="phone"/>
    <n v="70375.740000000005"/>
    <n v="15"/>
    <x v="2"/>
    <d v="2024-03-10T00:00:00"/>
    <n v="13618.32"/>
    <s v="online"/>
    <s v="WH-A"/>
    <n v="520"/>
    <d v="2024-02-10T00:00:00"/>
    <n v="7"/>
    <s v="Invalid Date Order"/>
    <s v=""/>
    <x v="3"/>
    <s v=""/>
  </r>
  <r>
    <n v="10737"/>
    <n v="6626"/>
    <s v="phone"/>
    <n v="55496.26"/>
    <n v="30"/>
    <x v="0"/>
    <d v="2024-03-10T00:00:00"/>
    <n v="114905.01"/>
    <s v="online"/>
    <s v="WH-A"/>
    <n v="198"/>
    <d v="2024-02-10T00:00:00"/>
    <n v="14"/>
    <s v="Invalid Date Order"/>
    <s v=""/>
    <x v="3"/>
    <s v=""/>
  </r>
  <r>
    <n v="10738"/>
    <n v="6022"/>
    <s v="phone"/>
    <n v="80092.86"/>
    <n v="42"/>
    <x v="0"/>
    <d v="2024-03-10T00:00:00"/>
    <n v="60820.72"/>
    <s v="offline"/>
    <s v="WH-A"/>
    <n v="137"/>
    <d v="2024-02-10T00:00:00"/>
    <n v="10"/>
    <s v="Invalid Date Order"/>
    <s v=""/>
    <x v="3"/>
    <s v=""/>
  </r>
  <r>
    <n v="10739"/>
    <n v="5418"/>
    <s v="phone"/>
    <n v="61880.94"/>
    <n v="37"/>
    <x v="2"/>
    <d v="2024-01-15T00:00:00"/>
    <n v="22593.599999999999"/>
    <s v="Retail"/>
    <s v="WH-C"/>
    <n v="1397"/>
    <d v="2024-02-10T00:00:00"/>
    <n v="8"/>
    <s v="Valid"/>
    <n v="26"/>
    <x v="1"/>
    <s v="Delayed"/>
  </r>
  <r>
    <n v="10740"/>
    <n v="5115"/>
    <s v="phone"/>
    <n v="22526.62"/>
    <n v="42"/>
    <x v="3"/>
    <d v="2024-04-01T00:00:00"/>
    <n v="158661.97"/>
    <s v="offline"/>
    <s v="WH-A"/>
    <n v="445"/>
    <d v="2024-04-15T00:00:00"/>
    <n v="12"/>
    <s v="Valid"/>
    <n v="14"/>
    <x v="2"/>
    <s v="Delayed"/>
  </r>
  <r>
    <n v="10741"/>
    <n v="5617"/>
    <s v="phone"/>
    <n v="33216.36"/>
    <n v="35"/>
    <x v="1"/>
    <d v="2024-02-15T00:00:00"/>
    <n v="46733.04"/>
    <s v="online"/>
    <s v="WH-C"/>
    <n v="839"/>
    <d v="2024-04-15T00:00:00"/>
    <n v="9"/>
    <s v="Valid"/>
    <n v="60"/>
    <x v="0"/>
    <s v="Delayed"/>
  </r>
  <r>
    <n v="10742"/>
    <n v="6927"/>
    <s v="phone"/>
    <n v="23168.32"/>
    <n v="87"/>
    <x v="2"/>
    <d v="2024-03-10T00:00:00"/>
    <n v="47922.83"/>
    <s v="offline"/>
    <s v="WH-B"/>
    <n v="1477"/>
    <d v="2024-04-15T00:00:00"/>
    <n v="6"/>
    <s v="Valid"/>
    <n v="36"/>
    <x v="3"/>
    <s v="Delayed"/>
  </r>
  <r>
    <n v="10743"/>
    <n v="6220"/>
    <s v="phone"/>
    <n v="90231"/>
    <n v="6"/>
    <x v="2"/>
    <d v="2024-04-01T00:00:00"/>
    <n v="34207.49"/>
    <s v="online"/>
    <s v="WH-B"/>
    <n v="1155"/>
    <d v="2024-04-15T00:00:00"/>
    <n v="11"/>
    <s v="Valid"/>
    <n v="14"/>
    <x v="2"/>
    <s v="Delayed"/>
  </r>
  <r>
    <n v="10744"/>
    <n v="5826"/>
    <s v="phone"/>
    <n v="60642.59"/>
    <n v="68"/>
    <x v="3"/>
    <d v="2024-02-15T00:00:00"/>
    <n v="15485.91"/>
    <s v="offline"/>
    <s v="WH-A"/>
    <n v="1359"/>
    <d v="2024-04-15T00:00:00"/>
    <n v="9"/>
    <s v="Valid"/>
    <n v="60"/>
    <x v="0"/>
    <s v="Delayed"/>
  </r>
  <r>
    <n v="10745"/>
    <n v="6525"/>
    <s v="phone"/>
    <n v="90289.24"/>
    <n v="18"/>
    <x v="2"/>
    <d v="2024-02-15T00:00:00"/>
    <n v="30534.32"/>
    <s v="offline"/>
    <s v="WH-B"/>
    <n v="1455"/>
    <d v="2024-04-15T00:00:00"/>
    <n v="8"/>
    <s v="Valid"/>
    <n v="60"/>
    <x v="0"/>
    <s v="Delayed"/>
  </r>
  <r>
    <n v="10746"/>
    <n v="6650"/>
    <s v="phone"/>
    <n v="78003.100000000006"/>
    <n v="73"/>
    <x v="2"/>
    <d v="2024-02-15T00:00:00"/>
    <n v="63244.71"/>
    <s v="online"/>
    <s v="WH-A"/>
    <n v="914"/>
    <d v="2024-04-15T00:00:00"/>
    <n v="9"/>
    <s v="Valid"/>
    <n v="60"/>
    <x v="0"/>
    <s v="Delayed"/>
  </r>
  <r>
    <n v="10747"/>
    <n v="6517"/>
    <s v="Laptop"/>
    <n v="12717.95"/>
    <n v="29"/>
    <x v="1"/>
    <d v="2024-04-01T00:00:00"/>
    <n v="26304.68"/>
    <s v="online"/>
    <s v="WH-C"/>
    <n v="1343"/>
    <d v="2024-02-10T00:00:00"/>
    <n v="10"/>
    <s v="Invalid Date Order"/>
    <s v=""/>
    <x v="2"/>
    <s v=""/>
  </r>
  <r>
    <n v="10748"/>
    <n v="6099"/>
    <s v="phone"/>
    <n v="81605.539999999994"/>
    <n v="77"/>
    <x v="1"/>
    <d v="2024-04-01T00:00:00"/>
    <n v="149890.01999999999"/>
    <s v="online"/>
    <s v="WH-B"/>
    <n v="1365"/>
    <d v="2024-03-10T00:00:00"/>
    <n v="4"/>
    <s v="Invalid Date Order"/>
    <s v=""/>
    <x v="2"/>
    <s v=""/>
  </r>
  <r>
    <n v="10749"/>
    <n v="5413"/>
    <s v="phone"/>
    <n v="55087.54"/>
    <n v="59"/>
    <x v="1"/>
    <d v="2024-01-15T00:00:00"/>
    <n v="36610.199999999997"/>
    <s v="offline"/>
    <s v="WH-A"/>
    <n v="73"/>
    <d v="2024-04-15T00:00:00"/>
    <n v="9"/>
    <s v="Valid"/>
    <n v="91"/>
    <x v="1"/>
    <s v="Delayed"/>
  </r>
  <r>
    <n v="10750"/>
    <n v="6400"/>
    <s v="phone"/>
    <n v="62835.34"/>
    <n v="47"/>
    <x v="0"/>
    <d v="2024-04-01T00:00:00"/>
    <n v="44232.26"/>
    <s v="Retail"/>
    <s v="WH-B"/>
    <n v="1005"/>
    <d v="2024-03-10T00:00:00"/>
    <n v="7"/>
    <s v="Invalid Date Order"/>
    <s v=""/>
    <x v="2"/>
    <s v=""/>
  </r>
  <r>
    <n v="10751"/>
    <n v="6444"/>
    <s v="phone"/>
    <n v="80786.19"/>
    <n v="17"/>
    <x v="0"/>
    <d v="2024-04-01T00:00:00"/>
    <n v="63846.44"/>
    <s v="offline"/>
    <s v="WH-B"/>
    <n v="360"/>
    <d v="2024-04-15T00:00:00"/>
    <n v="5"/>
    <s v="Valid"/>
    <n v="14"/>
    <x v="2"/>
    <s v="Delayed"/>
  </r>
  <r>
    <n v="10752"/>
    <n v="5729"/>
    <s v="phone"/>
    <n v="21775.03"/>
    <n v="96"/>
    <x v="1"/>
    <d v="2024-04-01T00:00:00"/>
    <n v="84606.21"/>
    <s v="online"/>
    <s v="WH-A"/>
    <n v="1281"/>
    <d v="2024-04-15T00:00:00"/>
    <n v="5"/>
    <s v="Valid"/>
    <n v="14"/>
    <x v="2"/>
    <s v="Delayed"/>
  </r>
  <r>
    <n v="10753"/>
    <n v="6301"/>
    <s v="phone"/>
    <n v="34187.03"/>
    <n v="22"/>
    <x v="1"/>
    <d v="2024-02-15T00:00:00"/>
    <n v="30789.88"/>
    <s v="Retail"/>
    <s v="WH-B"/>
    <n v="713"/>
    <d v="2024-02-10T00:00:00"/>
    <n v="1"/>
    <s v="Invalid Date Order"/>
    <s v=""/>
    <x v="0"/>
    <s v=""/>
  </r>
  <r>
    <n v="10754"/>
    <n v="6021"/>
    <s v="phone"/>
    <n v="33766.17"/>
    <n v="68"/>
    <x v="0"/>
    <d v="2024-03-10T00:00:00"/>
    <n v="49369.47"/>
    <s v="online"/>
    <s v="WH-B"/>
    <n v="487"/>
    <d v="2024-03-10T00:00:00"/>
    <n v="2"/>
    <s v="Valid"/>
    <n v="0"/>
    <x v="3"/>
    <s v="On Time"/>
  </r>
  <r>
    <n v="10755"/>
    <n v="5761"/>
    <s v="phone"/>
    <n v="40671.410000000003"/>
    <n v="69"/>
    <x v="3"/>
    <d v="2024-01-15T00:00:00"/>
    <n v="170750.74"/>
    <s v="online"/>
    <s v="WH-B"/>
    <n v="755"/>
    <d v="2024-02-10T00:00:00"/>
    <n v="10"/>
    <s v="Valid"/>
    <n v="26"/>
    <x v="1"/>
    <s v="Delayed"/>
  </r>
  <r>
    <n v="10756"/>
    <n v="5676"/>
    <s v="phone"/>
    <n v="45738.239999999998"/>
    <n v="37"/>
    <x v="2"/>
    <d v="2024-03-10T00:00:00"/>
    <n v="69967.22"/>
    <s v="online"/>
    <s v="WH-B"/>
    <n v="1409"/>
    <d v="2024-02-10T00:00:00"/>
    <n v="3"/>
    <s v="Invalid Date Order"/>
    <s v=""/>
    <x v="3"/>
    <s v=""/>
  </r>
  <r>
    <n v="10757"/>
    <n v="6418"/>
    <s v="Laptop"/>
    <n v="39071.51"/>
    <n v="49"/>
    <x v="2"/>
    <d v="2024-03-10T00:00:00"/>
    <n v="95936.6"/>
    <s v="Retail"/>
    <s v="WH-C"/>
    <n v="471"/>
    <d v="2024-03-10T00:00:00"/>
    <n v="14"/>
    <s v="Valid"/>
    <n v="0"/>
    <x v="3"/>
    <s v="On Time"/>
  </r>
  <r>
    <n v="10758"/>
    <n v="6893"/>
    <s v="phone"/>
    <n v="74181.990000000005"/>
    <n v="13"/>
    <x v="1"/>
    <d v="2024-04-01T00:00:00"/>
    <n v="85809.64"/>
    <s v="offline"/>
    <s v="WH-B"/>
    <n v="370"/>
    <d v="2024-02-10T00:00:00"/>
    <n v="14"/>
    <s v="Invalid Date Order"/>
    <s v=""/>
    <x v="2"/>
    <s v=""/>
  </r>
  <r>
    <n v="10759"/>
    <n v="5457"/>
    <s v="phone"/>
    <n v="60073.31"/>
    <n v="34"/>
    <x v="3"/>
    <d v="2024-01-15T00:00:00"/>
    <n v="143262.89000000001"/>
    <s v="online"/>
    <s v="WH-B"/>
    <n v="636"/>
    <d v="2024-04-15T00:00:00"/>
    <n v="8"/>
    <s v="Valid"/>
    <n v="91"/>
    <x v="1"/>
    <s v="Delayed"/>
  </r>
  <r>
    <n v="10760"/>
    <n v="5920"/>
    <s v="Laptop"/>
    <n v="68292.41"/>
    <n v="86"/>
    <x v="0"/>
    <d v="2024-03-10T00:00:00"/>
    <n v="36406.39"/>
    <s v="offline"/>
    <s v="WH-A"/>
    <n v="996"/>
    <d v="2024-04-15T00:00:00"/>
    <n v="6"/>
    <s v="Valid"/>
    <n v="36"/>
    <x v="3"/>
    <s v="Delayed"/>
  </r>
  <r>
    <n v="10761"/>
    <n v="5192"/>
    <s v="phone"/>
    <n v="94035.61"/>
    <n v="53"/>
    <x v="1"/>
    <d v="2024-03-10T00:00:00"/>
    <n v="102236.74"/>
    <s v="online"/>
    <s v="WH-C"/>
    <n v="1236"/>
    <d v="2024-04-15T00:00:00"/>
    <n v="12"/>
    <s v="Valid"/>
    <n v="36"/>
    <x v="3"/>
    <s v="Delayed"/>
  </r>
  <r>
    <n v="10762"/>
    <n v="5739"/>
    <s v="Laptop"/>
    <n v="51961.23"/>
    <n v="87"/>
    <x v="3"/>
    <d v="2024-01-15T00:00:00"/>
    <n v="70810.22"/>
    <s v="online"/>
    <s v="WH-A"/>
    <n v="1238"/>
    <d v="2024-04-15T00:00:00"/>
    <n v="10"/>
    <s v="Valid"/>
    <n v="91"/>
    <x v="1"/>
    <s v="Delayed"/>
  </r>
  <r>
    <n v="10763"/>
    <n v="6713"/>
    <s v="phone"/>
    <n v="8430.16"/>
    <n v="51"/>
    <x v="3"/>
    <d v="2024-04-01T00:00:00"/>
    <n v="179845"/>
    <s v="Retail"/>
    <s v="WH-A"/>
    <n v="898"/>
    <d v="2024-04-15T00:00:00"/>
    <n v="11"/>
    <s v="Valid"/>
    <n v="14"/>
    <x v="2"/>
    <s v="Delayed"/>
  </r>
  <r>
    <n v="10764"/>
    <n v="6123"/>
    <s v="phone"/>
    <n v="86070.97"/>
    <n v="3"/>
    <x v="3"/>
    <d v="2024-03-10T00:00:00"/>
    <n v="118039.91"/>
    <s v="online"/>
    <s v="WH-A"/>
    <n v="1368"/>
    <d v="2024-02-10T00:00:00"/>
    <n v="13"/>
    <s v="Invalid Date Order"/>
    <s v=""/>
    <x v="3"/>
    <s v=""/>
  </r>
  <r>
    <n v="10765"/>
    <n v="6572"/>
    <s v="phone"/>
    <n v="28308.29"/>
    <n v="42"/>
    <x v="0"/>
    <d v="2024-02-15T00:00:00"/>
    <n v="56141.919999999998"/>
    <s v="online"/>
    <s v="WH-C"/>
    <n v="91"/>
    <d v="2024-02-10T00:00:00"/>
    <n v="14"/>
    <s v="Invalid Date Order"/>
    <s v=""/>
    <x v="0"/>
    <s v=""/>
  </r>
  <r>
    <n v="10766"/>
    <n v="5978"/>
    <s v="phone"/>
    <n v="74432.509999999995"/>
    <n v="98"/>
    <x v="0"/>
    <d v="2024-03-10T00:00:00"/>
    <n v="112721.54"/>
    <s v="offline"/>
    <s v="WH-A"/>
    <n v="1358"/>
    <d v="2024-04-15T00:00:00"/>
    <n v="5"/>
    <s v="Valid"/>
    <n v="36"/>
    <x v="3"/>
    <s v="Delayed"/>
  </r>
  <r>
    <n v="10767"/>
    <n v="6009"/>
    <s v="phone"/>
    <n v="96674.54"/>
    <n v="32"/>
    <x v="2"/>
    <d v="2024-02-15T00:00:00"/>
    <n v="136631.70000000001"/>
    <s v="online"/>
    <s v="WH-A"/>
    <n v="988"/>
    <d v="2024-04-15T00:00:00"/>
    <n v="13"/>
    <s v="Valid"/>
    <n v="60"/>
    <x v="0"/>
    <s v="Delayed"/>
  </r>
  <r>
    <n v="10768"/>
    <n v="5096"/>
    <s v="phone"/>
    <n v="82507.75"/>
    <n v="51"/>
    <x v="2"/>
    <d v="2024-04-01T00:00:00"/>
    <n v="95050.64"/>
    <s v="online"/>
    <s v="WH-A"/>
    <n v="436"/>
    <d v="2024-02-10T00:00:00"/>
    <n v="1"/>
    <s v="Invalid Date Order"/>
    <s v=""/>
    <x v="2"/>
    <s v=""/>
  </r>
  <r>
    <n v="10769"/>
    <n v="6688"/>
    <s v="phone"/>
    <n v="9863.42"/>
    <n v="85"/>
    <x v="3"/>
    <d v="2024-03-10T00:00:00"/>
    <n v="142715.82999999999"/>
    <s v="online"/>
    <s v="WH-B"/>
    <n v="1211"/>
    <d v="2024-03-10T00:00:00"/>
    <n v="12"/>
    <s v="Valid"/>
    <n v="0"/>
    <x v="3"/>
    <s v="On Time"/>
  </r>
  <r>
    <n v="10770"/>
    <n v="5663"/>
    <s v="Laptop"/>
    <n v="10493.7"/>
    <n v="46"/>
    <x v="3"/>
    <d v="2024-01-15T00:00:00"/>
    <n v="74027.34"/>
    <s v="online"/>
    <s v="WH-A"/>
    <n v="1260"/>
    <d v="2024-02-10T00:00:00"/>
    <n v="11"/>
    <s v="Valid"/>
    <n v="26"/>
    <x v="1"/>
    <s v="Delayed"/>
  </r>
  <r>
    <n v="10771"/>
    <n v="6214"/>
    <s v="Laptop"/>
    <n v="76903.11"/>
    <n v="21"/>
    <x v="0"/>
    <d v="2024-01-15T00:00:00"/>
    <n v="34522.36"/>
    <s v="online"/>
    <s v="WH-C"/>
    <n v="959"/>
    <d v="2024-02-10T00:00:00"/>
    <n v="12"/>
    <s v="Valid"/>
    <n v="26"/>
    <x v="1"/>
    <s v="Delayed"/>
  </r>
  <r>
    <n v="10772"/>
    <n v="6760"/>
    <s v="Laptop"/>
    <n v="54602.96"/>
    <n v="44"/>
    <x v="2"/>
    <d v="2024-03-10T00:00:00"/>
    <n v="86879.06"/>
    <s v="online"/>
    <s v="WH-C"/>
    <n v="765"/>
    <d v="2024-02-10T00:00:00"/>
    <n v="9"/>
    <s v="Invalid Date Order"/>
    <s v=""/>
    <x v="3"/>
    <s v=""/>
  </r>
  <r>
    <n v="10773"/>
    <n v="5037"/>
    <s v="phone"/>
    <n v="63579.38"/>
    <n v="11"/>
    <x v="3"/>
    <d v="2024-04-01T00:00:00"/>
    <n v="117086.87"/>
    <s v="online"/>
    <s v="WH-B"/>
    <n v="480"/>
    <d v="2024-02-10T00:00:00"/>
    <n v="3"/>
    <s v="Invalid Date Order"/>
    <s v=""/>
    <x v="2"/>
    <s v=""/>
  </r>
  <r>
    <n v="10774"/>
    <n v="6804"/>
    <s v="phone"/>
    <n v="14879.42"/>
    <n v="68"/>
    <x v="2"/>
    <d v="2024-04-01T00:00:00"/>
    <n v="38770.699999999997"/>
    <s v="Retail"/>
    <s v="WH-C"/>
    <n v="603"/>
    <d v="2024-02-10T00:00:00"/>
    <n v="3"/>
    <s v="Invalid Date Order"/>
    <s v=""/>
    <x v="2"/>
    <s v=""/>
  </r>
  <r>
    <n v="10775"/>
    <n v="6393"/>
    <s v="Laptop"/>
    <n v="31342.25"/>
    <n v="1"/>
    <x v="2"/>
    <d v="2024-01-15T00:00:00"/>
    <n v="95658.9"/>
    <s v="Retail"/>
    <s v="WH-C"/>
    <n v="1489"/>
    <d v="2024-03-10T00:00:00"/>
    <n v="2"/>
    <s v="Valid"/>
    <n v="55"/>
    <x v="1"/>
    <s v="Delayed"/>
  </r>
  <r>
    <n v="10776"/>
    <n v="6719"/>
    <s v="phone"/>
    <n v="29638.62"/>
    <n v="92"/>
    <x v="3"/>
    <d v="2024-03-10T00:00:00"/>
    <n v="110137.55"/>
    <s v="online"/>
    <s v="WH-B"/>
    <n v="849"/>
    <d v="2024-04-15T00:00:00"/>
    <n v="4"/>
    <s v="Valid"/>
    <n v="36"/>
    <x v="3"/>
    <s v="Delayed"/>
  </r>
  <r>
    <n v="10777"/>
    <n v="6549"/>
    <s v="phone"/>
    <n v="99700.54"/>
    <n v="63"/>
    <x v="0"/>
    <d v="2024-04-01T00:00:00"/>
    <n v="100234.54"/>
    <s v="online"/>
    <s v="WH-A"/>
    <n v="475"/>
    <d v="2024-04-15T00:00:00"/>
    <n v="12"/>
    <s v="Valid"/>
    <n v="14"/>
    <x v="2"/>
    <s v="Delayed"/>
  </r>
  <r>
    <n v="10778"/>
    <n v="5279"/>
    <s v="phone"/>
    <n v="73366.06"/>
    <n v="24"/>
    <x v="3"/>
    <d v="2024-01-15T00:00:00"/>
    <n v="74986.95"/>
    <s v="offline"/>
    <s v="WH-B"/>
    <n v="1489"/>
    <d v="2024-03-10T00:00:00"/>
    <n v="2"/>
    <s v="Valid"/>
    <n v="55"/>
    <x v="1"/>
    <s v="Delayed"/>
  </r>
  <r>
    <n v="10779"/>
    <n v="5217"/>
    <s v="phone"/>
    <n v="82426.94"/>
    <n v="99"/>
    <x v="3"/>
    <d v="2024-02-15T00:00:00"/>
    <n v="96125.4"/>
    <s v="Retail"/>
    <s v="WH-A"/>
    <n v="75"/>
    <d v="2024-04-15T00:00:00"/>
    <n v="13"/>
    <s v="Valid"/>
    <n v="60"/>
    <x v="0"/>
    <s v="Delayed"/>
  </r>
  <r>
    <n v="10780"/>
    <n v="5867"/>
    <s v="phone"/>
    <n v="72242.490000000005"/>
    <n v="13"/>
    <x v="2"/>
    <d v="2024-03-10T00:00:00"/>
    <n v="96866.78"/>
    <s v="offline"/>
    <s v="WH-A"/>
    <n v="1444"/>
    <d v="2024-04-15T00:00:00"/>
    <n v="9"/>
    <s v="Valid"/>
    <n v="36"/>
    <x v="3"/>
    <s v="Delayed"/>
  </r>
  <r>
    <n v="10781"/>
    <n v="5873"/>
    <s v="phone"/>
    <n v="44930.92"/>
    <n v="98"/>
    <x v="3"/>
    <d v="2024-02-15T00:00:00"/>
    <n v="146136.23000000001"/>
    <s v="Retail"/>
    <s v="WH-C"/>
    <n v="434"/>
    <d v="2024-04-15T00:00:00"/>
    <n v="12"/>
    <s v="Valid"/>
    <n v="60"/>
    <x v="0"/>
    <s v="Delayed"/>
  </r>
  <r>
    <n v="10782"/>
    <n v="6822"/>
    <s v="phone"/>
    <n v="14498.13"/>
    <n v="11"/>
    <x v="0"/>
    <d v="2024-02-15T00:00:00"/>
    <n v="94178.07"/>
    <s v="Retail"/>
    <s v="WH-B"/>
    <n v="105"/>
    <d v="2024-03-10T00:00:00"/>
    <n v="10"/>
    <s v="Valid"/>
    <n v="24"/>
    <x v="0"/>
    <s v="Delayed"/>
  </r>
  <r>
    <n v="10783"/>
    <n v="6297"/>
    <s v="phone"/>
    <n v="69285.8"/>
    <n v="51"/>
    <x v="3"/>
    <d v="2024-04-01T00:00:00"/>
    <n v="98944.77"/>
    <s v="online"/>
    <s v="WH-C"/>
    <n v="1326"/>
    <d v="2024-03-10T00:00:00"/>
    <n v="7"/>
    <s v="Invalid Date Order"/>
    <s v=""/>
    <x v="2"/>
    <s v=""/>
  </r>
  <r>
    <n v="10784"/>
    <n v="6905"/>
    <s v="phone"/>
    <n v="15286.47"/>
    <n v="17"/>
    <x v="0"/>
    <d v="2024-04-01T00:00:00"/>
    <n v="74698.2"/>
    <s v="Retail"/>
    <s v="WH-C"/>
    <n v="683"/>
    <d v="2024-04-15T00:00:00"/>
    <n v="8"/>
    <s v="Valid"/>
    <n v="14"/>
    <x v="2"/>
    <s v="Delayed"/>
  </r>
  <r>
    <n v="10785"/>
    <n v="5062"/>
    <s v="phone"/>
    <n v="69552.210000000006"/>
    <n v="99"/>
    <x v="0"/>
    <d v="2024-04-01T00:00:00"/>
    <n v="113010.47"/>
    <s v="offline"/>
    <s v="WH-A"/>
    <n v="155"/>
    <d v="2024-04-15T00:00:00"/>
    <n v="3"/>
    <s v="Valid"/>
    <n v="14"/>
    <x v="2"/>
    <s v="Delayed"/>
  </r>
  <r>
    <n v="10786"/>
    <n v="5596"/>
    <s v="Laptop"/>
    <n v="16442.54"/>
    <n v="82"/>
    <x v="2"/>
    <d v="2024-03-10T00:00:00"/>
    <n v="94616.49"/>
    <s v="Retail"/>
    <s v="WH-C"/>
    <n v="1203"/>
    <d v="2024-04-15T00:00:00"/>
    <n v="6"/>
    <s v="Valid"/>
    <n v="36"/>
    <x v="3"/>
    <s v="Delayed"/>
  </r>
  <r>
    <n v="10787"/>
    <n v="6904"/>
    <s v="Laptop"/>
    <n v="65029.41"/>
    <n v="86"/>
    <x v="1"/>
    <d v="2024-02-15T00:00:00"/>
    <n v="32421.39"/>
    <s v="online"/>
    <s v="WH-B"/>
    <n v="898"/>
    <d v="2024-02-10T00:00:00"/>
    <n v="10"/>
    <s v="Invalid Date Order"/>
    <s v=""/>
    <x v="0"/>
    <s v=""/>
  </r>
  <r>
    <n v="10788"/>
    <n v="5729"/>
    <s v="phone"/>
    <n v="33315.72"/>
    <n v="24"/>
    <x v="1"/>
    <d v="2024-03-10T00:00:00"/>
    <n v="11401.5"/>
    <s v="online"/>
    <s v="WH-C"/>
    <n v="719"/>
    <d v="2024-02-10T00:00:00"/>
    <n v="6"/>
    <s v="Invalid Date Order"/>
    <s v=""/>
    <x v="3"/>
    <s v=""/>
  </r>
  <r>
    <n v="10789"/>
    <n v="6366"/>
    <s v="phone"/>
    <n v="23594.04"/>
    <n v="19"/>
    <x v="2"/>
    <d v="2024-04-01T00:00:00"/>
    <n v="81654.92"/>
    <s v="online"/>
    <s v="WH-C"/>
    <n v="425"/>
    <d v="2024-02-10T00:00:00"/>
    <n v="13"/>
    <s v="Invalid Date Order"/>
    <s v=""/>
    <x v="2"/>
    <s v=""/>
  </r>
  <r>
    <n v="10790"/>
    <n v="5397"/>
    <s v="phone"/>
    <n v="43887.11"/>
    <n v="37"/>
    <x v="3"/>
    <d v="2024-02-15T00:00:00"/>
    <n v="122287.61"/>
    <s v="online"/>
    <s v="WH-A"/>
    <n v="792"/>
    <d v="2024-03-10T00:00:00"/>
    <n v="1"/>
    <s v="Valid"/>
    <n v="24"/>
    <x v="0"/>
    <s v="Delayed"/>
  </r>
  <r>
    <n v="10791"/>
    <n v="5699"/>
    <s v="Laptop"/>
    <n v="56570"/>
    <n v="85"/>
    <x v="2"/>
    <d v="2024-03-10T00:00:00"/>
    <n v="77559.11"/>
    <s v="online"/>
    <s v="WH-B"/>
    <n v="1016"/>
    <d v="2024-04-15T00:00:00"/>
    <n v="6"/>
    <s v="Valid"/>
    <n v="36"/>
    <x v="3"/>
    <s v="Delayed"/>
  </r>
  <r>
    <n v="10792"/>
    <n v="6043"/>
    <s v="phone"/>
    <n v="76351.62"/>
    <n v="8"/>
    <x v="0"/>
    <d v="2024-03-10T00:00:00"/>
    <n v="116132.62"/>
    <s v="online"/>
    <s v="WH-C"/>
    <n v="357"/>
    <d v="2024-03-10T00:00:00"/>
    <n v="13"/>
    <s v="Valid"/>
    <n v="0"/>
    <x v="3"/>
    <s v="On Time"/>
  </r>
  <r>
    <n v="10793"/>
    <n v="5177"/>
    <s v="phone"/>
    <n v="77165.17"/>
    <n v="28"/>
    <x v="1"/>
    <d v="2024-01-15T00:00:00"/>
    <n v="167595.13"/>
    <s v="Retail"/>
    <s v="WH-A"/>
    <n v="140"/>
    <d v="2024-03-10T00:00:00"/>
    <n v="14"/>
    <s v="Valid"/>
    <n v="55"/>
    <x v="1"/>
    <s v="Delayed"/>
  </r>
  <r>
    <n v="10794"/>
    <n v="6636"/>
    <s v="phone"/>
    <n v="63588.11"/>
    <n v="5"/>
    <x v="2"/>
    <d v="2024-03-10T00:00:00"/>
    <n v="96502.24"/>
    <s v="online"/>
    <s v="WH-C"/>
    <n v="1466"/>
    <d v="2024-03-10T00:00:00"/>
    <n v="3"/>
    <s v="Valid"/>
    <n v="0"/>
    <x v="3"/>
    <s v="On Time"/>
  </r>
  <r>
    <n v="10795"/>
    <n v="5396"/>
    <s v="phone"/>
    <n v="67144.460000000006"/>
    <n v="17"/>
    <x v="3"/>
    <d v="2024-04-01T00:00:00"/>
    <n v="60550.86"/>
    <s v="online"/>
    <s v="WH-B"/>
    <n v="851"/>
    <d v="2024-04-15T00:00:00"/>
    <n v="11"/>
    <s v="Valid"/>
    <n v="14"/>
    <x v="2"/>
    <s v="Delayed"/>
  </r>
  <r>
    <n v="10796"/>
    <n v="5445"/>
    <s v="Laptop"/>
    <n v="35697.75"/>
    <n v="36"/>
    <x v="2"/>
    <d v="2024-03-10T00:00:00"/>
    <n v="163091.54"/>
    <s v="Retail"/>
    <s v="WH-C"/>
    <n v="159"/>
    <d v="2024-02-10T00:00:00"/>
    <n v="3"/>
    <s v="Invalid Date Order"/>
    <s v=""/>
    <x v="3"/>
    <s v=""/>
  </r>
  <r>
    <n v="10797"/>
    <n v="6257"/>
    <s v="phone"/>
    <n v="43800.959999999999"/>
    <n v="19"/>
    <x v="1"/>
    <d v="2024-02-15T00:00:00"/>
    <n v="157425.26999999999"/>
    <s v="online"/>
    <s v="WH-C"/>
    <n v="634"/>
    <d v="2024-04-15T00:00:00"/>
    <n v="3"/>
    <s v="Valid"/>
    <n v="60"/>
    <x v="0"/>
    <s v="Delayed"/>
  </r>
  <r>
    <n v="10798"/>
    <n v="6939"/>
    <s v="phone"/>
    <n v="22620.82"/>
    <n v="64"/>
    <x v="2"/>
    <d v="2024-03-10T00:00:00"/>
    <n v="12399.35"/>
    <s v="offline"/>
    <s v="WH-A"/>
    <n v="389"/>
    <d v="2024-04-15T00:00:00"/>
    <n v="10"/>
    <s v="Valid"/>
    <n v="36"/>
    <x v="3"/>
    <s v="Delayed"/>
  </r>
  <r>
    <n v="10799"/>
    <n v="5076"/>
    <s v="phone"/>
    <n v="73069.17"/>
    <n v="91"/>
    <x v="2"/>
    <d v="2024-01-15T00:00:00"/>
    <n v="117933.29"/>
    <s v="offline"/>
    <s v="WH-C"/>
    <n v="1028"/>
    <d v="2024-03-10T00:00:00"/>
    <n v="11"/>
    <s v="Valid"/>
    <n v="55"/>
    <x v="1"/>
    <s v="Delayed"/>
  </r>
  <r>
    <n v="10800"/>
    <n v="5265"/>
    <s v="phone"/>
    <n v="45853.59"/>
    <n v="98"/>
    <x v="1"/>
    <d v="2024-02-15T00:00:00"/>
    <n v="74316.55"/>
    <s v="online"/>
    <s v="WH-A"/>
    <n v="405"/>
    <d v="2024-03-10T00:00:00"/>
    <n v="11"/>
    <s v="Valid"/>
    <n v="24"/>
    <x v="0"/>
    <s v="Delayed"/>
  </r>
  <r>
    <n v="10801"/>
    <n v="5455"/>
    <s v="Laptop"/>
    <n v="43151.24"/>
    <n v="11"/>
    <x v="0"/>
    <d v="2024-02-15T00:00:00"/>
    <n v="20420.27"/>
    <s v="Retail"/>
    <s v="WH-B"/>
    <n v="217"/>
    <d v="2024-03-10T00:00:00"/>
    <n v="10"/>
    <s v="Valid"/>
    <n v="24"/>
    <x v="0"/>
    <s v="Delayed"/>
  </r>
  <r>
    <n v="10802"/>
    <n v="6820"/>
    <s v="phone"/>
    <n v="13468.09"/>
    <n v="54"/>
    <x v="0"/>
    <d v="2024-01-15T00:00:00"/>
    <n v="92603.5"/>
    <s v="offline"/>
    <s v="WH-C"/>
    <n v="606"/>
    <d v="2024-02-10T00:00:00"/>
    <n v="11"/>
    <s v="Valid"/>
    <n v="26"/>
    <x v="1"/>
    <s v="Delayed"/>
  </r>
  <r>
    <n v="10803"/>
    <n v="5718"/>
    <s v="phone"/>
    <n v="75949.69"/>
    <n v="45"/>
    <x v="1"/>
    <d v="2024-04-01T00:00:00"/>
    <n v="101170.33"/>
    <s v="offline"/>
    <s v="WH-B"/>
    <n v="954"/>
    <d v="2024-02-10T00:00:00"/>
    <n v="8"/>
    <s v="Invalid Date Order"/>
    <s v=""/>
    <x v="2"/>
    <s v=""/>
  </r>
  <r>
    <n v="10804"/>
    <n v="5735"/>
    <s v="phone"/>
    <n v="83029.179999999993"/>
    <n v="47"/>
    <x v="2"/>
    <d v="2024-02-15T00:00:00"/>
    <n v="164667.87"/>
    <s v="Retail"/>
    <s v="WH-B"/>
    <n v="154"/>
    <d v="2024-02-10T00:00:00"/>
    <n v="13"/>
    <s v="Invalid Date Order"/>
    <s v=""/>
    <x v="0"/>
    <s v=""/>
  </r>
  <r>
    <n v="10805"/>
    <n v="6408"/>
    <s v="phone"/>
    <n v="52704.29"/>
    <n v="12"/>
    <x v="1"/>
    <d v="2024-04-01T00:00:00"/>
    <n v="79729.710000000006"/>
    <s v="online"/>
    <s v="WH-C"/>
    <n v="199"/>
    <d v="2024-04-15T00:00:00"/>
    <n v="5"/>
    <s v="Valid"/>
    <n v="14"/>
    <x v="2"/>
    <s v="Delayed"/>
  </r>
  <r>
    <n v="10806"/>
    <n v="6588"/>
    <s v="phone"/>
    <n v="96257.43"/>
    <n v="21"/>
    <x v="0"/>
    <d v="2024-02-15T00:00:00"/>
    <n v="88490.02"/>
    <s v="Retail"/>
    <s v="WH-A"/>
    <n v="195"/>
    <d v="2024-03-10T00:00:00"/>
    <n v="4"/>
    <s v="Valid"/>
    <n v="24"/>
    <x v="0"/>
    <s v="Delayed"/>
  </r>
  <r>
    <n v="10807"/>
    <n v="5851"/>
    <s v="phone"/>
    <n v="88977.83"/>
    <n v="11"/>
    <x v="3"/>
    <d v="2024-02-15T00:00:00"/>
    <n v="80445.490000000005"/>
    <s v="online"/>
    <s v="WH-B"/>
    <n v="765"/>
    <d v="2024-04-15T00:00:00"/>
    <n v="13"/>
    <s v="Valid"/>
    <n v="60"/>
    <x v="0"/>
    <s v="Delayed"/>
  </r>
  <r>
    <n v="10808"/>
    <n v="6530"/>
    <s v="phone"/>
    <n v="10350.549999999999"/>
    <n v="92"/>
    <x v="2"/>
    <d v="2024-04-01T00:00:00"/>
    <n v="85060.39"/>
    <s v="offline"/>
    <s v="WH-B"/>
    <n v="923"/>
    <d v="2024-02-10T00:00:00"/>
    <n v="9"/>
    <s v="Invalid Date Order"/>
    <s v=""/>
    <x v="2"/>
    <s v=""/>
  </r>
  <r>
    <n v="10809"/>
    <n v="6391"/>
    <s v="phone"/>
    <n v="76813.48"/>
    <n v="5"/>
    <x v="0"/>
    <d v="2024-02-15T00:00:00"/>
    <n v="118782.67"/>
    <s v="offline"/>
    <s v="WH-C"/>
    <n v="348"/>
    <d v="2024-03-10T00:00:00"/>
    <n v="9"/>
    <s v="Valid"/>
    <n v="24"/>
    <x v="0"/>
    <s v="Delayed"/>
  </r>
  <r>
    <n v="10810"/>
    <n v="5144"/>
    <s v="phone"/>
    <n v="74571.09"/>
    <n v="81"/>
    <x v="2"/>
    <d v="2024-04-01T00:00:00"/>
    <n v="28439.83"/>
    <s v="offline"/>
    <s v="WH-C"/>
    <n v="1240"/>
    <d v="2024-02-10T00:00:00"/>
    <n v="1"/>
    <s v="Invalid Date Order"/>
    <s v=""/>
    <x v="2"/>
    <s v=""/>
  </r>
  <r>
    <n v="10811"/>
    <n v="5885"/>
    <s v="Laptop"/>
    <n v="95773.01"/>
    <n v="56"/>
    <x v="1"/>
    <d v="2024-01-15T00:00:00"/>
    <n v="135091.85"/>
    <s v="online"/>
    <s v="WH-C"/>
    <n v="695"/>
    <d v="2024-03-10T00:00:00"/>
    <n v="2"/>
    <s v="Valid"/>
    <n v="55"/>
    <x v="1"/>
    <s v="Delayed"/>
  </r>
  <r>
    <n v="10812"/>
    <n v="6093"/>
    <s v="Laptop"/>
    <n v="78499.990000000005"/>
    <n v="20"/>
    <x v="3"/>
    <d v="2024-04-01T00:00:00"/>
    <n v="64817.89"/>
    <s v="online"/>
    <s v="WH-C"/>
    <n v="772"/>
    <d v="2024-03-10T00:00:00"/>
    <n v="8"/>
    <s v="Invalid Date Order"/>
    <s v=""/>
    <x v="2"/>
    <s v=""/>
  </r>
  <r>
    <n v="10813"/>
    <n v="6123"/>
    <s v="phone"/>
    <n v="69223.39"/>
    <n v="41"/>
    <x v="1"/>
    <d v="2024-01-15T00:00:00"/>
    <n v="138395.32999999999"/>
    <s v="online"/>
    <s v="WH-C"/>
    <n v="1121"/>
    <d v="2024-04-15T00:00:00"/>
    <n v="5"/>
    <s v="Valid"/>
    <n v="91"/>
    <x v="1"/>
    <s v="Delayed"/>
  </r>
  <r>
    <n v="10814"/>
    <n v="5396"/>
    <s v="Laptop"/>
    <n v="69468.25"/>
    <n v="46"/>
    <x v="3"/>
    <d v="2024-02-15T00:00:00"/>
    <n v="125071.2"/>
    <s v="Retail"/>
    <s v="WH-C"/>
    <n v="687"/>
    <d v="2024-04-15T00:00:00"/>
    <n v="7"/>
    <s v="Valid"/>
    <n v="60"/>
    <x v="0"/>
    <s v="Delayed"/>
  </r>
  <r>
    <n v="10815"/>
    <n v="6049"/>
    <s v="phone"/>
    <n v="50401.1"/>
    <n v="12"/>
    <x v="2"/>
    <d v="2024-04-01T00:00:00"/>
    <n v="67581.69"/>
    <s v="offline"/>
    <s v="WH-A"/>
    <n v="288"/>
    <d v="2024-02-10T00:00:00"/>
    <n v="1"/>
    <s v="Invalid Date Order"/>
    <s v=""/>
    <x v="2"/>
    <s v=""/>
  </r>
  <r>
    <n v="10816"/>
    <n v="5948"/>
    <s v="phone"/>
    <n v="47722.27"/>
    <n v="70"/>
    <x v="2"/>
    <d v="2024-02-15T00:00:00"/>
    <n v="76952.78"/>
    <s v="offline"/>
    <s v="WH-B"/>
    <n v="1080"/>
    <d v="2024-04-15T00:00:00"/>
    <n v="12"/>
    <s v="Valid"/>
    <n v="60"/>
    <x v="0"/>
    <s v="Delayed"/>
  </r>
  <r>
    <n v="10817"/>
    <n v="5891"/>
    <s v="phone"/>
    <n v="15710.43"/>
    <n v="17"/>
    <x v="1"/>
    <d v="2024-04-01T00:00:00"/>
    <n v="95938.4"/>
    <s v="Retail"/>
    <s v="WH-A"/>
    <n v="513"/>
    <d v="2024-04-15T00:00:00"/>
    <n v="10"/>
    <s v="Valid"/>
    <n v="14"/>
    <x v="2"/>
    <s v="Delayed"/>
  </r>
  <r>
    <n v="10818"/>
    <n v="6493"/>
    <s v="phone"/>
    <n v="85700.66"/>
    <n v="19"/>
    <x v="3"/>
    <d v="2024-01-15T00:00:00"/>
    <n v="163898.01"/>
    <s v="online"/>
    <s v="WH-A"/>
    <n v="502"/>
    <d v="2024-04-15T00:00:00"/>
    <n v="12"/>
    <s v="Valid"/>
    <n v="91"/>
    <x v="1"/>
    <s v="Delayed"/>
  </r>
  <r>
    <n v="10819"/>
    <n v="6508"/>
    <s v="phone"/>
    <n v="70352.27"/>
    <n v="26"/>
    <x v="3"/>
    <d v="2024-01-15T00:00:00"/>
    <n v="82205.27"/>
    <s v="Retail"/>
    <s v="WH-C"/>
    <n v="833"/>
    <d v="2024-03-10T00:00:00"/>
    <n v="5"/>
    <s v="Valid"/>
    <n v="55"/>
    <x v="1"/>
    <s v="Delayed"/>
  </r>
  <r>
    <n v="10820"/>
    <n v="6589"/>
    <s v="phone"/>
    <n v="73137.899999999994"/>
    <n v="48"/>
    <x v="2"/>
    <d v="2024-04-01T00:00:00"/>
    <n v="84506.42"/>
    <s v="online"/>
    <s v="WH-B"/>
    <n v="946"/>
    <d v="2024-04-15T00:00:00"/>
    <n v="11"/>
    <s v="Valid"/>
    <n v="14"/>
    <x v="2"/>
    <s v="Delayed"/>
  </r>
  <r>
    <n v="10821"/>
    <n v="6175"/>
    <s v="Laptop"/>
    <n v="28985.599999999999"/>
    <n v="52"/>
    <x v="1"/>
    <d v="2024-01-15T00:00:00"/>
    <n v="111135.94"/>
    <s v="offline"/>
    <s v="WH-A"/>
    <n v="420"/>
    <d v="2024-02-10T00:00:00"/>
    <n v="12"/>
    <s v="Valid"/>
    <n v="26"/>
    <x v="1"/>
    <s v="Delayed"/>
  </r>
  <r>
    <n v="10822"/>
    <n v="6168"/>
    <s v="phone"/>
    <n v="37111.08"/>
    <n v="96"/>
    <x v="3"/>
    <d v="2024-02-15T00:00:00"/>
    <n v="36294.9"/>
    <s v="online"/>
    <s v="WH-C"/>
    <n v="536"/>
    <d v="2024-03-10T00:00:00"/>
    <n v="3"/>
    <s v="Valid"/>
    <n v="24"/>
    <x v="0"/>
    <s v="Delayed"/>
  </r>
  <r>
    <n v="10823"/>
    <n v="5569"/>
    <s v="phone"/>
    <n v="72849.070000000007"/>
    <n v="70"/>
    <x v="2"/>
    <d v="2024-02-15T00:00:00"/>
    <n v="77725.94"/>
    <s v="online"/>
    <s v="WH-C"/>
    <n v="1284"/>
    <d v="2024-03-10T00:00:00"/>
    <n v="10"/>
    <s v="Valid"/>
    <n v="24"/>
    <x v="0"/>
    <s v="Delayed"/>
  </r>
  <r>
    <n v="10824"/>
    <n v="6063"/>
    <s v="phone"/>
    <n v="65472.9"/>
    <n v="55"/>
    <x v="0"/>
    <d v="2024-03-10T00:00:00"/>
    <n v="51740.27"/>
    <s v="offline"/>
    <s v="WH-B"/>
    <n v="214"/>
    <d v="2024-04-15T00:00:00"/>
    <n v="12"/>
    <s v="Valid"/>
    <n v="36"/>
    <x v="3"/>
    <s v="Delayed"/>
  </r>
  <r>
    <n v="10825"/>
    <n v="5109"/>
    <s v="phone"/>
    <n v="66388.58"/>
    <n v="75"/>
    <x v="1"/>
    <d v="2024-01-15T00:00:00"/>
    <n v="86026.98"/>
    <s v="offline"/>
    <s v="WH-A"/>
    <n v="1198"/>
    <d v="2024-03-10T00:00:00"/>
    <n v="12"/>
    <s v="Valid"/>
    <n v="55"/>
    <x v="1"/>
    <s v="Delayed"/>
  </r>
  <r>
    <n v="10826"/>
    <n v="6717"/>
    <s v="Laptop"/>
    <n v="13241.98"/>
    <n v="33"/>
    <x v="0"/>
    <d v="2024-02-15T00:00:00"/>
    <n v="62061.84"/>
    <s v="online"/>
    <s v="WH-A"/>
    <n v="1410"/>
    <d v="2024-02-10T00:00:00"/>
    <n v="14"/>
    <s v="Invalid Date Order"/>
    <s v=""/>
    <x v="0"/>
    <s v=""/>
  </r>
  <r>
    <n v="10827"/>
    <n v="6066"/>
    <s v="phone"/>
    <n v="20124.68"/>
    <n v="62"/>
    <x v="1"/>
    <d v="2024-04-01T00:00:00"/>
    <n v="163492.82"/>
    <s v="offline"/>
    <s v="WH-A"/>
    <n v="241"/>
    <d v="2024-02-10T00:00:00"/>
    <n v="2"/>
    <s v="Invalid Date Order"/>
    <s v=""/>
    <x v="2"/>
    <s v=""/>
  </r>
  <r>
    <n v="10828"/>
    <n v="6210"/>
    <s v="phone"/>
    <n v="73979.77"/>
    <n v="88"/>
    <x v="2"/>
    <d v="2024-01-15T00:00:00"/>
    <n v="87932.23"/>
    <s v="offline"/>
    <s v="WH-C"/>
    <n v="779"/>
    <d v="2024-03-10T00:00:00"/>
    <n v="2"/>
    <s v="Valid"/>
    <n v="55"/>
    <x v="1"/>
    <s v="Delayed"/>
  </r>
  <r>
    <n v="10829"/>
    <n v="5935"/>
    <s v="Laptop"/>
    <n v="70455.69"/>
    <n v="23"/>
    <x v="3"/>
    <d v="2024-02-15T00:00:00"/>
    <n v="145550.10999999999"/>
    <s v="online"/>
    <s v="WH-B"/>
    <n v="263"/>
    <d v="2024-04-15T00:00:00"/>
    <n v="9"/>
    <s v="Valid"/>
    <n v="60"/>
    <x v="0"/>
    <s v="Delayed"/>
  </r>
  <r>
    <n v="10830"/>
    <n v="5398"/>
    <s v="phone"/>
    <n v="22114.38"/>
    <n v="15"/>
    <x v="3"/>
    <d v="2024-01-15T00:00:00"/>
    <n v="123254.94"/>
    <s v="online"/>
    <s v="WH-B"/>
    <n v="623"/>
    <d v="2024-04-15T00:00:00"/>
    <n v="13"/>
    <s v="Valid"/>
    <n v="91"/>
    <x v="1"/>
    <s v="Delayed"/>
  </r>
  <r>
    <n v="10831"/>
    <n v="6247"/>
    <s v="phone"/>
    <n v="54532.89"/>
    <n v="27"/>
    <x v="3"/>
    <d v="2024-04-01T00:00:00"/>
    <n v="151628.85"/>
    <s v="online"/>
    <s v="WH-A"/>
    <n v="1401"/>
    <d v="2024-03-10T00:00:00"/>
    <n v="4"/>
    <s v="Invalid Date Order"/>
    <s v=""/>
    <x v="2"/>
    <s v=""/>
  </r>
  <r>
    <n v="10832"/>
    <n v="5634"/>
    <s v="Laptop"/>
    <n v="39370.370000000003"/>
    <n v="75"/>
    <x v="1"/>
    <d v="2024-02-15T00:00:00"/>
    <n v="165076.54999999999"/>
    <s v="online"/>
    <s v="WH-C"/>
    <n v="1006"/>
    <d v="2024-02-10T00:00:00"/>
    <n v="4"/>
    <s v="Invalid Date Order"/>
    <s v=""/>
    <x v="0"/>
    <s v=""/>
  </r>
  <r>
    <n v="10833"/>
    <n v="6157"/>
    <s v="Laptop"/>
    <n v="13951.61"/>
    <n v="64"/>
    <x v="2"/>
    <d v="2024-03-10T00:00:00"/>
    <n v="170379.46"/>
    <s v="offline"/>
    <s v="WH-A"/>
    <n v="430"/>
    <d v="2024-03-10T00:00:00"/>
    <n v="7"/>
    <s v="Valid"/>
    <n v="0"/>
    <x v="3"/>
    <s v="On Time"/>
  </r>
  <r>
    <n v="10834"/>
    <n v="6187"/>
    <s v="phone"/>
    <n v="19194.86"/>
    <n v="81"/>
    <x v="0"/>
    <d v="2024-03-10T00:00:00"/>
    <n v="53994.02"/>
    <s v="online"/>
    <s v="WH-B"/>
    <n v="722"/>
    <d v="2024-04-15T00:00:00"/>
    <n v="10"/>
    <s v="Valid"/>
    <n v="36"/>
    <x v="3"/>
    <s v="Delayed"/>
  </r>
  <r>
    <n v="10835"/>
    <n v="6239"/>
    <s v="Laptop"/>
    <n v="20294.34"/>
    <n v="51"/>
    <x v="2"/>
    <d v="2024-01-15T00:00:00"/>
    <n v="158270.09"/>
    <s v="online"/>
    <s v="WH-C"/>
    <n v="847"/>
    <d v="2024-04-15T00:00:00"/>
    <n v="10"/>
    <s v="Valid"/>
    <n v="91"/>
    <x v="1"/>
    <s v="Delayed"/>
  </r>
  <r>
    <n v="10836"/>
    <n v="5733"/>
    <s v="phone"/>
    <n v="14085.47"/>
    <n v="53"/>
    <x v="0"/>
    <d v="2024-04-01T00:00:00"/>
    <n v="103341.34"/>
    <s v="online"/>
    <s v="WH-A"/>
    <n v="288"/>
    <d v="2024-03-10T00:00:00"/>
    <n v="13"/>
    <s v="Invalid Date Order"/>
    <s v=""/>
    <x v="2"/>
    <s v=""/>
  </r>
  <r>
    <n v="10837"/>
    <n v="5235"/>
    <s v="phone"/>
    <n v="88204.49"/>
    <n v="78"/>
    <x v="1"/>
    <d v="2024-02-15T00:00:00"/>
    <n v="48192.45"/>
    <s v="Retail"/>
    <s v="WH-A"/>
    <n v="749"/>
    <d v="2024-02-10T00:00:00"/>
    <n v="2"/>
    <s v="Invalid Date Order"/>
    <s v=""/>
    <x v="0"/>
    <s v=""/>
  </r>
  <r>
    <n v="10838"/>
    <n v="6867"/>
    <s v="phone"/>
    <n v="31514.799999999999"/>
    <n v="91"/>
    <x v="1"/>
    <d v="2024-04-01T00:00:00"/>
    <n v="158553.57"/>
    <s v="online"/>
    <s v="WH-C"/>
    <n v="1155"/>
    <d v="2024-03-10T00:00:00"/>
    <n v="3"/>
    <s v="Invalid Date Order"/>
    <s v=""/>
    <x v="2"/>
    <s v=""/>
  </r>
  <r>
    <n v="10839"/>
    <n v="5658"/>
    <s v="phone"/>
    <n v="87558.99"/>
    <n v="82"/>
    <x v="0"/>
    <d v="2024-02-15T00:00:00"/>
    <n v="25166.23"/>
    <s v="offline"/>
    <s v="WH-B"/>
    <n v="1436"/>
    <d v="2024-02-10T00:00:00"/>
    <n v="3"/>
    <s v="Invalid Date Order"/>
    <s v=""/>
    <x v="0"/>
    <s v=""/>
  </r>
  <r>
    <n v="10840"/>
    <n v="5751"/>
    <s v="phone"/>
    <n v="14861.25"/>
    <n v="92"/>
    <x v="0"/>
    <d v="2024-01-15T00:00:00"/>
    <n v="41024.61"/>
    <s v="online"/>
    <s v="WH-C"/>
    <n v="554"/>
    <d v="2024-02-10T00:00:00"/>
    <n v="6"/>
    <s v="Valid"/>
    <n v="26"/>
    <x v="1"/>
    <s v="Delayed"/>
  </r>
  <r>
    <n v="10841"/>
    <n v="5588"/>
    <s v="phone"/>
    <n v="84676.54"/>
    <n v="51"/>
    <x v="0"/>
    <d v="2024-02-15T00:00:00"/>
    <n v="81839.78"/>
    <s v="online"/>
    <s v="WH-A"/>
    <n v="251"/>
    <d v="2024-03-10T00:00:00"/>
    <n v="3"/>
    <s v="Valid"/>
    <n v="24"/>
    <x v="0"/>
    <s v="Delayed"/>
  </r>
  <r>
    <n v="10842"/>
    <n v="6033"/>
    <s v="Laptop"/>
    <n v="57657.95"/>
    <n v="47"/>
    <x v="2"/>
    <d v="2024-04-01T00:00:00"/>
    <n v="112543.06"/>
    <s v="Retail"/>
    <s v="WH-A"/>
    <n v="969"/>
    <d v="2024-03-10T00:00:00"/>
    <n v="11"/>
    <s v="Invalid Date Order"/>
    <s v=""/>
    <x v="2"/>
    <s v=""/>
  </r>
  <r>
    <n v="10843"/>
    <n v="6098"/>
    <s v="phone"/>
    <n v="86787.19"/>
    <n v="4"/>
    <x v="0"/>
    <d v="2024-04-01T00:00:00"/>
    <n v="12057.22"/>
    <s v="online"/>
    <s v="WH-A"/>
    <n v="86"/>
    <d v="2024-02-10T00:00:00"/>
    <n v="5"/>
    <s v="Invalid Date Order"/>
    <s v=""/>
    <x v="2"/>
    <s v=""/>
  </r>
  <r>
    <n v="10844"/>
    <n v="5954"/>
    <s v="phone"/>
    <n v="50538.18"/>
    <n v="7"/>
    <x v="1"/>
    <d v="2024-01-15T00:00:00"/>
    <n v="114075.4"/>
    <s v="online"/>
    <s v="WH-A"/>
    <n v="693"/>
    <d v="2024-02-10T00:00:00"/>
    <n v="4"/>
    <s v="Valid"/>
    <n v="26"/>
    <x v="1"/>
    <s v="Delayed"/>
  </r>
  <r>
    <n v="10845"/>
    <n v="5492"/>
    <s v="phone"/>
    <n v="23110.84"/>
    <n v="35"/>
    <x v="1"/>
    <d v="2024-04-01T00:00:00"/>
    <n v="29426.78"/>
    <s v="Retail"/>
    <s v="WH-B"/>
    <n v="1475"/>
    <d v="2024-02-10T00:00:00"/>
    <n v="3"/>
    <s v="Invalid Date Order"/>
    <s v=""/>
    <x v="2"/>
    <s v=""/>
  </r>
  <r>
    <n v="10846"/>
    <n v="5913"/>
    <s v="phone"/>
    <n v="10976.36"/>
    <n v="48"/>
    <x v="3"/>
    <d v="2024-02-15T00:00:00"/>
    <n v="149425.25"/>
    <s v="online"/>
    <s v="WH-B"/>
    <n v="814"/>
    <d v="2024-02-10T00:00:00"/>
    <n v="8"/>
    <s v="Invalid Date Order"/>
    <s v=""/>
    <x v="0"/>
    <s v=""/>
  </r>
  <r>
    <n v="10847"/>
    <n v="6277"/>
    <s v="phone"/>
    <n v="77245.460000000006"/>
    <n v="73"/>
    <x v="0"/>
    <d v="2024-01-15T00:00:00"/>
    <n v="20691.580000000002"/>
    <s v="online"/>
    <s v="WH-A"/>
    <n v="755"/>
    <d v="2024-04-15T00:00:00"/>
    <n v="14"/>
    <s v="Valid"/>
    <n v="91"/>
    <x v="1"/>
    <s v="Delayed"/>
  </r>
  <r>
    <n v="10848"/>
    <n v="6254"/>
    <s v="phone"/>
    <n v="11442.85"/>
    <n v="72"/>
    <x v="2"/>
    <d v="2024-02-15T00:00:00"/>
    <n v="144872.62"/>
    <s v="online"/>
    <s v="WH-B"/>
    <n v="1249"/>
    <d v="2024-03-10T00:00:00"/>
    <n v="10"/>
    <s v="Valid"/>
    <n v="24"/>
    <x v="0"/>
    <s v="Delayed"/>
  </r>
  <r>
    <n v="10849"/>
    <n v="6543"/>
    <s v="Laptop"/>
    <n v="67245.64"/>
    <n v="45"/>
    <x v="2"/>
    <d v="2024-04-01T00:00:00"/>
    <n v="90952.21"/>
    <s v="online"/>
    <s v="WH-B"/>
    <n v="594"/>
    <d v="2024-02-10T00:00:00"/>
    <n v="3"/>
    <s v="Invalid Date Order"/>
    <s v=""/>
    <x v="2"/>
    <s v=""/>
  </r>
  <r>
    <n v="10850"/>
    <n v="6198"/>
    <s v="phone"/>
    <n v="57948.5"/>
    <n v="81"/>
    <x v="2"/>
    <d v="2024-01-15T00:00:00"/>
    <n v="48015.09"/>
    <s v="offline"/>
    <s v="WH-B"/>
    <n v="1274"/>
    <d v="2024-03-10T00:00:00"/>
    <n v="6"/>
    <s v="Valid"/>
    <n v="55"/>
    <x v="1"/>
    <s v="Delayed"/>
  </r>
  <r>
    <n v="10851"/>
    <n v="6677"/>
    <s v="phone"/>
    <n v="43206.41"/>
    <n v="81"/>
    <x v="3"/>
    <d v="2024-02-15T00:00:00"/>
    <n v="40041.86"/>
    <s v="online"/>
    <s v="WH-A"/>
    <n v="589"/>
    <d v="2024-02-10T00:00:00"/>
    <n v="13"/>
    <s v="Invalid Date Order"/>
    <s v=""/>
    <x v="0"/>
    <s v=""/>
  </r>
  <r>
    <n v="10852"/>
    <n v="6192"/>
    <s v="phone"/>
    <n v="15900.23"/>
    <n v="97"/>
    <x v="1"/>
    <d v="2024-04-01T00:00:00"/>
    <n v="154913.51999999999"/>
    <s v="offline"/>
    <s v="WH-C"/>
    <n v="1066"/>
    <d v="2024-03-10T00:00:00"/>
    <n v="7"/>
    <s v="Invalid Date Order"/>
    <s v=""/>
    <x v="2"/>
    <s v=""/>
  </r>
  <r>
    <n v="10853"/>
    <n v="5170"/>
    <s v="phone"/>
    <n v="81728.41"/>
    <n v="96"/>
    <x v="2"/>
    <d v="2024-04-01T00:00:00"/>
    <n v="63732.73"/>
    <s v="online"/>
    <s v="WH-C"/>
    <n v="443"/>
    <d v="2024-03-10T00:00:00"/>
    <n v="7"/>
    <s v="Invalid Date Order"/>
    <s v=""/>
    <x v="2"/>
    <s v=""/>
  </r>
  <r>
    <n v="10854"/>
    <n v="6417"/>
    <s v="phone"/>
    <n v="64041.52"/>
    <n v="72"/>
    <x v="1"/>
    <d v="2024-03-10T00:00:00"/>
    <n v="48885.919999999998"/>
    <s v="Retail"/>
    <s v="WH-C"/>
    <n v="882"/>
    <d v="2024-02-10T00:00:00"/>
    <n v="2"/>
    <s v="Invalid Date Order"/>
    <s v=""/>
    <x v="3"/>
    <s v=""/>
  </r>
  <r>
    <n v="10855"/>
    <n v="5946"/>
    <s v="Laptop"/>
    <n v="45268.44"/>
    <n v="19"/>
    <x v="3"/>
    <d v="2024-04-01T00:00:00"/>
    <n v="44992.92"/>
    <s v="online"/>
    <s v="WH-A"/>
    <n v="1115"/>
    <d v="2024-02-10T00:00:00"/>
    <n v="14"/>
    <s v="Invalid Date Order"/>
    <s v=""/>
    <x v="2"/>
    <s v=""/>
  </r>
  <r>
    <n v="10856"/>
    <n v="5795"/>
    <s v="phone"/>
    <n v="95284.9"/>
    <n v="63"/>
    <x v="0"/>
    <d v="2024-02-15T00:00:00"/>
    <n v="44419.64"/>
    <s v="offline"/>
    <s v="WH-B"/>
    <n v="646"/>
    <d v="2024-03-10T00:00:00"/>
    <n v="3"/>
    <s v="Valid"/>
    <n v="24"/>
    <x v="0"/>
    <s v="Delayed"/>
  </r>
  <r>
    <n v="10857"/>
    <n v="5634"/>
    <s v="phone"/>
    <n v="65748.56"/>
    <n v="38"/>
    <x v="0"/>
    <d v="2024-01-15T00:00:00"/>
    <n v="111051.97"/>
    <s v="online"/>
    <s v="WH-B"/>
    <n v="442"/>
    <d v="2024-03-10T00:00:00"/>
    <n v="12"/>
    <s v="Valid"/>
    <n v="55"/>
    <x v="1"/>
    <s v="Delayed"/>
  </r>
  <r>
    <n v="10858"/>
    <n v="6218"/>
    <s v="phone"/>
    <n v="28406.09"/>
    <n v="67"/>
    <x v="0"/>
    <d v="2024-03-10T00:00:00"/>
    <n v="117292.7"/>
    <s v="Retail"/>
    <s v="WH-A"/>
    <n v="749"/>
    <d v="2024-03-10T00:00:00"/>
    <n v="10"/>
    <s v="Valid"/>
    <n v="0"/>
    <x v="3"/>
    <s v="On Time"/>
  </r>
  <r>
    <n v="10859"/>
    <n v="6541"/>
    <s v="phone"/>
    <n v="78433.94"/>
    <n v="59"/>
    <x v="2"/>
    <d v="2024-04-01T00:00:00"/>
    <n v="178495.23"/>
    <s v="offline"/>
    <s v="WH-A"/>
    <n v="490"/>
    <d v="2024-04-15T00:00:00"/>
    <n v="10"/>
    <s v="Valid"/>
    <n v="14"/>
    <x v="2"/>
    <s v="Delayed"/>
  </r>
  <r>
    <n v="10860"/>
    <n v="5029"/>
    <s v="phone"/>
    <n v="89541.48"/>
    <n v="69"/>
    <x v="0"/>
    <d v="2024-04-01T00:00:00"/>
    <n v="99956.82"/>
    <s v="online"/>
    <s v="WH-C"/>
    <n v="967"/>
    <d v="2024-02-10T00:00:00"/>
    <n v="4"/>
    <s v="Invalid Date Order"/>
    <s v=""/>
    <x v="2"/>
    <s v=""/>
  </r>
  <r>
    <n v="10861"/>
    <n v="6189"/>
    <s v="Laptop"/>
    <n v="34136.050000000003"/>
    <n v="13"/>
    <x v="2"/>
    <d v="2024-04-01T00:00:00"/>
    <n v="156502.39999999999"/>
    <s v="offline"/>
    <s v="WH-C"/>
    <n v="369"/>
    <d v="2024-04-15T00:00:00"/>
    <n v="7"/>
    <s v="Valid"/>
    <n v="14"/>
    <x v="2"/>
    <s v="Delayed"/>
  </r>
  <r>
    <n v="10862"/>
    <n v="6446"/>
    <s v="phone"/>
    <n v="80997.429999999993"/>
    <n v="47"/>
    <x v="3"/>
    <d v="2024-02-15T00:00:00"/>
    <n v="89887.25"/>
    <s v="online"/>
    <s v="WH-A"/>
    <n v="602"/>
    <d v="2024-04-15T00:00:00"/>
    <n v="2"/>
    <s v="Valid"/>
    <n v="60"/>
    <x v="0"/>
    <s v="Delayed"/>
  </r>
  <r>
    <n v="10863"/>
    <n v="5339"/>
    <s v="Laptop"/>
    <n v="40658.39"/>
    <n v="61"/>
    <x v="3"/>
    <d v="2024-03-10T00:00:00"/>
    <n v="24853.31"/>
    <s v="online"/>
    <s v="WH-C"/>
    <n v="1288"/>
    <d v="2024-02-10T00:00:00"/>
    <n v="3"/>
    <s v="Invalid Date Order"/>
    <s v=""/>
    <x v="3"/>
    <s v=""/>
  </r>
  <r>
    <n v="10864"/>
    <n v="6672"/>
    <s v="Laptop"/>
    <n v="18504.330000000002"/>
    <n v="31"/>
    <x v="2"/>
    <d v="2024-02-15T00:00:00"/>
    <n v="16265.25"/>
    <s v="online"/>
    <s v="WH-B"/>
    <n v="1144"/>
    <d v="2024-02-10T00:00:00"/>
    <n v="7"/>
    <s v="Invalid Date Order"/>
    <s v=""/>
    <x v="0"/>
    <s v=""/>
  </r>
  <r>
    <n v="10865"/>
    <n v="6520"/>
    <s v="phone"/>
    <n v="53607.31"/>
    <n v="80"/>
    <x v="1"/>
    <d v="2024-03-10T00:00:00"/>
    <n v="146323.41"/>
    <s v="online"/>
    <s v="WH-A"/>
    <n v="617"/>
    <d v="2024-04-15T00:00:00"/>
    <n v="7"/>
    <s v="Valid"/>
    <n v="36"/>
    <x v="3"/>
    <s v="Delayed"/>
  </r>
  <r>
    <n v="10866"/>
    <n v="6389"/>
    <s v="phone"/>
    <n v="11899.01"/>
    <n v="96"/>
    <x v="0"/>
    <d v="2024-01-15T00:00:00"/>
    <n v="90283.13"/>
    <s v="online"/>
    <s v="WH-A"/>
    <n v="968"/>
    <d v="2024-02-10T00:00:00"/>
    <n v="10"/>
    <s v="Valid"/>
    <n v="26"/>
    <x v="1"/>
    <s v="Delayed"/>
  </r>
  <r>
    <n v="10867"/>
    <n v="6857"/>
    <s v="phone"/>
    <n v="80274.73"/>
    <n v="22"/>
    <x v="0"/>
    <d v="2024-02-15T00:00:00"/>
    <n v="160487.62"/>
    <s v="offline"/>
    <s v="WH-B"/>
    <n v="285"/>
    <d v="2024-03-10T00:00:00"/>
    <n v="3"/>
    <s v="Valid"/>
    <n v="24"/>
    <x v="0"/>
    <s v="Delayed"/>
  </r>
  <r>
    <n v="10868"/>
    <n v="6366"/>
    <s v="phone"/>
    <n v="41472.43"/>
    <n v="93"/>
    <x v="0"/>
    <d v="2024-02-15T00:00:00"/>
    <n v="105531.99"/>
    <s v="online"/>
    <s v="WH-B"/>
    <n v="1354"/>
    <d v="2024-03-10T00:00:00"/>
    <n v="12"/>
    <s v="Valid"/>
    <n v="24"/>
    <x v="0"/>
    <s v="Delayed"/>
  </r>
  <r>
    <n v="10869"/>
    <n v="5500"/>
    <s v="phone"/>
    <n v="20336.5"/>
    <n v="86"/>
    <x v="2"/>
    <d v="2024-01-15T00:00:00"/>
    <n v="50124.5"/>
    <s v="online"/>
    <s v="WH-B"/>
    <n v="1036"/>
    <d v="2024-04-15T00:00:00"/>
    <n v="1"/>
    <s v="Valid"/>
    <n v="91"/>
    <x v="1"/>
    <s v="Delayed"/>
  </r>
  <r>
    <n v="10870"/>
    <n v="6681"/>
    <s v="phone"/>
    <n v="30016.15"/>
    <n v="43"/>
    <x v="3"/>
    <d v="2024-03-10T00:00:00"/>
    <n v="100251.67"/>
    <s v="online"/>
    <s v="WH-C"/>
    <n v="1235"/>
    <d v="2024-04-15T00:00:00"/>
    <n v="12"/>
    <s v="Valid"/>
    <n v="36"/>
    <x v="3"/>
    <s v="Delayed"/>
  </r>
  <r>
    <n v="10871"/>
    <n v="5511"/>
    <s v="phone"/>
    <n v="15625.03"/>
    <n v="67"/>
    <x v="0"/>
    <d v="2024-04-01T00:00:00"/>
    <n v="48506.3"/>
    <s v="online"/>
    <s v="WH-A"/>
    <n v="1264"/>
    <d v="2024-02-10T00:00:00"/>
    <n v="3"/>
    <s v="Invalid Date Order"/>
    <s v=""/>
    <x v="2"/>
    <s v=""/>
  </r>
  <r>
    <n v="10872"/>
    <n v="6351"/>
    <s v="phone"/>
    <n v="89468.79"/>
    <n v="54"/>
    <x v="3"/>
    <d v="2024-01-15T00:00:00"/>
    <n v="111009.16"/>
    <s v="online"/>
    <s v="WH-C"/>
    <n v="1082"/>
    <d v="2024-02-10T00:00:00"/>
    <n v="5"/>
    <s v="Valid"/>
    <n v="26"/>
    <x v="1"/>
    <s v="Delayed"/>
  </r>
  <r>
    <n v="10873"/>
    <n v="5217"/>
    <s v="phone"/>
    <n v="55971.37"/>
    <n v="10"/>
    <x v="0"/>
    <d v="2024-04-01T00:00:00"/>
    <n v="143042.35"/>
    <s v="online"/>
    <s v="WH-B"/>
    <n v="109"/>
    <d v="2024-04-15T00:00:00"/>
    <n v="7"/>
    <s v="Valid"/>
    <n v="14"/>
    <x v="2"/>
    <s v="Delayed"/>
  </r>
  <r>
    <n v="10874"/>
    <n v="6325"/>
    <s v="phone"/>
    <n v="52213.93"/>
    <n v="42"/>
    <x v="0"/>
    <d v="2024-04-01T00:00:00"/>
    <n v="69000.429999999993"/>
    <s v="offline"/>
    <s v="WH-C"/>
    <n v="942"/>
    <d v="2024-04-15T00:00:00"/>
    <n v="4"/>
    <s v="Valid"/>
    <n v="14"/>
    <x v="2"/>
    <s v="Delayed"/>
  </r>
  <r>
    <n v="10875"/>
    <n v="6156"/>
    <s v="phone"/>
    <n v="9489.36"/>
    <n v="64"/>
    <x v="2"/>
    <d v="2024-01-15T00:00:00"/>
    <n v="83267.25"/>
    <s v="Retail"/>
    <s v="WH-B"/>
    <n v="274"/>
    <d v="2024-03-10T00:00:00"/>
    <n v="13"/>
    <s v="Valid"/>
    <n v="55"/>
    <x v="1"/>
    <s v="Delayed"/>
  </r>
  <r>
    <n v="10876"/>
    <n v="6828"/>
    <s v="phone"/>
    <n v="38402.559999999998"/>
    <n v="21"/>
    <x v="1"/>
    <d v="2024-03-10T00:00:00"/>
    <n v="38897.94"/>
    <s v="online"/>
    <s v="WH-C"/>
    <n v="749"/>
    <d v="2024-03-10T00:00:00"/>
    <n v="13"/>
    <s v="Valid"/>
    <n v="0"/>
    <x v="3"/>
    <s v="On Time"/>
  </r>
  <r>
    <n v="10877"/>
    <n v="6094"/>
    <s v="phone"/>
    <n v="67100.42"/>
    <n v="80"/>
    <x v="2"/>
    <d v="2024-04-01T00:00:00"/>
    <n v="59472.639999999999"/>
    <s v="offline"/>
    <s v="WH-C"/>
    <n v="631"/>
    <d v="2024-02-10T00:00:00"/>
    <n v="11"/>
    <s v="Invalid Date Order"/>
    <s v=""/>
    <x v="2"/>
    <s v=""/>
  </r>
  <r>
    <n v="10878"/>
    <n v="6276"/>
    <s v="phone"/>
    <n v="64873.66"/>
    <n v="76"/>
    <x v="0"/>
    <d v="2024-01-15T00:00:00"/>
    <n v="128531.98"/>
    <s v="online"/>
    <s v="WH-B"/>
    <n v="1360"/>
    <d v="2024-03-10T00:00:00"/>
    <n v="11"/>
    <s v="Valid"/>
    <n v="55"/>
    <x v="1"/>
    <s v="Delayed"/>
  </r>
  <r>
    <n v="10879"/>
    <n v="6439"/>
    <s v="phone"/>
    <n v="42664.19"/>
    <n v="66"/>
    <x v="0"/>
    <d v="2024-02-15T00:00:00"/>
    <n v="158062.49"/>
    <s v="online"/>
    <s v="WH-C"/>
    <n v="1043"/>
    <d v="2024-02-10T00:00:00"/>
    <n v="1"/>
    <s v="Invalid Date Order"/>
    <s v=""/>
    <x v="0"/>
    <s v=""/>
  </r>
  <r>
    <n v="10880"/>
    <n v="6811"/>
    <s v="phone"/>
    <n v="79261.95"/>
    <n v="41"/>
    <x v="1"/>
    <d v="2024-02-15T00:00:00"/>
    <n v="137138.44"/>
    <s v="online"/>
    <s v="WH-A"/>
    <n v="218"/>
    <d v="2024-02-10T00:00:00"/>
    <n v="6"/>
    <s v="Invalid Date Order"/>
    <s v=""/>
    <x v="0"/>
    <s v=""/>
  </r>
  <r>
    <n v="10881"/>
    <n v="5445"/>
    <s v="phone"/>
    <n v="23357.22"/>
    <n v="24"/>
    <x v="3"/>
    <d v="2024-02-15T00:00:00"/>
    <n v="134956.9"/>
    <s v="online"/>
    <s v="WH-C"/>
    <n v="1135"/>
    <d v="2024-02-10T00:00:00"/>
    <n v="2"/>
    <s v="Invalid Date Order"/>
    <s v=""/>
    <x v="0"/>
    <s v=""/>
  </r>
  <r>
    <n v="10882"/>
    <n v="5876"/>
    <s v="Laptop"/>
    <n v="51286.52"/>
    <n v="35"/>
    <x v="3"/>
    <d v="2024-01-15T00:00:00"/>
    <n v="127825.94"/>
    <s v="online"/>
    <s v="WH-C"/>
    <n v="1422"/>
    <d v="2024-03-10T00:00:00"/>
    <n v="12"/>
    <s v="Valid"/>
    <n v="55"/>
    <x v="1"/>
    <s v="Delayed"/>
  </r>
  <r>
    <n v="10883"/>
    <n v="6206"/>
    <s v="Laptop"/>
    <n v="44608.53"/>
    <n v="56"/>
    <x v="0"/>
    <d v="2024-02-15T00:00:00"/>
    <n v="42249.36"/>
    <s v="offline"/>
    <s v="WH-A"/>
    <n v="63"/>
    <d v="2024-04-15T00:00:00"/>
    <n v="3"/>
    <s v="Valid"/>
    <n v="60"/>
    <x v="0"/>
    <s v="Delayed"/>
  </r>
  <r>
    <n v="10884"/>
    <n v="5167"/>
    <s v="phone"/>
    <n v="51662.13"/>
    <n v="30"/>
    <x v="3"/>
    <d v="2024-04-01T00:00:00"/>
    <n v="122616.91"/>
    <s v="Retail"/>
    <s v="WH-B"/>
    <n v="213"/>
    <d v="2024-04-15T00:00:00"/>
    <n v="4"/>
    <s v="Valid"/>
    <n v="14"/>
    <x v="2"/>
    <s v="Delayed"/>
  </r>
  <r>
    <n v="10885"/>
    <n v="5091"/>
    <s v="phone"/>
    <n v="63879.97"/>
    <n v="57"/>
    <x v="0"/>
    <d v="2024-02-15T00:00:00"/>
    <n v="74744.23"/>
    <s v="Retail"/>
    <s v="WH-A"/>
    <n v="1493"/>
    <d v="2024-03-10T00:00:00"/>
    <n v="6"/>
    <s v="Valid"/>
    <n v="24"/>
    <x v="0"/>
    <s v="Delayed"/>
  </r>
  <r>
    <n v="10886"/>
    <n v="5714"/>
    <s v="phone"/>
    <n v="9993.19"/>
    <n v="94"/>
    <x v="1"/>
    <d v="2024-02-15T00:00:00"/>
    <n v="84932.77"/>
    <s v="offline"/>
    <s v="WH-C"/>
    <n v="806"/>
    <d v="2024-04-15T00:00:00"/>
    <n v="6"/>
    <s v="Valid"/>
    <n v="60"/>
    <x v="0"/>
    <s v="Delayed"/>
  </r>
  <r>
    <n v="10887"/>
    <n v="6882"/>
    <s v="phone"/>
    <n v="51143.07"/>
    <n v="47"/>
    <x v="1"/>
    <d v="2024-04-01T00:00:00"/>
    <n v="86263.07"/>
    <s v="online"/>
    <s v="WH-B"/>
    <n v="1101"/>
    <d v="2024-02-10T00:00:00"/>
    <n v="7"/>
    <s v="Invalid Date Order"/>
    <s v=""/>
    <x v="2"/>
    <s v=""/>
  </r>
  <r>
    <n v="10888"/>
    <n v="6555"/>
    <s v="phone"/>
    <n v="29827.25"/>
    <n v="35"/>
    <x v="0"/>
    <d v="2024-02-15T00:00:00"/>
    <n v="94262.73"/>
    <s v="offline"/>
    <s v="WH-C"/>
    <n v="495"/>
    <d v="2024-04-15T00:00:00"/>
    <n v="5"/>
    <s v="Valid"/>
    <n v="60"/>
    <x v="0"/>
    <s v="Delayed"/>
  </r>
  <r>
    <n v="10889"/>
    <n v="5039"/>
    <s v="phone"/>
    <n v="20912.96"/>
    <n v="19"/>
    <x v="1"/>
    <d v="2024-04-01T00:00:00"/>
    <n v="50317.66"/>
    <s v="online"/>
    <s v="WH-C"/>
    <n v="1281"/>
    <d v="2024-03-10T00:00:00"/>
    <n v="7"/>
    <s v="Invalid Date Order"/>
    <s v=""/>
    <x v="2"/>
    <s v=""/>
  </r>
  <r>
    <n v="10890"/>
    <n v="6150"/>
    <s v="phone"/>
    <n v="26801.7"/>
    <n v="8"/>
    <x v="2"/>
    <d v="2024-02-15T00:00:00"/>
    <n v="62440.69"/>
    <s v="offline"/>
    <s v="WH-A"/>
    <n v="765"/>
    <d v="2024-04-15T00:00:00"/>
    <n v="2"/>
    <s v="Valid"/>
    <n v="60"/>
    <x v="0"/>
    <s v="Delayed"/>
  </r>
  <r>
    <n v="10891"/>
    <n v="6475"/>
    <s v="phone"/>
    <n v="74033.2"/>
    <n v="26"/>
    <x v="2"/>
    <d v="2024-04-01T00:00:00"/>
    <n v="37144.980000000003"/>
    <s v="offline"/>
    <s v="WH-A"/>
    <n v="1025"/>
    <d v="2024-02-10T00:00:00"/>
    <n v="1"/>
    <s v="Invalid Date Order"/>
    <s v=""/>
    <x v="2"/>
    <s v=""/>
  </r>
  <r>
    <n v="10892"/>
    <n v="5173"/>
    <s v="phone"/>
    <n v="58575.51"/>
    <n v="71"/>
    <x v="1"/>
    <d v="2024-02-15T00:00:00"/>
    <n v="35284.75"/>
    <s v="offline"/>
    <s v="WH-B"/>
    <n v="868"/>
    <d v="2024-02-10T00:00:00"/>
    <n v="12"/>
    <s v="Invalid Date Order"/>
    <s v=""/>
    <x v="0"/>
    <s v=""/>
  </r>
  <r>
    <n v="10893"/>
    <n v="5653"/>
    <s v="Laptop"/>
    <n v="44659.21"/>
    <n v="30"/>
    <x v="0"/>
    <d v="2024-04-01T00:00:00"/>
    <n v="138050.56"/>
    <s v="Retail"/>
    <s v="WH-B"/>
    <n v="153"/>
    <d v="2024-03-10T00:00:00"/>
    <n v="10"/>
    <s v="Invalid Date Order"/>
    <s v=""/>
    <x v="2"/>
    <s v=""/>
  </r>
  <r>
    <n v="10894"/>
    <n v="5754"/>
    <s v="phone"/>
    <n v="97856.09"/>
    <n v="7"/>
    <x v="0"/>
    <d v="2024-01-15T00:00:00"/>
    <n v="116472.02"/>
    <s v="online"/>
    <s v="WH-B"/>
    <n v="791"/>
    <d v="2024-03-10T00:00:00"/>
    <n v="8"/>
    <s v="Valid"/>
    <n v="55"/>
    <x v="1"/>
    <s v="Delayed"/>
  </r>
  <r>
    <n v="10895"/>
    <n v="6244"/>
    <s v="Laptop"/>
    <n v="57398.98"/>
    <n v="67"/>
    <x v="1"/>
    <d v="2024-04-01T00:00:00"/>
    <n v="114197.25"/>
    <s v="offline"/>
    <s v="WH-C"/>
    <n v="475"/>
    <d v="2024-03-10T00:00:00"/>
    <n v="1"/>
    <s v="Invalid Date Order"/>
    <s v=""/>
    <x v="2"/>
    <s v=""/>
  </r>
  <r>
    <n v="10896"/>
    <n v="6662"/>
    <s v="Laptop"/>
    <n v="11671.86"/>
    <n v="65"/>
    <x v="3"/>
    <d v="2024-02-15T00:00:00"/>
    <n v="110276.28"/>
    <s v="Retail"/>
    <s v="WH-A"/>
    <n v="1174"/>
    <d v="2024-02-10T00:00:00"/>
    <n v="12"/>
    <s v="Invalid Date Order"/>
    <s v=""/>
    <x v="0"/>
    <s v=""/>
  </r>
  <r>
    <n v="10897"/>
    <n v="6082"/>
    <s v="phone"/>
    <n v="71976.34"/>
    <n v="36"/>
    <x v="2"/>
    <d v="2024-02-15T00:00:00"/>
    <n v="171587.76"/>
    <s v="online"/>
    <s v="WH-A"/>
    <n v="688"/>
    <d v="2024-04-15T00:00:00"/>
    <n v="2"/>
    <s v="Valid"/>
    <n v="60"/>
    <x v="0"/>
    <s v="Delayed"/>
  </r>
  <r>
    <n v="10898"/>
    <n v="6684"/>
    <s v="phone"/>
    <n v="39883.97"/>
    <n v="25"/>
    <x v="3"/>
    <d v="2024-03-10T00:00:00"/>
    <n v="89680.84"/>
    <s v="online"/>
    <s v="WH-A"/>
    <n v="899"/>
    <d v="2024-04-15T00:00:00"/>
    <n v="11"/>
    <s v="Valid"/>
    <n v="36"/>
    <x v="3"/>
    <s v="Delayed"/>
  </r>
  <r>
    <n v="10899"/>
    <n v="5476"/>
    <s v="phone"/>
    <n v="70216.19"/>
    <n v="37"/>
    <x v="0"/>
    <d v="2024-04-01T00:00:00"/>
    <n v="85519.1"/>
    <s v="offline"/>
    <s v="WH-B"/>
    <n v="1179"/>
    <d v="2024-03-10T00:00:00"/>
    <n v="12"/>
    <s v="Invalid Date Order"/>
    <s v=""/>
    <x v="2"/>
    <s v=""/>
  </r>
  <r>
    <n v="10900"/>
    <n v="5456"/>
    <s v="phone"/>
    <n v="80056.160000000003"/>
    <n v="1"/>
    <x v="0"/>
    <d v="2024-01-15T00:00:00"/>
    <n v="73955.009999999995"/>
    <s v="online"/>
    <s v="WH-A"/>
    <n v="818"/>
    <d v="2024-04-15T00:00:00"/>
    <n v="10"/>
    <s v="Valid"/>
    <n v="91"/>
    <x v="1"/>
    <s v="Delayed"/>
  </r>
  <r>
    <n v="10901"/>
    <n v="5829"/>
    <s v="Laptop"/>
    <n v="47882.36"/>
    <n v="15"/>
    <x v="3"/>
    <d v="2024-04-01T00:00:00"/>
    <n v="102504.45"/>
    <s v="online"/>
    <s v="WH-A"/>
    <n v="326"/>
    <d v="2024-04-15T00:00:00"/>
    <n v="6"/>
    <s v="Valid"/>
    <n v="14"/>
    <x v="2"/>
    <s v="Delayed"/>
  </r>
  <r>
    <n v="10902"/>
    <n v="5895"/>
    <s v="phone"/>
    <n v="77569.83"/>
    <n v="37"/>
    <x v="1"/>
    <d v="2024-04-01T00:00:00"/>
    <n v="155183.42000000001"/>
    <s v="online"/>
    <s v="WH-A"/>
    <n v="1138"/>
    <d v="2024-03-10T00:00:00"/>
    <n v="1"/>
    <s v="Invalid Date Order"/>
    <s v=""/>
    <x v="2"/>
    <s v=""/>
  </r>
  <r>
    <n v="10903"/>
    <n v="6385"/>
    <s v="phone"/>
    <n v="12267.35"/>
    <n v="13"/>
    <x v="3"/>
    <d v="2024-01-15T00:00:00"/>
    <n v="96496.35"/>
    <s v="offline"/>
    <s v="WH-B"/>
    <n v="949"/>
    <d v="2024-03-10T00:00:00"/>
    <n v="10"/>
    <s v="Valid"/>
    <n v="55"/>
    <x v="1"/>
    <s v="Delayed"/>
  </r>
  <r>
    <n v="10904"/>
    <n v="6959"/>
    <s v="phone"/>
    <n v="47939.98"/>
    <n v="8"/>
    <x v="3"/>
    <d v="2024-04-01T00:00:00"/>
    <n v="75964.009999999995"/>
    <s v="online"/>
    <s v="WH-A"/>
    <n v="237"/>
    <d v="2024-02-10T00:00:00"/>
    <n v="3"/>
    <s v="Invalid Date Order"/>
    <s v=""/>
    <x v="2"/>
    <s v=""/>
  </r>
  <r>
    <n v="10905"/>
    <n v="6025"/>
    <s v="phone"/>
    <n v="79060.72"/>
    <n v="5"/>
    <x v="2"/>
    <d v="2024-01-15T00:00:00"/>
    <n v="21638.03"/>
    <s v="Retail"/>
    <s v="WH-B"/>
    <n v="1390"/>
    <d v="2024-02-10T00:00:00"/>
    <n v="7"/>
    <s v="Valid"/>
    <n v="26"/>
    <x v="1"/>
    <s v="Delayed"/>
  </r>
  <r>
    <n v="10906"/>
    <n v="5387"/>
    <s v="Laptop"/>
    <n v="8538.32"/>
    <n v="60"/>
    <x v="2"/>
    <d v="2024-01-15T00:00:00"/>
    <n v="51369.88"/>
    <s v="Retail"/>
    <s v="WH-A"/>
    <n v="1211"/>
    <d v="2024-02-10T00:00:00"/>
    <n v="12"/>
    <s v="Valid"/>
    <n v="26"/>
    <x v="1"/>
    <s v="Delayed"/>
  </r>
  <r>
    <n v="10907"/>
    <n v="6997"/>
    <s v="phone"/>
    <n v="16059.62"/>
    <n v="73"/>
    <x v="3"/>
    <d v="2024-04-01T00:00:00"/>
    <n v="32722.39"/>
    <s v="Retail"/>
    <s v="WH-A"/>
    <n v="1416"/>
    <d v="2024-02-10T00:00:00"/>
    <n v="8"/>
    <s v="Invalid Date Order"/>
    <s v=""/>
    <x v="2"/>
    <s v=""/>
  </r>
  <r>
    <n v="10908"/>
    <n v="5348"/>
    <s v="phone"/>
    <n v="44308.51"/>
    <n v="1"/>
    <x v="3"/>
    <d v="2024-04-01T00:00:00"/>
    <n v="104002.15"/>
    <s v="Retail"/>
    <s v="WH-A"/>
    <n v="154"/>
    <d v="2024-04-15T00:00:00"/>
    <n v="4"/>
    <s v="Valid"/>
    <n v="14"/>
    <x v="2"/>
    <s v="Delayed"/>
  </r>
  <r>
    <n v="10909"/>
    <n v="5190"/>
    <s v="Laptop"/>
    <n v="22936.07"/>
    <n v="36"/>
    <x v="0"/>
    <d v="2024-02-15T00:00:00"/>
    <n v="28535.62"/>
    <s v="online"/>
    <s v="WH-B"/>
    <n v="595"/>
    <d v="2024-04-15T00:00:00"/>
    <n v="12"/>
    <s v="Valid"/>
    <n v="60"/>
    <x v="0"/>
    <s v="Delayed"/>
  </r>
  <r>
    <n v="10910"/>
    <n v="5505"/>
    <s v="phone"/>
    <n v="14879.85"/>
    <n v="35"/>
    <x v="2"/>
    <d v="2024-02-15T00:00:00"/>
    <n v="81947.56"/>
    <s v="Retail"/>
    <s v="WH-B"/>
    <n v="429"/>
    <d v="2024-02-10T00:00:00"/>
    <n v="3"/>
    <s v="Invalid Date Order"/>
    <s v=""/>
    <x v="0"/>
    <s v=""/>
  </r>
  <r>
    <n v="10911"/>
    <n v="6215"/>
    <s v="phone"/>
    <n v="62629.84"/>
    <n v="66"/>
    <x v="2"/>
    <d v="2024-03-10T00:00:00"/>
    <n v="117264"/>
    <s v="online"/>
    <s v="WH-A"/>
    <n v="159"/>
    <d v="2024-02-10T00:00:00"/>
    <n v="1"/>
    <s v="Invalid Date Order"/>
    <s v=""/>
    <x v="3"/>
    <s v=""/>
  </r>
  <r>
    <n v="10912"/>
    <n v="6532"/>
    <s v="phone"/>
    <n v="79510.45"/>
    <n v="63"/>
    <x v="0"/>
    <d v="2024-03-10T00:00:00"/>
    <n v="77390.509999999995"/>
    <s v="offline"/>
    <s v="WH-C"/>
    <n v="594"/>
    <d v="2024-03-10T00:00:00"/>
    <n v="12"/>
    <s v="Valid"/>
    <n v="0"/>
    <x v="3"/>
    <s v="On Time"/>
  </r>
  <r>
    <n v="10913"/>
    <n v="6393"/>
    <s v="Laptop"/>
    <n v="55309.8"/>
    <n v="23"/>
    <x v="1"/>
    <d v="2024-04-01T00:00:00"/>
    <n v="47109.85"/>
    <s v="online"/>
    <s v="WH-B"/>
    <n v="403"/>
    <d v="2024-04-15T00:00:00"/>
    <n v="9"/>
    <s v="Valid"/>
    <n v="14"/>
    <x v="2"/>
    <s v="Delayed"/>
  </r>
  <r>
    <n v="10914"/>
    <n v="6433"/>
    <s v="phone"/>
    <n v="93038.34"/>
    <n v="9"/>
    <x v="2"/>
    <d v="2024-01-15T00:00:00"/>
    <n v="135681.97"/>
    <s v="Retail"/>
    <s v="WH-B"/>
    <n v="792"/>
    <d v="2024-04-15T00:00:00"/>
    <n v="10"/>
    <s v="Valid"/>
    <n v="91"/>
    <x v="1"/>
    <s v="Delayed"/>
  </r>
  <r>
    <n v="10915"/>
    <n v="5824"/>
    <s v="phone"/>
    <n v="81095.14"/>
    <n v="34"/>
    <x v="2"/>
    <d v="2024-03-10T00:00:00"/>
    <n v="37089.879999999997"/>
    <s v="online"/>
    <s v="WH-A"/>
    <n v="366"/>
    <d v="2024-02-10T00:00:00"/>
    <n v="6"/>
    <s v="Invalid Date Order"/>
    <s v=""/>
    <x v="3"/>
    <s v=""/>
  </r>
  <r>
    <n v="10916"/>
    <n v="5929"/>
    <s v="phone"/>
    <n v="76547.92"/>
    <n v="46"/>
    <x v="1"/>
    <d v="2024-04-01T00:00:00"/>
    <n v="134595.92000000001"/>
    <s v="Retail"/>
    <s v="WH-C"/>
    <n v="1339"/>
    <d v="2024-04-15T00:00:00"/>
    <n v="6"/>
    <s v="Valid"/>
    <n v="14"/>
    <x v="2"/>
    <s v="Delayed"/>
  </r>
  <r>
    <n v="10917"/>
    <n v="5934"/>
    <s v="Laptop"/>
    <n v="11878.65"/>
    <n v="78"/>
    <x v="2"/>
    <d v="2024-03-10T00:00:00"/>
    <n v="10835.9"/>
    <s v="offline"/>
    <s v="WH-A"/>
    <n v="1138"/>
    <d v="2024-03-10T00:00:00"/>
    <n v="9"/>
    <s v="Valid"/>
    <n v="0"/>
    <x v="3"/>
    <s v="On Time"/>
  </r>
  <r>
    <n v="10918"/>
    <n v="6141"/>
    <s v="phone"/>
    <n v="71868.19"/>
    <n v="4"/>
    <x v="2"/>
    <d v="2024-01-15T00:00:00"/>
    <n v="13513.67"/>
    <s v="online"/>
    <s v="WH-B"/>
    <n v="382"/>
    <d v="2024-03-10T00:00:00"/>
    <n v="1"/>
    <s v="Valid"/>
    <n v="55"/>
    <x v="1"/>
    <s v="Delayed"/>
  </r>
  <r>
    <n v="10919"/>
    <n v="5134"/>
    <s v="phone"/>
    <n v="81842.45"/>
    <n v="30"/>
    <x v="1"/>
    <d v="2024-04-01T00:00:00"/>
    <n v="76139.320000000007"/>
    <s v="offline"/>
    <s v="WH-B"/>
    <n v="1206"/>
    <d v="2024-04-15T00:00:00"/>
    <n v="6"/>
    <s v="Valid"/>
    <n v="14"/>
    <x v="2"/>
    <s v="Delayed"/>
  </r>
  <r>
    <n v="10920"/>
    <n v="5058"/>
    <s v="Laptop"/>
    <n v="22076.6"/>
    <n v="95"/>
    <x v="1"/>
    <d v="2024-01-15T00:00:00"/>
    <n v="86764.08"/>
    <s v="offline"/>
    <s v="WH-A"/>
    <n v="641"/>
    <d v="2024-02-10T00:00:00"/>
    <n v="12"/>
    <s v="Valid"/>
    <n v="26"/>
    <x v="1"/>
    <s v="Delayed"/>
  </r>
  <r>
    <n v="10921"/>
    <n v="6580"/>
    <s v="phone"/>
    <n v="55417.69"/>
    <n v="75"/>
    <x v="3"/>
    <d v="2024-04-01T00:00:00"/>
    <n v="51306.12"/>
    <s v="offline"/>
    <s v="WH-A"/>
    <n v="832"/>
    <d v="2024-04-15T00:00:00"/>
    <n v="5"/>
    <s v="Valid"/>
    <n v="14"/>
    <x v="2"/>
    <s v="Delayed"/>
  </r>
  <r>
    <n v="10922"/>
    <n v="5685"/>
    <s v="phone"/>
    <n v="61661.94"/>
    <n v="99"/>
    <x v="0"/>
    <d v="2024-03-10T00:00:00"/>
    <n v="86925.14"/>
    <s v="online"/>
    <s v="WH-C"/>
    <n v="589"/>
    <d v="2024-03-10T00:00:00"/>
    <n v="13"/>
    <s v="Valid"/>
    <n v="0"/>
    <x v="3"/>
    <s v="On Time"/>
  </r>
  <r>
    <n v="10923"/>
    <n v="5672"/>
    <s v="phone"/>
    <n v="23533.35"/>
    <n v="72"/>
    <x v="0"/>
    <d v="2024-02-15T00:00:00"/>
    <n v="105353.96"/>
    <s v="Retail"/>
    <s v="WH-C"/>
    <n v="784"/>
    <d v="2024-02-10T00:00:00"/>
    <n v="11"/>
    <s v="Invalid Date Order"/>
    <s v=""/>
    <x v="0"/>
    <s v=""/>
  </r>
  <r>
    <n v="10924"/>
    <n v="5173"/>
    <s v="phone"/>
    <n v="49726.559999999998"/>
    <n v="3"/>
    <x v="1"/>
    <d v="2024-03-10T00:00:00"/>
    <n v="160650.04999999999"/>
    <s v="offline"/>
    <s v="WH-B"/>
    <n v="670"/>
    <d v="2024-04-15T00:00:00"/>
    <n v="6"/>
    <s v="Valid"/>
    <n v="36"/>
    <x v="3"/>
    <s v="Delayed"/>
  </r>
  <r>
    <n v="10925"/>
    <n v="6853"/>
    <s v="phone"/>
    <n v="57879.26"/>
    <n v="14"/>
    <x v="1"/>
    <d v="2024-03-10T00:00:00"/>
    <n v="35808.53"/>
    <s v="online"/>
    <s v="WH-C"/>
    <n v="668"/>
    <d v="2024-02-10T00:00:00"/>
    <n v="14"/>
    <s v="Invalid Date Order"/>
    <s v=""/>
    <x v="3"/>
    <s v=""/>
  </r>
  <r>
    <n v="10926"/>
    <n v="5815"/>
    <s v="phone"/>
    <n v="40442.82"/>
    <n v="60"/>
    <x v="2"/>
    <d v="2024-02-15T00:00:00"/>
    <n v="65141.22"/>
    <s v="online"/>
    <s v="WH-C"/>
    <n v="1442"/>
    <d v="2024-02-10T00:00:00"/>
    <n v="11"/>
    <s v="Invalid Date Order"/>
    <s v=""/>
    <x v="0"/>
    <s v=""/>
  </r>
  <r>
    <n v="10927"/>
    <n v="6173"/>
    <s v="phone"/>
    <n v="41198.35"/>
    <n v="77"/>
    <x v="3"/>
    <d v="2024-02-15T00:00:00"/>
    <n v="119011.21"/>
    <s v="online"/>
    <s v="WH-B"/>
    <n v="958"/>
    <d v="2024-03-10T00:00:00"/>
    <n v="8"/>
    <s v="Valid"/>
    <n v="24"/>
    <x v="0"/>
    <s v="Delayed"/>
  </r>
  <r>
    <n v="10928"/>
    <n v="5080"/>
    <s v="phone"/>
    <n v="64109.49"/>
    <n v="45"/>
    <x v="3"/>
    <d v="2024-04-01T00:00:00"/>
    <n v="141169.67000000001"/>
    <s v="online"/>
    <s v="WH-B"/>
    <n v="1041"/>
    <d v="2024-02-10T00:00:00"/>
    <n v="5"/>
    <s v="Invalid Date Order"/>
    <s v=""/>
    <x v="2"/>
    <s v=""/>
  </r>
  <r>
    <n v="10929"/>
    <n v="5886"/>
    <s v="phone"/>
    <n v="35515.15"/>
    <n v="96"/>
    <x v="1"/>
    <d v="2024-04-01T00:00:00"/>
    <n v="55551.32"/>
    <s v="online"/>
    <s v="WH-B"/>
    <n v="148"/>
    <d v="2024-04-15T00:00:00"/>
    <n v="2"/>
    <s v="Valid"/>
    <n v="14"/>
    <x v="2"/>
    <s v="Delayed"/>
  </r>
  <r>
    <n v="10930"/>
    <n v="6237"/>
    <s v="phone"/>
    <n v="12401.32"/>
    <n v="34"/>
    <x v="2"/>
    <d v="2024-01-15T00:00:00"/>
    <n v="20014.07"/>
    <s v="Retail"/>
    <s v="WH-B"/>
    <n v="366"/>
    <d v="2024-02-10T00:00:00"/>
    <n v="12"/>
    <s v="Valid"/>
    <n v="26"/>
    <x v="1"/>
    <s v="Delayed"/>
  </r>
  <r>
    <n v="10931"/>
    <n v="5203"/>
    <s v="phone"/>
    <n v="8874.3799999999992"/>
    <n v="45"/>
    <x v="2"/>
    <d v="2024-01-15T00:00:00"/>
    <n v="96514.08"/>
    <s v="offline"/>
    <s v="WH-A"/>
    <n v="172"/>
    <d v="2024-02-10T00:00:00"/>
    <n v="12"/>
    <s v="Valid"/>
    <n v="26"/>
    <x v="1"/>
    <s v="Delayed"/>
  </r>
  <r>
    <n v="10932"/>
    <n v="5764"/>
    <s v="phone"/>
    <n v="59859.360000000001"/>
    <n v="61"/>
    <x v="0"/>
    <d v="2024-03-10T00:00:00"/>
    <n v="102782.9"/>
    <s v="Retail"/>
    <s v="WH-B"/>
    <n v="1393"/>
    <d v="2024-04-15T00:00:00"/>
    <n v="2"/>
    <s v="Valid"/>
    <n v="36"/>
    <x v="3"/>
    <s v="Delayed"/>
  </r>
  <r>
    <n v="10933"/>
    <n v="6253"/>
    <s v="phone"/>
    <n v="77601.710000000006"/>
    <n v="83"/>
    <x v="0"/>
    <d v="2024-02-15T00:00:00"/>
    <n v="55981.1"/>
    <s v="online"/>
    <s v="WH-B"/>
    <n v="848"/>
    <d v="2024-03-10T00:00:00"/>
    <n v="10"/>
    <s v="Valid"/>
    <n v="24"/>
    <x v="0"/>
    <s v="Delayed"/>
  </r>
  <r>
    <n v="10934"/>
    <n v="6700"/>
    <s v="Laptop"/>
    <n v="55724.55"/>
    <n v="16"/>
    <x v="2"/>
    <d v="2024-01-15T00:00:00"/>
    <n v="105366.63"/>
    <s v="offline"/>
    <s v="WH-B"/>
    <n v="506"/>
    <d v="2024-03-10T00:00:00"/>
    <n v="5"/>
    <s v="Valid"/>
    <n v="55"/>
    <x v="1"/>
    <s v="Delayed"/>
  </r>
  <r>
    <n v="10935"/>
    <n v="6251"/>
    <s v="phone"/>
    <n v="39246.25"/>
    <n v="66"/>
    <x v="0"/>
    <d v="2024-03-10T00:00:00"/>
    <n v="65484.34"/>
    <s v="online"/>
    <s v="WH-C"/>
    <n v="571"/>
    <d v="2024-04-15T00:00:00"/>
    <n v="3"/>
    <s v="Valid"/>
    <n v="36"/>
    <x v="3"/>
    <s v="Delayed"/>
  </r>
  <r>
    <n v="10936"/>
    <n v="6683"/>
    <s v="phone"/>
    <n v="57561.07"/>
    <n v="40"/>
    <x v="1"/>
    <d v="2024-02-15T00:00:00"/>
    <n v="145309.74"/>
    <s v="online"/>
    <s v="WH-B"/>
    <n v="569"/>
    <d v="2024-04-15T00:00:00"/>
    <n v="10"/>
    <s v="Valid"/>
    <n v="60"/>
    <x v="0"/>
    <s v="Delayed"/>
  </r>
  <r>
    <n v="10937"/>
    <n v="6556"/>
    <s v="phone"/>
    <n v="27879.09"/>
    <n v="17"/>
    <x v="2"/>
    <d v="2024-04-01T00:00:00"/>
    <n v="84331.91"/>
    <s v="offline"/>
    <s v="WH-A"/>
    <n v="966"/>
    <d v="2024-03-10T00:00:00"/>
    <n v="3"/>
    <s v="Invalid Date Order"/>
    <s v=""/>
    <x v="2"/>
    <s v=""/>
  </r>
  <r>
    <n v="10938"/>
    <n v="6465"/>
    <s v="Laptop"/>
    <n v="24558.04"/>
    <n v="34"/>
    <x v="0"/>
    <d v="2024-03-10T00:00:00"/>
    <n v="25215"/>
    <s v="online"/>
    <s v="WH-A"/>
    <n v="766"/>
    <d v="2024-02-10T00:00:00"/>
    <n v="8"/>
    <s v="Invalid Date Order"/>
    <s v=""/>
    <x v="3"/>
    <s v=""/>
  </r>
  <r>
    <n v="10939"/>
    <n v="6426"/>
    <s v="Laptop"/>
    <n v="97138.16"/>
    <n v="16"/>
    <x v="3"/>
    <d v="2024-04-01T00:00:00"/>
    <n v="25994.83"/>
    <s v="online"/>
    <s v="WH-B"/>
    <n v="364"/>
    <d v="2024-04-15T00:00:00"/>
    <n v="7"/>
    <s v="Valid"/>
    <n v="14"/>
    <x v="2"/>
    <s v="Delayed"/>
  </r>
  <r>
    <n v="10940"/>
    <n v="5047"/>
    <s v="phone"/>
    <n v="24207.21"/>
    <n v="60"/>
    <x v="2"/>
    <d v="2024-01-15T00:00:00"/>
    <n v="116101.51"/>
    <s v="Retail"/>
    <s v="WH-A"/>
    <n v="758"/>
    <d v="2024-02-10T00:00:00"/>
    <n v="1"/>
    <s v="Valid"/>
    <n v="26"/>
    <x v="1"/>
    <s v="Delayed"/>
  </r>
  <r>
    <n v="10941"/>
    <n v="6257"/>
    <s v="phone"/>
    <n v="57810.28"/>
    <n v="66"/>
    <x v="2"/>
    <d v="2024-01-15T00:00:00"/>
    <n v="31394.240000000002"/>
    <s v="online"/>
    <s v="WH-C"/>
    <n v="759"/>
    <d v="2024-04-15T00:00:00"/>
    <n v="12"/>
    <s v="Valid"/>
    <n v="91"/>
    <x v="1"/>
    <s v="Delayed"/>
  </r>
  <r>
    <n v="10942"/>
    <n v="6329"/>
    <s v="phone"/>
    <n v="81795.47"/>
    <n v="66"/>
    <x v="3"/>
    <d v="2024-02-15T00:00:00"/>
    <n v="35806.199999999997"/>
    <s v="online"/>
    <s v="WH-B"/>
    <n v="1093"/>
    <d v="2024-03-10T00:00:00"/>
    <n v="13"/>
    <s v="Valid"/>
    <n v="24"/>
    <x v="0"/>
    <s v="Delayed"/>
  </r>
  <r>
    <n v="10943"/>
    <n v="6550"/>
    <s v="Laptop"/>
    <n v="40500.99"/>
    <n v="90"/>
    <x v="1"/>
    <d v="2024-03-10T00:00:00"/>
    <n v="108235.16"/>
    <s v="offline"/>
    <s v="WH-A"/>
    <n v="609"/>
    <d v="2024-02-10T00:00:00"/>
    <n v="12"/>
    <s v="Invalid Date Order"/>
    <s v=""/>
    <x v="3"/>
    <s v=""/>
  </r>
  <r>
    <n v="10944"/>
    <n v="6167"/>
    <s v="phone"/>
    <n v="24279.78"/>
    <n v="13"/>
    <x v="3"/>
    <d v="2024-04-01T00:00:00"/>
    <n v="139994.29999999999"/>
    <s v="online"/>
    <s v="WH-A"/>
    <n v="1018"/>
    <d v="2024-02-10T00:00:00"/>
    <n v="5"/>
    <s v="Invalid Date Order"/>
    <s v=""/>
    <x v="2"/>
    <s v=""/>
  </r>
  <r>
    <n v="10945"/>
    <n v="6439"/>
    <s v="Laptop"/>
    <n v="71691.81"/>
    <n v="56"/>
    <x v="2"/>
    <d v="2024-02-15T00:00:00"/>
    <n v="81263.23"/>
    <s v="online"/>
    <s v="WH-B"/>
    <n v="1203"/>
    <d v="2024-04-15T00:00:00"/>
    <n v="9"/>
    <s v="Valid"/>
    <n v="60"/>
    <x v="0"/>
    <s v="Delayed"/>
  </r>
  <r>
    <n v="10946"/>
    <n v="6537"/>
    <s v="phone"/>
    <n v="41466"/>
    <n v="31"/>
    <x v="1"/>
    <d v="2024-01-15T00:00:00"/>
    <n v="146274.23000000001"/>
    <s v="Retail"/>
    <s v="WH-A"/>
    <n v="1366"/>
    <d v="2024-02-10T00:00:00"/>
    <n v="4"/>
    <s v="Valid"/>
    <n v="26"/>
    <x v="1"/>
    <s v="Delayed"/>
  </r>
  <r>
    <n v="10947"/>
    <n v="6397"/>
    <s v="phone"/>
    <n v="42546.32"/>
    <n v="34"/>
    <x v="0"/>
    <d v="2024-01-15T00:00:00"/>
    <n v="129879.12"/>
    <s v="Retail"/>
    <s v="WH-B"/>
    <n v="1205"/>
    <d v="2024-04-15T00:00:00"/>
    <n v="1"/>
    <s v="Valid"/>
    <n v="91"/>
    <x v="1"/>
    <s v="Delayed"/>
  </r>
  <r>
    <n v="10948"/>
    <n v="6590"/>
    <s v="phone"/>
    <n v="59327.91"/>
    <n v="39"/>
    <x v="0"/>
    <d v="2024-03-10T00:00:00"/>
    <n v="34942.93"/>
    <s v="offline"/>
    <s v="WH-A"/>
    <n v="405"/>
    <d v="2024-03-10T00:00:00"/>
    <n v="8"/>
    <s v="Valid"/>
    <n v="0"/>
    <x v="3"/>
    <s v="On Time"/>
  </r>
  <r>
    <n v="10949"/>
    <n v="6910"/>
    <s v="phone"/>
    <n v="44467.09"/>
    <n v="67"/>
    <x v="0"/>
    <d v="2024-04-01T00:00:00"/>
    <n v="146452.71"/>
    <s v="Retail"/>
    <s v="WH-C"/>
    <n v="1127"/>
    <d v="2024-02-10T00:00:00"/>
    <n v="5"/>
    <s v="Invalid Date Order"/>
    <s v=""/>
    <x v="2"/>
    <s v=""/>
  </r>
  <r>
    <n v="10950"/>
    <n v="6283"/>
    <s v="phone"/>
    <n v="49716.9"/>
    <n v="8"/>
    <x v="2"/>
    <d v="2024-03-10T00:00:00"/>
    <n v="149534.89000000001"/>
    <s v="online"/>
    <s v="WH-A"/>
    <n v="939"/>
    <d v="2024-04-15T00:00:00"/>
    <n v="2"/>
    <s v="Valid"/>
    <n v="36"/>
    <x v="3"/>
    <s v="Delayed"/>
  </r>
  <r>
    <n v="10951"/>
    <n v="5656"/>
    <s v="phone"/>
    <n v="49285.7"/>
    <n v="87"/>
    <x v="3"/>
    <d v="2024-04-01T00:00:00"/>
    <n v="41932.97"/>
    <s v="online"/>
    <s v="WH-A"/>
    <n v="842"/>
    <d v="2024-02-10T00:00:00"/>
    <n v="12"/>
    <s v="Invalid Date Order"/>
    <s v=""/>
    <x v="2"/>
    <s v=""/>
  </r>
  <r>
    <n v="10952"/>
    <n v="5471"/>
    <s v="phone"/>
    <n v="47976.21"/>
    <n v="78"/>
    <x v="1"/>
    <d v="2024-04-01T00:00:00"/>
    <n v="86417.74"/>
    <s v="Retail"/>
    <s v="WH-B"/>
    <n v="1460"/>
    <d v="2024-04-15T00:00:00"/>
    <n v="1"/>
    <s v="Valid"/>
    <n v="14"/>
    <x v="2"/>
    <s v="Delayed"/>
  </r>
  <r>
    <n v="10953"/>
    <n v="6977"/>
    <s v="Laptop"/>
    <n v="32350.42"/>
    <n v="55"/>
    <x v="0"/>
    <d v="2024-03-10T00:00:00"/>
    <n v="127559.71"/>
    <s v="online"/>
    <s v="WH-A"/>
    <n v="314"/>
    <d v="2024-04-15T00:00:00"/>
    <n v="14"/>
    <s v="Valid"/>
    <n v="36"/>
    <x v="3"/>
    <s v="Delayed"/>
  </r>
  <r>
    <n v="10954"/>
    <n v="5971"/>
    <s v="Laptop"/>
    <n v="36864.71"/>
    <n v="27"/>
    <x v="1"/>
    <d v="2024-02-15T00:00:00"/>
    <n v="15772.87"/>
    <s v="online"/>
    <s v="WH-B"/>
    <n v="1031"/>
    <d v="2024-04-15T00:00:00"/>
    <n v="12"/>
    <s v="Valid"/>
    <n v="60"/>
    <x v="0"/>
    <s v="Delayed"/>
  </r>
  <r>
    <n v="10955"/>
    <n v="6036"/>
    <s v="phone"/>
    <n v="73418"/>
    <n v="93"/>
    <x v="2"/>
    <d v="2024-03-10T00:00:00"/>
    <n v="156591.22"/>
    <s v="offline"/>
    <s v="WH-C"/>
    <n v="1288"/>
    <d v="2024-03-10T00:00:00"/>
    <n v="12"/>
    <s v="Valid"/>
    <n v="0"/>
    <x v="3"/>
    <s v="On Time"/>
  </r>
  <r>
    <n v="10956"/>
    <n v="6354"/>
    <s v="Laptop"/>
    <n v="77497.58"/>
    <n v="53"/>
    <x v="0"/>
    <d v="2024-03-10T00:00:00"/>
    <n v="25655.93"/>
    <s v="Retail"/>
    <s v="WH-B"/>
    <n v="851"/>
    <d v="2024-02-10T00:00:00"/>
    <n v="12"/>
    <s v="Invalid Date Order"/>
    <s v=""/>
    <x v="3"/>
    <s v=""/>
  </r>
  <r>
    <n v="10957"/>
    <n v="5736"/>
    <s v="phone"/>
    <n v="72872.87"/>
    <n v="39"/>
    <x v="2"/>
    <d v="2024-01-15T00:00:00"/>
    <n v="136052.10999999999"/>
    <s v="online"/>
    <s v="WH-B"/>
    <n v="92"/>
    <d v="2024-03-10T00:00:00"/>
    <n v="3"/>
    <s v="Valid"/>
    <n v="55"/>
    <x v="1"/>
    <s v="Delayed"/>
  </r>
  <r>
    <n v="10958"/>
    <n v="5784"/>
    <s v="phone"/>
    <n v="20554.169999999998"/>
    <n v="65"/>
    <x v="3"/>
    <d v="2024-01-15T00:00:00"/>
    <n v="112662.56"/>
    <s v="Retail"/>
    <s v="WH-A"/>
    <n v="911"/>
    <d v="2024-04-15T00:00:00"/>
    <n v="9"/>
    <s v="Valid"/>
    <n v="91"/>
    <x v="1"/>
    <s v="Delayed"/>
  </r>
  <r>
    <n v="10959"/>
    <n v="5968"/>
    <s v="phone"/>
    <n v="72765.070000000007"/>
    <n v="17"/>
    <x v="2"/>
    <d v="2024-03-10T00:00:00"/>
    <n v="37278.480000000003"/>
    <s v="offline"/>
    <s v="WH-C"/>
    <n v="1351"/>
    <d v="2024-04-15T00:00:00"/>
    <n v="1"/>
    <s v="Valid"/>
    <n v="36"/>
    <x v="3"/>
    <s v="Delayed"/>
  </r>
  <r>
    <n v="10960"/>
    <n v="5358"/>
    <s v="phone"/>
    <n v="59465.59"/>
    <n v="30"/>
    <x v="2"/>
    <d v="2024-03-10T00:00:00"/>
    <n v="66980.039999999994"/>
    <s v="Retail"/>
    <s v="WH-B"/>
    <n v="1203"/>
    <d v="2024-03-10T00:00:00"/>
    <n v="4"/>
    <s v="Valid"/>
    <n v="0"/>
    <x v="3"/>
    <s v="On Time"/>
  </r>
  <r>
    <n v="10961"/>
    <n v="5972"/>
    <s v="phone"/>
    <n v="48578.01"/>
    <n v="53"/>
    <x v="3"/>
    <d v="2024-01-15T00:00:00"/>
    <n v="67375.960000000006"/>
    <s v="online"/>
    <s v="WH-A"/>
    <n v="399"/>
    <d v="2024-03-10T00:00:00"/>
    <n v="8"/>
    <s v="Valid"/>
    <n v="55"/>
    <x v="1"/>
    <s v="Delayed"/>
  </r>
  <r>
    <n v="10962"/>
    <n v="6432"/>
    <s v="phone"/>
    <n v="34519.97"/>
    <n v="13"/>
    <x v="1"/>
    <d v="2024-04-01T00:00:00"/>
    <n v="151264.35"/>
    <s v="Retail"/>
    <s v="WH-A"/>
    <n v="1179"/>
    <d v="2024-02-10T00:00:00"/>
    <n v="8"/>
    <s v="Invalid Date Order"/>
    <s v=""/>
    <x v="2"/>
    <s v=""/>
  </r>
  <r>
    <n v="10963"/>
    <n v="5668"/>
    <s v="Laptop"/>
    <n v="71160.44"/>
    <n v="21"/>
    <x v="3"/>
    <d v="2024-03-10T00:00:00"/>
    <n v="107480.95"/>
    <s v="online"/>
    <s v="WH-B"/>
    <n v="961"/>
    <d v="2024-04-15T00:00:00"/>
    <n v="10"/>
    <s v="Valid"/>
    <n v="36"/>
    <x v="3"/>
    <s v="Delayed"/>
  </r>
  <r>
    <n v="10964"/>
    <n v="5373"/>
    <s v="Laptop"/>
    <n v="31967.22"/>
    <n v="19"/>
    <x v="3"/>
    <d v="2024-02-15T00:00:00"/>
    <n v="23062.28"/>
    <s v="online"/>
    <s v="WH-A"/>
    <n v="50"/>
    <d v="2024-03-10T00:00:00"/>
    <n v="12"/>
    <s v="Valid"/>
    <n v="24"/>
    <x v="0"/>
    <s v="Delayed"/>
  </r>
  <r>
    <n v="10965"/>
    <n v="6032"/>
    <s v="phone"/>
    <n v="51773.42"/>
    <n v="53"/>
    <x v="2"/>
    <d v="2024-02-15T00:00:00"/>
    <n v="101067.66"/>
    <s v="online"/>
    <s v="WH-B"/>
    <n v="633"/>
    <d v="2024-04-15T00:00:00"/>
    <n v="11"/>
    <s v="Valid"/>
    <n v="60"/>
    <x v="0"/>
    <s v="Delayed"/>
  </r>
  <r>
    <n v="10966"/>
    <n v="6146"/>
    <s v="phone"/>
    <n v="78180.36"/>
    <n v="19"/>
    <x v="1"/>
    <d v="2024-02-15T00:00:00"/>
    <n v="22018.5"/>
    <s v="offline"/>
    <s v="WH-B"/>
    <n v="481"/>
    <d v="2024-04-15T00:00:00"/>
    <n v="13"/>
    <s v="Valid"/>
    <n v="60"/>
    <x v="0"/>
    <s v="Delayed"/>
  </r>
  <r>
    <n v="10967"/>
    <n v="6372"/>
    <s v="Laptop"/>
    <n v="26850.61"/>
    <n v="57"/>
    <x v="0"/>
    <d v="2024-03-10T00:00:00"/>
    <n v="76936.36"/>
    <s v="Retail"/>
    <s v="WH-B"/>
    <n v="1379"/>
    <d v="2024-02-10T00:00:00"/>
    <n v="11"/>
    <s v="Invalid Date Order"/>
    <s v=""/>
    <x v="3"/>
    <s v=""/>
  </r>
  <r>
    <n v="10968"/>
    <n v="5676"/>
    <s v="phone"/>
    <n v="53864.3"/>
    <n v="25"/>
    <x v="3"/>
    <d v="2024-04-01T00:00:00"/>
    <n v="135264.69"/>
    <s v="offline"/>
    <s v="WH-C"/>
    <n v="102"/>
    <d v="2024-02-10T00:00:00"/>
    <n v="8"/>
    <s v="Invalid Date Order"/>
    <s v=""/>
    <x v="2"/>
    <s v=""/>
  </r>
  <r>
    <n v="10969"/>
    <n v="5090"/>
    <s v="Laptop"/>
    <n v="23550.54"/>
    <n v="86"/>
    <x v="1"/>
    <d v="2024-04-01T00:00:00"/>
    <n v="48127.88"/>
    <s v="Retail"/>
    <s v="WH-B"/>
    <n v="989"/>
    <d v="2024-02-10T00:00:00"/>
    <n v="10"/>
    <s v="Invalid Date Order"/>
    <s v=""/>
    <x v="2"/>
    <s v=""/>
  </r>
  <r>
    <n v="10970"/>
    <n v="6672"/>
    <s v="phone"/>
    <n v="45581.35"/>
    <n v="31"/>
    <x v="3"/>
    <d v="2024-01-15T00:00:00"/>
    <n v="131812.26"/>
    <s v="offline"/>
    <s v="WH-A"/>
    <n v="569"/>
    <d v="2024-03-10T00:00:00"/>
    <n v="8"/>
    <s v="Valid"/>
    <n v="55"/>
    <x v="1"/>
    <s v="Delayed"/>
  </r>
  <r>
    <n v="10971"/>
    <n v="5698"/>
    <s v="phone"/>
    <n v="89876.61"/>
    <n v="81"/>
    <x v="3"/>
    <d v="2024-03-10T00:00:00"/>
    <n v="141164.92000000001"/>
    <s v="online"/>
    <s v="WH-C"/>
    <n v="1403"/>
    <d v="2024-04-15T00:00:00"/>
    <n v="4"/>
    <s v="Valid"/>
    <n v="36"/>
    <x v="3"/>
    <s v="Delayed"/>
  </r>
  <r>
    <n v="10972"/>
    <n v="6340"/>
    <s v="Laptop"/>
    <n v="77900.75"/>
    <n v="55"/>
    <x v="3"/>
    <d v="2024-04-01T00:00:00"/>
    <n v="33127.050000000003"/>
    <s v="online"/>
    <s v="WH-A"/>
    <n v="1398"/>
    <d v="2024-03-10T00:00:00"/>
    <n v="8"/>
    <s v="Invalid Date Order"/>
    <s v=""/>
    <x v="2"/>
    <s v=""/>
  </r>
  <r>
    <n v="10973"/>
    <n v="6202"/>
    <s v="phone"/>
    <n v="29189.47"/>
    <n v="23"/>
    <x v="3"/>
    <d v="2024-03-10T00:00:00"/>
    <n v="36511.15"/>
    <s v="online"/>
    <s v="WH-C"/>
    <n v="1187"/>
    <d v="2024-03-10T00:00:00"/>
    <n v="9"/>
    <s v="Valid"/>
    <n v="0"/>
    <x v="3"/>
    <s v="On Time"/>
  </r>
  <r>
    <n v="10974"/>
    <n v="5540"/>
    <s v="phone"/>
    <n v="52258.6"/>
    <n v="32"/>
    <x v="2"/>
    <d v="2024-01-15T00:00:00"/>
    <n v="91209.36"/>
    <s v="offline"/>
    <s v="WH-C"/>
    <n v="196"/>
    <d v="2024-02-10T00:00:00"/>
    <n v="7"/>
    <s v="Valid"/>
    <n v="26"/>
    <x v="1"/>
    <s v="Delayed"/>
  </r>
  <r>
    <n v="10975"/>
    <n v="5732"/>
    <s v="phone"/>
    <n v="66859.22"/>
    <n v="62"/>
    <x v="1"/>
    <d v="2024-01-15T00:00:00"/>
    <n v="39752.79"/>
    <s v="online"/>
    <s v="WH-C"/>
    <n v="1239"/>
    <d v="2024-04-15T00:00:00"/>
    <n v="14"/>
    <s v="Valid"/>
    <n v="91"/>
    <x v="1"/>
    <s v="Delayed"/>
  </r>
  <r>
    <n v="10976"/>
    <n v="5869"/>
    <s v="phone"/>
    <n v="54694.31"/>
    <n v="74"/>
    <x v="1"/>
    <d v="2024-01-15T00:00:00"/>
    <n v="14734.68"/>
    <s v="online"/>
    <s v="WH-C"/>
    <n v="1452"/>
    <d v="2024-04-15T00:00:00"/>
    <n v="12"/>
    <s v="Valid"/>
    <n v="91"/>
    <x v="1"/>
    <s v="Delayed"/>
  </r>
  <r>
    <n v="10977"/>
    <n v="5041"/>
    <s v="phone"/>
    <n v="19449.13"/>
    <n v="10"/>
    <x v="1"/>
    <d v="2024-02-15T00:00:00"/>
    <n v="78026"/>
    <s v="Retail"/>
    <s v="WH-A"/>
    <n v="1212"/>
    <d v="2024-02-10T00:00:00"/>
    <n v="2"/>
    <s v="Invalid Date Order"/>
    <s v=""/>
    <x v="0"/>
    <s v=""/>
  </r>
  <r>
    <n v="10978"/>
    <n v="5740"/>
    <s v="phone"/>
    <n v="44685.13"/>
    <n v="72"/>
    <x v="3"/>
    <d v="2024-03-10T00:00:00"/>
    <n v="95784.72"/>
    <s v="offline"/>
    <s v="WH-B"/>
    <n v="678"/>
    <d v="2024-04-15T00:00:00"/>
    <n v="9"/>
    <s v="Valid"/>
    <n v="36"/>
    <x v="3"/>
    <s v="Delayed"/>
  </r>
  <r>
    <n v="10979"/>
    <n v="6728"/>
    <s v="phone"/>
    <n v="38175.42"/>
    <n v="54"/>
    <x v="2"/>
    <d v="2024-01-15T00:00:00"/>
    <n v="141010.91"/>
    <s v="online"/>
    <s v="WH-A"/>
    <n v="348"/>
    <d v="2024-02-10T00:00:00"/>
    <n v="11"/>
    <s v="Valid"/>
    <n v="26"/>
    <x v="1"/>
    <s v="Delayed"/>
  </r>
  <r>
    <n v="10980"/>
    <n v="6947"/>
    <s v="Laptop"/>
    <n v="79715.73"/>
    <n v="52"/>
    <x v="3"/>
    <d v="2024-03-10T00:00:00"/>
    <n v="84273.93"/>
    <s v="online"/>
    <s v="WH-B"/>
    <n v="1349"/>
    <d v="2024-03-10T00:00:00"/>
    <n v="8"/>
    <s v="Valid"/>
    <n v="0"/>
    <x v="3"/>
    <s v="On Time"/>
  </r>
  <r>
    <n v="10981"/>
    <n v="5502"/>
    <s v="phone"/>
    <n v="64416.98"/>
    <n v="20"/>
    <x v="3"/>
    <d v="2024-02-15T00:00:00"/>
    <n v="168469.02"/>
    <s v="offline"/>
    <s v="WH-A"/>
    <n v="838"/>
    <d v="2024-03-10T00:00:00"/>
    <n v="13"/>
    <s v="Valid"/>
    <n v="24"/>
    <x v="0"/>
    <s v="Delayed"/>
  </r>
  <r>
    <n v="10982"/>
    <n v="5959"/>
    <s v="phone"/>
    <n v="88546.03"/>
    <n v="32"/>
    <x v="1"/>
    <d v="2024-02-15T00:00:00"/>
    <n v="142805.54999999999"/>
    <s v="offline"/>
    <s v="WH-C"/>
    <n v="899"/>
    <d v="2024-02-10T00:00:00"/>
    <n v="5"/>
    <s v="Invalid Date Order"/>
    <s v=""/>
    <x v="0"/>
    <s v=""/>
  </r>
  <r>
    <n v="10983"/>
    <n v="6169"/>
    <s v="phone"/>
    <n v="35657.99"/>
    <n v="14"/>
    <x v="3"/>
    <d v="2024-01-15T00:00:00"/>
    <n v="128457.28"/>
    <s v="Retail"/>
    <s v="WH-C"/>
    <n v="227"/>
    <d v="2024-03-10T00:00:00"/>
    <n v="12"/>
    <s v="Valid"/>
    <n v="55"/>
    <x v="1"/>
    <s v="Delayed"/>
  </r>
  <r>
    <n v="10984"/>
    <n v="6225"/>
    <s v="phone"/>
    <n v="66370.28"/>
    <n v="50"/>
    <x v="0"/>
    <d v="2024-01-15T00:00:00"/>
    <n v="90995.44"/>
    <s v="Retail"/>
    <s v="WH-B"/>
    <n v="891"/>
    <d v="2024-03-10T00:00:00"/>
    <n v="3"/>
    <s v="Valid"/>
    <n v="55"/>
    <x v="1"/>
    <s v="Delayed"/>
  </r>
  <r>
    <n v="10985"/>
    <n v="5929"/>
    <s v="phone"/>
    <n v="45727.01"/>
    <n v="28"/>
    <x v="3"/>
    <d v="2024-04-01T00:00:00"/>
    <n v="122896.15"/>
    <s v="online"/>
    <s v="WH-B"/>
    <n v="1427"/>
    <d v="2024-02-10T00:00:00"/>
    <n v="7"/>
    <s v="Invalid Date Order"/>
    <s v=""/>
    <x v="2"/>
    <s v=""/>
  </r>
  <r>
    <n v="10986"/>
    <n v="6748"/>
    <s v="phone"/>
    <n v="88547.42"/>
    <n v="53"/>
    <x v="0"/>
    <d v="2024-03-10T00:00:00"/>
    <n v="123569.63"/>
    <s v="online"/>
    <s v="WH-A"/>
    <n v="1227"/>
    <d v="2024-03-10T00:00:00"/>
    <n v="14"/>
    <s v="Valid"/>
    <n v="0"/>
    <x v="3"/>
    <s v="On Time"/>
  </r>
  <r>
    <n v="10987"/>
    <n v="5461"/>
    <s v="Laptop"/>
    <n v="20336.57"/>
    <n v="24"/>
    <x v="3"/>
    <d v="2024-01-15T00:00:00"/>
    <n v="132032.65"/>
    <s v="offline"/>
    <s v="WH-B"/>
    <n v="1274"/>
    <d v="2024-04-15T00:00:00"/>
    <n v="14"/>
    <s v="Valid"/>
    <n v="91"/>
    <x v="1"/>
    <s v="Delayed"/>
  </r>
  <r>
    <n v="10988"/>
    <n v="5732"/>
    <s v="phone"/>
    <n v="78633.56"/>
    <n v="79"/>
    <x v="2"/>
    <d v="2024-04-01T00:00:00"/>
    <n v="105536.71"/>
    <s v="online"/>
    <s v="WH-A"/>
    <n v="927"/>
    <d v="2024-03-10T00:00:00"/>
    <n v="2"/>
    <s v="Invalid Date Order"/>
    <s v=""/>
    <x v="2"/>
    <s v=""/>
  </r>
  <r>
    <n v="10989"/>
    <n v="5752"/>
    <s v="phone"/>
    <n v="93953.56"/>
    <n v="22"/>
    <x v="2"/>
    <d v="2024-03-10T00:00:00"/>
    <n v="15805.3"/>
    <s v="online"/>
    <s v="WH-B"/>
    <n v="1188"/>
    <d v="2024-02-10T00:00:00"/>
    <n v="13"/>
    <s v="Invalid Date Order"/>
    <s v=""/>
    <x v="3"/>
    <s v=""/>
  </r>
  <r>
    <n v="10990"/>
    <n v="5925"/>
    <s v="Laptop"/>
    <n v="82001.42"/>
    <n v="30"/>
    <x v="1"/>
    <d v="2024-01-15T00:00:00"/>
    <n v="101331.12"/>
    <s v="offline"/>
    <s v="WH-B"/>
    <n v="808"/>
    <d v="2024-04-15T00:00:00"/>
    <n v="3"/>
    <s v="Valid"/>
    <n v="91"/>
    <x v="1"/>
    <s v="Delayed"/>
  </r>
  <r>
    <n v="10991"/>
    <n v="5909"/>
    <s v="phone"/>
    <n v="43539.37"/>
    <n v="63"/>
    <x v="3"/>
    <d v="2024-04-01T00:00:00"/>
    <n v="78168.5"/>
    <s v="online"/>
    <s v="WH-B"/>
    <n v="1141"/>
    <d v="2024-04-15T00:00:00"/>
    <n v="12"/>
    <s v="Valid"/>
    <n v="14"/>
    <x v="2"/>
    <s v="Delayed"/>
  </r>
  <r>
    <n v="10992"/>
    <n v="6582"/>
    <s v="phone"/>
    <n v="34111.33"/>
    <n v="4"/>
    <x v="0"/>
    <d v="2024-04-01T00:00:00"/>
    <n v="118063.84"/>
    <s v="online"/>
    <s v="WH-C"/>
    <n v="494"/>
    <d v="2024-03-10T00:00:00"/>
    <n v="9"/>
    <s v="Invalid Date Order"/>
    <s v=""/>
    <x v="2"/>
    <s v=""/>
  </r>
  <r>
    <n v="10993"/>
    <n v="6571"/>
    <s v="phone"/>
    <n v="67005.56"/>
    <n v="77"/>
    <x v="0"/>
    <d v="2024-03-10T00:00:00"/>
    <n v="140229.57"/>
    <s v="online"/>
    <s v="WH-C"/>
    <n v="1399"/>
    <d v="2024-04-15T00:00:00"/>
    <n v="4"/>
    <s v="Valid"/>
    <n v="36"/>
    <x v="3"/>
    <s v="Delayed"/>
  </r>
  <r>
    <n v="10994"/>
    <n v="6277"/>
    <s v="phone"/>
    <n v="71401.850000000006"/>
    <n v="59"/>
    <x v="3"/>
    <d v="2024-04-01T00:00:00"/>
    <n v="78832.56"/>
    <s v="Retail"/>
    <s v="WH-A"/>
    <n v="757"/>
    <d v="2024-02-10T00:00:00"/>
    <n v="4"/>
    <s v="Invalid Date Order"/>
    <s v=""/>
    <x v="2"/>
    <s v=""/>
  </r>
  <r>
    <n v="10995"/>
    <n v="5390"/>
    <s v="phone"/>
    <n v="53982.91"/>
    <n v="87"/>
    <x v="0"/>
    <d v="2024-03-10T00:00:00"/>
    <n v="26171.57"/>
    <s v="offline"/>
    <s v="WH-B"/>
    <n v="651"/>
    <d v="2024-04-15T00:00:00"/>
    <n v="3"/>
    <s v="Valid"/>
    <n v="36"/>
    <x v="3"/>
    <s v="Delayed"/>
  </r>
  <r>
    <n v="10996"/>
    <n v="6618"/>
    <s v="phone"/>
    <n v="85316.1"/>
    <n v="8"/>
    <x v="2"/>
    <d v="2024-03-10T00:00:00"/>
    <n v="138893.15"/>
    <s v="online"/>
    <s v="WH-A"/>
    <n v="1432"/>
    <d v="2024-03-10T00:00:00"/>
    <n v="5"/>
    <s v="Valid"/>
    <n v="0"/>
    <x v="3"/>
    <s v="On Time"/>
  </r>
  <r>
    <n v="10997"/>
    <n v="5883"/>
    <s v="Laptop"/>
    <n v="75333.100000000006"/>
    <n v="82"/>
    <x v="0"/>
    <d v="2024-03-10T00:00:00"/>
    <n v="120587"/>
    <s v="Retail"/>
    <s v="WH-B"/>
    <n v="194"/>
    <d v="2024-03-10T00:00:00"/>
    <n v="3"/>
    <s v="Valid"/>
    <n v="0"/>
    <x v="3"/>
    <s v="On Time"/>
  </r>
  <r>
    <n v="10998"/>
    <n v="5256"/>
    <s v="phone"/>
    <n v="75133.36"/>
    <n v="12"/>
    <x v="1"/>
    <d v="2024-02-15T00:00:00"/>
    <n v="41413.58"/>
    <s v="Retail"/>
    <s v="WH-C"/>
    <n v="324"/>
    <d v="2024-04-15T00:00:00"/>
    <n v="9"/>
    <s v="Valid"/>
    <n v="60"/>
    <x v="0"/>
    <s v="Delayed"/>
  </r>
  <r>
    <n v="10999"/>
    <n v="5709"/>
    <s v="phone"/>
    <n v="98104.49"/>
    <n v="31"/>
    <x v="2"/>
    <d v="2024-04-01T00:00:00"/>
    <n v="105679.55"/>
    <s v="Retail"/>
    <s v="WH-C"/>
    <n v="558"/>
    <d v="2024-02-10T00:00:00"/>
    <n v="3"/>
    <s v="Invalid Date Order"/>
    <s v=""/>
    <x v="2"/>
    <s v=""/>
  </r>
  <r>
    <n v="11000"/>
    <n v="6839"/>
    <s v="Laptop"/>
    <n v="80441.990000000005"/>
    <n v="78"/>
    <x v="2"/>
    <d v="2024-03-10T00:00:00"/>
    <n v="158745.09"/>
    <s v="online"/>
    <s v="WH-B"/>
    <n v="1252"/>
    <d v="2024-02-10T00:00:00"/>
    <n v="2"/>
    <s v="Invalid Date Order"/>
    <s v=""/>
    <x v="3"/>
    <s v=""/>
  </r>
  <r>
    <n v="11001"/>
    <n v="6945"/>
    <s v="Laptop"/>
    <n v="91179.94"/>
    <n v="34"/>
    <x v="2"/>
    <d v="2024-01-15T00:00:00"/>
    <n v="116422.8"/>
    <s v="online"/>
    <s v="WH-B"/>
    <n v="802"/>
    <d v="2024-03-10T00:00:00"/>
    <n v="12"/>
    <s v="Valid"/>
    <n v="55"/>
    <x v="1"/>
    <s v="Delayed"/>
  </r>
  <r>
    <n v="11002"/>
    <n v="5450"/>
    <s v="phone"/>
    <n v="44621.05"/>
    <n v="82"/>
    <x v="3"/>
    <d v="2024-02-15T00:00:00"/>
    <n v="176172.08"/>
    <s v="Retail"/>
    <s v="WH-C"/>
    <n v="526"/>
    <d v="2024-03-10T00:00:00"/>
    <n v="5"/>
    <s v="Valid"/>
    <n v="24"/>
    <x v="0"/>
    <s v="Delayed"/>
  </r>
  <r>
    <n v="11003"/>
    <n v="5010"/>
    <s v="phone"/>
    <n v="62666.49"/>
    <n v="98"/>
    <x v="3"/>
    <d v="2024-02-15T00:00:00"/>
    <n v="32489.87"/>
    <s v="online"/>
    <s v="WH-C"/>
    <n v="1487"/>
    <d v="2024-02-10T00:00:00"/>
    <n v="6"/>
    <s v="Invalid Date Order"/>
    <s v=""/>
    <x v="0"/>
    <s v=""/>
  </r>
  <r>
    <n v="11004"/>
    <n v="5824"/>
    <s v="phone"/>
    <n v="70244.94"/>
    <n v="75"/>
    <x v="2"/>
    <d v="2024-04-01T00:00:00"/>
    <n v="149602.93"/>
    <s v="online"/>
    <s v="WH-A"/>
    <n v="1226"/>
    <d v="2024-04-15T00:00:00"/>
    <n v="1"/>
    <s v="Valid"/>
    <n v="14"/>
    <x v="2"/>
    <s v="Delayed"/>
  </r>
  <r>
    <n v="11005"/>
    <n v="5798"/>
    <s v="phone"/>
    <n v="51489.26"/>
    <n v="76"/>
    <x v="3"/>
    <d v="2024-03-10T00:00:00"/>
    <n v="79841.86"/>
    <s v="online"/>
    <s v="WH-C"/>
    <n v="1177"/>
    <d v="2024-04-15T00:00:00"/>
    <n v="14"/>
    <s v="Valid"/>
    <n v="36"/>
    <x v="3"/>
    <s v="Delayed"/>
  </r>
  <r>
    <n v="11006"/>
    <n v="6266"/>
    <s v="phone"/>
    <n v="43719.4"/>
    <n v="49"/>
    <x v="0"/>
    <d v="2024-04-01T00:00:00"/>
    <n v="25348.22"/>
    <s v="online"/>
    <s v="WH-B"/>
    <n v="1148"/>
    <d v="2024-04-15T00:00:00"/>
    <n v="12"/>
    <s v="Valid"/>
    <n v="14"/>
    <x v="2"/>
    <s v="Delayed"/>
  </r>
  <r>
    <n v="11007"/>
    <n v="6275"/>
    <s v="phone"/>
    <n v="48229.52"/>
    <n v="79"/>
    <x v="3"/>
    <d v="2024-02-15T00:00:00"/>
    <n v="15399.39"/>
    <s v="online"/>
    <s v="WH-A"/>
    <n v="1201"/>
    <d v="2024-04-15T00:00:00"/>
    <n v="11"/>
    <s v="Valid"/>
    <n v="60"/>
    <x v="0"/>
    <s v="Delayed"/>
  </r>
  <r>
    <n v="11008"/>
    <n v="5877"/>
    <s v="phone"/>
    <n v="77992.34"/>
    <n v="57"/>
    <x v="3"/>
    <d v="2024-03-10T00:00:00"/>
    <n v="87473.32"/>
    <s v="Retail"/>
    <s v="WH-B"/>
    <n v="715"/>
    <d v="2024-02-10T00:00:00"/>
    <n v="6"/>
    <s v="Invalid Date Order"/>
    <s v=""/>
    <x v="3"/>
    <s v=""/>
  </r>
  <r>
    <n v="11009"/>
    <n v="6029"/>
    <s v="Laptop"/>
    <n v="94503.24"/>
    <n v="95"/>
    <x v="2"/>
    <d v="2024-01-15T00:00:00"/>
    <n v="100625.89"/>
    <s v="online"/>
    <s v="WH-A"/>
    <n v="617"/>
    <d v="2024-03-10T00:00:00"/>
    <n v="10"/>
    <s v="Valid"/>
    <n v="55"/>
    <x v="1"/>
    <s v="Delayed"/>
  </r>
  <r>
    <n v="11010"/>
    <n v="6143"/>
    <s v="phone"/>
    <n v="88799.38"/>
    <n v="93"/>
    <x v="1"/>
    <d v="2024-03-10T00:00:00"/>
    <n v="116097.43"/>
    <s v="online"/>
    <s v="WH-B"/>
    <n v="1418"/>
    <d v="2024-03-10T00:00:00"/>
    <n v="3"/>
    <s v="Valid"/>
    <n v="0"/>
    <x v="3"/>
    <s v="On Time"/>
  </r>
  <r>
    <n v="11011"/>
    <n v="6016"/>
    <s v="phone"/>
    <n v="31130.38"/>
    <n v="26"/>
    <x v="1"/>
    <d v="2024-02-15T00:00:00"/>
    <n v="74012.179999999993"/>
    <s v="online"/>
    <s v="WH-C"/>
    <n v="580"/>
    <d v="2024-04-15T00:00:00"/>
    <n v="4"/>
    <s v="Valid"/>
    <n v="60"/>
    <x v="0"/>
    <s v="Delayed"/>
  </r>
  <r>
    <n v="11012"/>
    <n v="6825"/>
    <s v="phone"/>
    <n v="29358.17"/>
    <n v="18"/>
    <x v="1"/>
    <d v="2024-01-15T00:00:00"/>
    <n v="74474.41"/>
    <s v="offline"/>
    <s v="WH-B"/>
    <n v="208"/>
    <d v="2024-02-10T00:00:00"/>
    <n v="6"/>
    <s v="Valid"/>
    <n v="26"/>
    <x v="1"/>
    <s v="Delayed"/>
  </r>
  <r>
    <n v="11013"/>
    <n v="5374"/>
    <s v="phone"/>
    <n v="70622.7"/>
    <n v="96"/>
    <x v="0"/>
    <d v="2024-03-10T00:00:00"/>
    <n v="23703.759999999998"/>
    <s v="Retail"/>
    <s v="WH-A"/>
    <n v="1499"/>
    <d v="2024-02-10T00:00:00"/>
    <n v="8"/>
    <s v="Invalid Date Order"/>
    <s v=""/>
    <x v="3"/>
    <s v=""/>
  </r>
  <r>
    <n v="11014"/>
    <n v="6089"/>
    <s v="Laptop"/>
    <n v="55332.3"/>
    <n v="86"/>
    <x v="3"/>
    <d v="2024-01-15T00:00:00"/>
    <n v="17459.41"/>
    <s v="offline"/>
    <s v="WH-B"/>
    <n v="730"/>
    <d v="2024-04-15T00:00:00"/>
    <n v="9"/>
    <s v="Valid"/>
    <n v="91"/>
    <x v="1"/>
    <s v="Delayed"/>
  </r>
  <r>
    <n v="11015"/>
    <n v="5146"/>
    <s v="phone"/>
    <n v="22775.95"/>
    <n v="38"/>
    <x v="1"/>
    <d v="2024-01-15T00:00:00"/>
    <n v="51222.78"/>
    <s v="online"/>
    <s v="WH-A"/>
    <n v="72"/>
    <d v="2024-04-15T00:00:00"/>
    <n v="6"/>
    <s v="Valid"/>
    <n v="91"/>
    <x v="1"/>
    <s v="Delayed"/>
  </r>
  <r>
    <n v="11016"/>
    <n v="5224"/>
    <s v="phone"/>
    <n v="68747.89"/>
    <n v="81"/>
    <x v="2"/>
    <d v="2024-02-15T00:00:00"/>
    <n v="146589.17000000001"/>
    <s v="offline"/>
    <s v="WH-B"/>
    <n v="1120"/>
    <d v="2024-04-15T00:00:00"/>
    <n v="7"/>
    <s v="Valid"/>
    <n v="60"/>
    <x v="0"/>
    <s v="Delayed"/>
  </r>
  <r>
    <n v="11017"/>
    <n v="6263"/>
    <s v="phone"/>
    <n v="89199.94"/>
    <n v="87"/>
    <x v="1"/>
    <d v="2024-01-15T00:00:00"/>
    <n v="21335.58"/>
    <s v="offline"/>
    <s v="WH-C"/>
    <n v="574"/>
    <d v="2024-03-10T00:00:00"/>
    <n v="14"/>
    <s v="Valid"/>
    <n v="55"/>
    <x v="1"/>
    <s v="Delayed"/>
  </r>
  <r>
    <n v="11018"/>
    <n v="5177"/>
    <s v="phone"/>
    <n v="88382.17"/>
    <n v="88"/>
    <x v="1"/>
    <d v="2024-04-01T00:00:00"/>
    <n v="137889.57999999999"/>
    <s v="offline"/>
    <s v="WH-C"/>
    <n v="778"/>
    <d v="2024-04-15T00:00:00"/>
    <n v="5"/>
    <s v="Valid"/>
    <n v="14"/>
    <x v="2"/>
    <s v="Delayed"/>
  </r>
  <r>
    <n v="11019"/>
    <n v="6803"/>
    <s v="phone"/>
    <n v="75732.289999999994"/>
    <n v="50"/>
    <x v="3"/>
    <d v="2024-02-15T00:00:00"/>
    <n v="44096.43"/>
    <s v="Retail"/>
    <s v="WH-B"/>
    <n v="193"/>
    <d v="2024-03-10T00:00:00"/>
    <n v="14"/>
    <s v="Valid"/>
    <n v="24"/>
    <x v="0"/>
    <s v="Delayed"/>
  </r>
  <r>
    <n v="11020"/>
    <n v="5853"/>
    <s v="phone"/>
    <n v="19452.64"/>
    <n v="8"/>
    <x v="3"/>
    <d v="2024-04-01T00:00:00"/>
    <n v="63209.49"/>
    <s v="online"/>
    <s v="WH-B"/>
    <n v="717"/>
    <d v="2024-02-10T00:00:00"/>
    <n v="12"/>
    <s v="Invalid Date Order"/>
    <s v=""/>
    <x v="2"/>
    <s v=""/>
  </r>
  <r>
    <n v="11021"/>
    <n v="6306"/>
    <s v="phone"/>
    <n v="11555.78"/>
    <n v="41"/>
    <x v="3"/>
    <d v="2024-01-15T00:00:00"/>
    <n v="52673.03"/>
    <s v="offline"/>
    <s v="WH-B"/>
    <n v="1492"/>
    <d v="2024-02-10T00:00:00"/>
    <n v="9"/>
    <s v="Valid"/>
    <n v="26"/>
    <x v="1"/>
    <s v="Delayed"/>
  </r>
  <r>
    <n v="11022"/>
    <n v="5063"/>
    <s v="phone"/>
    <n v="9277.74"/>
    <n v="6"/>
    <x v="0"/>
    <d v="2024-04-01T00:00:00"/>
    <n v="121344.48"/>
    <s v="Retail"/>
    <s v="WH-A"/>
    <n v="730"/>
    <d v="2024-03-10T00:00:00"/>
    <n v="4"/>
    <s v="Invalid Date Order"/>
    <s v=""/>
    <x v="2"/>
    <s v=""/>
  </r>
  <r>
    <n v="11023"/>
    <n v="6241"/>
    <s v="phone"/>
    <n v="60554.44"/>
    <n v="69"/>
    <x v="0"/>
    <d v="2024-03-10T00:00:00"/>
    <n v="60470.75"/>
    <s v="online"/>
    <s v="WH-B"/>
    <n v="1022"/>
    <d v="2024-03-10T00:00:00"/>
    <n v="10"/>
    <s v="Valid"/>
    <n v="0"/>
    <x v="3"/>
    <s v="On Time"/>
  </r>
  <r>
    <n v="11024"/>
    <n v="6878"/>
    <s v="phone"/>
    <n v="76880.100000000006"/>
    <n v="44"/>
    <x v="1"/>
    <d v="2024-01-15T00:00:00"/>
    <n v="132190.91"/>
    <s v="online"/>
    <s v="WH-B"/>
    <n v="848"/>
    <d v="2024-03-10T00:00:00"/>
    <n v="11"/>
    <s v="Valid"/>
    <n v="55"/>
    <x v="1"/>
    <s v="Delayed"/>
  </r>
  <r>
    <n v="11025"/>
    <n v="5827"/>
    <s v="phone"/>
    <n v="28247.54"/>
    <n v="64"/>
    <x v="3"/>
    <d v="2024-03-10T00:00:00"/>
    <n v="128783.64"/>
    <s v="offline"/>
    <s v="WH-A"/>
    <n v="134"/>
    <d v="2024-03-10T00:00:00"/>
    <n v="6"/>
    <s v="Valid"/>
    <n v="0"/>
    <x v="3"/>
    <s v="On Time"/>
  </r>
  <r>
    <n v="11026"/>
    <n v="5795"/>
    <s v="phone"/>
    <n v="44905.93"/>
    <n v="29"/>
    <x v="1"/>
    <d v="2024-04-01T00:00:00"/>
    <n v="115372.21"/>
    <s v="online"/>
    <s v="WH-C"/>
    <n v="465"/>
    <d v="2024-04-15T00:00:00"/>
    <n v="5"/>
    <s v="Valid"/>
    <n v="14"/>
    <x v="2"/>
    <s v="Delayed"/>
  </r>
  <r>
    <n v="11027"/>
    <n v="5689"/>
    <s v="phone"/>
    <n v="98019.63"/>
    <n v="28"/>
    <x v="2"/>
    <d v="2024-03-10T00:00:00"/>
    <n v="21028.65"/>
    <s v="offline"/>
    <s v="WH-B"/>
    <n v="743"/>
    <d v="2024-02-10T00:00:00"/>
    <n v="1"/>
    <s v="Invalid Date Order"/>
    <s v=""/>
    <x v="3"/>
    <s v=""/>
  </r>
  <r>
    <n v="11028"/>
    <n v="6485"/>
    <s v="Laptop"/>
    <n v="22515.96"/>
    <n v="11"/>
    <x v="2"/>
    <d v="2024-01-15T00:00:00"/>
    <n v="148284.76"/>
    <s v="online"/>
    <s v="WH-B"/>
    <n v="531"/>
    <d v="2024-04-15T00:00:00"/>
    <n v="5"/>
    <s v="Valid"/>
    <n v="91"/>
    <x v="1"/>
    <s v="Delayed"/>
  </r>
  <r>
    <n v="11029"/>
    <n v="6953"/>
    <s v="phone"/>
    <n v="77444.56"/>
    <n v="65"/>
    <x v="3"/>
    <d v="2024-03-10T00:00:00"/>
    <n v="21256.9"/>
    <s v="online"/>
    <s v="WH-C"/>
    <n v="505"/>
    <d v="2024-03-10T00:00:00"/>
    <n v="13"/>
    <s v="Valid"/>
    <n v="0"/>
    <x v="3"/>
    <s v="On Time"/>
  </r>
  <r>
    <n v="11030"/>
    <n v="6634"/>
    <s v="phone"/>
    <n v="23097.06"/>
    <n v="19"/>
    <x v="3"/>
    <d v="2024-04-01T00:00:00"/>
    <n v="44604.65"/>
    <s v="Retail"/>
    <s v="WH-C"/>
    <n v="876"/>
    <d v="2024-04-15T00:00:00"/>
    <n v="5"/>
    <s v="Valid"/>
    <n v="14"/>
    <x v="2"/>
    <s v="Delayed"/>
  </r>
  <r>
    <n v="11031"/>
    <n v="5105"/>
    <s v="phone"/>
    <n v="49408.99"/>
    <n v="9"/>
    <x v="2"/>
    <d v="2024-04-01T00:00:00"/>
    <n v="147469.5"/>
    <s v="online"/>
    <s v="WH-A"/>
    <n v="346"/>
    <d v="2024-04-15T00:00:00"/>
    <n v="14"/>
    <s v="Valid"/>
    <n v="14"/>
    <x v="2"/>
    <s v="Delayed"/>
  </r>
  <r>
    <n v="11032"/>
    <n v="6123"/>
    <s v="phone"/>
    <n v="25916.54"/>
    <n v="27"/>
    <x v="3"/>
    <d v="2024-04-01T00:00:00"/>
    <n v="36361.550000000003"/>
    <s v="Retail"/>
    <s v="WH-B"/>
    <n v="1185"/>
    <d v="2024-02-10T00:00:00"/>
    <n v="9"/>
    <s v="Invalid Date Order"/>
    <s v=""/>
    <x v="2"/>
    <s v=""/>
  </r>
  <r>
    <n v="11033"/>
    <n v="5511"/>
    <s v="phone"/>
    <n v="59720.49"/>
    <n v="34"/>
    <x v="0"/>
    <d v="2024-01-15T00:00:00"/>
    <n v="56067.19"/>
    <s v="online"/>
    <s v="WH-B"/>
    <n v="1303"/>
    <d v="2024-04-15T00:00:00"/>
    <n v="1"/>
    <s v="Valid"/>
    <n v="91"/>
    <x v="1"/>
    <s v="Delayed"/>
  </r>
  <r>
    <n v="11034"/>
    <n v="5385"/>
    <s v="Laptop"/>
    <n v="16517.919999999998"/>
    <n v="44"/>
    <x v="0"/>
    <d v="2024-04-01T00:00:00"/>
    <n v="124275.36"/>
    <s v="Retail"/>
    <s v="WH-A"/>
    <n v="1169"/>
    <d v="2024-02-10T00:00:00"/>
    <n v="5"/>
    <s v="Invalid Date Order"/>
    <s v=""/>
    <x v="2"/>
    <s v=""/>
  </r>
  <r>
    <n v="11035"/>
    <n v="5405"/>
    <s v="phone"/>
    <n v="90563.29"/>
    <n v="68"/>
    <x v="3"/>
    <d v="2024-01-15T00:00:00"/>
    <n v="60599.18"/>
    <s v="online"/>
    <s v="WH-C"/>
    <n v="999"/>
    <d v="2024-03-10T00:00:00"/>
    <n v="7"/>
    <s v="Valid"/>
    <n v="55"/>
    <x v="1"/>
    <s v="Delayed"/>
  </r>
  <r>
    <n v="11036"/>
    <n v="5823"/>
    <s v="Laptop"/>
    <n v="24840.25"/>
    <n v="82"/>
    <x v="2"/>
    <d v="2024-03-10T00:00:00"/>
    <n v="96742.09"/>
    <s v="online"/>
    <s v="WH-A"/>
    <n v="729"/>
    <d v="2024-04-15T00:00:00"/>
    <n v="11"/>
    <s v="Valid"/>
    <n v="36"/>
    <x v="3"/>
    <s v="Delayed"/>
  </r>
  <r>
    <n v="11037"/>
    <n v="5518"/>
    <s v="phone"/>
    <n v="82301.919999999998"/>
    <n v="15"/>
    <x v="1"/>
    <d v="2024-04-01T00:00:00"/>
    <n v="74404"/>
    <s v="online"/>
    <s v="WH-C"/>
    <n v="427"/>
    <d v="2024-03-10T00:00:00"/>
    <n v="6"/>
    <s v="Invalid Date Order"/>
    <s v=""/>
    <x v="2"/>
    <s v=""/>
  </r>
  <r>
    <n v="11038"/>
    <n v="5476"/>
    <s v="phone"/>
    <n v="89953.76"/>
    <n v="51"/>
    <x v="3"/>
    <d v="2024-03-10T00:00:00"/>
    <n v="135533.60999999999"/>
    <s v="online"/>
    <s v="WH-A"/>
    <n v="1229"/>
    <d v="2024-02-10T00:00:00"/>
    <n v="6"/>
    <s v="Invalid Date Order"/>
    <s v=""/>
    <x v="3"/>
    <s v=""/>
  </r>
  <r>
    <n v="11039"/>
    <n v="5709"/>
    <s v="phone"/>
    <n v="53567.33"/>
    <n v="13"/>
    <x v="3"/>
    <d v="2024-02-15T00:00:00"/>
    <n v="93013.78"/>
    <s v="online"/>
    <s v="WH-C"/>
    <n v="470"/>
    <d v="2024-03-10T00:00:00"/>
    <n v="12"/>
    <s v="Valid"/>
    <n v="24"/>
    <x v="0"/>
    <s v="Delayed"/>
  </r>
  <r>
    <n v="11040"/>
    <n v="6887"/>
    <s v="phone"/>
    <n v="13744.71"/>
    <n v="83"/>
    <x v="1"/>
    <d v="2024-03-10T00:00:00"/>
    <n v="133059.76"/>
    <s v="offline"/>
    <s v="WH-A"/>
    <n v="154"/>
    <d v="2024-03-10T00:00:00"/>
    <n v="7"/>
    <s v="Valid"/>
    <n v="0"/>
    <x v="3"/>
    <s v="On Time"/>
  </r>
  <r>
    <n v="11041"/>
    <n v="6669"/>
    <s v="phone"/>
    <n v="16153.37"/>
    <n v="49"/>
    <x v="3"/>
    <d v="2024-02-15T00:00:00"/>
    <n v="32132.18"/>
    <s v="online"/>
    <s v="WH-C"/>
    <n v="379"/>
    <d v="2024-02-10T00:00:00"/>
    <n v="6"/>
    <s v="Invalid Date Order"/>
    <s v=""/>
    <x v="0"/>
    <s v=""/>
  </r>
  <r>
    <n v="11042"/>
    <n v="6894"/>
    <s v="Laptop"/>
    <n v="34398.839999999997"/>
    <n v="70"/>
    <x v="1"/>
    <d v="2024-03-10T00:00:00"/>
    <n v="124642.9"/>
    <s v="Retail"/>
    <s v="WH-C"/>
    <n v="488"/>
    <d v="2024-03-10T00:00:00"/>
    <n v="5"/>
    <s v="Valid"/>
    <n v="0"/>
    <x v="3"/>
    <s v="On Time"/>
  </r>
  <r>
    <n v="11043"/>
    <n v="5771"/>
    <s v="Laptop"/>
    <n v="46861.29"/>
    <n v="56"/>
    <x v="2"/>
    <d v="2024-01-15T00:00:00"/>
    <n v="55824.39"/>
    <s v="Retail"/>
    <s v="WH-C"/>
    <n v="1205"/>
    <d v="2024-03-10T00:00:00"/>
    <n v="10"/>
    <s v="Valid"/>
    <n v="55"/>
    <x v="1"/>
    <s v="Delayed"/>
  </r>
  <r>
    <n v="11044"/>
    <n v="6461"/>
    <s v="phone"/>
    <n v="49719.11"/>
    <n v="76"/>
    <x v="0"/>
    <d v="2024-03-10T00:00:00"/>
    <n v="130726.97"/>
    <s v="Retail"/>
    <s v="WH-C"/>
    <n v="431"/>
    <d v="2024-03-10T00:00:00"/>
    <n v="5"/>
    <s v="Valid"/>
    <n v="0"/>
    <x v="3"/>
    <s v="On Time"/>
  </r>
  <r>
    <n v="11045"/>
    <n v="6047"/>
    <s v="phone"/>
    <n v="97985.89"/>
    <n v="51"/>
    <x v="2"/>
    <d v="2024-01-15T00:00:00"/>
    <n v="87097.919999999998"/>
    <s v="online"/>
    <s v="WH-C"/>
    <n v="187"/>
    <d v="2024-04-15T00:00:00"/>
    <n v="9"/>
    <s v="Valid"/>
    <n v="91"/>
    <x v="1"/>
    <s v="Delayed"/>
  </r>
  <r>
    <n v="11046"/>
    <n v="5997"/>
    <s v="phone"/>
    <n v="41833.85"/>
    <n v="37"/>
    <x v="0"/>
    <d v="2024-01-15T00:00:00"/>
    <n v="120174.79"/>
    <s v="offline"/>
    <s v="WH-B"/>
    <n v="992"/>
    <d v="2024-03-10T00:00:00"/>
    <n v="14"/>
    <s v="Valid"/>
    <n v="55"/>
    <x v="1"/>
    <s v="Delayed"/>
  </r>
  <r>
    <n v="11047"/>
    <n v="6589"/>
    <s v="phone"/>
    <n v="46707.95"/>
    <n v="17"/>
    <x v="1"/>
    <d v="2024-04-01T00:00:00"/>
    <n v="26730.94"/>
    <s v="online"/>
    <s v="WH-C"/>
    <n v="892"/>
    <d v="2024-02-10T00:00:00"/>
    <n v="8"/>
    <s v="Invalid Date Order"/>
    <s v=""/>
    <x v="2"/>
    <s v=""/>
  </r>
  <r>
    <n v="11048"/>
    <n v="5677"/>
    <s v="Laptop"/>
    <n v="51778.93"/>
    <n v="58"/>
    <x v="0"/>
    <d v="2024-01-15T00:00:00"/>
    <n v="13398.24"/>
    <s v="offline"/>
    <s v="WH-B"/>
    <n v="319"/>
    <d v="2024-04-15T00:00:00"/>
    <n v="14"/>
    <s v="Valid"/>
    <n v="91"/>
    <x v="1"/>
    <s v="Delayed"/>
  </r>
  <r>
    <n v="11049"/>
    <n v="5714"/>
    <s v="phone"/>
    <n v="53603.21"/>
    <n v="87"/>
    <x v="2"/>
    <d v="2024-02-15T00:00:00"/>
    <n v="69000.63"/>
    <s v="offline"/>
    <s v="WH-C"/>
    <n v="445"/>
    <d v="2024-04-15T00:00:00"/>
    <n v="12"/>
    <s v="Valid"/>
    <n v="60"/>
    <x v="0"/>
    <s v="Delayed"/>
  </r>
  <r>
    <n v="11050"/>
    <n v="6482"/>
    <s v="phone"/>
    <n v="59779.18"/>
    <n v="90"/>
    <x v="0"/>
    <d v="2024-04-01T00:00:00"/>
    <n v="151814.32999999999"/>
    <s v="Retail"/>
    <s v="WH-B"/>
    <n v="962"/>
    <d v="2024-02-10T00:00:00"/>
    <n v="10"/>
    <s v="Invalid Date Order"/>
    <s v=""/>
    <x v="2"/>
    <s v=""/>
  </r>
  <r>
    <n v="11051"/>
    <n v="5083"/>
    <s v="phone"/>
    <n v="51809.23"/>
    <n v="29"/>
    <x v="1"/>
    <d v="2024-04-01T00:00:00"/>
    <n v="139477.22"/>
    <s v="Retail"/>
    <s v="WH-B"/>
    <n v="513"/>
    <d v="2024-03-10T00:00:00"/>
    <n v="14"/>
    <s v="Invalid Date Order"/>
    <s v=""/>
    <x v="2"/>
    <s v=""/>
  </r>
  <r>
    <n v="11052"/>
    <n v="6169"/>
    <s v="Laptop"/>
    <n v="87322.22"/>
    <n v="33"/>
    <x v="0"/>
    <d v="2024-03-10T00:00:00"/>
    <n v="87700.84"/>
    <s v="Retail"/>
    <s v="WH-A"/>
    <n v="499"/>
    <d v="2024-04-15T00:00:00"/>
    <n v="4"/>
    <s v="Valid"/>
    <n v="36"/>
    <x v="3"/>
    <s v="Delayed"/>
  </r>
  <r>
    <n v="11053"/>
    <n v="6109"/>
    <s v="phone"/>
    <n v="43628.3"/>
    <n v="60"/>
    <x v="3"/>
    <d v="2024-01-15T00:00:00"/>
    <n v="85860.07"/>
    <s v="online"/>
    <s v="WH-C"/>
    <n v="1404"/>
    <d v="2024-04-15T00:00:00"/>
    <n v="4"/>
    <s v="Valid"/>
    <n v="91"/>
    <x v="1"/>
    <s v="Delayed"/>
  </r>
  <r>
    <n v="11054"/>
    <n v="6102"/>
    <s v="phone"/>
    <n v="87871.02"/>
    <n v="91"/>
    <x v="2"/>
    <d v="2024-01-15T00:00:00"/>
    <n v="134017.74"/>
    <s v="offline"/>
    <s v="WH-A"/>
    <n v="1326"/>
    <d v="2024-04-15T00:00:00"/>
    <n v="10"/>
    <s v="Valid"/>
    <n v="91"/>
    <x v="1"/>
    <s v="Delayed"/>
  </r>
  <r>
    <n v="11055"/>
    <n v="5457"/>
    <s v="phone"/>
    <n v="20485.240000000002"/>
    <n v="89"/>
    <x v="3"/>
    <d v="2024-02-15T00:00:00"/>
    <n v="163858.82999999999"/>
    <s v="offline"/>
    <s v="WH-A"/>
    <n v="1358"/>
    <d v="2024-03-10T00:00:00"/>
    <n v="5"/>
    <s v="Valid"/>
    <n v="24"/>
    <x v="0"/>
    <s v="Delayed"/>
  </r>
  <r>
    <n v="11056"/>
    <n v="6902"/>
    <s v="phone"/>
    <n v="79059.47"/>
    <n v="55"/>
    <x v="1"/>
    <d v="2024-03-10T00:00:00"/>
    <n v="140411.76"/>
    <s v="online"/>
    <s v="WH-C"/>
    <n v="1347"/>
    <d v="2024-04-15T00:00:00"/>
    <n v="13"/>
    <s v="Valid"/>
    <n v="36"/>
    <x v="3"/>
    <s v="Delayed"/>
  </r>
  <r>
    <n v="11057"/>
    <n v="5001"/>
    <s v="phone"/>
    <n v="99463.76"/>
    <n v="10"/>
    <x v="0"/>
    <d v="2024-03-10T00:00:00"/>
    <n v="50648.34"/>
    <s v="online"/>
    <s v="WH-A"/>
    <n v="69"/>
    <d v="2024-02-10T00:00:00"/>
    <n v="13"/>
    <s v="Invalid Date Order"/>
    <s v=""/>
    <x v="3"/>
    <s v=""/>
  </r>
  <r>
    <n v="11058"/>
    <n v="5051"/>
    <s v="phone"/>
    <n v="82010.34"/>
    <n v="47"/>
    <x v="3"/>
    <d v="2024-04-01T00:00:00"/>
    <n v="22597.05"/>
    <s v="online"/>
    <s v="WH-C"/>
    <n v="288"/>
    <d v="2024-03-10T00:00:00"/>
    <n v="3"/>
    <s v="Invalid Date Order"/>
    <s v=""/>
    <x v="2"/>
    <s v=""/>
  </r>
  <r>
    <n v="11059"/>
    <n v="5685"/>
    <s v="phone"/>
    <n v="21261.4"/>
    <n v="23"/>
    <x v="3"/>
    <d v="2024-04-01T00:00:00"/>
    <n v="64252.480000000003"/>
    <s v="offline"/>
    <s v="WH-A"/>
    <n v="1343"/>
    <d v="2024-02-10T00:00:00"/>
    <n v="8"/>
    <s v="Invalid Date Order"/>
    <s v=""/>
    <x v="2"/>
    <s v=""/>
  </r>
  <r>
    <n v="11060"/>
    <n v="5717"/>
    <s v="phone"/>
    <n v="69903.259999999995"/>
    <n v="85"/>
    <x v="0"/>
    <d v="2024-04-01T00:00:00"/>
    <n v="141908.76"/>
    <s v="offline"/>
    <s v="WH-C"/>
    <n v="467"/>
    <d v="2024-02-10T00:00:00"/>
    <n v="7"/>
    <s v="Invalid Date Order"/>
    <s v=""/>
    <x v="2"/>
    <s v=""/>
  </r>
  <r>
    <n v="11061"/>
    <n v="6796"/>
    <s v="Laptop"/>
    <n v="24708.48"/>
    <n v="21"/>
    <x v="0"/>
    <d v="2024-02-15T00:00:00"/>
    <n v="36958.959999999999"/>
    <s v="Retail"/>
    <s v="WH-C"/>
    <n v="1383"/>
    <d v="2024-04-15T00:00:00"/>
    <n v="5"/>
    <s v="Valid"/>
    <n v="60"/>
    <x v="0"/>
    <s v="Delayed"/>
  </r>
  <r>
    <n v="11062"/>
    <n v="6470"/>
    <s v="phone"/>
    <n v="76118.070000000007"/>
    <n v="13"/>
    <x v="2"/>
    <d v="2024-02-15T00:00:00"/>
    <n v="16504.79"/>
    <s v="Retail"/>
    <s v="WH-C"/>
    <n v="1104"/>
    <d v="2024-04-15T00:00:00"/>
    <n v="10"/>
    <s v="Valid"/>
    <n v="60"/>
    <x v="0"/>
    <s v="Delayed"/>
  </r>
  <r>
    <n v="11063"/>
    <n v="5449"/>
    <s v="Laptop"/>
    <n v="34524.620000000003"/>
    <n v="33"/>
    <x v="3"/>
    <d v="2024-04-01T00:00:00"/>
    <n v="77608.78"/>
    <s v="offline"/>
    <s v="WH-B"/>
    <n v="1177"/>
    <d v="2024-04-15T00:00:00"/>
    <n v="3"/>
    <s v="Valid"/>
    <n v="14"/>
    <x v="2"/>
    <s v="Delayed"/>
  </r>
  <r>
    <n v="11064"/>
    <n v="5881"/>
    <s v="phone"/>
    <n v="14532.88"/>
    <n v="24"/>
    <x v="3"/>
    <d v="2024-03-10T00:00:00"/>
    <n v="124231.09"/>
    <s v="Retail"/>
    <s v="WH-A"/>
    <n v="235"/>
    <d v="2024-02-10T00:00:00"/>
    <n v="5"/>
    <s v="Invalid Date Order"/>
    <s v=""/>
    <x v="3"/>
    <s v=""/>
  </r>
  <r>
    <n v="11065"/>
    <n v="5488"/>
    <s v="phone"/>
    <n v="41314.480000000003"/>
    <n v="11"/>
    <x v="1"/>
    <d v="2024-02-15T00:00:00"/>
    <n v="114690.3"/>
    <s v="online"/>
    <s v="WH-B"/>
    <n v="1201"/>
    <d v="2024-03-10T00:00:00"/>
    <n v="3"/>
    <s v="Valid"/>
    <n v="24"/>
    <x v="0"/>
    <s v="Delayed"/>
  </r>
  <r>
    <n v="11066"/>
    <n v="6824"/>
    <s v="phone"/>
    <n v="22671.71"/>
    <n v="17"/>
    <x v="2"/>
    <d v="2024-03-10T00:00:00"/>
    <n v="102810.93"/>
    <s v="online"/>
    <s v="WH-A"/>
    <n v="1283"/>
    <d v="2024-04-15T00:00:00"/>
    <n v="10"/>
    <s v="Valid"/>
    <n v="36"/>
    <x v="3"/>
    <s v="Delayed"/>
  </r>
  <r>
    <n v="11067"/>
    <n v="5034"/>
    <s v="phone"/>
    <n v="52984.160000000003"/>
    <n v="68"/>
    <x v="1"/>
    <d v="2024-03-10T00:00:00"/>
    <n v="32414.51"/>
    <s v="Retail"/>
    <s v="WH-A"/>
    <n v="1487"/>
    <d v="2024-04-15T00:00:00"/>
    <n v="5"/>
    <s v="Valid"/>
    <n v="36"/>
    <x v="3"/>
    <s v="Delayed"/>
  </r>
  <r>
    <n v="11068"/>
    <n v="6372"/>
    <s v="phone"/>
    <n v="56911.13"/>
    <n v="47"/>
    <x v="3"/>
    <d v="2024-01-15T00:00:00"/>
    <n v="176266.61"/>
    <s v="offline"/>
    <s v="WH-A"/>
    <n v="1354"/>
    <d v="2024-02-10T00:00:00"/>
    <n v="1"/>
    <s v="Valid"/>
    <n v="26"/>
    <x v="1"/>
    <s v="Delayed"/>
  </r>
  <r>
    <n v="11069"/>
    <n v="5095"/>
    <s v="phone"/>
    <n v="56427.75"/>
    <n v="25"/>
    <x v="1"/>
    <d v="2024-04-01T00:00:00"/>
    <n v="120049.75"/>
    <s v="Retail"/>
    <s v="WH-B"/>
    <n v="302"/>
    <d v="2024-03-10T00:00:00"/>
    <n v="6"/>
    <s v="Invalid Date Order"/>
    <s v=""/>
    <x v="2"/>
    <s v=""/>
  </r>
  <r>
    <n v="11070"/>
    <n v="6096"/>
    <s v="phone"/>
    <n v="21050.959999999999"/>
    <n v="94"/>
    <x v="3"/>
    <d v="2024-01-15T00:00:00"/>
    <n v="19711.21"/>
    <s v="Retail"/>
    <s v="WH-A"/>
    <n v="68"/>
    <d v="2024-02-10T00:00:00"/>
    <n v="10"/>
    <s v="Valid"/>
    <n v="26"/>
    <x v="1"/>
    <s v="Delayed"/>
  </r>
  <r>
    <n v="11071"/>
    <n v="6575"/>
    <s v="phone"/>
    <n v="12160.34"/>
    <n v="73"/>
    <x v="3"/>
    <d v="2024-04-01T00:00:00"/>
    <n v="101033.72"/>
    <s v="Retail"/>
    <s v="WH-B"/>
    <n v="761"/>
    <d v="2024-04-15T00:00:00"/>
    <n v="4"/>
    <s v="Valid"/>
    <n v="14"/>
    <x v="2"/>
    <s v="Delayed"/>
  </r>
  <r>
    <n v="11072"/>
    <n v="5154"/>
    <s v="Laptop"/>
    <n v="74121.13"/>
    <n v="21"/>
    <x v="1"/>
    <d v="2024-04-01T00:00:00"/>
    <n v="145697.5"/>
    <s v="online"/>
    <s v="WH-C"/>
    <n v="1209"/>
    <d v="2024-02-10T00:00:00"/>
    <n v="4"/>
    <s v="Invalid Date Order"/>
    <s v=""/>
    <x v="2"/>
    <s v=""/>
  </r>
  <r>
    <n v="11073"/>
    <n v="5250"/>
    <s v="phone"/>
    <n v="72309"/>
    <n v="84"/>
    <x v="1"/>
    <d v="2024-03-10T00:00:00"/>
    <n v="33410.18"/>
    <s v="online"/>
    <s v="WH-A"/>
    <n v="272"/>
    <d v="2024-04-15T00:00:00"/>
    <n v="8"/>
    <s v="Valid"/>
    <n v="36"/>
    <x v="3"/>
    <s v="Delayed"/>
  </r>
  <r>
    <n v="11074"/>
    <n v="5674"/>
    <s v="phone"/>
    <n v="72376.009999999995"/>
    <n v="83"/>
    <x v="0"/>
    <d v="2024-04-01T00:00:00"/>
    <n v="100779.33"/>
    <s v="offline"/>
    <s v="WH-A"/>
    <n v="52"/>
    <d v="2024-03-10T00:00:00"/>
    <n v="2"/>
    <s v="Invalid Date Order"/>
    <s v=""/>
    <x v="2"/>
    <s v=""/>
  </r>
  <r>
    <n v="11075"/>
    <n v="5438"/>
    <s v="phone"/>
    <n v="38911.160000000003"/>
    <n v="83"/>
    <x v="0"/>
    <d v="2024-03-10T00:00:00"/>
    <n v="25042.31"/>
    <s v="online"/>
    <s v="WH-C"/>
    <n v="1309"/>
    <d v="2024-02-10T00:00:00"/>
    <n v="4"/>
    <s v="Invalid Date Order"/>
    <s v=""/>
    <x v="3"/>
    <s v=""/>
  </r>
  <r>
    <n v="11076"/>
    <n v="5118"/>
    <s v="phone"/>
    <n v="97667.44"/>
    <n v="12"/>
    <x v="0"/>
    <d v="2024-03-10T00:00:00"/>
    <n v="164400.51"/>
    <s v="offline"/>
    <s v="WH-C"/>
    <n v="903"/>
    <d v="2024-04-15T00:00:00"/>
    <n v="2"/>
    <s v="Valid"/>
    <n v="36"/>
    <x v="3"/>
    <s v="Delayed"/>
  </r>
  <r>
    <n v="11077"/>
    <n v="5771"/>
    <s v="Laptop"/>
    <n v="23859.57"/>
    <n v="37"/>
    <x v="3"/>
    <d v="2024-04-01T00:00:00"/>
    <n v="41947.47"/>
    <s v="offline"/>
    <s v="WH-A"/>
    <n v="277"/>
    <d v="2024-04-15T00:00:00"/>
    <n v="1"/>
    <s v="Valid"/>
    <n v="14"/>
    <x v="2"/>
    <s v="Delayed"/>
  </r>
  <r>
    <n v="11078"/>
    <n v="6915"/>
    <s v="phone"/>
    <n v="54552.89"/>
    <n v="42"/>
    <x v="1"/>
    <d v="2024-03-10T00:00:00"/>
    <n v="145105.4"/>
    <s v="offline"/>
    <s v="WH-C"/>
    <n v="962"/>
    <d v="2024-04-15T00:00:00"/>
    <n v="10"/>
    <s v="Valid"/>
    <n v="36"/>
    <x v="3"/>
    <s v="Delayed"/>
  </r>
  <r>
    <n v="11079"/>
    <n v="6330"/>
    <s v="phone"/>
    <n v="56380.44"/>
    <n v="17"/>
    <x v="2"/>
    <d v="2024-03-10T00:00:00"/>
    <n v="74937.279999999999"/>
    <s v="online"/>
    <s v="WH-B"/>
    <n v="548"/>
    <d v="2024-04-15T00:00:00"/>
    <n v="13"/>
    <s v="Valid"/>
    <n v="36"/>
    <x v="3"/>
    <s v="Delayed"/>
  </r>
  <r>
    <n v="11080"/>
    <n v="5268"/>
    <s v="Laptop"/>
    <n v="24985.439999999999"/>
    <n v="48"/>
    <x v="3"/>
    <d v="2024-03-10T00:00:00"/>
    <n v="97323.76"/>
    <s v="online"/>
    <s v="WH-B"/>
    <n v="570"/>
    <d v="2024-02-10T00:00:00"/>
    <n v="13"/>
    <s v="Invalid Date Order"/>
    <s v=""/>
    <x v="3"/>
    <s v=""/>
  </r>
  <r>
    <n v="11081"/>
    <n v="6985"/>
    <s v="phone"/>
    <n v="40793.85"/>
    <n v="28"/>
    <x v="2"/>
    <d v="2024-02-15T00:00:00"/>
    <n v="50823.040000000001"/>
    <s v="offline"/>
    <s v="WH-A"/>
    <n v="751"/>
    <d v="2024-04-15T00:00:00"/>
    <n v="3"/>
    <s v="Valid"/>
    <n v="60"/>
    <x v="0"/>
    <s v="Delayed"/>
  </r>
  <r>
    <n v="11082"/>
    <n v="6078"/>
    <s v="phone"/>
    <n v="49791.45"/>
    <n v="41"/>
    <x v="1"/>
    <d v="2024-03-10T00:00:00"/>
    <n v="40108.81"/>
    <s v="online"/>
    <s v="WH-B"/>
    <n v="966"/>
    <d v="2024-02-10T00:00:00"/>
    <n v="12"/>
    <s v="Invalid Date Order"/>
    <s v=""/>
    <x v="3"/>
    <s v=""/>
  </r>
  <r>
    <n v="11083"/>
    <n v="5236"/>
    <s v="phone"/>
    <n v="18280.72"/>
    <n v="99"/>
    <x v="3"/>
    <d v="2024-02-15T00:00:00"/>
    <n v="147852.93"/>
    <s v="online"/>
    <s v="WH-B"/>
    <n v="1212"/>
    <d v="2024-04-15T00:00:00"/>
    <n v="8"/>
    <s v="Valid"/>
    <n v="60"/>
    <x v="0"/>
    <s v="Delayed"/>
  </r>
  <r>
    <n v="11084"/>
    <n v="5389"/>
    <s v="Laptop"/>
    <n v="16018.43"/>
    <n v="47"/>
    <x v="2"/>
    <d v="2024-02-15T00:00:00"/>
    <n v="41928.71"/>
    <s v="Retail"/>
    <s v="WH-A"/>
    <n v="1349"/>
    <d v="2024-02-10T00:00:00"/>
    <n v="6"/>
    <s v="Invalid Date Order"/>
    <s v=""/>
    <x v="0"/>
    <s v=""/>
  </r>
  <r>
    <n v="11085"/>
    <n v="5990"/>
    <s v="phone"/>
    <n v="65786.66"/>
    <n v="18"/>
    <x v="2"/>
    <d v="2024-03-10T00:00:00"/>
    <n v="131165.10999999999"/>
    <s v="online"/>
    <s v="WH-C"/>
    <n v="340"/>
    <d v="2024-02-10T00:00:00"/>
    <n v="12"/>
    <s v="Invalid Date Order"/>
    <s v=""/>
    <x v="3"/>
    <s v=""/>
  </r>
  <r>
    <n v="11086"/>
    <n v="6758"/>
    <s v="phone"/>
    <n v="43309.1"/>
    <n v="78"/>
    <x v="0"/>
    <d v="2024-03-10T00:00:00"/>
    <n v="93530.83"/>
    <s v="online"/>
    <s v="WH-A"/>
    <n v="1126"/>
    <d v="2024-04-15T00:00:00"/>
    <n v="7"/>
    <s v="Valid"/>
    <n v="36"/>
    <x v="3"/>
    <s v="Delayed"/>
  </r>
  <r>
    <n v="11087"/>
    <n v="5763"/>
    <s v="phone"/>
    <n v="24384.29"/>
    <n v="99"/>
    <x v="0"/>
    <d v="2024-02-15T00:00:00"/>
    <n v="57108.74"/>
    <s v="Retail"/>
    <s v="WH-B"/>
    <n v="1183"/>
    <d v="2024-04-15T00:00:00"/>
    <n v="2"/>
    <s v="Valid"/>
    <n v="60"/>
    <x v="0"/>
    <s v="Delayed"/>
  </r>
  <r>
    <n v="11088"/>
    <n v="6849"/>
    <s v="phone"/>
    <n v="40084.449999999997"/>
    <n v="71"/>
    <x v="0"/>
    <d v="2024-02-15T00:00:00"/>
    <n v="11253.84"/>
    <s v="Retail"/>
    <s v="WH-A"/>
    <n v="764"/>
    <d v="2024-04-15T00:00:00"/>
    <n v="6"/>
    <s v="Valid"/>
    <n v="60"/>
    <x v="0"/>
    <s v="Delayed"/>
  </r>
  <r>
    <n v="11089"/>
    <n v="5401"/>
    <s v="phone"/>
    <n v="49059.93"/>
    <n v="13"/>
    <x v="3"/>
    <d v="2024-03-10T00:00:00"/>
    <n v="26320.35"/>
    <s v="online"/>
    <s v="WH-A"/>
    <n v="997"/>
    <d v="2024-04-15T00:00:00"/>
    <n v="14"/>
    <s v="Valid"/>
    <n v="36"/>
    <x v="3"/>
    <s v="Delayed"/>
  </r>
  <r>
    <n v="11090"/>
    <n v="5624"/>
    <s v="phone"/>
    <n v="45090.89"/>
    <n v="82"/>
    <x v="1"/>
    <d v="2024-03-10T00:00:00"/>
    <n v="112843.14"/>
    <s v="offline"/>
    <s v="WH-B"/>
    <n v="697"/>
    <d v="2024-03-10T00:00:00"/>
    <n v="8"/>
    <s v="Valid"/>
    <n v="0"/>
    <x v="3"/>
    <s v="On Time"/>
  </r>
  <r>
    <n v="11091"/>
    <n v="5767"/>
    <s v="phone"/>
    <n v="19584"/>
    <n v="13"/>
    <x v="1"/>
    <d v="2024-04-01T00:00:00"/>
    <n v="102841.22"/>
    <s v="online"/>
    <s v="WH-B"/>
    <n v="1077"/>
    <d v="2024-04-15T00:00:00"/>
    <n v="8"/>
    <s v="Valid"/>
    <n v="14"/>
    <x v="2"/>
    <s v="Delayed"/>
  </r>
  <r>
    <n v="11092"/>
    <n v="6327"/>
    <s v="phone"/>
    <n v="9261.7800000000007"/>
    <n v="31"/>
    <x v="0"/>
    <d v="2024-02-15T00:00:00"/>
    <n v="44334.96"/>
    <s v="offline"/>
    <s v="WH-A"/>
    <n v="733"/>
    <d v="2024-04-15T00:00:00"/>
    <n v="4"/>
    <s v="Valid"/>
    <n v="60"/>
    <x v="0"/>
    <s v="Delayed"/>
  </r>
  <r>
    <n v="11093"/>
    <n v="5919"/>
    <s v="phone"/>
    <n v="12008.27"/>
    <n v="2"/>
    <x v="0"/>
    <d v="2024-02-15T00:00:00"/>
    <n v="32232.45"/>
    <s v="offline"/>
    <s v="WH-B"/>
    <n v="919"/>
    <d v="2024-04-15T00:00:00"/>
    <n v="6"/>
    <s v="Valid"/>
    <n v="60"/>
    <x v="0"/>
    <s v="Delayed"/>
  </r>
  <r>
    <n v="11094"/>
    <n v="6231"/>
    <s v="phone"/>
    <n v="15561.24"/>
    <n v="16"/>
    <x v="0"/>
    <d v="2024-04-01T00:00:00"/>
    <n v="62657.64"/>
    <s v="Retail"/>
    <s v="WH-B"/>
    <n v="1120"/>
    <d v="2024-02-10T00:00:00"/>
    <n v="14"/>
    <s v="Invalid Date Order"/>
    <s v=""/>
    <x v="2"/>
    <s v=""/>
  </r>
  <r>
    <n v="11095"/>
    <n v="6253"/>
    <s v="phone"/>
    <n v="28701.31"/>
    <n v="9"/>
    <x v="2"/>
    <d v="2024-02-15T00:00:00"/>
    <n v="118436.3"/>
    <s v="offline"/>
    <s v="WH-B"/>
    <n v="143"/>
    <d v="2024-04-15T00:00:00"/>
    <n v="5"/>
    <s v="Valid"/>
    <n v="60"/>
    <x v="0"/>
    <s v="Delayed"/>
  </r>
  <r>
    <n v="11096"/>
    <n v="5853"/>
    <s v="phone"/>
    <n v="19246.23"/>
    <n v="73"/>
    <x v="0"/>
    <d v="2024-01-15T00:00:00"/>
    <n v="32216.65"/>
    <s v="online"/>
    <s v="WH-B"/>
    <n v="989"/>
    <d v="2024-02-10T00:00:00"/>
    <n v="9"/>
    <s v="Valid"/>
    <n v="26"/>
    <x v="1"/>
    <s v="Delayed"/>
  </r>
  <r>
    <n v="11097"/>
    <n v="6934"/>
    <s v="Laptop"/>
    <n v="10277.15"/>
    <n v="38"/>
    <x v="2"/>
    <d v="2024-02-15T00:00:00"/>
    <n v="103918.77"/>
    <s v="Retail"/>
    <s v="WH-B"/>
    <n v="609"/>
    <d v="2024-02-10T00:00:00"/>
    <n v="8"/>
    <s v="Invalid Date Order"/>
    <s v=""/>
    <x v="0"/>
    <s v=""/>
  </r>
  <r>
    <n v="11098"/>
    <n v="5578"/>
    <s v="Laptop"/>
    <n v="46060.51"/>
    <n v="75"/>
    <x v="1"/>
    <d v="2024-04-01T00:00:00"/>
    <n v="14024.89"/>
    <s v="offline"/>
    <s v="WH-B"/>
    <n v="262"/>
    <d v="2024-02-10T00:00:00"/>
    <n v="2"/>
    <s v="Invalid Date Order"/>
    <s v=""/>
    <x v="2"/>
    <s v=""/>
  </r>
  <r>
    <n v="11099"/>
    <n v="5075"/>
    <s v="Laptop"/>
    <n v="84195.78"/>
    <n v="54"/>
    <x v="3"/>
    <d v="2024-01-15T00:00:00"/>
    <n v="149305.81"/>
    <s v="Retail"/>
    <s v="WH-C"/>
    <n v="485"/>
    <d v="2024-02-10T00:00:00"/>
    <n v="12"/>
    <s v="Valid"/>
    <n v="26"/>
    <x v="1"/>
    <s v="Delayed"/>
  </r>
  <r>
    <n v="11100"/>
    <n v="5435"/>
    <s v="phone"/>
    <n v="20171.7"/>
    <n v="56"/>
    <x v="3"/>
    <d v="2024-03-10T00:00:00"/>
    <n v="159376.25"/>
    <s v="online"/>
    <s v="WH-A"/>
    <n v="901"/>
    <d v="2024-03-10T00:00:00"/>
    <n v="13"/>
    <s v="Valid"/>
    <n v="0"/>
    <x v="3"/>
    <s v="On Time"/>
  </r>
  <r>
    <n v="11101"/>
    <n v="5103"/>
    <s v="phone"/>
    <n v="70622.399999999994"/>
    <n v="86"/>
    <x v="3"/>
    <d v="2024-04-01T00:00:00"/>
    <n v="146605.35"/>
    <s v="online"/>
    <s v="WH-B"/>
    <n v="557"/>
    <d v="2024-04-15T00:00:00"/>
    <n v="7"/>
    <s v="Valid"/>
    <n v="14"/>
    <x v="2"/>
    <s v="Delayed"/>
  </r>
  <r>
    <n v="11102"/>
    <n v="6446"/>
    <s v="phone"/>
    <n v="41676.18"/>
    <n v="97"/>
    <x v="3"/>
    <d v="2024-04-01T00:00:00"/>
    <n v="37616.43"/>
    <s v="offline"/>
    <s v="WH-A"/>
    <n v="885"/>
    <d v="2024-02-10T00:00:00"/>
    <n v="7"/>
    <s v="Invalid Date Order"/>
    <s v=""/>
    <x v="2"/>
    <s v=""/>
  </r>
  <r>
    <n v="11103"/>
    <n v="6728"/>
    <s v="phone"/>
    <n v="19394.39"/>
    <n v="87"/>
    <x v="2"/>
    <d v="2024-03-10T00:00:00"/>
    <n v="77001.78"/>
    <s v="Retail"/>
    <s v="WH-C"/>
    <n v="700"/>
    <d v="2024-04-15T00:00:00"/>
    <n v="11"/>
    <s v="Valid"/>
    <n v="36"/>
    <x v="3"/>
    <s v="Delayed"/>
  </r>
  <r>
    <n v="11104"/>
    <n v="5764"/>
    <s v="phone"/>
    <n v="57409.120000000003"/>
    <n v="45"/>
    <x v="2"/>
    <d v="2024-04-01T00:00:00"/>
    <n v="81075.009999999995"/>
    <s v="offline"/>
    <s v="WH-B"/>
    <n v="254"/>
    <d v="2024-02-10T00:00:00"/>
    <n v="14"/>
    <s v="Invalid Date Order"/>
    <s v=""/>
    <x v="2"/>
    <s v=""/>
  </r>
  <r>
    <n v="11105"/>
    <n v="5738"/>
    <s v="phone"/>
    <n v="67959.789999999994"/>
    <n v="34"/>
    <x v="0"/>
    <d v="2024-02-15T00:00:00"/>
    <n v="119740.34"/>
    <s v="offline"/>
    <s v="WH-A"/>
    <n v="430"/>
    <d v="2024-03-10T00:00:00"/>
    <n v="14"/>
    <s v="Valid"/>
    <n v="24"/>
    <x v="0"/>
    <s v="Delayed"/>
  </r>
  <r>
    <n v="11106"/>
    <n v="5806"/>
    <s v="phone"/>
    <n v="79411.67"/>
    <n v="9"/>
    <x v="2"/>
    <d v="2024-03-10T00:00:00"/>
    <n v="30145.16"/>
    <s v="Retail"/>
    <s v="WH-B"/>
    <n v="1146"/>
    <d v="2024-02-10T00:00:00"/>
    <n v="12"/>
    <s v="Invalid Date Order"/>
    <s v=""/>
    <x v="3"/>
    <s v=""/>
  </r>
  <r>
    <n v="11107"/>
    <n v="6330"/>
    <s v="phone"/>
    <n v="11423.93"/>
    <n v="88"/>
    <x v="0"/>
    <d v="2024-04-01T00:00:00"/>
    <n v="122046.61"/>
    <s v="offline"/>
    <s v="WH-B"/>
    <n v="1149"/>
    <d v="2024-04-15T00:00:00"/>
    <n v="1"/>
    <s v="Valid"/>
    <n v="14"/>
    <x v="2"/>
    <s v="Delayed"/>
  </r>
  <r>
    <n v="11108"/>
    <n v="5098"/>
    <s v="Laptop"/>
    <n v="70489.67"/>
    <n v="8"/>
    <x v="0"/>
    <d v="2024-03-10T00:00:00"/>
    <n v="59817.05"/>
    <s v="online"/>
    <s v="WH-B"/>
    <n v="126"/>
    <d v="2024-04-15T00:00:00"/>
    <n v="1"/>
    <s v="Valid"/>
    <n v="36"/>
    <x v="3"/>
    <s v="Delayed"/>
  </r>
  <r>
    <n v="11109"/>
    <n v="6874"/>
    <s v="phone"/>
    <n v="72771.520000000004"/>
    <n v="7"/>
    <x v="3"/>
    <d v="2024-03-10T00:00:00"/>
    <n v="42179.1"/>
    <s v="Retail"/>
    <s v="WH-B"/>
    <n v="865"/>
    <d v="2024-03-10T00:00:00"/>
    <n v="12"/>
    <s v="Valid"/>
    <n v="0"/>
    <x v="3"/>
    <s v="On Time"/>
  </r>
  <r>
    <n v="11110"/>
    <n v="5798"/>
    <s v="phone"/>
    <n v="59045.98"/>
    <n v="36"/>
    <x v="2"/>
    <d v="2024-03-10T00:00:00"/>
    <n v="30833.93"/>
    <s v="Retail"/>
    <s v="WH-B"/>
    <n v="817"/>
    <d v="2024-04-15T00:00:00"/>
    <n v="4"/>
    <s v="Valid"/>
    <n v="36"/>
    <x v="3"/>
    <s v="Delayed"/>
  </r>
  <r>
    <n v="11111"/>
    <n v="6359"/>
    <s v="Laptop"/>
    <n v="26543.73"/>
    <n v="18"/>
    <x v="2"/>
    <d v="2024-01-15T00:00:00"/>
    <n v="14516.25"/>
    <s v="Retail"/>
    <s v="WH-B"/>
    <n v="459"/>
    <d v="2024-04-15T00:00:00"/>
    <n v="5"/>
    <s v="Valid"/>
    <n v="91"/>
    <x v="1"/>
    <s v="Delayed"/>
  </r>
  <r>
    <n v="11112"/>
    <n v="5859"/>
    <s v="phone"/>
    <n v="69082.64"/>
    <n v="3"/>
    <x v="0"/>
    <d v="2024-04-01T00:00:00"/>
    <n v="21018.76"/>
    <s v="Retail"/>
    <s v="WH-B"/>
    <n v="155"/>
    <d v="2024-02-10T00:00:00"/>
    <n v="4"/>
    <s v="Invalid Date Order"/>
    <s v=""/>
    <x v="2"/>
    <s v=""/>
  </r>
  <r>
    <n v="11113"/>
    <n v="5435"/>
    <s v="phone"/>
    <n v="68570.289999999994"/>
    <n v="28"/>
    <x v="0"/>
    <d v="2024-01-15T00:00:00"/>
    <n v="62093.85"/>
    <s v="offline"/>
    <s v="WH-C"/>
    <n v="600"/>
    <d v="2024-04-15T00:00:00"/>
    <n v="7"/>
    <s v="Valid"/>
    <n v="91"/>
    <x v="1"/>
    <s v="Delayed"/>
  </r>
  <r>
    <n v="11114"/>
    <n v="5447"/>
    <s v="phone"/>
    <n v="73828.19"/>
    <n v="70"/>
    <x v="1"/>
    <d v="2024-04-01T00:00:00"/>
    <n v="28168.57"/>
    <s v="offline"/>
    <s v="WH-C"/>
    <n v="875"/>
    <d v="2024-02-10T00:00:00"/>
    <n v="3"/>
    <s v="Invalid Date Order"/>
    <s v=""/>
    <x v="2"/>
    <s v=""/>
  </r>
  <r>
    <n v="11115"/>
    <n v="6332"/>
    <s v="phone"/>
    <n v="11994.43"/>
    <n v="44"/>
    <x v="1"/>
    <d v="2024-02-15T00:00:00"/>
    <n v="78519"/>
    <s v="online"/>
    <s v="WH-B"/>
    <n v="1348"/>
    <d v="2024-03-10T00:00:00"/>
    <n v="7"/>
    <s v="Valid"/>
    <n v="24"/>
    <x v="0"/>
    <s v="Delayed"/>
  </r>
  <r>
    <n v="11116"/>
    <n v="5249"/>
    <s v="Laptop"/>
    <n v="56360.66"/>
    <n v="21"/>
    <x v="0"/>
    <d v="2024-02-15T00:00:00"/>
    <n v="30890.97"/>
    <s v="online"/>
    <s v="WH-B"/>
    <n v="137"/>
    <d v="2024-04-15T00:00:00"/>
    <n v="13"/>
    <s v="Valid"/>
    <n v="60"/>
    <x v="0"/>
    <s v="Delayed"/>
  </r>
  <r>
    <n v="11117"/>
    <n v="5166"/>
    <s v="phone"/>
    <n v="17929.54"/>
    <n v="28"/>
    <x v="1"/>
    <d v="2024-02-15T00:00:00"/>
    <n v="29905.84"/>
    <s v="online"/>
    <s v="WH-C"/>
    <n v="930"/>
    <d v="2024-02-10T00:00:00"/>
    <n v="8"/>
    <s v="Invalid Date Order"/>
    <s v=""/>
    <x v="0"/>
    <s v=""/>
  </r>
  <r>
    <n v="11118"/>
    <n v="6505"/>
    <s v="phone"/>
    <n v="16899.990000000002"/>
    <n v="54"/>
    <x v="1"/>
    <d v="2024-04-01T00:00:00"/>
    <n v="100502.74"/>
    <s v="online"/>
    <s v="WH-C"/>
    <n v="1150"/>
    <d v="2024-04-15T00:00:00"/>
    <n v="6"/>
    <s v="Valid"/>
    <n v="14"/>
    <x v="2"/>
    <s v="Delayed"/>
  </r>
  <r>
    <n v="11119"/>
    <n v="5984"/>
    <s v="phone"/>
    <n v="90154.34"/>
    <n v="54"/>
    <x v="0"/>
    <d v="2024-03-10T00:00:00"/>
    <n v="30549.88"/>
    <s v="online"/>
    <s v="WH-C"/>
    <n v="1150"/>
    <d v="2024-02-10T00:00:00"/>
    <n v="6"/>
    <s v="Invalid Date Order"/>
    <s v=""/>
    <x v="3"/>
    <s v=""/>
  </r>
  <r>
    <n v="11120"/>
    <n v="6359"/>
    <s v="Laptop"/>
    <n v="26229.37"/>
    <n v="65"/>
    <x v="0"/>
    <d v="2024-03-10T00:00:00"/>
    <n v="49948.77"/>
    <s v="online"/>
    <s v="WH-B"/>
    <n v="589"/>
    <d v="2024-03-10T00:00:00"/>
    <n v="8"/>
    <s v="Valid"/>
    <n v="0"/>
    <x v="3"/>
    <s v="On Time"/>
  </r>
  <r>
    <n v="11121"/>
    <n v="6020"/>
    <s v="phone"/>
    <n v="12091.63"/>
    <n v="21"/>
    <x v="2"/>
    <d v="2024-01-15T00:00:00"/>
    <n v="38446.74"/>
    <s v="offline"/>
    <s v="WH-A"/>
    <n v="294"/>
    <d v="2024-02-10T00:00:00"/>
    <n v="8"/>
    <s v="Valid"/>
    <n v="26"/>
    <x v="1"/>
    <s v="Delayed"/>
  </r>
  <r>
    <n v="11122"/>
    <n v="5542"/>
    <s v="phone"/>
    <n v="55303.49"/>
    <n v="99"/>
    <x v="0"/>
    <d v="2024-01-15T00:00:00"/>
    <n v="106174.71"/>
    <s v="Retail"/>
    <s v="WH-A"/>
    <n v="627"/>
    <d v="2024-04-15T00:00:00"/>
    <n v="7"/>
    <s v="Valid"/>
    <n v="91"/>
    <x v="1"/>
    <s v="Delayed"/>
  </r>
  <r>
    <n v="11123"/>
    <n v="5759"/>
    <s v="phone"/>
    <n v="69390.38"/>
    <n v="13"/>
    <x v="0"/>
    <d v="2024-02-15T00:00:00"/>
    <n v="75922.05"/>
    <s v="Retail"/>
    <s v="WH-A"/>
    <n v="1455"/>
    <d v="2024-02-10T00:00:00"/>
    <n v="6"/>
    <s v="Invalid Date Order"/>
    <s v=""/>
    <x v="0"/>
    <s v=""/>
  </r>
  <r>
    <n v="11124"/>
    <n v="6130"/>
    <s v="Laptop"/>
    <n v="82533.25"/>
    <n v="57"/>
    <x v="3"/>
    <d v="2024-01-15T00:00:00"/>
    <n v="20244.7"/>
    <s v="offline"/>
    <s v="WH-A"/>
    <n v="1031"/>
    <d v="2024-04-15T00:00:00"/>
    <n v="6"/>
    <s v="Valid"/>
    <n v="91"/>
    <x v="1"/>
    <s v="Delayed"/>
  </r>
  <r>
    <n v="11125"/>
    <n v="6587"/>
    <s v="phone"/>
    <n v="64553.21"/>
    <n v="49"/>
    <x v="2"/>
    <d v="2024-04-01T00:00:00"/>
    <n v="177610.65"/>
    <s v="Retail"/>
    <s v="WH-B"/>
    <n v="766"/>
    <d v="2024-03-10T00:00:00"/>
    <n v="10"/>
    <s v="Invalid Date Order"/>
    <s v=""/>
    <x v="2"/>
    <s v=""/>
  </r>
  <r>
    <n v="11126"/>
    <n v="5081"/>
    <s v="phone"/>
    <n v="57830.3"/>
    <n v="54"/>
    <x v="2"/>
    <d v="2024-04-01T00:00:00"/>
    <n v="161027.63"/>
    <s v="Retail"/>
    <s v="WH-A"/>
    <n v="191"/>
    <d v="2024-02-10T00:00:00"/>
    <n v="11"/>
    <s v="Invalid Date Order"/>
    <s v=""/>
    <x v="2"/>
    <s v=""/>
  </r>
  <r>
    <n v="11127"/>
    <n v="5133"/>
    <s v="phone"/>
    <n v="91604.36"/>
    <n v="10"/>
    <x v="2"/>
    <d v="2024-01-15T00:00:00"/>
    <n v="89737.26"/>
    <s v="online"/>
    <s v="WH-C"/>
    <n v="942"/>
    <d v="2024-04-15T00:00:00"/>
    <n v="13"/>
    <s v="Valid"/>
    <n v="91"/>
    <x v="1"/>
    <s v="Delayed"/>
  </r>
  <r>
    <n v="11128"/>
    <n v="5797"/>
    <s v="Laptop"/>
    <n v="15654.95"/>
    <n v="53"/>
    <x v="3"/>
    <d v="2024-01-15T00:00:00"/>
    <n v="65979.91"/>
    <s v="offline"/>
    <s v="WH-C"/>
    <n v="1441"/>
    <d v="2024-04-15T00:00:00"/>
    <n v="13"/>
    <s v="Valid"/>
    <n v="91"/>
    <x v="1"/>
    <s v="Delayed"/>
  </r>
  <r>
    <n v="11129"/>
    <n v="5900"/>
    <s v="phone"/>
    <n v="68777.210000000006"/>
    <n v="44"/>
    <x v="0"/>
    <d v="2024-01-15T00:00:00"/>
    <n v="161429.74"/>
    <s v="online"/>
    <s v="WH-A"/>
    <n v="1157"/>
    <d v="2024-04-15T00:00:00"/>
    <n v="6"/>
    <s v="Valid"/>
    <n v="91"/>
    <x v="1"/>
    <s v="Delayed"/>
  </r>
  <r>
    <n v="11130"/>
    <n v="5138"/>
    <s v="phone"/>
    <n v="80773.539999999994"/>
    <n v="47"/>
    <x v="2"/>
    <d v="2024-01-15T00:00:00"/>
    <n v="173374.8"/>
    <s v="online"/>
    <s v="WH-C"/>
    <n v="1216"/>
    <d v="2024-02-10T00:00:00"/>
    <n v="8"/>
    <s v="Valid"/>
    <n v="26"/>
    <x v="1"/>
    <s v="Delayed"/>
  </r>
  <r>
    <n v="11131"/>
    <n v="5184"/>
    <s v="Laptop"/>
    <n v="50885.34"/>
    <n v="53"/>
    <x v="2"/>
    <d v="2024-02-15T00:00:00"/>
    <n v="43444.62"/>
    <s v="Retail"/>
    <s v="WH-B"/>
    <n v="401"/>
    <d v="2024-02-10T00:00:00"/>
    <n v="1"/>
    <s v="Invalid Date Order"/>
    <s v=""/>
    <x v="0"/>
    <s v=""/>
  </r>
  <r>
    <n v="11132"/>
    <n v="6425"/>
    <s v="phone"/>
    <n v="66853.73"/>
    <n v="74"/>
    <x v="1"/>
    <d v="2024-02-15T00:00:00"/>
    <n v="43363.59"/>
    <s v="Retail"/>
    <s v="WH-A"/>
    <n v="594"/>
    <d v="2024-02-10T00:00:00"/>
    <n v="5"/>
    <s v="Invalid Date Order"/>
    <s v=""/>
    <x v="0"/>
    <s v=""/>
  </r>
  <r>
    <n v="11133"/>
    <n v="6354"/>
    <s v="phone"/>
    <n v="61855.57"/>
    <n v="46"/>
    <x v="2"/>
    <d v="2024-01-15T00:00:00"/>
    <n v="42541.96"/>
    <s v="offline"/>
    <s v="WH-A"/>
    <n v="962"/>
    <d v="2024-03-10T00:00:00"/>
    <n v="3"/>
    <s v="Valid"/>
    <n v="55"/>
    <x v="1"/>
    <s v="Delayed"/>
  </r>
  <r>
    <n v="11134"/>
    <n v="5785"/>
    <s v="phone"/>
    <n v="32378.58"/>
    <n v="13"/>
    <x v="0"/>
    <d v="2024-04-01T00:00:00"/>
    <n v="148461.04"/>
    <s v="Retail"/>
    <s v="WH-B"/>
    <n v="201"/>
    <d v="2024-04-15T00:00:00"/>
    <n v="12"/>
    <s v="Valid"/>
    <n v="14"/>
    <x v="2"/>
    <s v="Delayed"/>
  </r>
  <r>
    <n v="11135"/>
    <n v="6532"/>
    <s v="phone"/>
    <n v="73511.990000000005"/>
    <n v="37"/>
    <x v="0"/>
    <d v="2024-02-15T00:00:00"/>
    <n v="35360.54"/>
    <s v="Retail"/>
    <s v="WH-C"/>
    <n v="1231"/>
    <d v="2024-04-15T00:00:00"/>
    <n v="8"/>
    <s v="Valid"/>
    <n v="60"/>
    <x v="0"/>
    <s v="Delayed"/>
  </r>
  <r>
    <n v="11136"/>
    <n v="6876"/>
    <s v="phone"/>
    <n v="81204.67"/>
    <n v="24"/>
    <x v="1"/>
    <d v="2024-04-01T00:00:00"/>
    <n v="57327.91"/>
    <s v="offline"/>
    <s v="WH-B"/>
    <n v="702"/>
    <d v="2024-03-10T00:00:00"/>
    <n v="11"/>
    <s v="Invalid Date Order"/>
    <s v=""/>
    <x v="2"/>
    <s v=""/>
  </r>
  <r>
    <n v="11137"/>
    <n v="5984"/>
    <s v="phone"/>
    <n v="29496.41"/>
    <n v="2"/>
    <x v="2"/>
    <d v="2024-03-10T00:00:00"/>
    <n v="15892.6"/>
    <s v="Retail"/>
    <s v="WH-B"/>
    <n v="1007"/>
    <d v="2024-03-10T00:00:00"/>
    <n v="6"/>
    <s v="Valid"/>
    <n v="0"/>
    <x v="3"/>
    <s v="On Time"/>
  </r>
  <r>
    <n v="11138"/>
    <n v="5069"/>
    <s v="phone"/>
    <n v="14139.2"/>
    <n v="86"/>
    <x v="2"/>
    <d v="2024-04-01T00:00:00"/>
    <n v="17514.77"/>
    <s v="online"/>
    <s v="WH-C"/>
    <n v="812"/>
    <d v="2024-02-10T00:00:00"/>
    <n v="14"/>
    <s v="Invalid Date Order"/>
    <s v=""/>
    <x v="2"/>
    <s v=""/>
  </r>
  <r>
    <n v="11139"/>
    <n v="5546"/>
    <s v="phone"/>
    <n v="23474.15"/>
    <n v="81"/>
    <x v="2"/>
    <d v="2024-01-15T00:00:00"/>
    <n v="141098.64000000001"/>
    <s v="offline"/>
    <s v="WH-B"/>
    <n v="1376"/>
    <d v="2024-02-10T00:00:00"/>
    <n v="2"/>
    <s v="Valid"/>
    <n v="26"/>
    <x v="1"/>
    <s v="Delayed"/>
  </r>
  <r>
    <n v="11140"/>
    <n v="6798"/>
    <s v="phone"/>
    <n v="9190.1299999999992"/>
    <n v="14"/>
    <x v="3"/>
    <d v="2024-03-10T00:00:00"/>
    <n v="147613.67000000001"/>
    <s v="Retail"/>
    <s v="WH-C"/>
    <n v="673"/>
    <d v="2024-02-10T00:00:00"/>
    <n v="13"/>
    <s v="Invalid Date Order"/>
    <s v=""/>
    <x v="3"/>
    <s v=""/>
  </r>
  <r>
    <n v="11141"/>
    <n v="5053"/>
    <s v="phone"/>
    <n v="54361.79"/>
    <n v="10"/>
    <x v="2"/>
    <d v="2024-02-15T00:00:00"/>
    <n v="107785.27"/>
    <s v="online"/>
    <s v="WH-C"/>
    <n v="705"/>
    <d v="2024-02-10T00:00:00"/>
    <n v="7"/>
    <s v="Invalid Date Order"/>
    <s v=""/>
    <x v="0"/>
    <s v=""/>
  </r>
  <r>
    <n v="11142"/>
    <n v="6474"/>
    <s v="phone"/>
    <n v="50413.7"/>
    <n v="35"/>
    <x v="0"/>
    <d v="2024-02-15T00:00:00"/>
    <n v="123923.2"/>
    <s v="offline"/>
    <s v="WH-B"/>
    <n v="499"/>
    <d v="2024-02-10T00:00:00"/>
    <n v="7"/>
    <s v="Invalid Date Order"/>
    <s v=""/>
    <x v="0"/>
    <s v=""/>
  </r>
  <r>
    <n v="11143"/>
    <n v="5205"/>
    <s v="phone"/>
    <n v="33017.589999999997"/>
    <n v="25"/>
    <x v="0"/>
    <d v="2024-03-10T00:00:00"/>
    <n v="61761.41"/>
    <s v="offline"/>
    <s v="WH-C"/>
    <n v="770"/>
    <d v="2024-02-10T00:00:00"/>
    <n v="13"/>
    <s v="Invalid Date Order"/>
    <s v=""/>
    <x v="3"/>
    <s v=""/>
  </r>
  <r>
    <n v="11144"/>
    <n v="5126"/>
    <s v="phone"/>
    <n v="44479.77"/>
    <n v="3"/>
    <x v="3"/>
    <d v="2024-04-01T00:00:00"/>
    <n v="102014.93"/>
    <s v="online"/>
    <s v="WH-B"/>
    <n v="1297"/>
    <d v="2024-03-10T00:00:00"/>
    <n v="5"/>
    <s v="Invalid Date Order"/>
    <s v=""/>
    <x v="2"/>
    <s v=""/>
  </r>
  <r>
    <n v="11145"/>
    <n v="6771"/>
    <s v="phone"/>
    <n v="9354.32"/>
    <n v="17"/>
    <x v="3"/>
    <d v="2024-02-15T00:00:00"/>
    <n v="99837.29"/>
    <s v="Retail"/>
    <s v="WH-C"/>
    <n v="92"/>
    <d v="2024-03-10T00:00:00"/>
    <n v="8"/>
    <s v="Valid"/>
    <n v="24"/>
    <x v="0"/>
    <s v="Delayed"/>
  </r>
  <r>
    <n v="11146"/>
    <n v="5043"/>
    <s v="Laptop"/>
    <n v="11681.38"/>
    <n v="12"/>
    <x v="2"/>
    <d v="2024-01-15T00:00:00"/>
    <n v="37523.410000000003"/>
    <s v="Retail"/>
    <s v="WH-A"/>
    <n v="313"/>
    <d v="2024-03-10T00:00:00"/>
    <n v="14"/>
    <s v="Valid"/>
    <n v="55"/>
    <x v="1"/>
    <s v="Delayed"/>
  </r>
  <r>
    <n v="11147"/>
    <n v="6776"/>
    <s v="phone"/>
    <n v="47144.35"/>
    <n v="54"/>
    <x v="1"/>
    <d v="2024-03-10T00:00:00"/>
    <n v="51218.99"/>
    <s v="offline"/>
    <s v="WH-C"/>
    <n v="1076"/>
    <d v="2024-04-15T00:00:00"/>
    <n v="5"/>
    <s v="Valid"/>
    <n v="36"/>
    <x v="3"/>
    <s v="Delayed"/>
  </r>
  <r>
    <n v="11148"/>
    <n v="6995"/>
    <s v="phone"/>
    <n v="83915.12"/>
    <n v="24"/>
    <x v="3"/>
    <d v="2024-01-15T00:00:00"/>
    <n v="114429.15"/>
    <s v="offline"/>
    <s v="WH-C"/>
    <n v="1341"/>
    <d v="2024-04-15T00:00:00"/>
    <n v="1"/>
    <s v="Valid"/>
    <n v="91"/>
    <x v="1"/>
    <s v="Delayed"/>
  </r>
  <r>
    <n v="11149"/>
    <n v="6907"/>
    <s v="phone"/>
    <n v="48928.57"/>
    <n v="29"/>
    <x v="3"/>
    <d v="2024-03-10T00:00:00"/>
    <n v="95554.48"/>
    <s v="Retail"/>
    <s v="WH-B"/>
    <n v="645"/>
    <d v="2024-02-10T00:00:00"/>
    <n v="9"/>
    <s v="Invalid Date Order"/>
    <s v=""/>
    <x v="3"/>
    <s v=""/>
  </r>
  <r>
    <n v="11150"/>
    <n v="5111"/>
    <s v="phone"/>
    <n v="58232.2"/>
    <n v="43"/>
    <x v="2"/>
    <d v="2024-02-15T00:00:00"/>
    <n v="69868.52"/>
    <s v="Retail"/>
    <s v="WH-C"/>
    <n v="1089"/>
    <d v="2024-03-10T00:00:00"/>
    <n v="4"/>
    <s v="Valid"/>
    <n v="24"/>
    <x v="0"/>
    <s v="Delayed"/>
  </r>
  <r>
    <n v="11151"/>
    <n v="5761"/>
    <s v="phone"/>
    <n v="60638.89"/>
    <n v="25"/>
    <x v="2"/>
    <d v="2024-04-01T00:00:00"/>
    <n v="52038.91"/>
    <s v="online"/>
    <s v="WH-A"/>
    <n v="1407"/>
    <d v="2024-04-15T00:00:00"/>
    <n v="13"/>
    <s v="Valid"/>
    <n v="14"/>
    <x v="2"/>
    <s v="Delayed"/>
  </r>
  <r>
    <n v="11152"/>
    <n v="6687"/>
    <s v="phone"/>
    <n v="88619.89"/>
    <n v="60"/>
    <x v="3"/>
    <d v="2024-03-10T00:00:00"/>
    <n v="157936.07999999999"/>
    <s v="offline"/>
    <s v="WH-A"/>
    <n v="1132"/>
    <d v="2024-04-15T00:00:00"/>
    <n v="2"/>
    <s v="Valid"/>
    <n v="36"/>
    <x v="3"/>
    <s v="Delayed"/>
  </r>
  <r>
    <n v="11153"/>
    <n v="6207"/>
    <s v="Laptop"/>
    <n v="21531.71"/>
    <n v="90"/>
    <x v="1"/>
    <d v="2024-03-10T00:00:00"/>
    <n v="55211.77"/>
    <s v="offline"/>
    <s v="WH-C"/>
    <n v="1062"/>
    <d v="2024-03-10T00:00:00"/>
    <n v="4"/>
    <s v="Valid"/>
    <n v="0"/>
    <x v="3"/>
    <s v="On Time"/>
  </r>
  <r>
    <n v="11154"/>
    <n v="5848"/>
    <s v="phone"/>
    <n v="45278.33"/>
    <n v="65"/>
    <x v="3"/>
    <d v="2024-01-15T00:00:00"/>
    <n v="81306.45"/>
    <s v="online"/>
    <s v="WH-C"/>
    <n v="226"/>
    <d v="2024-04-15T00:00:00"/>
    <n v="14"/>
    <s v="Valid"/>
    <n v="91"/>
    <x v="1"/>
    <s v="Delayed"/>
  </r>
  <r>
    <n v="11155"/>
    <n v="5095"/>
    <s v="phone"/>
    <n v="41070.089999999997"/>
    <n v="84"/>
    <x v="2"/>
    <d v="2024-02-15T00:00:00"/>
    <n v="103666.68"/>
    <s v="online"/>
    <s v="WH-A"/>
    <n v="112"/>
    <d v="2024-04-15T00:00:00"/>
    <n v="13"/>
    <s v="Valid"/>
    <n v="60"/>
    <x v="0"/>
    <s v="Delayed"/>
  </r>
  <r>
    <n v="11156"/>
    <n v="6995"/>
    <s v="phone"/>
    <n v="83302.97"/>
    <n v="28"/>
    <x v="2"/>
    <d v="2024-01-15T00:00:00"/>
    <n v="27814.47"/>
    <s v="Retail"/>
    <s v="WH-B"/>
    <n v="1007"/>
    <d v="2024-03-10T00:00:00"/>
    <n v="9"/>
    <s v="Valid"/>
    <n v="55"/>
    <x v="1"/>
    <s v="Delayed"/>
  </r>
  <r>
    <n v="11157"/>
    <n v="6398"/>
    <s v="phone"/>
    <n v="70184.850000000006"/>
    <n v="16"/>
    <x v="3"/>
    <d v="2024-02-15T00:00:00"/>
    <n v="66619.070000000007"/>
    <s v="online"/>
    <s v="WH-A"/>
    <n v="1052"/>
    <d v="2024-04-15T00:00:00"/>
    <n v="2"/>
    <s v="Valid"/>
    <n v="60"/>
    <x v="0"/>
    <s v="Delayed"/>
  </r>
  <r>
    <n v="11158"/>
    <n v="6936"/>
    <s v="phone"/>
    <n v="22179.83"/>
    <n v="47"/>
    <x v="1"/>
    <d v="2024-01-15T00:00:00"/>
    <n v="55981.63"/>
    <s v="Retail"/>
    <s v="WH-A"/>
    <n v="610"/>
    <d v="2024-03-10T00:00:00"/>
    <n v="4"/>
    <s v="Valid"/>
    <n v="55"/>
    <x v="1"/>
    <s v="Delayed"/>
  </r>
  <r>
    <n v="11159"/>
    <n v="6544"/>
    <s v="Laptop"/>
    <n v="70517.41"/>
    <n v="81"/>
    <x v="3"/>
    <d v="2024-03-10T00:00:00"/>
    <n v="128925.83"/>
    <s v="Retail"/>
    <s v="WH-C"/>
    <n v="1380"/>
    <d v="2024-04-15T00:00:00"/>
    <n v="2"/>
    <s v="Valid"/>
    <n v="36"/>
    <x v="3"/>
    <s v="Delayed"/>
  </r>
  <r>
    <n v="11160"/>
    <n v="5900"/>
    <s v="phone"/>
    <n v="24123.7"/>
    <n v="92"/>
    <x v="3"/>
    <d v="2024-01-15T00:00:00"/>
    <n v="152059.12"/>
    <s v="online"/>
    <s v="WH-C"/>
    <n v="1319"/>
    <d v="2024-03-10T00:00:00"/>
    <n v="5"/>
    <s v="Valid"/>
    <n v="55"/>
    <x v="1"/>
    <s v="Delayed"/>
  </r>
  <r>
    <n v="11161"/>
    <n v="5360"/>
    <s v="phone"/>
    <n v="82904.179999999993"/>
    <n v="58"/>
    <x v="2"/>
    <d v="2024-04-01T00:00:00"/>
    <n v="86219.1"/>
    <s v="offline"/>
    <s v="WH-A"/>
    <n v="1362"/>
    <d v="2024-04-15T00:00:00"/>
    <n v="3"/>
    <s v="Valid"/>
    <n v="14"/>
    <x v="2"/>
    <s v="Delayed"/>
  </r>
  <r>
    <n v="11162"/>
    <n v="5900"/>
    <s v="phone"/>
    <n v="72892.87"/>
    <n v="76"/>
    <x v="1"/>
    <d v="2024-02-15T00:00:00"/>
    <n v="83154.67"/>
    <s v="Retail"/>
    <s v="WH-B"/>
    <n v="1004"/>
    <d v="2024-04-15T00:00:00"/>
    <n v="10"/>
    <s v="Valid"/>
    <n v="60"/>
    <x v="0"/>
    <s v="Delayed"/>
  </r>
  <r>
    <n v="11163"/>
    <n v="6720"/>
    <s v="phone"/>
    <n v="56655.57"/>
    <n v="27"/>
    <x v="0"/>
    <d v="2024-02-15T00:00:00"/>
    <n v="80696.02"/>
    <s v="online"/>
    <s v="WH-A"/>
    <n v="1405"/>
    <d v="2024-03-10T00:00:00"/>
    <n v="2"/>
    <s v="Valid"/>
    <n v="24"/>
    <x v="0"/>
    <s v="Delayed"/>
  </r>
  <r>
    <n v="11164"/>
    <n v="5281"/>
    <s v="phone"/>
    <n v="87070.720000000001"/>
    <n v="53"/>
    <x v="1"/>
    <d v="2024-03-10T00:00:00"/>
    <n v="170687.51"/>
    <s v="online"/>
    <s v="WH-A"/>
    <n v="899"/>
    <d v="2024-04-15T00:00:00"/>
    <n v="14"/>
    <s v="Valid"/>
    <n v="36"/>
    <x v="3"/>
    <s v="Delayed"/>
  </r>
  <r>
    <n v="11165"/>
    <n v="6219"/>
    <s v="phone"/>
    <n v="66291.399999999994"/>
    <n v="42"/>
    <x v="3"/>
    <d v="2024-02-15T00:00:00"/>
    <n v="26412.92"/>
    <s v="online"/>
    <s v="WH-B"/>
    <n v="1328"/>
    <d v="2024-03-10T00:00:00"/>
    <n v="9"/>
    <s v="Valid"/>
    <n v="24"/>
    <x v="0"/>
    <s v="Delayed"/>
  </r>
  <r>
    <n v="11166"/>
    <n v="6888"/>
    <s v="phone"/>
    <n v="34498.76"/>
    <n v="59"/>
    <x v="3"/>
    <d v="2024-04-01T00:00:00"/>
    <n v="150937.29"/>
    <s v="online"/>
    <s v="WH-A"/>
    <n v="653"/>
    <d v="2024-03-10T00:00:00"/>
    <n v="5"/>
    <s v="Invalid Date Order"/>
    <s v=""/>
    <x v="2"/>
    <s v=""/>
  </r>
  <r>
    <n v="11167"/>
    <n v="6219"/>
    <s v="phone"/>
    <n v="50334.25"/>
    <n v="47"/>
    <x v="3"/>
    <d v="2024-01-15T00:00:00"/>
    <n v="20410.259999999998"/>
    <s v="Retail"/>
    <s v="WH-A"/>
    <n v="655"/>
    <d v="2024-04-15T00:00:00"/>
    <n v="10"/>
    <s v="Valid"/>
    <n v="91"/>
    <x v="1"/>
    <s v="Delayed"/>
  </r>
  <r>
    <n v="11168"/>
    <n v="5667"/>
    <s v="phone"/>
    <n v="40448.61"/>
    <n v="94"/>
    <x v="1"/>
    <d v="2024-03-10T00:00:00"/>
    <n v="119216.48"/>
    <s v="online"/>
    <s v="WH-C"/>
    <n v="879"/>
    <d v="2024-02-10T00:00:00"/>
    <n v="5"/>
    <s v="Invalid Date Order"/>
    <s v=""/>
    <x v="3"/>
    <s v=""/>
  </r>
  <r>
    <n v="11169"/>
    <n v="5093"/>
    <s v="phone"/>
    <n v="17141.41"/>
    <n v="34"/>
    <x v="2"/>
    <d v="2024-04-01T00:00:00"/>
    <n v="76458.14"/>
    <s v="online"/>
    <s v="WH-B"/>
    <n v="1272"/>
    <d v="2024-04-15T00:00:00"/>
    <n v="1"/>
    <s v="Valid"/>
    <n v="14"/>
    <x v="2"/>
    <s v="Delayed"/>
  </r>
  <r>
    <n v="11170"/>
    <n v="5672"/>
    <s v="phone"/>
    <n v="45737.04"/>
    <n v="37"/>
    <x v="3"/>
    <d v="2024-02-15T00:00:00"/>
    <n v="125210.46"/>
    <s v="online"/>
    <s v="WH-C"/>
    <n v="1344"/>
    <d v="2024-02-10T00:00:00"/>
    <n v="6"/>
    <s v="Invalid Date Order"/>
    <s v=""/>
    <x v="0"/>
    <s v=""/>
  </r>
  <r>
    <n v="11171"/>
    <n v="6970"/>
    <s v="phone"/>
    <n v="24043.360000000001"/>
    <n v="6"/>
    <x v="3"/>
    <d v="2024-02-15T00:00:00"/>
    <n v="17547.82"/>
    <s v="online"/>
    <s v="WH-C"/>
    <n v="795"/>
    <d v="2024-02-10T00:00:00"/>
    <n v="13"/>
    <s v="Invalid Date Order"/>
    <s v=""/>
    <x v="0"/>
    <s v=""/>
  </r>
  <r>
    <n v="11172"/>
    <n v="5061"/>
    <s v="Laptop"/>
    <n v="68711.89"/>
    <n v="7"/>
    <x v="1"/>
    <d v="2024-04-01T00:00:00"/>
    <n v="159662.65"/>
    <s v="online"/>
    <s v="WH-B"/>
    <n v="607"/>
    <d v="2024-04-15T00:00:00"/>
    <n v="7"/>
    <s v="Valid"/>
    <n v="14"/>
    <x v="2"/>
    <s v="Delayed"/>
  </r>
  <r>
    <n v="11173"/>
    <n v="5634"/>
    <s v="phone"/>
    <n v="41970.52"/>
    <n v="96"/>
    <x v="0"/>
    <d v="2024-01-15T00:00:00"/>
    <n v="98881.600000000006"/>
    <s v="Retail"/>
    <s v="WH-B"/>
    <n v="113"/>
    <d v="2024-02-10T00:00:00"/>
    <n v="1"/>
    <s v="Valid"/>
    <n v="26"/>
    <x v="1"/>
    <s v="Delayed"/>
  </r>
  <r>
    <n v="11174"/>
    <n v="6075"/>
    <s v="phone"/>
    <n v="22629.54"/>
    <n v="96"/>
    <x v="0"/>
    <d v="2024-01-15T00:00:00"/>
    <n v="78828.350000000006"/>
    <s v="online"/>
    <s v="WH-A"/>
    <n v="1303"/>
    <d v="2024-03-10T00:00:00"/>
    <n v="9"/>
    <s v="Valid"/>
    <n v="55"/>
    <x v="1"/>
    <s v="Delayed"/>
  </r>
  <r>
    <n v="11175"/>
    <n v="6427"/>
    <s v="phone"/>
    <n v="33592.33"/>
    <n v="25"/>
    <x v="2"/>
    <d v="2024-03-10T00:00:00"/>
    <n v="117640.24"/>
    <s v="offline"/>
    <s v="WH-C"/>
    <n v="991"/>
    <d v="2024-03-10T00:00:00"/>
    <n v="8"/>
    <s v="Valid"/>
    <n v="0"/>
    <x v="3"/>
    <s v="On Time"/>
  </r>
  <r>
    <n v="11176"/>
    <n v="6813"/>
    <s v="Laptop"/>
    <n v="65675.14"/>
    <n v="33"/>
    <x v="2"/>
    <d v="2024-02-15T00:00:00"/>
    <n v="47531.18"/>
    <s v="online"/>
    <s v="WH-B"/>
    <n v="298"/>
    <d v="2024-02-10T00:00:00"/>
    <n v="12"/>
    <s v="Invalid Date Order"/>
    <s v=""/>
    <x v="0"/>
    <s v=""/>
  </r>
  <r>
    <n v="11177"/>
    <n v="6029"/>
    <s v="phone"/>
    <n v="87839.54"/>
    <n v="55"/>
    <x v="3"/>
    <d v="2024-04-01T00:00:00"/>
    <n v="11808.93"/>
    <s v="online"/>
    <s v="WH-C"/>
    <n v="1319"/>
    <d v="2024-03-10T00:00:00"/>
    <n v="14"/>
    <s v="Invalid Date Order"/>
    <s v=""/>
    <x v="2"/>
    <s v=""/>
  </r>
  <r>
    <n v="11178"/>
    <n v="6490"/>
    <s v="phone"/>
    <n v="29861.81"/>
    <n v="58"/>
    <x v="1"/>
    <d v="2024-01-15T00:00:00"/>
    <n v="46596.800000000003"/>
    <s v="online"/>
    <s v="WH-C"/>
    <n v="989"/>
    <d v="2024-04-15T00:00:00"/>
    <n v="14"/>
    <s v="Valid"/>
    <n v="91"/>
    <x v="1"/>
    <s v="Delayed"/>
  </r>
  <r>
    <n v="11179"/>
    <n v="5604"/>
    <s v="phone"/>
    <n v="78202.48"/>
    <n v="7"/>
    <x v="3"/>
    <d v="2024-03-10T00:00:00"/>
    <n v="103171.75"/>
    <s v="online"/>
    <s v="WH-B"/>
    <n v="206"/>
    <d v="2024-03-10T00:00:00"/>
    <n v="8"/>
    <s v="Valid"/>
    <n v="0"/>
    <x v="3"/>
    <s v="On Time"/>
  </r>
  <r>
    <n v="11180"/>
    <n v="5682"/>
    <s v="phone"/>
    <n v="73957.679999999993"/>
    <n v="57"/>
    <x v="2"/>
    <d v="2024-02-15T00:00:00"/>
    <n v="92360.93"/>
    <s v="online"/>
    <s v="WH-A"/>
    <n v="784"/>
    <d v="2024-02-10T00:00:00"/>
    <n v="7"/>
    <s v="Invalid Date Order"/>
    <s v=""/>
    <x v="0"/>
    <s v=""/>
  </r>
  <r>
    <n v="11181"/>
    <n v="6853"/>
    <s v="phone"/>
    <n v="78179.63"/>
    <n v="12"/>
    <x v="1"/>
    <d v="2024-02-15T00:00:00"/>
    <n v="118912.11"/>
    <s v="online"/>
    <s v="WH-C"/>
    <n v="1034"/>
    <d v="2024-04-15T00:00:00"/>
    <n v="5"/>
    <s v="Valid"/>
    <n v="60"/>
    <x v="0"/>
    <s v="Delayed"/>
  </r>
  <r>
    <n v="11182"/>
    <n v="5534"/>
    <s v="Laptop"/>
    <n v="80885.8"/>
    <n v="16"/>
    <x v="1"/>
    <d v="2024-03-10T00:00:00"/>
    <n v="28625.15"/>
    <s v="online"/>
    <s v="WH-B"/>
    <n v="1161"/>
    <d v="2024-03-10T00:00:00"/>
    <n v="3"/>
    <s v="Valid"/>
    <n v="0"/>
    <x v="3"/>
    <s v="On Time"/>
  </r>
  <r>
    <n v="11183"/>
    <n v="6429"/>
    <s v="Laptop"/>
    <n v="81112.33"/>
    <n v="80"/>
    <x v="2"/>
    <d v="2024-03-10T00:00:00"/>
    <n v="61442.09"/>
    <s v="online"/>
    <s v="WH-A"/>
    <n v="1386"/>
    <d v="2024-04-15T00:00:00"/>
    <n v="12"/>
    <s v="Valid"/>
    <n v="36"/>
    <x v="3"/>
    <s v="Delayed"/>
  </r>
  <r>
    <n v="11184"/>
    <n v="5838"/>
    <s v="phone"/>
    <n v="71938.98"/>
    <n v="43"/>
    <x v="0"/>
    <d v="2024-01-15T00:00:00"/>
    <n v="56367.82"/>
    <s v="offline"/>
    <s v="WH-C"/>
    <n v="1139"/>
    <d v="2024-02-10T00:00:00"/>
    <n v="14"/>
    <s v="Valid"/>
    <n v="26"/>
    <x v="1"/>
    <s v="Delayed"/>
  </r>
  <r>
    <n v="11185"/>
    <n v="6537"/>
    <s v="Laptop"/>
    <n v="36711.39"/>
    <n v="77"/>
    <x v="0"/>
    <d v="2024-04-01T00:00:00"/>
    <n v="33540.19"/>
    <s v="online"/>
    <s v="WH-B"/>
    <n v="711"/>
    <d v="2024-03-10T00:00:00"/>
    <n v="9"/>
    <s v="Invalid Date Order"/>
    <s v=""/>
    <x v="2"/>
    <s v=""/>
  </r>
  <r>
    <n v="11186"/>
    <n v="5645"/>
    <s v="phone"/>
    <n v="69124.649999999994"/>
    <n v="7"/>
    <x v="1"/>
    <d v="2024-02-15T00:00:00"/>
    <n v="148294.42000000001"/>
    <s v="offline"/>
    <s v="WH-C"/>
    <n v="1093"/>
    <d v="2024-04-15T00:00:00"/>
    <n v="14"/>
    <s v="Valid"/>
    <n v="60"/>
    <x v="0"/>
    <s v="Delayed"/>
  </r>
  <r>
    <n v="11187"/>
    <n v="5233"/>
    <s v="phone"/>
    <n v="9091.14"/>
    <n v="51"/>
    <x v="3"/>
    <d v="2024-04-01T00:00:00"/>
    <n v="109650.82"/>
    <s v="online"/>
    <s v="WH-B"/>
    <n v="82"/>
    <d v="2024-04-15T00:00:00"/>
    <n v="7"/>
    <s v="Valid"/>
    <n v="14"/>
    <x v="2"/>
    <s v="Delayed"/>
  </r>
  <r>
    <n v="11188"/>
    <n v="5524"/>
    <s v="phone"/>
    <n v="62825.72"/>
    <n v="73"/>
    <x v="0"/>
    <d v="2024-02-15T00:00:00"/>
    <n v="55928.95"/>
    <s v="Retail"/>
    <s v="WH-B"/>
    <n v="607"/>
    <d v="2024-03-10T00:00:00"/>
    <n v="11"/>
    <s v="Valid"/>
    <n v="24"/>
    <x v="0"/>
    <s v="Delayed"/>
  </r>
  <r>
    <n v="11189"/>
    <n v="5346"/>
    <s v="phone"/>
    <n v="77168.31"/>
    <n v="32"/>
    <x v="3"/>
    <d v="2024-02-15T00:00:00"/>
    <n v="113176.65"/>
    <s v="online"/>
    <s v="WH-C"/>
    <n v="122"/>
    <d v="2024-04-15T00:00:00"/>
    <n v="10"/>
    <s v="Valid"/>
    <n v="60"/>
    <x v="0"/>
    <s v="Delayed"/>
  </r>
  <r>
    <n v="11190"/>
    <n v="6070"/>
    <s v="Laptop"/>
    <n v="38692.94"/>
    <n v="75"/>
    <x v="0"/>
    <d v="2024-04-01T00:00:00"/>
    <n v="113168.79"/>
    <s v="online"/>
    <s v="WH-C"/>
    <n v="874"/>
    <d v="2024-04-15T00:00:00"/>
    <n v="10"/>
    <s v="Valid"/>
    <n v="14"/>
    <x v="2"/>
    <s v="Delayed"/>
  </r>
  <r>
    <n v="11191"/>
    <n v="5546"/>
    <s v="phone"/>
    <n v="58454.53"/>
    <n v="8"/>
    <x v="0"/>
    <d v="2024-03-10T00:00:00"/>
    <n v="59604.800000000003"/>
    <s v="online"/>
    <s v="WH-B"/>
    <n v="1416"/>
    <d v="2024-02-10T00:00:00"/>
    <n v="8"/>
    <s v="Invalid Date Order"/>
    <s v=""/>
    <x v="3"/>
    <s v=""/>
  </r>
  <r>
    <n v="11192"/>
    <n v="6969"/>
    <s v="phone"/>
    <n v="44418.67"/>
    <n v="97"/>
    <x v="3"/>
    <d v="2024-01-15T00:00:00"/>
    <n v="44880.959999999999"/>
    <s v="offline"/>
    <s v="WH-A"/>
    <n v="1206"/>
    <d v="2024-02-10T00:00:00"/>
    <n v="14"/>
    <s v="Valid"/>
    <n v="26"/>
    <x v="1"/>
    <s v="Delayed"/>
  </r>
  <r>
    <n v="11193"/>
    <n v="6102"/>
    <s v="phone"/>
    <n v="88116.08"/>
    <n v="87"/>
    <x v="2"/>
    <d v="2024-02-15T00:00:00"/>
    <n v="127971.32"/>
    <s v="Retail"/>
    <s v="WH-C"/>
    <n v="1128"/>
    <d v="2024-02-10T00:00:00"/>
    <n v="6"/>
    <s v="Invalid Date Order"/>
    <s v=""/>
    <x v="0"/>
    <s v=""/>
  </r>
  <r>
    <n v="11194"/>
    <n v="6754"/>
    <s v="Laptop"/>
    <n v="66729.13"/>
    <n v="89"/>
    <x v="0"/>
    <d v="2024-03-10T00:00:00"/>
    <n v="178711.76"/>
    <s v="offline"/>
    <s v="WH-B"/>
    <n v="110"/>
    <d v="2024-02-10T00:00:00"/>
    <n v="12"/>
    <s v="Invalid Date Order"/>
    <s v=""/>
    <x v="3"/>
    <s v=""/>
  </r>
  <r>
    <n v="11195"/>
    <n v="6837"/>
    <s v="phone"/>
    <n v="12040.58"/>
    <n v="72"/>
    <x v="0"/>
    <d v="2024-02-15T00:00:00"/>
    <n v="71194.66"/>
    <s v="Retail"/>
    <s v="WH-B"/>
    <n v="321"/>
    <d v="2024-02-10T00:00:00"/>
    <n v="14"/>
    <s v="Invalid Date Order"/>
    <s v=""/>
    <x v="0"/>
    <s v=""/>
  </r>
  <r>
    <n v="11196"/>
    <n v="6947"/>
    <s v="phone"/>
    <n v="51703.73"/>
    <n v="45"/>
    <x v="3"/>
    <d v="2024-01-15T00:00:00"/>
    <n v="173109.2"/>
    <s v="online"/>
    <s v="WH-A"/>
    <n v="295"/>
    <d v="2024-02-10T00:00:00"/>
    <n v="11"/>
    <s v="Valid"/>
    <n v="26"/>
    <x v="1"/>
    <s v="Delayed"/>
  </r>
  <r>
    <n v="11197"/>
    <n v="6097"/>
    <s v="Laptop"/>
    <n v="74545.5"/>
    <n v="86"/>
    <x v="2"/>
    <d v="2024-02-15T00:00:00"/>
    <n v="39828.31"/>
    <s v="online"/>
    <s v="WH-A"/>
    <n v="1249"/>
    <d v="2024-03-10T00:00:00"/>
    <n v="14"/>
    <s v="Valid"/>
    <n v="24"/>
    <x v="0"/>
    <s v="Delayed"/>
  </r>
  <r>
    <n v="11198"/>
    <n v="5794"/>
    <s v="phone"/>
    <n v="11304.9"/>
    <n v="59"/>
    <x v="0"/>
    <d v="2024-01-15T00:00:00"/>
    <n v="132058.63"/>
    <s v="online"/>
    <s v="WH-A"/>
    <n v="677"/>
    <d v="2024-02-10T00:00:00"/>
    <n v="5"/>
    <s v="Valid"/>
    <n v="26"/>
    <x v="1"/>
    <s v="Delayed"/>
  </r>
  <r>
    <n v="11199"/>
    <n v="5249"/>
    <s v="Laptop"/>
    <n v="39667.61"/>
    <n v="4"/>
    <x v="0"/>
    <d v="2024-01-15T00:00:00"/>
    <n v="151723.96"/>
    <s v="offline"/>
    <s v="WH-C"/>
    <n v="1390"/>
    <d v="2024-04-15T00:00:00"/>
    <n v="8"/>
    <s v="Valid"/>
    <n v="91"/>
    <x v="1"/>
    <s v="Delayed"/>
  </r>
  <r>
    <n v="11200"/>
    <n v="5047"/>
    <s v="phone"/>
    <n v="61808.57"/>
    <n v="67"/>
    <x v="2"/>
    <d v="2024-02-15T00:00:00"/>
    <n v="170234"/>
    <s v="online"/>
    <s v="WH-B"/>
    <n v="754"/>
    <d v="2024-03-10T00:00:00"/>
    <n v="3"/>
    <s v="Valid"/>
    <n v="24"/>
    <x v="0"/>
    <s v="Delayed"/>
  </r>
  <r>
    <n v="11201"/>
    <n v="6145"/>
    <s v="phone"/>
    <n v="19327.73"/>
    <n v="29"/>
    <x v="0"/>
    <d v="2024-02-15T00:00:00"/>
    <n v="112264.11"/>
    <s v="offline"/>
    <s v="WH-B"/>
    <n v="711"/>
    <d v="2024-04-15T00:00:00"/>
    <n v="12"/>
    <s v="Valid"/>
    <n v="60"/>
    <x v="0"/>
    <s v="Delayed"/>
  </r>
  <r>
    <n v="11202"/>
    <n v="5214"/>
    <s v="phone"/>
    <n v="70950"/>
    <n v="29"/>
    <x v="2"/>
    <d v="2024-01-15T00:00:00"/>
    <n v="169427.04"/>
    <s v="offline"/>
    <s v="WH-B"/>
    <n v="1204"/>
    <d v="2024-02-10T00:00:00"/>
    <n v="13"/>
    <s v="Valid"/>
    <n v="26"/>
    <x v="1"/>
    <s v="Delayed"/>
  </r>
  <r>
    <n v="11203"/>
    <n v="5239"/>
    <s v="phone"/>
    <n v="87953.16"/>
    <n v="98"/>
    <x v="2"/>
    <d v="2024-03-10T00:00:00"/>
    <n v="120320.48"/>
    <s v="Retail"/>
    <s v="WH-A"/>
    <n v="1175"/>
    <d v="2024-02-10T00:00:00"/>
    <n v="13"/>
    <s v="Invalid Date Order"/>
    <s v=""/>
    <x v="3"/>
    <s v=""/>
  </r>
  <r>
    <n v="11204"/>
    <n v="6080"/>
    <s v="phone"/>
    <n v="65647.47"/>
    <n v="98"/>
    <x v="3"/>
    <d v="2024-04-01T00:00:00"/>
    <n v="107337.24"/>
    <s v="offline"/>
    <s v="WH-B"/>
    <n v="359"/>
    <d v="2024-04-15T00:00:00"/>
    <n v="7"/>
    <s v="Valid"/>
    <n v="14"/>
    <x v="2"/>
    <s v="Delayed"/>
  </r>
  <r>
    <n v="11205"/>
    <n v="5350"/>
    <s v="Laptop"/>
    <n v="69201.009999999995"/>
    <n v="28"/>
    <x v="1"/>
    <d v="2024-01-15T00:00:00"/>
    <n v="125380.06"/>
    <s v="Retail"/>
    <s v="WH-C"/>
    <n v="1365"/>
    <d v="2024-04-15T00:00:00"/>
    <n v="2"/>
    <s v="Valid"/>
    <n v="91"/>
    <x v="1"/>
    <s v="Delayed"/>
  </r>
  <r>
    <n v="11206"/>
    <n v="5107"/>
    <s v="phone"/>
    <n v="28235.17"/>
    <n v="77"/>
    <x v="2"/>
    <d v="2024-02-15T00:00:00"/>
    <n v="36279.5"/>
    <s v="online"/>
    <s v="WH-A"/>
    <n v="544"/>
    <d v="2024-04-15T00:00:00"/>
    <n v="3"/>
    <s v="Valid"/>
    <n v="60"/>
    <x v="0"/>
    <s v="Delayed"/>
  </r>
  <r>
    <n v="11207"/>
    <n v="5831"/>
    <s v="phone"/>
    <n v="9643.32"/>
    <n v="79"/>
    <x v="3"/>
    <d v="2024-02-15T00:00:00"/>
    <n v="65689.22"/>
    <s v="offline"/>
    <s v="WH-A"/>
    <n v="1434"/>
    <d v="2024-03-10T00:00:00"/>
    <n v="13"/>
    <s v="Valid"/>
    <n v="24"/>
    <x v="0"/>
    <s v="Delayed"/>
  </r>
  <r>
    <n v="11208"/>
    <n v="5048"/>
    <s v="phone"/>
    <n v="85873.02"/>
    <n v="87"/>
    <x v="1"/>
    <d v="2024-03-10T00:00:00"/>
    <n v="121122.38"/>
    <s v="offline"/>
    <s v="WH-A"/>
    <n v="387"/>
    <d v="2024-02-10T00:00:00"/>
    <n v="12"/>
    <s v="Invalid Date Order"/>
    <s v=""/>
    <x v="3"/>
    <s v=""/>
  </r>
  <r>
    <n v="11209"/>
    <n v="6597"/>
    <s v="phone"/>
    <n v="9989.74"/>
    <n v="44"/>
    <x v="0"/>
    <d v="2024-04-01T00:00:00"/>
    <n v="114963.88"/>
    <s v="online"/>
    <s v="WH-A"/>
    <n v="628"/>
    <d v="2024-04-15T00:00:00"/>
    <n v="2"/>
    <s v="Valid"/>
    <n v="14"/>
    <x v="2"/>
    <s v="Delayed"/>
  </r>
  <r>
    <n v="11210"/>
    <n v="5337"/>
    <s v="phone"/>
    <n v="73032.539999999994"/>
    <n v="90"/>
    <x v="1"/>
    <d v="2024-01-15T00:00:00"/>
    <n v="32732.6"/>
    <s v="offline"/>
    <s v="WH-C"/>
    <n v="59"/>
    <d v="2024-02-10T00:00:00"/>
    <n v="5"/>
    <s v="Valid"/>
    <n v="26"/>
    <x v="1"/>
    <s v="Delayed"/>
  </r>
  <r>
    <n v="11211"/>
    <n v="6050"/>
    <s v="phone"/>
    <n v="37354.65"/>
    <n v="4"/>
    <x v="2"/>
    <d v="2024-01-15T00:00:00"/>
    <n v="64221.83"/>
    <s v="offline"/>
    <s v="WH-B"/>
    <n v="98"/>
    <d v="2024-04-15T00:00:00"/>
    <n v="7"/>
    <s v="Valid"/>
    <n v="91"/>
    <x v="1"/>
    <s v="Delayed"/>
  </r>
  <r>
    <n v="11212"/>
    <n v="5804"/>
    <s v="phone"/>
    <n v="61268.11"/>
    <n v="90"/>
    <x v="2"/>
    <d v="2024-04-01T00:00:00"/>
    <n v="113402.58"/>
    <s v="online"/>
    <s v="WH-C"/>
    <n v="672"/>
    <d v="2024-02-10T00:00:00"/>
    <n v="11"/>
    <s v="Invalid Date Order"/>
    <s v=""/>
    <x v="2"/>
    <s v=""/>
  </r>
  <r>
    <n v="11213"/>
    <n v="6281"/>
    <s v="Laptop"/>
    <n v="29804.57"/>
    <n v="9"/>
    <x v="2"/>
    <d v="2024-01-15T00:00:00"/>
    <n v="15912.51"/>
    <s v="online"/>
    <s v="WH-B"/>
    <n v="1394"/>
    <d v="2024-03-10T00:00:00"/>
    <n v="10"/>
    <s v="Valid"/>
    <n v="55"/>
    <x v="1"/>
    <s v="Delayed"/>
  </r>
  <r>
    <n v="11214"/>
    <n v="5008"/>
    <s v="phone"/>
    <n v="19304.830000000002"/>
    <n v="5"/>
    <x v="2"/>
    <d v="2024-04-01T00:00:00"/>
    <n v="101010.94"/>
    <s v="online"/>
    <s v="WH-C"/>
    <n v="780"/>
    <d v="2024-02-10T00:00:00"/>
    <n v="11"/>
    <s v="Invalid Date Order"/>
    <s v=""/>
    <x v="2"/>
    <s v=""/>
  </r>
  <r>
    <n v="11215"/>
    <n v="5625"/>
    <s v="phone"/>
    <n v="16900.32"/>
    <n v="56"/>
    <x v="2"/>
    <d v="2024-02-15T00:00:00"/>
    <n v="11345.95"/>
    <s v="offline"/>
    <s v="WH-A"/>
    <n v="844"/>
    <d v="2024-04-15T00:00:00"/>
    <n v="11"/>
    <s v="Valid"/>
    <n v="60"/>
    <x v="0"/>
    <s v="Delayed"/>
  </r>
  <r>
    <n v="11216"/>
    <n v="6891"/>
    <s v="phone"/>
    <n v="89250.19"/>
    <n v="96"/>
    <x v="3"/>
    <d v="2024-04-01T00:00:00"/>
    <n v="110484.82"/>
    <s v="online"/>
    <s v="WH-A"/>
    <n v="1020"/>
    <d v="2024-02-10T00:00:00"/>
    <n v="11"/>
    <s v="Invalid Date Order"/>
    <s v=""/>
    <x v="2"/>
    <s v=""/>
  </r>
  <r>
    <n v="11217"/>
    <n v="6277"/>
    <s v="phone"/>
    <n v="75150.48"/>
    <n v="84"/>
    <x v="2"/>
    <d v="2024-01-15T00:00:00"/>
    <n v="72726.850000000006"/>
    <s v="online"/>
    <s v="WH-C"/>
    <n v="182"/>
    <d v="2024-03-10T00:00:00"/>
    <n v="10"/>
    <s v="Valid"/>
    <n v="55"/>
    <x v="1"/>
    <s v="Delayed"/>
  </r>
  <r>
    <n v="11218"/>
    <n v="6716"/>
    <s v="Laptop"/>
    <n v="26284.43"/>
    <n v="50"/>
    <x v="3"/>
    <d v="2024-04-01T00:00:00"/>
    <n v="53985.440000000002"/>
    <s v="online"/>
    <s v="WH-C"/>
    <n v="132"/>
    <d v="2024-03-10T00:00:00"/>
    <n v="13"/>
    <s v="Invalid Date Order"/>
    <s v=""/>
    <x v="2"/>
    <s v=""/>
  </r>
  <r>
    <n v="11219"/>
    <n v="5719"/>
    <s v="phone"/>
    <n v="47367.7"/>
    <n v="75"/>
    <x v="0"/>
    <d v="2024-03-10T00:00:00"/>
    <n v="140871.37"/>
    <s v="Retail"/>
    <s v="WH-B"/>
    <n v="106"/>
    <d v="2024-02-10T00:00:00"/>
    <n v="14"/>
    <s v="Invalid Date Order"/>
    <s v=""/>
    <x v="3"/>
    <s v=""/>
  </r>
  <r>
    <n v="11220"/>
    <n v="5303"/>
    <s v="phone"/>
    <n v="57163.6"/>
    <n v="15"/>
    <x v="2"/>
    <d v="2024-02-15T00:00:00"/>
    <n v="38787.29"/>
    <s v="online"/>
    <s v="WH-C"/>
    <n v="425"/>
    <d v="2024-04-15T00:00:00"/>
    <n v="1"/>
    <s v="Valid"/>
    <n v="60"/>
    <x v="0"/>
    <s v="Delayed"/>
  </r>
  <r>
    <n v="11221"/>
    <n v="5639"/>
    <s v="phone"/>
    <n v="59897.64"/>
    <n v="32"/>
    <x v="2"/>
    <d v="2024-02-15T00:00:00"/>
    <n v="127768.66"/>
    <s v="Retail"/>
    <s v="WH-C"/>
    <n v="398"/>
    <d v="2024-03-10T00:00:00"/>
    <n v="13"/>
    <s v="Valid"/>
    <n v="24"/>
    <x v="0"/>
    <s v="Delayed"/>
  </r>
  <r>
    <n v="11222"/>
    <n v="5056"/>
    <s v="phone"/>
    <n v="19042.86"/>
    <n v="28"/>
    <x v="1"/>
    <d v="2024-04-01T00:00:00"/>
    <n v="44168.9"/>
    <s v="offline"/>
    <s v="WH-B"/>
    <n v="320"/>
    <d v="2024-03-10T00:00:00"/>
    <n v="10"/>
    <s v="Invalid Date Order"/>
    <s v=""/>
    <x v="2"/>
    <s v=""/>
  </r>
  <r>
    <n v="11223"/>
    <n v="5726"/>
    <s v="phone"/>
    <n v="70376.17"/>
    <n v="22"/>
    <x v="0"/>
    <d v="2024-01-15T00:00:00"/>
    <n v="16541.259999999998"/>
    <s v="online"/>
    <s v="WH-B"/>
    <n v="160"/>
    <d v="2024-02-10T00:00:00"/>
    <n v="9"/>
    <s v="Valid"/>
    <n v="26"/>
    <x v="1"/>
    <s v="Delayed"/>
  </r>
  <r>
    <n v="11224"/>
    <n v="5526"/>
    <s v="phone"/>
    <n v="60229.23"/>
    <n v="17"/>
    <x v="2"/>
    <d v="2024-03-10T00:00:00"/>
    <n v="160080.04999999999"/>
    <s v="offline"/>
    <s v="WH-B"/>
    <n v="918"/>
    <d v="2024-03-10T00:00:00"/>
    <n v="1"/>
    <s v="Valid"/>
    <n v="0"/>
    <x v="3"/>
    <s v="On Time"/>
  </r>
  <r>
    <n v="11225"/>
    <n v="5474"/>
    <s v="phone"/>
    <n v="22230.99"/>
    <n v="59"/>
    <x v="2"/>
    <d v="2024-02-15T00:00:00"/>
    <n v="138317.88"/>
    <s v="offline"/>
    <s v="WH-C"/>
    <n v="936"/>
    <d v="2024-03-10T00:00:00"/>
    <n v="1"/>
    <s v="Valid"/>
    <n v="24"/>
    <x v="0"/>
    <s v="Delayed"/>
  </r>
  <r>
    <n v="11226"/>
    <n v="5028"/>
    <s v="phone"/>
    <n v="48438.39"/>
    <n v="90"/>
    <x v="0"/>
    <d v="2024-02-15T00:00:00"/>
    <n v="139950.88"/>
    <s v="online"/>
    <s v="WH-B"/>
    <n v="125"/>
    <d v="2024-04-15T00:00:00"/>
    <n v="14"/>
    <s v="Valid"/>
    <n v="60"/>
    <x v="0"/>
    <s v="Delayed"/>
  </r>
  <r>
    <n v="11227"/>
    <n v="5078"/>
    <s v="Laptop"/>
    <n v="77794.009999999995"/>
    <n v="71"/>
    <x v="3"/>
    <d v="2024-01-15T00:00:00"/>
    <n v="148831.72"/>
    <s v="offline"/>
    <s v="WH-A"/>
    <n v="1231"/>
    <d v="2024-04-15T00:00:00"/>
    <n v="12"/>
    <s v="Valid"/>
    <n v="91"/>
    <x v="1"/>
    <s v="Delayed"/>
  </r>
  <r>
    <n v="11228"/>
    <n v="6240"/>
    <s v="phone"/>
    <n v="58899.91"/>
    <n v="57"/>
    <x v="2"/>
    <d v="2024-01-15T00:00:00"/>
    <n v="51195.42"/>
    <s v="online"/>
    <s v="WH-A"/>
    <n v="378"/>
    <d v="2024-04-15T00:00:00"/>
    <n v="10"/>
    <s v="Valid"/>
    <n v="91"/>
    <x v="1"/>
    <s v="Delayed"/>
  </r>
  <r>
    <n v="11229"/>
    <n v="6410"/>
    <s v="phone"/>
    <n v="80990.850000000006"/>
    <n v="26"/>
    <x v="1"/>
    <d v="2024-03-10T00:00:00"/>
    <n v="106426.03"/>
    <s v="Retail"/>
    <s v="WH-A"/>
    <n v="171"/>
    <d v="2024-02-10T00:00:00"/>
    <n v="8"/>
    <s v="Invalid Date Order"/>
    <s v=""/>
    <x v="3"/>
    <s v=""/>
  </r>
  <r>
    <n v="11230"/>
    <n v="5365"/>
    <s v="Laptop"/>
    <n v="57450.7"/>
    <n v="25"/>
    <x v="2"/>
    <d v="2024-04-01T00:00:00"/>
    <n v="118563.06"/>
    <s v="offline"/>
    <s v="WH-C"/>
    <n v="90"/>
    <d v="2024-03-10T00:00:00"/>
    <n v="6"/>
    <s v="Invalid Date Order"/>
    <s v=""/>
    <x v="2"/>
    <s v=""/>
  </r>
  <r>
    <n v="11231"/>
    <n v="5666"/>
    <s v="phone"/>
    <n v="34274.14"/>
    <n v="10"/>
    <x v="1"/>
    <d v="2024-01-15T00:00:00"/>
    <n v="143216.97"/>
    <s v="online"/>
    <s v="WH-A"/>
    <n v="1240"/>
    <d v="2024-02-10T00:00:00"/>
    <n v="6"/>
    <s v="Valid"/>
    <n v="26"/>
    <x v="1"/>
    <s v="Delayed"/>
  </r>
  <r>
    <n v="11232"/>
    <n v="5526"/>
    <s v="phone"/>
    <n v="84983.41"/>
    <n v="45"/>
    <x v="1"/>
    <d v="2024-04-01T00:00:00"/>
    <n v="79708.3"/>
    <s v="online"/>
    <s v="WH-C"/>
    <n v="971"/>
    <d v="2024-03-10T00:00:00"/>
    <n v="12"/>
    <s v="Invalid Date Order"/>
    <s v=""/>
    <x v="2"/>
    <s v=""/>
  </r>
  <r>
    <n v="11233"/>
    <n v="5699"/>
    <s v="phone"/>
    <n v="71072.160000000003"/>
    <n v="83"/>
    <x v="2"/>
    <d v="2024-03-10T00:00:00"/>
    <n v="121898.34"/>
    <s v="offline"/>
    <s v="WH-C"/>
    <n v="691"/>
    <d v="2024-03-10T00:00:00"/>
    <n v="9"/>
    <s v="Valid"/>
    <n v="0"/>
    <x v="3"/>
    <s v="On Time"/>
  </r>
  <r>
    <n v="11234"/>
    <n v="6336"/>
    <s v="phone"/>
    <n v="57830.26"/>
    <n v="11"/>
    <x v="2"/>
    <d v="2024-04-01T00:00:00"/>
    <n v="79237.11"/>
    <s v="Retail"/>
    <s v="WH-A"/>
    <n v="1096"/>
    <d v="2024-03-10T00:00:00"/>
    <n v="4"/>
    <s v="Invalid Date Order"/>
    <s v=""/>
    <x v="2"/>
    <s v=""/>
  </r>
  <r>
    <n v="11235"/>
    <n v="5883"/>
    <s v="Laptop"/>
    <n v="45977.71"/>
    <n v="77"/>
    <x v="1"/>
    <d v="2024-02-15T00:00:00"/>
    <n v="48978.83"/>
    <s v="online"/>
    <s v="WH-B"/>
    <n v="328"/>
    <d v="2024-04-15T00:00:00"/>
    <n v="8"/>
    <s v="Valid"/>
    <n v="60"/>
    <x v="0"/>
    <s v="Delayed"/>
  </r>
  <r>
    <n v="11236"/>
    <n v="6031"/>
    <s v="phone"/>
    <n v="40464.49"/>
    <n v="53"/>
    <x v="0"/>
    <d v="2024-04-01T00:00:00"/>
    <n v="132165.28"/>
    <s v="offline"/>
    <s v="WH-C"/>
    <n v="812"/>
    <d v="2024-02-10T00:00:00"/>
    <n v="4"/>
    <s v="Invalid Date Order"/>
    <s v=""/>
    <x v="2"/>
    <s v=""/>
  </r>
  <r>
    <n v="11237"/>
    <n v="6027"/>
    <s v="Laptop"/>
    <n v="45440.02"/>
    <n v="72"/>
    <x v="0"/>
    <d v="2024-03-10T00:00:00"/>
    <n v="81571.22"/>
    <s v="offline"/>
    <s v="WH-A"/>
    <n v="518"/>
    <d v="2024-02-10T00:00:00"/>
    <n v="14"/>
    <s v="Invalid Date Order"/>
    <s v=""/>
    <x v="3"/>
    <s v=""/>
  </r>
  <r>
    <n v="11238"/>
    <n v="6647"/>
    <s v="phone"/>
    <n v="25219.35"/>
    <n v="68"/>
    <x v="2"/>
    <d v="2024-03-10T00:00:00"/>
    <n v="24310.66"/>
    <s v="offline"/>
    <s v="WH-C"/>
    <n v="1473"/>
    <d v="2024-03-10T00:00:00"/>
    <n v="2"/>
    <s v="Valid"/>
    <n v="0"/>
    <x v="3"/>
    <s v="On Time"/>
  </r>
  <r>
    <n v="11239"/>
    <n v="5919"/>
    <s v="phone"/>
    <n v="49398.99"/>
    <n v="95"/>
    <x v="3"/>
    <d v="2024-03-10T00:00:00"/>
    <n v="130896.95"/>
    <s v="Retail"/>
    <s v="WH-B"/>
    <n v="58"/>
    <d v="2024-02-10T00:00:00"/>
    <n v="11"/>
    <s v="Invalid Date Order"/>
    <s v=""/>
    <x v="3"/>
    <s v=""/>
  </r>
  <r>
    <n v="11240"/>
    <n v="5750"/>
    <s v="phone"/>
    <n v="8520.91"/>
    <n v="28"/>
    <x v="0"/>
    <d v="2024-04-01T00:00:00"/>
    <n v="54942.97"/>
    <s v="online"/>
    <s v="WH-B"/>
    <n v="62"/>
    <d v="2024-04-15T00:00:00"/>
    <n v="8"/>
    <s v="Valid"/>
    <n v="14"/>
    <x v="2"/>
    <s v="Delayed"/>
  </r>
  <r>
    <n v="11241"/>
    <n v="5363"/>
    <s v="Laptop"/>
    <n v="45188.12"/>
    <n v="75"/>
    <x v="2"/>
    <d v="2024-02-15T00:00:00"/>
    <n v="115750.94"/>
    <s v="online"/>
    <s v="WH-A"/>
    <n v="973"/>
    <d v="2024-02-10T00:00:00"/>
    <n v="12"/>
    <s v="Invalid Date Order"/>
    <s v=""/>
    <x v="0"/>
    <s v=""/>
  </r>
  <r>
    <n v="11242"/>
    <n v="6775"/>
    <s v="Laptop"/>
    <n v="46079.839999999997"/>
    <n v="65"/>
    <x v="0"/>
    <d v="2024-01-15T00:00:00"/>
    <n v="50023.69"/>
    <s v="online"/>
    <s v="WH-C"/>
    <n v="972"/>
    <d v="2024-03-10T00:00:00"/>
    <n v="7"/>
    <s v="Valid"/>
    <n v="55"/>
    <x v="1"/>
    <s v="Delayed"/>
  </r>
  <r>
    <n v="11243"/>
    <n v="6532"/>
    <s v="Laptop"/>
    <n v="9131.34"/>
    <n v="49"/>
    <x v="3"/>
    <d v="2024-02-15T00:00:00"/>
    <n v="91668.71"/>
    <s v="online"/>
    <s v="WH-C"/>
    <n v="1125"/>
    <d v="2024-04-15T00:00:00"/>
    <n v="4"/>
    <s v="Valid"/>
    <n v="60"/>
    <x v="0"/>
    <s v="Delayed"/>
  </r>
  <r>
    <n v="11244"/>
    <n v="6298"/>
    <s v="phone"/>
    <n v="25811.99"/>
    <n v="47"/>
    <x v="2"/>
    <d v="2024-04-01T00:00:00"/>
    <n v="33327.019999999997"/>
    <s v="online"/>
    <s v="WH-C"/>
    <n v="1282"/>
    <d v="2024-04-15T00:00:00"/>
    <n v="9"/>
    <s v="Valid"/>
    <n v="14"/>
    <x v="2"/>
    <s v="Delayed"/>
  </r>
  <r>
    <n v="11245"/>
    <n v="6530"/>
    <s v="phone"/>
    <n v="20102.61"/>
    <n v="52"/>
    <x v="3"/>
    <d v="2024-04-01T00:00:00"/>
    <n v="106813.71"/>
    <s v="online"/>
    <s v="WH-C"/>
    <n v="1475"/>
    <d v="2024-03-10T00:00:00"/>
    <n v="9"/>
    <s v="Invalid Date Order"/>
    <s v=""/>
    <x v="2"/>
    <s v=""/>
  </r>
  <r>
    <n v="11246"/>
    <n v="5806"/>
    <s v="Laptop"/>
    <n v="9568.93"/>
    <n v="88"/>
    <x v="2"/>
    <d v="2024-01-15T00:00:00"/>
    <n v="67980.14"/>
    <s v="Retail"/>
    <s v="WH-A"/>
    <n v="1264"/>
    <d v="2024-02-10T00:00:00"/>
    <n v="8"/>
    <s v="Valid"/>
    <n v="26"/>
    <x v="1"/>
    <s v="Delayed"/>
  </r>
  <r>
    <n v="11247"/>
    <n v="5739"/>
    <s v="Laptop"/>
    <n v="61136.81"/>
    <n v="54"/>
    <x v="3"/>
    <d v="2024-04-01T00:00:00"/>
    <n v="69952.95"/>
    <s v="online"/>
    <s v="WH-B"/>
    <n v="1124"/>
    <d v="2024-03-10T00:00:00"/>
    <n v="14"/>
    <s v="Invalid Date Order"/>
    <s v=""/>
    <x v="2"/>
    <s v=""/>
  </r>
  <r>
    <n v="11248"/>
    <n v="6907"/>
    <s v="phone"/>
    <n v="85539.18"/>
    <n v="60"/>
    <x v="0"/>
    <d v="2024-03-10T00:00:00"/>
    <n v="20518.73"/>
    <s v="offline"/>
    <s v="WH-A"/>
    <n v="1466"/>
    <d v="2024-02-10T00:00:00"/>
    <n v="1"/>
    <s v="Invalid Date Order"/>
    <s v=""/>
    <x v="3"/>
    <s v=""/>
  </r>
  <r>
    <n v="11249"/>
    <n v="6039"/>
    <s v="phone"/>
    <n v="52989.03"/>
    <n v="57"/>
    <x v="0"/>
    <d v="2024-03-10T00:00:00"/>
    <n v="139731.57"/>
    <s v="Retail"/>
    <s v="WH-C"/>
    <n v="702"/>
    <d v="2024-02-10T00:00:00"/>
    <n v="7"/>
    <s v="Invalid Date Order"/>
    <s v=""/>
    <x v="3"/>
    <s v=""/>
  </r>
  <r>
    <n v="11250"/>
    <n v="6216"/>
    <s v="Laptop"/>
    <n v="63232.38"/>
    <n v="47"/>
    <x v="3"/>
    <d v="2024-03-10T00:00:00"/>
    <n v="131810.41"/>
    <s v="offline"/>
    <s v="WH-C"/>
    <n v="670"/>
    <d v="2024-04-15T00:00:00"/>
    <n v="5"/>
    <s v="Valid"/>
    <n v="36"/>
    <x v="3"/>
    <s v="Delayed"/>
  </r>
  <r>
    <n v="11251"/>
    <n v="6655"/>
    <s v="phone"/>
    <n v="16822.740000000002"/>
    <n v="31"/>
    <x v="3"/>
    <d v="2024-03-10T00:00:00"/>
    <n v="38229.9"/>
    <s v="online"/>
    <s v="WH-B"/>
    <n v="1373"/>
    <d v="2024-03-10T00:00:00"/>
    <n v="7"/>
    <s v="Valid"/>
    <n v="0"/>
    <x v="3"/>
    <s v="On Time"/>
  </r>
  <r>
    <n v="11252"/>
    <n v="5485"/>
    <s v="Laptop"/>
    <n v="69750.61"/>
    <n v="46"/>
    <x v="3"/>
    <d v="2024-03-10T00:00:00"/>
    <n v="140870.67000000001"/>
    <s v="Retail"/>
    <s v="WH-C"/>
    <n v="245"/>
    <d v="2024-04-15T00:00:00"/>
    <n v="12"/>
    <s v="Valid"/>
    <n v="36"/>
    <x v="3"/>
    <s v="Delayed"/>
  </r>
  <r>
    <n v="11253"/>
    <n v="5028"/>
    <s v="Laptop"/>
    <n v="18071.689999999999"/>
    <n v="26"/>
    <x v="2"/>
    <d v="2024-04-01T00:00:00"/>
    <n v="67034.009999999995"/>
    <s v="online"/>
    <s v="WH-A"/>
    <n v="466"/>
    <d v="2024-03-10T00:00:00"/>
    <n v="9"/>
    <s v="Invalid Date Order"/>
    <s v=""/>
    <x v="2"/>
    <s v=""/>
  </r>
  <r>
    <n v="11254"/>
    <n v="5714"/>
    <s v="phone"/>
    <n v="97414.94"/>
    <n v="5"/>
    <x v="0"/>
    <d v="2024-01-15T00:00:00"/>
    <n v="128225.24"/>
    <s v="Retail"/>
    <s v="WH-A"/>
    <n v="713"/>
    <d v="2024-03-10T00:00:00"/>
    <n v="2"/>
    <s v="Valid"/>
    <n v="55"/>
    <x v="1"/>
    <s v="Delayed"/>
  </r>
  <r>
    <n v="11255"/>
    <n v="6063"/>
    <s v="phone"/>
    <n v="36048.9"/>
    <n v="84"/>
    <x v="2"/>
    <d v="2024-01-15T00:00:00"/>
    <n v="67530.61"/>
    <s v="offline"/>
    <s v="WH-B"/>
    <n v="1493"/>
    <d v="2024-04-15T00:00:00"/>
    <n v="13"/>
    <s v="Valid"/>
    <n v="91"/>
    <x v="1"/>
    <s v="Delayed"/>
  </r>
  <r>
    <n v="11256"/>
    <n v="6977"/>
    <s v="Laptop"/>
    <n v="98754.880000000005"/>
    <n v="52"/>
    <x v="0"/>
    <d v="2024-03-10T00:00:00"/>
    <n v="11020.13"/>
    <s v="online"/>
    <s v="WH-A"/>
    <n v="1429"/>
    <d v="2024-03-10T00:00:00"/>
    <n v="14"/>
    <s v="Valid"/>
    <n v="0"/>
    <x v="3"/>
    <s v="On Time"/>
  </r>
  <r>
    <n v="11257"/>
    <n v="6297"/>
    <s v="Laptop"/>
    <n v="80166.990000000005"/>
    <n v="75"/>
    <x v="1"/>
    <d v="2024-04-01T00:00:00"/>
    <n v="40903.019999999997"/>
    <s v="Retail"/>
    <s v="WH-A"/>
    <n v="197"/>
    <d v="2024-03-10T00:00:00"/>
    <n v="11"/>
    <s v="Invalid Date Order"/>
    <s v=""/>
    <x v="2"/>
    <s v=""/>
  </r>
  <r>
    <n v="11258"/>
    <n v="6255"/>
    <s v="Laptop"/>
    <n v="66729.3"/>
    <n v="54"/>
    <x v="2"/>
    <d v="2024-02-15T00:00:00"/>
    <n v="133185.85"/>
    <s v="Retail"/>
    <s v="WH-A"/>
    <n v="1050"/>
    <d v="2024-02-10T00:00:00"/>
    <n v="4"/>
    <s v="Invalid Date Order"/>
    <s v=""/>
    <x v="0"/>
    <s v=""/>
  </r>
  <r>
    <n v="11259"/>
    <n v="5086"/>
    <s v="phone"/>
    <n v="30067.52"/>
    <n v="33"/>
    <x v="0"/>
    <d v="2024-02-15T00:00:00"/>
    <n v="16998.79"/>
    <s v="Retail"/>
    <s v="WH-A"/>
    <n v="1438"/>
    <d v="2024-03-10T00:00:00"/>
    <n v="4"/>
    <s v="Valid"/>
    <n v="24"/>
    <x v="0"/>
    <s v="Delayed"/>
  </r>
  <r>
    <n v="11260"/>
    <n v="6498"/>
    <s v="Laptop"/>
    <n v="18848.919999999998"/>
    <n v="50"/>
    <x v="0"/>
    <d v="2024-04-01T00:00:00"/>
    <n v="50450.62"/>
    <s v="Retail"/>
    <s v="WH-C"/>
    <n v="413"/>
    <d v="2024-03-10T00:00:00"/>
    <n v="2"/>
    <s v="Invalid Date Order"/>
    <s v=""/>
    <x v="2"/>
    <s v=""/>
  </r>
  <r>
    <n v="11261"/>
    <n v="5126"/>
    <s v="Laptop"/>
    <n v="47732.43"/>
    <n v="38"/>
    <x v="2"/>
    <d v="2024-03-10T00:00:00"/>
    <n v="102278.9"/>
    <s v="online"/>
    <s v="WH-A"/>
    <n v="451"/>
    <d v="2024-04-15T00:00:00"/>
    <n v="3"/>
    <s v="Valid"/>
    <n v="36"/>
    <x v="3"/>
    <s v="Delayed"/>
  </r>
  <r>
    <n v="11262"/>
    <n v="5812"/>
    <s v="phone"/>
    <n v="93389.54"/>
    <n v="27"/>
    <x v="2"/>
    <d v="2024-01-15T00:00:00"/>
    <n v="38748.980000000003"/>
    <s v="offline"/>
    <s v="WH-B"/>
    <n v="655"/>
    <d v="2024-04-15T00:00:00"/>
    <n v="11"/>
    <s v="Valid"/>
    <n v="91"/>
    <x v="1"/>
    <s v="Delayed"/>
  </r>
  <r>
    <n v="11263"/>
    <n v="5537"/>
    <s v="phone"/>
    <n v="38967.5"/>
    <n v="98"/>
    <x v="0"/>
    <d v="2024-04-01T00:00:00"/>
    <n v="154089.10999999999"/>
    <s v="Retail"/>
    <s v="WH-B"/>
    <n v="278"/>
    <d v="2024-03-10T00:00:00"/>
    <n v="14"/>
    <s v="Invalid Date Order"/>
    <s v=""/>
    <x v="2"/>
    <s v=""/>
  </r>
  <r>
    <n v="11264"/>
    <n v="5145"/>
    <s v="phone"/>
    <n v="77371.28"/>
    <n v="15"/>
    <x v="2"/>
    <d v="2024-02-15T00:00:00"/>
    <n v="62113.91"/>
    <s v="online"/>
    <s v="WH-A"/>
    <n v="586"/>
    <d v="2024-02-10T00:00:00"/>
    <n v="14"/>
    <s v="Invalid Date Order"/>
    <s v=""/>
    <x v="0"/>
    <s v=""/>
  </r>
  <r>
    <n v="11265"/>
    <n v="6549"/>
    <s v="phone"/>
    <n v="59422.61"/>
    <n v="96"/>
    <x v="3"/>
    <d v="2024-02-15T00:00:00"/>
    <n v="12262.55"/>
    <s v="offline"/>
    <s v="WH-B"/>
    <n v="317"/>
    <d v="2024-02-10T00:00:00"/>
    <n v="13"/>
    <s v="Invalid Date Order"/>
    <s v=""/>
    <x v="0"/>
    <s v=""/>
  </r>
  <r>
    <n v="11266"/>
    <n v="6236"/>
    <s v="phone"/>
    <n v="40462.04"/>
    <n v="61"/>
    <x v="2"/>
    <d v="2024-02-15T00:00:00"/>
    <n v="71660.45"/>
    <s v="Retail"/>
    <s v="WH-A"/>
    <n v="1478"/>
    <d v="2024-04-15T00:00:00"/>
    <n v="8"/>
    <s v="Valid"/>
    <n v="60"/>
    <x v="0"/>
    <s v="Delayed"/>
  </r>
  <r>
    <n v="11267"/>
    <n v="5025"/>
    <s v="phone"/>
    <n v="98107.54"/>
    <n v="21"/>
    <x v="2"/>
    <d v="2024-03-10T00:00:00"/>
    <n v="170730.38"/>
    <s v="offline"/>
    <s v="WH-B"/>
    <n v="1084"/>
    <d v="2024-03-10T00:00:00"/>
    <n v="12"/>
    <s v="Valid"/>
    <n v="0"/>
    <x v="3"/>
    <s v="On Time"/>
  </r>
  <r>
    <n v="11268"/>
    <n v="6604"/>
    <s v="Laptop"/>
    <n v="47646.91"/>
    <n v="46"/>
    <x v="2"/>
    <d v="2024-02-15T00:00:00"/>
    <n v="52696.89"/>
    <s v="offline"/>
    <s v="WH-B"/>
    <n v="1393"/>
    <d v="2024-03-10T00:00:00"/>
    <n v="9"/>
    <s v="Valid"/>
    <n v="24"/>
    <x v="0"/>
    <s v="Delayed"/>
  </r>
  <r>
    <n v="11269"/>
    <n v="6418"/>
    <s v="phone"/>
    <n v="15071.4"/>
    <n v="69"/>
    <x v="0"/>
    <d v="2024-04-01T00:00:00"/>
    <n v="51318.36"/>
    <s v="online"/>
    <s v="WH-A"/>
    <n v="175"/>
    <d v="2024-02-10T00:00:00"/>
    <n v="6"/>
    <s v="Invalid Date Order"/>
    <s v=""/>
    <x v="2"/>
    <s v=""/>
  </r>
  <r>
    <n v="11270"/>
    <n v="5067"/>
    <s v="Laptop"/>
    <n v="21267.87"/>
    <n v="6"/>
    <x v="3"/>
    <d v="2024-04-01T00:00:00"/>
    <n v="151152.18"/>
    <s v="offline"/>
    <s v="WH-A"/>
    <n v="355"/>
    <d v="2024-02-10T00:00:00"/>
    <n v="10"/>
    <s v="Invalid Date Order"/>
    <s v=""/>
    <x v="2"/>
    <s v=""/>
  </r>
  <r>
    <n v="11271"/>
    <n v="5233"/>
    <s v="phone"/>
    <n v="52861.15"/>
    <n v="38"/>
    <x v="1"/>
    <d v="2024-02-15T00:00:00"/>
    <n v="153499.59"/>
    <s v="online"/>
    <s v="WH-C"/>
    <n v="1162"/>
    <d v="2024-02-10T00:00:00"/>
    <n v="2"/>
    <s v="Invalid Date Order"/>
    <s v=""/>
    <x v="0"/>
    <s v=""/>
  </r>
  <r>
    <n v="11272"/>
    <n v="5109"/>
    <s v="phone"/>
    <n v="29382.07"/>
    <n v="62"/>
    <x v="1"/>
    <d v="2024-04-01T00:00:00"/>
    <n v="135990.07999999999"/>
    <s v="Retail"/>
    <s v="WH-A"/>
    <n v="1428"/>
    <d v="2024-04-15T00:00:00"/>
    <n v="2"/>
    <s v="Valid"/>
    <n v="14"/>
    <x v="2"/>
    <s v="Delayed"/>
  </r>
  <r>
    <n v="11273"/>
    <n v="6170"/>
    <s v="phone"/>
    <n v="69957.009999999995"/>
    <n v="86"/>
    <x v="3"/>
    <d v="2024-02-15T00:00:00"/>
    <n v="45754.080000000002"/>
    <s v="offline"/>
    <s v="WH-A"/>
    <n v="677"/>
    <d v="2024-03-10T00:00:00"/>
    <n v="7"/>
    <s v="Valid"/>
    <n v="24"/>
    <x v="0"/>
    <s v="Delayed"/>
  </r>
  <r>
    <n v="11274"/>
    <n v="5111"/>
    <s v="phone"/>
    <n v="17346"/>
    <n v="62"/>
    <x v="3"/>
    <d v="2024-02-15T00:00:00"/>
    <n v="115847.31"/>
    <s v="offline"/>
    <s v="WH-C"/>
    <n v="1425"/>
    <d v="2024-04-15T00:00:00"/>
    <n v="8"/>
    <s v="Valid"/>
    <n v="60"/>
    <x v="0"/>
    <s v="Delayed"/>
  </r>
  <r>
    <n v="11275"/>
    <n v="5228"/>
    <s v="phone"/>
    <n v="84458.96"/>
    <n v="82"/>
    <x v="3"/>
    <d v="2024-01-15T00:00:00"/>
    <n v="146989.31"/>
    <s v="online"/>
    <s v="WH-A"/>
    <n v="738"/>
    <d v="2024-03-10T00:00:00"/>
    <n v="8"/>
    <s v="Valid"/>
    <n v="55"/>
    <x v="1"/>
    <s v="Delayed"/>
  </r>
  <r>
    <n v="11276"/>
    <n v="5111"/>
    <s v="phone"/>
    <n v="49961.26"/>
    <n v="78"/>
    <x v="0"/>
    <d v="2024-03-10T00:00:00"/>
    <n v="100960.73"/>
    <s v="Retail"/>
    <s v="WH-A"/>
    <n v="1087"/>
    <d v="2024-04-15T00:00:00"/>
    <n v="14"/>
    <s v="Valid"/>
    <n v="36"/>
    <x v="3"/>
    <s v="Delayed"/>
  </r>
  <r>
    <n v="11277"/>
    <n v="6494"/>
    <s v="phone"/>
    <n v="18546.580000000002"/>
    <n v="74"/>
    <x v="1"/>
    <d v="2024-03-10T00:00:00"/>
    <n v="141069.68"/>
    <s v="Retail"/>
    <s v="WH-C"/>
    <n v="1330"/>
    <d v="2024-03-10T00:00:00"/>
    <n v="6"/>
    <s v="Valid"/>
    <n v="0"/>
    <x v="3"/>
    <s v="On Time"/>
  </r>
  <r>
    <n v="11278"/>
    <n v="5034"/>
    <s v="phone"/>
    <n v="95214.56"/>
    <n v="46"/>
    <x v="3"/>
    <d v="2024-01-15T00:00:00"/>
    <n v="16845.28"/>
    <s v="online"/>
    <s v="WH-A"/>
    <n v="1282"/>
    <d v="2024-02-10T00:00:00"/>
    <n v="10"/>
    <s v="Valid"/>
    <n v="26"/>
    <x v="1"/>
    <s v="Delayed"/>
  </r>
  <r>
    <n v="11279"/>
    <n v="5623"/>
    <s v="Laptop"/>
    <n v="47785.85"/>
    <n v="13"/>
    <x v="0"/>
    <d v="2024-01-15T00:00:00"/>
    <n v="38744.14"/>
    <s v="online"/>
    <s v="WH-A"/>
    <n v="330"/>
    <d v="2024-02-10T00:00:00"/>
    <n v="8"/>
    <s v="Valid"/>
    <n v="26"/>
    <x v="1"/>
    <s v="Delayed"/>
  </r>
  <r>
    <n v="11280"/>
    <n v="6800"/>
    <s v="phone"/>
    <n v="86040.81"/>
    <n v="95"/>
    <x v="1"/>
    <d v="2024-03-10T00:00:00"/>
    <n v="85915.82"/>
    <s v="online"/>
    <s v="WH-C"/>
    <n v="492"/>
    <d v="2024-02-10T00:00:00"/>
    <n v="14"/>
    <s v="Invalid Date Order"/>
    <s v=""/>
    <x v="3"/>
    <s v=""/>
  </r>
  <r>
    <n v="11281"/>
    <n v="6960"/>
    <s v="Laptop"/>
    <n v="29573.75"/>
    <n v="94"/>
    <x v="2"/>
    <d v="2024-02-15T00:00:00"/>
    <n v="33611.06"/>
    <s v="online"/>
    <s v="WH-C"/>
    <n v="886"/>
    <d v="2024-04-15T00:00:00"/>
    <n v="1"/>
    <s v="Valid"/>
    <n v="60"/>
    <x v="0"/>
    <s v="Delayed"/>
  </r>
  <r>
    <n v="11282"/>
    <n v="6393"/>
    <s v="phone"/>
    <n v="48893.27"/>
    <n v="3"/>
    <x v="0"/>
    <d v="2024-02-15T00:00:00"/>
    <n v="44536.75"/>
    <s v="offline"/>
    <s v="WH-B"/>
    <n v="438"/>
    <d v="2024-02-10T00:00:00"/>
    <n v="9"/>
    <s v="Invalid Date Order"/>
    <s v=""/>
    <x v="0"/>
    <s v=""/>
  </r>
  <r>
    <n v="11283"/>
    <n v="5748"/>
    <s v="Laptop"/>
    <n v="64845.62"/>
    <n v="94"/>
    <x v="1"/>
    <d v="2024-03-10T00:00:00"/>
    <n v="10491.15"/>
    <s v="offline"/>
    <s v="WH-A"/>
    <n v="666"/>
    <d v="2024-03-10T00:00:00"/>
    <n v="13"/>
    <s v="Valid"/>
    <n v="0"/>
    <x v="3"/>
    <s v="On Time"/>
  </r>
  <r>
    <n v="11284"/>
    <n v="5595"/>
    <s v="phone"/>
    <n v="97448.71"/>
    <n v="6"/>
    <x v="0"/>
    <d v="2024-02-15T00:00:00"/>
    <n v="138811.75"/>
    <s v="offline"/>
    <s v="WH-B"/>
    <n v="196"/>
    <d v="2024-04-15T00:00:00"/>
    <n v="12"/>
    <s v="Valid"/>
    <n v="60"/>
    <x v="0"/>
    <s v="Delayed"/>
  </r>
  <r>
    <n v="11285"/>
    <n v="6578"/>
    <s v="Laptop"/>
    <n v="59534.68"/>
    <n v="93"/>
    <x v="1"/>
    <d v="2024-01-15T00:00:00"/>
    <n v="100648.01"/>
    <s v="offline"/>
    <s v="WH-B"/>
    <n v="1352"/>
    <d v="2024-03-10T00:00:00"/>
    <n v="1"/>
    <s v="Valid"/>
    <n v="55"/>
    <x v="1"/>
    <s v="Delayed"/>
  </r>
  <r>
    <n v="11286"/>
    <n v="5425"/>
    <s v="phone"/>
    <n v="54646.34"/>
    <n v="8"/>
    <x v="1"/>
    <d v="2024-02-15T00:00:00"/>
    <n v="31665.8"/>
    <s v="online"/>
    <s v="WH-C"/>
    <n v="570"/>
    <d v="2024-04-15T00:00:00"/>
    <n v="13"/>
    <s v="Valid"/>
    <n v="60"/>
    <x v="0"/>
    <s v="Delayed"/>
  </r>
  <r>
    <n v="11287"/>
    <n v="5613"/>
    <s v="phone"/>
    <n v="21928.76"/>
    <n v="44"/>
    <x v="2"/>
    <d v="2024-02-15T00:00:00"/>
    <n v="30874.73"/>
    <s v="Retail"/>
    <s v="WH-A"/>
    <n v="679"/>
    <d v="2024-03-10T00:00:00"/>
    <n v="3"/>
    <s v="Valid"/>
    <n v="24"/>
    <x v="0"/>
    <s v="Delayed"/>
  </r>
  <r>
    <n v="11288"/>
    <n v="6542"/>
    <s v="phone"/>
    <n v="13710.94"/>
    <n v="33"/>
    <x v="0"/>
    <d v="2024-04-01T00:00:00"/>
    <n v="149820"/>
    <s v="offline"/>
    <s v="WH-A"/>
    <n v="483"/>
    <d v="2024-03-10T00:00:00"/>
    <n v="12"/>
    <s v="Invalid Date Order"/>
    <s v=""/>
    <x v="2"/>
    <s v=""/>
  </r>
  <r>
    <n v="11289"/>
    <n v="5692"/>
    <s v="phone"/>
    <n v="25299.05"/>
    <n v="81"/>
    <x v="3"/>
    <d v="2024-04-01T00:00:00"/>
    <n v="120989.92"/>
    <s v="Retail"/>
    <s v="WH-C"/>
    <n v="193"/>
    <d v="2024-04-15T00:00:00"/>
    <n v="9"/>
    <s v="Valid"/>
    <n v="14"/>
    <x v="2"/>
    <s v="Delayed"/>
  </r>
  <r>
    <n v="11290"/>
    <n v="6306"/>
    <s v="phone"/>
    <n v="24780.46"/>
    <n v="75"/>
    <x v="2"/>
    <d v="2024-04-01T00:00:00"/>
    <n v="146474.57999999999"/>
    <s v="offline"/>
    <s v="WH-B"/>
    <n v="338"/>
    <d v="2024-04-15T00:00:00"/>
    <n v="11"/>
    <s v="Valid"/>
    <n v="14"/>
    <x v="2"/>
    <s v="Delayed"/>
  </r>
  <r>
    <n v="11291"/>
    <n v="6344"/>
    <s v="phone"/>
    <n v="17558.830000000002"/>
    <n v="77"/>
    <x v="2"/>
    <d v="2024-02-15T00:00:00"/>
    <n v="97295.31"/>
    <s v="online"/>
    <s v="WH-C"/>
    <n v="1459"/>
    <d v="2024-02-10T00:00:00"/>
    <n v="5"/>
    <s v="Invalid Date Order"/>
    <s v=""/>
    <x v="0"/>
    <s v=""/>
  </r>
  <r>
    <n v="11292"/>
    <n v="6762"/>
    <s v="phone"/>
    <n v="60123.91"/>
    <n v="50"/>
    <x v="1"/>
    <d v="2024-03-10T00:00:00"/>
    <n v="106302.77"/>
    <s v="offline"/>
    <s v="WH-A"/>
    <n v="63"/>
    <d v="2024-02-10T00:00:00"/>
    <n v="9"/>
    <s v="Invalid Date Order"/>
    <s v=""/>
    <x v="3"/>
    <s v=""/>
  </r>
  <r>
    <n v="11293"/>
    <n v="6467"/>
    <s v="phone"/>
    <n v="41321.160000000003"/>
    <n v="11"/>
    <x v="3"/>
    <d v="2024-01-15T00:00:00"/>
    <n v="58318.86"/>
    <s v="offline"/>
    <s v="WH-C"/>
    <n v="306"/>
    <d v="2024-03-10T00:00:00"/>
    <n v="9"/>
    <s v="Valid"/>
    <n v="55"/>
    <x v="1"/>
    <s v="Delayed"/>
  </r>
  <r>
    <n v="11294"/>
    <n v="6976"/>
    <s v="Laptop"/>
    <n v="39287.629999999997"/>
    <n v="95"/>
    <x v="0"/>
    <d v="2024-02-15T00:00:00"/>
    <n v="117052.61"/>
    <s v="offline"/>
    <s v="WH-A"/>
    <n v="1419"/>
    <d v="2024-03-10T00:00:00"/>
    <n v="6"/>
    <s v="Valid"/>
    <n v="24"/>
    <x v="0"/>
    <s v="Delayed"/>
  </r>
  <r>
    <n v="11295"/>
    <n v="5315"/>
    <s v="phone"/>
    <n v="65188.32"/>
    <n v="28"/>
    <x v="3"/>
    <d v="2024-03-10T00:00:00"/>
    <n v="174750.76"/>
    <s v="online"/>
    <s v="WH-B"/>
    <n v="1418"/>
    <d v="2024-03-10T00:00:00"/>
    <n v="11"/>
    <s v="Valid"/>
    <n v="0"/>
    <x v="3"/>
    <s v="On Time"/>
  </r>
  <r>
    <n v="11296"/>
    <n v="5877"/>
    <s v="phone"/>
    <n v="93387.55"/>
    <n v="70"/>
    <x v="3"/>
    <d v="2024-02-15T00:00:00"/>
    <n v="124214.03"/>
    <s v="online"/>
    <s v="WH-A"/>
    <n v="1473"/>
    <d v="2024-04-15T00:00:00"/>
    <n v="1"/>
    <s v="Valid"/>
    <n v="60"/>
    <x v="0"/>
    <s v="Delayed"/>
  </r>
  <r>
    <n v="11297"/>
    <n v="6990"/>
    <s v="phone"/>
    <n v="25810.58"/>
    <n v="41"/>
    <x v="3"/>
    <d v="2024-01-15T00:00:00"/>
    <n v="25639.87"/>
    <s v="offline"/>
    <s v="WH-B"/>
    <n v="1280"/>
    <d v="2024-04-15T00:00:00"/>
    <n v="10"/>
    <s v="Valid"/>
    <n v="91"/>
    <x v="1"/>
    <s v="Delayed"/>
  </r>
  <r>
    <n v="11298"/>
    <n v="6765"/>
    <s v="phone"/>
    <n v="43306.07"/>
    <n v="16"/>
    <x v="3"/>
    <d v="2024-02-15T00:00:00"/>
    <n v="113073.62"/>
    <s v="offline"/>
    <s v="WH-B"/>
    <n v="907"/>
    <d v="2024-02-10T00:00:00"/>
    <n v="7"/>
    <s v="Invalid Date Order"/>
    <s v=""/>
    <x v="0"/>
    <s v=""/>
  </r>
  <r>
    <n v="11299"/>
    <n v="6401"/>
    <s v="phone"/>
    <n v="82557.759999999995"/>
    <n v="68"/>
    <x v="3"/>
    <d v="2024-01-15T00:00:00"/>
    <n v="85605.66"/>
    <s v="Retail"/>
    <s v="WH-A"/>
    <n v="992"/>
    <d v="2024-03-10T00:00:00"/>
    <n v="14"/>
    <s v="Valid"/>
    <n v="55"/>
    <x v="1"/>
    <s v="Delayed"/>
  </r>
  <r>
    <n v="11300"/>
    <n v="6313"/>
    <s v="Laptop"/>
    <n v="80005.03"/>
    <n v="99"/>
    <x v="1"/>
    <d v="2024-02-15T00:00:00"/>
    <n v="133716.35"/>
    <s v="online"/>
    <s v="WH-A"/>
    <n v="1245"/>
    <d v="2024-02-10T00:00:00"/>
    <n v="6"/>
    <s v="Invalid Date Order"/>
    <s v=""/>
    <x v="0"/>
    <s v=""/>
  </r>
  <r>
    <n v="11301"/>
    <n v="6461"/>
    <s v="phone"/>
    <n v="36208.620000000003"/>
    <n v="48"/>
    <x v="1"/>
    <d v="2024-01-15T00:00:00"/>
    <n v="98393.09"/>
    <s v="offline"/>
    <s v="WH-B"/>
    <n v="513"/>
    <d v="2024-04-15T00:00:00"/>
    <n v="9"/>
    <s v="Valid"/>
    <n v="91"/>
    <x v="1"/>
    <s v="Delayed"/>
  </r>
  <r>
    <n v="11302"/>
    <n v="5662"/>
    <s v="phone"/>
    <n v="21362.65"/>
    <n v="56"/>
    <x v="2"/>
    <d v="2024-02-15T00:00:00"/>
    <n v="52066.02"/>
    <s v="Retail"/>
    <s v="WH-C"/>
    <n v="319"/>
    <d v="2024-04-15T00:00:00"/>
    <n v="7"/>
    <s v="Valid"/>
    <n v="60"/>
    <x v="0"/>
    <s v="Delayed"/>
  </r>
  <r>
    <n v="11303"/>
    <n v="5277"/>
    <s v="phone"/>
    <n v="73298.990000000005"/>
    <n v="64"/>
    <x v="1"/>
    <d v="2024-01-15T00:00:00"/>
    <n v="165901.06"/>
    <s v="Retail"/>
    <s v="WH-A"/>
    <n v="1294"/>
    <d v="2024-04-15T00:00:00"/>
    <n v="14"/>
    <s v="Valid"/>
    <n v="91"/>
    <x v="1"/>
    <s v="Delayed"/>
  </r>
  <r>
    <n v="11304"/>
    <n v="6734"/>
    <s v="phone"/>
    <n v="30033.94"/>
    <n v="59"/>
    <x v="2"/>
    <d v="2024-04-01T00:00:00"/>
    <n v="116856.3"/>
    <s v="online"/>
    <s v="WH-B"/>
    <n v="1225"/>
    <d v="2024-02-10T00:00:00"/>
    <n v="12"/>
    <s v="Invalid Date Order"/>
    <s v=""/>
    <x v="2"/>
    <s v=""/>
  </r>
  <r>
    <n v="11305"/>
    <n v="6606"/>
    <s v="phone"/>
    <n v="86707.65"/>
    <n v="90"/>
    <x v="2"/>
    <d v="2024-02-15T00:00:00"/>
    <n v="95705.66"/>
    <s v="Retail"/>
    <s v="WH-B"/>
    <n v="672"/>
    <d v="2024-04-15T00:00:00"/>
    <n v="11"/>
    <s v="Valid"/>
    <n v="60"/>
    <x v="0"/>
    <s v="Delayed"/>
  </r>
  <r>
    <n v="11306"/>
    <n v="6527"/>
    <s v="phone"/>
    <n v="95667.11"/>
    <n v="62"/>
    <x v="0"/>
    <d v="2024-02-15T00:00:00"/>
    <n v="95698.62"/>
    <s v="offline"/>
    <s v="WH-C"/>
    <n v="1256"/>
    <d v="2024-03-10T00:00:00"/>
    <n v="12"/>
    <s v="Valid"/>
    <n v="24"/>
    <x v="0"/>
    <s v="Delayed"/>
  </r>
  <r>
    <n v="11307"/>
    <n v="5624"/>
    <s v="phone"/>
    <n v="62137.95"/>
    <n v="76"/>
    <x v="3"/>
    <d v="2024-03-10T00:00:00"/>
    <n v="95839.51"/>
    <s v="online"/>
    <s v="WH-A"/>
    <n v="1472"/>
    <d v="2024-02-10T00:00:00"/>
    <n v="13"/>
    <s v="Invalid Date Order"/>
    <s v=""/>
    <x v="3"/>
    <s v=""/>
  </r>
  <r>
    <n v="11308"/>
    <n v="5516"/>
    <s v="Laptop"/>
    <n v="68876.7"/>
    <n v="11"/>
    <x v="1"/>
    <d v="2024-03-10T00:00:00"/>
    <n v="150886.04"/>
    <s v="online"/>
    <s v="WH-B"/>
    <n v="121"/>
    <d v="2024-04-15T00:00:00"/>
    <n v="4"/>
    <s v="Valid"/>
    <n v="36"/>
    <x v="3"/>
    <s v="Delayed"/>
  </r>
  <r>
    <n v="11309"/>
    <n v="6374"/>
    <s v="phone"/>
    <n v="46001.24"/>
    <n v="89"/>
    <x v="0"/>
    <d v="2024-01-15T00:00:00"/>
    <n v="40931.94"/>
    <s v="offline"/>
    <s v="WH-C"/>
    <n v="1491"/>
    <d v="2024-02-10T00:00:00"/>
    <n v="7"/>
    <s v="Valid"/>
    <n v="26"/>
    <x v="1"/>
    <s v="Delayed"/>
  </r>
  <r>
    <n v="11310"/>
    <n v="5843"/>
    <s v="Laptop"/>
    <n v="45374.29"/>
    <n v="18"/>
    <x v="1"/>
    <d v="2024-02-15T00:00:00"/>
    <n v="174348.63"/>
    <s v="online"/>
    <s v="WH-B"/>
    <n v="1356"/>
    <d v="2024-02-10T00:00:00"/>
    <n v="2"/>
    <s v="Invalid Date Order"/>
    <s v=""/>
    <x v="0"/>
    <s v=""/>
  </r>
  <r>
    <n v="11311"/>
    <n v="6470"/>
    <s v="phone"/>
    <n v="75680.899999999994"/>
    <n v="19"/>
    <x v="2"/>
    <d v="2024-01-15T00:00:00"/>
    <n v="17748.29"/>
    <s v="Retail"/>
    <s v="WH-A"/>
    <n v="123"/>
    <d v="2024-04-15T00:00:00"/>
    <n v="6"/>
    <s v="Valid"/>
    <n v="91"/>
    <x v="1"/>
    <s v="Delayed"/>
  </r>
  <r>
    <n v="11312"/>
    <n v="6854"/>
    <s v="phone"/>
    <n v="39120.46"/>
    <n v="87"/>
    <x v="1"/>
    <d v="2024-04-01T00:00:00"/>
    <n v="127431.72"/>
    <s v="online"/>
    <s v="WH-C"/>
    <n v="404"/>
    <d v="2024-04-15T00:00:00"/>
    <n v="6"/>
    <s v="Valid"/>
    <n v="14"/>
    <x v="2"/>
    <s v="Delayed"/>
  </r>
  <r>
    <n v="11313"/>
    <n v="5350"/>
    <s v="Laptop"/>
    <n v="49256.27"/>
    <n v="55"/>
    <x v="3"/>
    <d v="2024-03-10T00:00:00"/>
    <n v="71251"/>
    <s v="online"/>
    <s v="WH-B"/>
    <n v="546"/>
    <d v="2024-02-10T00:00:00"/>
    <n v="2"/>
    <s v="Invalid Date Order"/>
    <s v=""/>
    <x v="3"/>
    <s v=""/>
  </r>
  <r>
    <n v="11314"/>
    <n v="6631"/>
    <s v="Laptop"/>
    <n v="35644.800000000003"/>
    <n v="82"/>
    <x v="2"/>
    <d v="2024-01-15T00:00:00"/>
    <n v="81910.11"/>
    <s v="offline"/>
    <s v="WH-C"/>
    <n v="1401"/>
    <d v="2024-02-10T00:00:00"/>
    <n v="14"/>
    <s v="Valid"/>
    <n v="26"/>
    <x v="1"/>
    <s v="Delayed"/>
  </r>
  <r>
    <n v="11315"/>
    <n v="6688"/>
    <s v="phone"/>
    <n v="87376.79"/>
    <n v="26"/>
    <x v="2"/>
    <d v="2024-01-15T00:00:00"/>
    <n v="148193.31"/>
    <s v="Retail"/>
    <s v="WH-A"/>
    <n v="1037"/>
    <d v="2024-04-15T00:00:00"/>
    <n v="4"/>
    <s v="Valid"/>
    <n v="91"/>
    <x v="1"/>
    <s v="Delayed"/>
  </r>
  <r>
    <n v="11316"/>
    <n v="5823"/>
    <s v="phone"/>
    <n v="27302.05"/>
    <n v="6"/>
    <x v="0"/>
    <d v="2024-03-10T00:00:00"/>
    <n v="96640.67"/>
    <s v="Retail"/>
    <s v="WH-C"/>
    <n v="629"/>
    <d v="2024-03-10T00:00:00"/>
    <n v="8"/>
    <s v="Valid"/>
    <n v="0"/>
    <x v="3"/>
    <s v="On Time"/>
  </r>
  <r>
    <n v="11317"/>
    <n v="6161"/>
    <s v="phone"/>
    <n v="69276.02"/>
    <n v="4"/>
    <x v="3"/>
    <d v="2024-02-15T00:00:00"/>
    <n v="136613.32999999999"/>
    <s v="online"/>
    <s v="WH-A"/>
    <n v="959"/>
    <d v="2024-02-10T00:00:00"/>
    <n v="8"/>
    <s v="Invalid Date Order"/>
    <s v=""/>
    <x v="0"/>
    <s v=""/>
  </r>
  <r>
    <n v="11318"/>
    <n v="5759"/>
    <s v="Laptop"/>
    <n v="9590.69"/>
    <n v="29"/>
    <x v="2"/>
    <d v="2024-01-15T00:00:00"/>
    <n v="91784.42"/>
    <s v="Retail"/>
    <s v="WH-B"/>
    <n v="422"/>
    <d v="2024-02-10T00:00:00"/>
    <n v="13"/>
    <s v="Valid"/>
    <n v="26"/>
    <x v="1"/>
    <s v="Delayed"/>
  </r>
  <r>
    <n v="11319"/>
    <n v="5899"/>
    <s v="phone"/>
    <n v="43485.98"/>
    <n v="59"/>
    <x v="3"/>
    <d v="2024-03-10T00:00:00"/>
    <n v="149390.1"/>
    <s v="Retail"/>
    <s v="WH-A"/>
    <n v="411"/>
    <d v="2024-03-10T00:00:00"/>
    <n v="8"/>
    <s v="Valid"/>
    <n v="0"/>
    <x v="3"/>
    <s v="On Time"/>
  </r>
  <r>
    <n v="11320"/>
    <n v="5243"/>
    <s v="phone"/>
    <n v="52767.55"/>
    <n v="98"/>
    <x v="1"/>
    <d v="2024-02-15T00:00:00"/>
    <n v="84185.97"/>
    <s v="Retail"/>
    <s v="WH-B"/>
    <n v="142"/>
    <d v="2024-04-15T00:00:00"/>
    <n v="8"/>
    <s v="Valid"/>
    <n v="60"/>
    <x v="0"/>
    <s v="Delayed"/>
  </r>
  <r>
    <n v="11321"/>
    <n v="5543"/>
    <s v="phone"/>
    <n v="50606.93"/>
    <n v="17"/>
    <x v="3"/>
    <d v="2024-04-01T00:00:00"/>
    <n v="15132.45"/>
    <s v="Retail"/>
    <s v="WH-B"/>
    <n v="1394"/>
    <d v="2024-04-15T00:00:00"/>
    <n v="1"/>
    <s v="Valid"/>
    <n v="14"/>
    <x v="2"/>
    <s v="Delayed"/>
  </r>
  <r>
    <n v="11322"/>
    <n v="6064"/>
    <s v="Laptop"/>
    <n v="10825.5"/>
    <n v="43"/>
    <x v="2"/>
    <d v="2024-03-10T00:00:00"/>
    <n v="47573.46"/>
    <s v="offline"/>
    <s v="WH-A"/>
    <n v="373"/>
    <d v="2024-03-10T00:00:00"/>
    <n v="2"/>
    <s v="Valid"/>
    <n v="0"/>
    <x v="3"/>
    <s v="On Time"/>
  </r>
  <r>
    <n v="11323"/>
    <n v="5229"/>
    <s v="phone"/>
    <n v="11213.93"/>
    <n v="80"/>
    <x v="0"/>
    <d v="2024-01-15T00:00:00"/>
    <n v="100834.39"/>
    <s v="online"/>
    <s v="WH-B"/>
    <n v="433"/>
    <d v="2024-04-15T00:00:00"/>
    <n v="12"/>
    <s v="Valid"/>
    <n v="91"/>
    <x v="1"/>
    <s v="Delayed"/>
  </r>
  <r>
    <n v="11324"/>
    <n v="5548"/>
    <s v="Laptop"/>
    <n v="63606.74"/>
    <n v="66"/>
    <x v="2"/>
    <d v="2024-04-01T00:00:00"/>
    <n v="24018.03"/>
    <s v="offline"/>
    <s v="WH-C"/>
    <n v="624"/>
    <d v="2024-04-15T00:00:00"/>
    <n v="4"/>
    <s v="Valid"/>
    <n v="14"/>
    <x v="2"/>
    <s v="Delayed"/>
  </r>
  <r>
    <n v="11325"/>
    <n v="5920"/>
    <s v="phone"/>
    <n v="16884.150000000001"/>
    <n v="34"/>
    <x v="3"/>
    <d v="2024-02-15T00:00:00"/>
    <n v="162058.44"/>
    <s v="offline"/>
    <s v="WH-B"/>
    <n v="785"/>
    <d v="2024-02-10T00:00:00"/>
    <n v="12"/>
    <s v="Invalid Date Order"/>
    <s v=""/>
    <x v="0"/>
    <s v=""/>
  </r>
  <r>
    <n v="11326"/>
    <n v="6247"/>
    <s v="phone"/>
    <n v="74042.27"/>
    <n v="8"/>
    <x v="3"/>
    <d v="2024-02-15T00:00:00"/>
    <n v="118884.38"/>
    <s v="online"/>
    <s v="WH-A"/>
    <n v="786"/>
    <d v="2024-02-10T00:00:00"/>
    <n v="9"/>
    <s v="Invalid Date Order"/>
    <s v=""/>
    <x v="0"/>
    <s v=""/>
  </r>
  <r>
    <n v="11327"/>
    <n v="5006"/>
    <s v="phone"/>
    <n v="72892.100000000006"/>
    <n v="13"/>
    <x v="2"/>
    <d v="2024-03-10T00:00:00"/>
    <n v="95885.63"/>
    <s v="Retail"/>
    <s v="WH-C"/>
    <n v="395"/>
    <d v="2024-02-10T00:00:00"/>
    <n v="3"/>
    <s v="Invalid Date Order"/>
    <s v=""/>
    <x v="3"/>
    <s v=""/>
  </r>
  <r>
    <n v="11328"/>
    <n v="6346"/>
    <s v="phone"/>
    <n v="84059.12"/>
    <n v="8"/>
    <x v="3"/>
    <d v="2024-03-10T00:00:00"/>
    <n v="102490.68"/>
    <s v="offline"/>
    <s v="WH-C"/>
    <n v="1176"/>
    <d v="2024-03-10T00:00:00"/>
    <n v="14"/>
    <s v="Valid"/>
    <n v="0"/>
    <x v="3"/>
    <s v="On Time"/>
  </r>
  <r>
    <n v="11329"/>
    <n v="5468"/>
    <s v="phone"/>
    <n v="16408.34"/>
    <n v="94"/>
    <x v="1"/>
    <d v="2024-03-10T00:00:00"/>
    <n v="90976.37"/>
    <s v="Retail"/>
    <s v="WH-B"/>
    <n v="1288"/>
    <d v="2024-04-15T00:00:00"/>
    <n v="6"/>
    <s v="Valid"/>
    <n v="36"/>
    <x v="3"/>
    <s v="Delayed"/>
  </r>
  <r>
    <n v="11330"/>
    <n v="6756"/>
    <s v="phone"/>
    <n v="8539.66"/>
    <n v="96"/>
    <x v="2"/>
    <d v="2024-02-15T00:00:00"/>
    <n v="32600.57"/>
    <s v="offline"/>
    <s v="WH-B"/>
    <n v="1265"/>
    <d v="2024-04-15T00:00:00"/>
    <n v="7"/>
    <s v="Valid"/>
    <n v="60"/>
    <x v="0"/>
    <s v="Delayed"/>
  </r>
  <r>
    <n v="11331"/>
    <n v="5075"/>
    <s v="phone"/>
    <n v="66501.19"/>
    <n v="94"/>
    <x v="0"/>
    <d v="2024-04-01T00:00:00"/>
    <n v="74026.73"/>
    <s v="offline"/>
    <s v="WH-A"/>
    <n v="768"/>
    <d v="2024-02-10T00:00:00"/>
    <n v="8"/>
    <s v="Invalid Date Order"/>
    <s v=""/>
    <x v="2"/>
    <s v=""/>
  </r>
  <r>
    <n v="11332"/>
    <n v="5004"/>
    <s v="phone"/>
    <n v="73185.77"/>
    <n v="65"/>
    <x v="2"/>
    <d v="2024-02-15T00:00:00"/>
    <n v="93723.51"/>
    <s v="online"/>
    <s v="WH-C"/>
    <n v="830"/>
    <d v="2024-02-10T00:00:00"/>
    <n v="13"/>
    <s v="Invalid Date Order"/>
    <s v=""/>
    <x v="0"/>
    <s v=""/>
  </r>
  <r>
    <n v="11333"/>
    <n v="6871"/>
    <s v="phone"/>
    <n v="20880.240000000002"/>
    <n v="43"/>
    <x v="1"/>
    <d v="2024-01-15T00:00:00"/>
    <n v="142388.97"/>
    <s v="online"/>
    <s v="WH-A"/>
    <n v="1069"/>
    <d v="2024-03-10T00:00:00"/>
    <n v="7"/>
    <s v="Valid"/>
    <n v="55"/>
    <x v="1"/>
    <s v="Delayed"/>
  </r>
  <r>
    <n v="11334"/>
    <n v="5646"/>
    <s v="phone"/>
    <n v="24967.8"/>
    <n v="39"/>
    <x v="1"/>
    <d v="2024-02-15T00:00:00"/>
    <n v="140308.1"/>
    <s v="online"/>
    <s v="WH-B"/>
    <n v="1267"/>
    <d v="2024-04-15T00:00:00"/>
    <n v="3"/>
    <s v="Valid"/>
    <n v="60"/>
    <x v="0"/>
    <s v="Delayed"/>
  </r>
  <r>
    <n v="11335"/>
    <n v="5118"/>
    <s v="Laptop"/>
    <n v="32529.58"/>
    <n v="81"/>
    <x v="1"/>
    <d v="2024-01-15T00:00:00"/>
    <n v="130777.76"/>
    <s v="offline"/>
    <s v="WH-C"/>
    <n v="1453"/>
    <d v="2024-03-10T00:00:00"/>
    <n v="6"/>
    <s v="Valid"/>
    <n v="55"/>
    <x v="1"/>
    <s v="Delayed"/>
  </r>
  <r>
    <n v="11336"/>
    <n v="5881"/>
    <s v="Laptop"/>
    <n v="9430.6299999999992"/>
    <n v="59"/>
    <x v="1"/>
    <d v="2024-04-01T00:00:00"/>
    <n v="86393.17"/>
    <s v="online"/>
    <s v="WH-A"/>
    <n v="1476"/>
    <d v="2024-04-15T00:00:00"/>
    <n v="5"/>
    <s v="Valid"/>
    <n v="14"/>
    <x v="2"/>
    <s v="Delayed"/>
  </r>
  <r>
    <n v="11337"/>
    <n v="6630"/>
    <s v="phone"/>
    <n v="12700.28"/>
    <n v="84"/>
    <x v="1"/>
    <d v="2024-03-10T00:00:00"/>
    <n v="169547.48"/>
    <s v="Retail"/>
    <s v="WH-A"/>
    <n v="713"/>
    <d v="2024-03-10T00:00:00"/>
    <n v="13"/>
    <s v="Valid"/>
    <n v="0"/>
    <x v="3"/>
    <s v="On Time"/>
  </r>
  <r>
    <n v="11338"/>
    <n v="5504"/>
    <s v="phone"/>
    <n v="35003.75"/>
    <n v="88"/>
    <x v="0"/>
    <d v="2024-03-10T00:00:00"/>
    <n v="123422.66"/>
    <s v="Retail"/>
    <s v="WH-A"/>
    <n v="649"/>
    <d v="2024-02-10T00:00:00"/>
    <n v="12"/>
    <s v="Invalid Date Order"/>
    <s v=""/>
    <x v="3"/>
    <s v=""/>
  </r>
  <r>
    <n v="11339"/>
    <n v="5947"/>
    <s v="phone"/>
    <n v="41947.89"/>
    <n v="86"/>
    <x v="3"/>
    <d v="2024-02-15T00:00:00"/>
    <n v="152332.39000000001"/>
    <s v="offline"/>
    <s v="WH-A"/>
    <n v="60"/>
    <d v="2024-03-10T00:00:00"/>
    <n v="10"/>
    <s v="Valid"/>
    <n v="24"/>
    <x v="0"/>
    <s v="Delayed"/>
  </r>
  <r>
    <n v="11340"/>
    <n v="5574"/>
    <s v="phone"/>
    <n v="33304.36"/>
    <n v="93"/>
    <x v="1"/>
    <d v="2024-03-10T00:00:00"/>
    <n v="102621.54"/>
    <s v="online"/>
    <s v="WH-A"/>
    <n v="236"/>
    <d v="2024-03-10T00:00:00"/>
    <n v="4"/>
    <s v="Valid"/>
    <n v="0"/>
    <x v="3"/>
    <s v="On Time"/>
  </r>
  <r>
    <n v="11341"/>
    <n v="6465"/>
    <s v="phone"/>
    <n v="57056.01"/>
    <n v="86"/>
    <x v="1"/>
    <d v="2024-04-01T00:00:00"/>
    <n v="89172.02"/>
    <s v="online"/>
    <s v="WH-C"/>
    <n v="775"/>
    <d v="2024-02-10T00:00:00"/>
    <n v="1"/>
    <s v="Invalid Date Order"/>
    <s v=""/>
    <x v="2"/>
    <s v=""/>
  </r>
  <r>
    <n v="11342"/>
    <n v="5194"/>
    <s v="phone"/>
    <n v="90977.39"/>
    <n v="44"/>
    <x v="2"/>
    <d v="2024-03-10T00:00:00"/>
    <n v="13347.41"/>
    <s v="online"/>
    <s v="WH-A"/>
    <n v="1088"/>
    <d v="2024-04-15T00:00:00"/>
    <n v="14"/>
    <s v="Valid"/>
    <n v="36"/>
    <x v="3"/>
    <s v="Delayed"/>
  </r>
  <r>
    <n v="11343"/>
    <n v="5847"/>
    <s v="phone"/>
    <n v="10415.200000000001"/>
    <n v="9"/>
    <x v="0"/>
    <d v="2024-02-15T00:00:00"/>
    <n v="148307.07"/>
    <s v="Retail"/>
    <s v="WH-C"/>
    <n v="827"/>
    <d v="2024-04-15T00:00:00"/>
    <n v="13"/>
    <s v="Valid"/>
    <n v="60"/>
    <x v="0"/>
    <s v="Delayed"/>
  </r>
  <r>
    <n v="11344"/>
    <n v="5715"/>
    <s v="phone"/>
    <n v="26917.64"/>
    <n v="37"/>
    <x v="0"/>
    <d v="2024-04-01T00:00:00"/>
    <n v="164991.92000000001"/>
    <s v="online"/>
    <s v="WH-A"/>
    <n v="1370"/>
    <d v="2024-02-10T00:00:00"/>
    <n v="7"/>
    <s v="Invalid Date Order"/>
    <s v=""/>
    <x v="2"/>
    <s v=""/>
  </r>
  <r>
    <n v="11345"/>
    <n v="6416"/>
    <s v="phone"/>
    <n v="26884.94"/>
    <n v="74"/>
    <x v="3"/>
    <d v="2024-01-15T00:00:00"/>
    <n v="100012.46"/>
    <s v="Retail"/>
    <s v="WH-B"/>
    <n v="460"/>
    <d v="2024-03-10T00:00:00"/>
    <n v="8"/>
    <s v="Valid"/>
    <n v="55"/>
    <x v="1"/>
    <s v="Delayed"/>
  </r>
  <r>
    <n v="11346"/>
    <n v="6050"/>
    <s v="phone"/>
    <n v="15074.81"/>
    <n v="36"/>
    <x v="0"/>
    <d v="2024-02-15T00:00:00"/>
    <n v="169467.06"/>
    <s v="online"/>
    <s v="WH-B"/>
    <n v="1005"/>
    <d v="2024-03-10T00:00:00"/>
    <n v="2"/>
    <s v="Valid"/>
    <n v="24"/>
    <x v="0"/>
    <s v="Delayed"/>
  </r>
  <r>
    <n v="11347"/>
    <n v="6459"/>
    <s v="phone"/>
    <n v="83281.84"/>
    <n v="92"/>
    <x v="2"/>
    <d v="2024-01-15T00:00:00"/>
    <n v="34966.480000000003"/>
    <s v="online"/>
    <s v="WH-A"/>
    <n v="634"/>
    <d v="2024-03-10T00:00:00"/>
    <n v="7"/>
    <s v="Valid"/>
    <n v="55"/>
    <x v="1"/>
    <s v="Delayed"/>
  </r>
  <r>
    <n v="11348"/>
    <n v="5173"/>
    <s v="phone"/>
    <n v="81503.23"/>
    <n v="28"/>
    <x v="2"/>
    <d v="2024-04-01T00:00:00"/>
    <n v="91814.53"/>
    <s v="offline"/>
    <s v="WH-B"/>
    <n v="1125"/>
    <d v="2024-04-15T00:00:00"/>
    <n v="6"/>
    <s v="Valid"/>
    <n v="14"/>
    <x v="2"/>
    <s v="Delayed"/>
  </r>
  <r>
    <n v="11349"/>
    <n v="6324"/>
    <s v="phone"/>
    <n v="46139.5"/>
    <n v="42"/>
    <x v="3"/>
    <d v="2024-02-15T00:00:00"/>
    <n v="178544.52"/>
    <s v="offline"/>
    <s v="WH-C"/>
    <n v="1101"/>
    <d v="2024-03-10T00:00:00"/>
    <n v="5"/>
    <s v="Valid"/>
    <n v="24"/>
    <x v="0"/>
    <s v="Delayed"/>
  </r>
  <r>
    <n v="11350"/>
    <n v="6669"/>
    <s v="phone"/>
    <n v="56237.760000000002"/>
    <n v="43"/>
    <x v="2"/>
    <d v="2024-02-15T00:00:00"/>
    <n v="104826.2"/>
    <s v="online"/>
    <s v="WH-A"/>
    <n v="626"/>
    <d v="2024-04-15T00:00:00"/>
    <n v="13"/>
    <s v="Valid"/>
    <n v="60"/>
    <x v="0"/>
    <s v="Delayed"/>
  </r>
  <r>
    <n v="11351"/>
    <n v="5326"/>
    <s v="phone"/>
    <n v="34840.58"/>
    <n v="85"/>
    <x v="1"/>
    <d v="2024-04-01T00:00:00"/>
    <n v="23665.119999999999"/>
    <s v="online"/>
    <s v="WH-C"/>
    <n v="1090"/>
    <d v="2024-03-10T00:00:00"/>
    <n v="4"/>
    <s v="Invalid Date Order"/>
    <s v=""/>
    <x v="2"/>
    <s v=""/>
  </r>
  <r>
    <n v="11352"/>
    <n v="6434"/>
    <s v="phone"/>
    <n v="59340.41"/>
    <n v="88"/>
    <x v="1"/>
    <d v="2024-03-10T00:00:00"/>
    <n v="110325.62"/>
    <s v="online"/>
    <s v="WH-A"/>
    <n v="1424"/>
    <d v="2024-02-10T00:00:00"/>
    <n v="2"/>
    <s v="Invalid Date Order"/>
    <s v=""/>
    <x v="3"/>
    <s v=""/>
  </r>
  <r>
    <n v="11353"/>
    <n v="6142"/>
    <s v="phone"/>
    <n v="50567.57"/>
    <n v="42"/>
    <x v="2"/>
    <d v="2024-02-15T00:00:00"/>
    <n v="63413.4"/>
    <s v="offline"/>
    <s v="WH-B"/>
    <n v="1302"/>
    <d v="2024-02-10T00:00:00"/>
    <n v="10"/>
    <s v="Invalid Date Order"/>
    <s v=""/>
    <x v="0"/>
    <s v=""/>
  </r>
  <r>
    <n v="11354"/>
    <n v="5836"/>
    <s v="Laptop"/>
    <n v="41563.279999999999"/>
    <n v="66"/>
    <x v="3"/>
    <d v="2024-02-15T00:00:00"/>
    <n v="169975.78"/>
    <s v="Retail"/>
    <s v="WH-C"/>
    <n v="1038"/>
    <d v="2024-04-15T00:00:00"/>
    <n v="6"/>
    <s v="Valid"/>
    <n v="60"/>
    <x v="0"/>
    <s v="Delayed"/>
  </r>
  <r>
    <n v="11355"/>
    <n v="6811"/>
    <s v="phone"/>
    <n v="74331.429999999993"/>
    <n v="55"/>
    <x v="0"/>
    <d v="2024-01-15T00:00:00"/>
    <n v="122740.62"/>
    <s v="online"/>
    <s v="WH-B"/>
    <n v="1283"/>
    <d v="2024-04-15T00:00:00"/>
    <n v="5"/>
    <s v="Valid"/>
    <n v="91"/>
    <x v="1"/>
    <s v="Delayed"/>
  </r>
  <r>
    <n v="11356"/>
    <n v="5724"/>
    <s v="phone"/>
    <n v="54173.34"/>
    <n v="72"/>
    <x v="3"/>
    <d v="2024-03-10T00:00:00"/>
    <n v="35698.480000000003"/>
    <s v="online"/>
    <s v="WH-B"/>
    <n v="1367"/>
    <d v="2024-02-10T00:00:00"/>
    <n v="2"/>
    <s v="Invalid Date Order"/>
    <s v=""/>
    <x v="3"/>
    <s v=""/>
  </r>
  <r>
    <n v="11357"/>
    <n v="5225"/>
    <s v="phone"/>
    <n v="17200.2"/>
    <n v="48"/>
    <x v="0"/>
    <d v="2024-01-15T00:00:00"/>
    <n v="97396.87"/>
    <s v="offline"/>
    <s v="WH-A"/>
    <n v="792"/>
    <d v="2024-02-10T00:00:00"/>
    <n v="10"/>
    <s v="Valid"/>
    <n v="26"/>
    <x v="1"/>
    <s v="Delayed"/>
  </r>
  <r>
    <n v="11358"/>
    <n v="5532"/>
    <s v="phone"/>
    <n v="28583.42"/>
    <n v="91"/>
    <x v="2"/>
    <d v="2024-01-15T00:00:00"/>
    <n v="146745.37"/>
    <s v="online"/>
    <s v="WH-C"/>
    <n v="1177"/>
    <d v="2024-03-10T00:00:00"/>
    <n v="7"/>
    <s v="Valid"/>
    <n v="55"/>
    <x v="1"/>
    <s v="Delayed"/>
  </r>
  <r>
    <n v="11359"/>
    <n v="5113"/>
    <s v="Laptop"/>
    <n v="96336.84"/>
    <n v="22"/>
    <x v="2"/>
    <d v="2024-03-10T00:00:00"/>
    <n v="61828.9"/>
    <s v="offline"/>
    <s v="WH-B"/>
    <n v="253"/>
    <d v="2024-02-10T00:00:00"/>
    <n v="6"/>
    <s v="Invalid Date Order"/>
    <s v=""/>
    <x v="3"/>
    <s v=""/>
  </r>
  <r>
    <n v="11360"/>
    <n v="5140"/>
    <s v="Laptop"/>
    <n v="81079.64"/>
    <n v="27"/>
    <x v="1"/>
    <d v="2024-03-10T00:00:00"/>
    <n v="140805.82"/>
    <s v="offline"/>
    <s v="WH-A"/>
    <n v="1126"/>
    <d v="2024-04-15T00:00:00"/>
    <n v="12"/>
    <s v="Valid"/>
    <n v="36"/>
    <x v="3"/>
    <s v="Delayed"/>
  </r>
  <r>
    <n v="11361"/>
    <n v="5559"/>
    <s v="phone"/>
    <n v="21273.21"/>
    <n v="93"/>
    <x v="0"/>
    <d v="2024-04-01T00:00:00"/>
    <n v="71131.34"/>
    <s v="offline"/>
    <s v="WH-A"/>
    <n v="1023"/>
    <d v="2024-02-10T00:00:00"/>
    <n v="11"/>
    <s v="Invalid Date Order"/>
    <s v=""/>
    <x v="2"/>
    <s v=""/>
  </r>
  <r>
    <n v="11362"/>
    <n v="5001"/>
    <s v="phone"/>
    <n v="14514.88"/>
    <n v="67"/>
    <x v="3"/>
    <d v="2024-03-10T00:00:00"/>
    <n v="90033.87"/>
    <s v="offline"/>
    <s v="WH-A"/>
    <n v="989"/>
    <d v="2024-04-15T00:00:00"/>
    <n v="9"/>
    <s v="Valid"/>
    <n v="36"/>
    <x v="3"/>
    <s v="Delayed"/>
  </r>
  <r>
    <n v="11363"/>
    <n v="5090"/>
    <s v="phone"/>
    <n v="39062.620000000003"/>
    <n v="13"/>
    <x v="2"/>
    <d v="2024-02-15T00:00:00"/>
    <n v="121136.1"/>
    <s v="Retail"/>
    <s v="WH-B"/>
    <n v="1448"/>
    <d v="2024-04-15T00:00:00"/>
    <n v="11"/>
    <s v="Valid"/>
    <n v="60"/>
    <x v="0"/>
    <s v="Delayed"/>
  </r>
  <r>
    <n v="11364"/>
    <n v="5654"/>
    <s v="phone"/>
    <n v="67186.570000000007"/>
    <n v="45"/>
    <x v="3"/>
    <d v="2024-03-10T00:00:00"/>
    <n v="47316.47"/>
    <s v="Retail"/>
    <s v="WH-A"/>
    <n v="1127"/>
    <d v="2024-03-10T00:00:00"/>
    <n v="10"/>
    <s v="Valid"/>
    <n v="0"/>
    <x v="3"/>
    <s v="On Time"/>
  </r>
  <r>
    <n v="11365"/>
    <n v="5320"/>
    <s v="phone"/>
    <n v="90131.74"/>
    <n v="10"/>
    <x v="1"/>
    <d v="2024-04-01T00:00:00"/>
    <n v="82836.11"/>
    <s v="online"/>
    <s v="WH-C"/>
    <n v="1349"/>
    <d v="2024-03-10T00:00:00"/>
    <n v="5"/>
    <s v="Invalid Date Order"/>
    <s v=""/>
    <x v="2"/>
    <s v=""/>
  </r>
  <r>
    <n v="11366"/>
    <n v="6574"/>
    <s v="phone"/>
    <n v="58000.76"/>
    <n v="9"/>
    <x v="0"/>
    <d v="2024-04-01T00:00:00"/>
    <n v="128000.74"/>
    <s v="offline"/>
    <s v="WH-C"/>
    <n v="1408"/>
    <d v="2024-03-10T00:00:00"/>
    <n v="9"/>
    <s v="Invalid Date Order"/>
    <s v=""/>
    <x v="2"/>
    <s v=""/>
  </r>
  <r>
    <n v="11367"/>
    <n v="6829"/>
    <s v="phone"/>
    <n v="21055.88"/>
    <n v="54"/>
    <x v="0"/>
    <d v="2024-04-01T00:00:00"/>
    <n v="117074.56"/>
    <s v="Retail"/>
    <s v="WH-B"/>
    <n v="1104"/>
    <d v="2024-03-10T00:00:00"/>
    <n v="9"/>
    <s v="Invalid Date Order"/>
    <s v=""/>
    <x v="2"/>
    <s v=""/>
  </r>
  <r>
    <n v="11368"/>
    <n v="6918"/>
    <s v="phone"/>
    <n v="92117.27"/>
    <n v="27"/>
    <x v="2"/>
    <d v="2024-03-10T00:00:00"/>
    <n v="42778.74"/>
    <s v="online"/>
    <s v="WH-C"/>
    <n v="1208"/>
    <d v="2024-02-10T00:00:00"/>
    <n v="13"/>
    <s v="Invalid Date Order"/>
    <s v=""/>
    <x v="3"/>
    <s v=""/>
  </r>
  <r>
    <n v="11369"/>
    <n v="5139"/>
    <s v="phone"/>
    <n v="52952.15"/>
    <n v="34"/>
    <x v="0"/>
    <d v="2024-03-10T00:00:00"/>
    <n v="138314.31"/>
    <s v="offline"/>
    <s v="WH-A"/>
    <n v="1131"/>
    <d v="2024-03-10T00:00:00"/>
    <n v="1"/>
    <s v="Valid"/>
    <n v="0"/>
    <x v="3"/>
    <s v="On Time"/>
  </r>
  <r>
    <n v="11370"/>
    <n v="6535"/>
    <s v="phone"/>
    <n v="86833.95"/>
    <n v="1"/>
    <x v="2"/>
    <d v="2024-01-15T00:00:00"/>
    <n v="156804.23000000001"/>
    <s v="online"/>
    <s v="WH-B"/>
    <n v="154"/>
    <d v="2024-02-10T00:00:00"/>
    <n v="5"/>
    <s v="Valid"/>
    <n v="26"/>
    <x v="1"/>
    <s v="Delayed"/>
  </r>
  <r>
    <n v="11371"/>
    <n v="6892"/>
    <s v="phone"/>
    <n v="27013.03"/>
    <n v="32"/>
    <x v="1"/>
    <d v="2024-01-15T00:00:00"/>
    <n v="30201.64"/>
    <s v="Retail"/>
    <s v="WH-A"/>
    <n v="1339"/>
    <d v="2024-03-10T00:00:00"/>
    <n v="9"/>
    <s v="Valid"/>
    <n v="55"/>
    <x v="1"/>
    <s v="Delayed"/>
  </r>
  <r>
    <n v="11372"/>
    <n v="5845"/>
    <s v="phone"/>
    <n v="73784.59"/>
    <n v="89"/>
    <x v="0"/>
    <d v="2024-02-15T00:00:00"/>
    <n v="82956.73"/>
    <s v="online"/>
    <s v="WH-B"/>
    <n v="302"/>
    <d v="2024-03-10T00:00:00"/>
    <n v="7"/>
    <s v="Valid"/>
    <n v="24"/>
    <x v="0"/>
    <s v="Delayed"/>
  </r>
  <r>
    <n v="11373"/>
    <n v="5259"/>
    <s v="phone"/>
    <n v="44764.19"/>
    <n v="93"/>
    <x v="2"/>
    <d v="2024-01-15T00:00:00"/>
    <n v="94663.92"/>
    <s v="online"/>
    <s v="WH-B"/>
    <n v="344"/>
    <d v="2024-04-15T00:00:00"/>
    <n v="6"/>
    <s v="Valid"/>
    <n v="91"/>
    <x v="1"/>
    <s v="Delayed"/>
  </r>
  <r>
    <n v="11374"/>
    <n v="6697"/>
    <s v="phone"/>
    <n v="62772.97"/>
    <n v="71"/>
    <x v="3"/>
    <d v="2024-02-15T00:00:00"/>
    <n v="41356.080000000002"/>
    <s v="offline"/>
    <s v="WH-A"/>
    <n v="717"/>
    <d v="2024-02-10T00:00:00"/>
    <n v="6"/>
    <s v="Invalid Date Order"/>
    <s v=""/>
    <x v="0"/>
    <s v=""/>
  </r>
  <r>
    <n v="11375"/>
    <n v="5902"/>
    <s v="phone"/>
    <n v="26811.24"/>
    <n v="67"/>
    <x v="2"/>
    <d v="2024-04-01T00:00:00"/>
    <n v="152732.63"/>
    <s v="offline"/>
    <s v="WH-C"/>
    <n v="1231"/>
    <d v="2024-04-15T00:00:00"/>
    <n v="11"/>
    <s v="Valid"/>
    <n v="14"/>
    <x v="2"/>
    <s v="Delayed"/>
  </r>
  <r>
    <n v="11376"/>
    <n v="5690"/>
    <s v="Laptop"/>
    <n v="50768.18"/>
    <n v="84"/>
    <x v="0"/>
    <d v="2024-01-15T00:00:00"/>
    <n v="148875.29999999999"/>
    <s v="offline"/>
    <s v="WH-C"/>
    <n v="598"/>
    <d v="2024-03-10T00:00:00"/>
    <n v="7"/>
    <s v="Valid"/>
    <n v="55"/>
    <x v="1"/>
    <s v="Delayed"/>
  </r>
  <r>
    <n v="11377"/>
    <n v="5010"/>
    <s v="phone"/>
    <n v="41640.129999999997"/>
    <n v="20"/>
    <x v="1"/>
    <d v="2024-03-10T00:00:00"/>
    <n v="109431.24"/>
    <s v="Retail"/>
    <s v="WH-B"/>
    <n v="680"/>
    <d v="2024-02-10T00:00:00"/>
    <n v="1"/>
    <s v="Invalid Date Order"/>
    <s v=""/>
    <x v="3"/>
    <s v=""/>
  </r>
  <r>
    <n v="11378"/>
    <n v="5261"/>
    <s v="phone"/>
    <n v="27768.19"/>
    <n v="94"/>
    <x v="0"/>
    <d v="2024-01-15T00:00:00"/>
    <n v="39125.800000000003"/>
    <s v="online"/>
    <s v="WH-A"/>
    <n v="1140"/>
    <d v="2024-03-10T00:00:00"/>
    <n v="4"/>
    <s v="Valid"/>
    <n v="55"/>
    <x v="1"/>
    <s v="Delayed"/>
  </r>
  <r>
    <n v="11379"/>
    <n v="6943"/>
    <s v="phone"/>
    <n v="35827.07"/>
    <n v="35"/>
    <x v="0"/>
    <d v="2024-02-15T00:00:00"/>
    <n v="174005.44"/>
    <s v="online"/>
    <s v="WH-A"/>
    <n v="348"/>
    <d v="2024-04-15T00:00:00"/>
    <n v="13"/>
    <s v="Valid"/>
    <n v="60"/>
    <x v="0"/>
    <s v="Delayed"/>
  </r>
  <r>
    <n v="11380"/>
    <n v="6674"/>
    <s v="Laptop"/>
    <n v="68029.06"/>
    <n v="99"/>
    <x v="2"/>
    <d v="2024-01-15T00:00:00"/>
    <n v="88695.93"/>
    <s v="online"/>
    <s v="WH-B"/>
    <n v="150"/>
    <d v="2024-02-10T00:00:00"/>
    <n v="1"/>
    <s v="Valid"/>
    <n v="26"/>
    <x v="1"/>
    <s v="Delayed"/>
  </r>
  <r>
    <n v="11381"/>
    <n v="5172"/>
    <s v="phone"/>
    <n v="56136.07"/>
    <n v="91"/>
    <x v="3"/>
    <d v="2024-04-01T00:00:00"/>
    <n v="84662.65"/>
    <s v="Retail"/>
    <s v="WH-C"/>
    <n v="1129"/>
    <d v="2024-04-15T00:00:00"/>
    <n v="6"/>
    <s v="Valid"/>
    <n v="14"/>
    <x v="2"/>
    <s v="Delayed"/>
  </r>
  <r>
    <n v="11382"/>
    <n v="5898"/>
    <s v="phone"/>
    <n v="77159.89"/>
    <n v="90"/>
    <x v="0"/>
    <d v="2024-03-10T00:00:00"/>
    <n v="60806.06"/>
    <s v="online"/>
    <s v="WH-A"/>
    <n v="381"/>
    <d v="2024-03-10T00:00:00"/>
    <n v="14"/>
    <s v="Valid"/>
    <n v="0"/>
    <x v="3"/>
    <s v="On Time"/>
  </r>
  <r>
    <n v="11383"/>
    <n v="5013"/>
    <s v="phone"/>
    <n v="88032.43"/>
    <n v="78"/>
    <x v="3"/>
    <d v="2024-02-15T00:00:00"/>
    <n v="40842.629999999997"/>
    <s v="Retail"/>
    <s v="WH-C"/>
    <n v="885"/>
    <d v="2024-03-10T00:00:00"/>
    <n v="13"/>
    <s v="Valid"/>
    <n v="24"/>
    <x v="0"/>
    <s v="Delayed"/>
  </r>
  <r>
    <n v="11384"/>
    <n v="6192"/>
    <s v="phone"/>
    <n v="39742.5"/>
    <n v="17"/>
    <x v="2"/>
    <d v="2024-03-10T00:00:00"/>
    <n v="149783.07999999999"/>
    <s v="offline"/>
    <s v="WH-C"/>
    <n v="442"/>
    <d v="2024-03-10T00:00:00"/>
    <n v="4"/>
    <s v="Valid"/>
    <n v="0"/>
    <x v="3"/>
    <s v="On Time"/>
  </r>
  <r>
    <n v="11385"/>
    <n v="6666"/>
    <s v="phone"/>
    <n v="86502.47"/>
    <n v="18"/>
    <x v="3"/>
    <d v="2024-03-10T00:00:00"/>
    <n v="98631.37"/>
    <s v="online"/>
    <s v="WH-B"/>
    <n v="923"/>
    <d v="2024-02-10T00:00:00"/>
    <n v="1"/>
    <s v="Invalid Date Order"/>
    <s v=""/>
    <x v="3"/>
    <s v=""/>
  </r>
  <r>
    <n v="11386"/>
    <n v="6620"/>
    <s v="phone"/>
    <n v="60654.17"/>
    <n v="45"/>
    <x v="2"/>
    <d v="2024-02-15T00:00:00"/>
    <n v="159487.04000000001"/>
    <s v="offline"/>
    <s v="WH-B"/>
    <n v="430"/>
    <d v="2024-04-15T00:00:00"/>
    <n v="9"/>
    <s v="Valid"/>
    <n v="60"/>
    <x v="0"/>
    <s v="Delayed"/>
  </r>
  <r>
    <n v="11387"/>
    <n v="5321"/>
    <s v="Laptop"/>
    <n v="85177.21"/>
    <n v="93"/>
    <x v="1"/>
    <d v="2024-03-10T00:00:00"/>
    <n v="28953.85"/>
    <s v="online"/>
    <s v="WH-C"/>
    <n v="141"/>
    <d v="2024-04-15T00:00:00"/>
    <n v="12"/>
    <s v="Valid"/>
    <n v="36"/>
    <x v="3"/>
    <s v="Delayed"/>
  </r>
  <r>
    <n v="11388"/>
    <n v="6343"/>
    <s v="Laptop"/>
    <n v="35865.79"/>
    <n v="84"/>
    <x v="3"/>
    <d v="2024-03-10T00:00:00"/>
    <n v="88292.98"/>
    <s v="offline"/>
    <s v="WH-A"/>
    <n v="496"/>
    <d v="2024-03-10T00:00:00"/>
    <n v="4"/>
    <s v="Valid"/>
    <n v="0"/>
    <x v="3"/>
    <s v="On Time"/>
  </r>
  <r>
    <n v="11389"/>
    <n v="6637"/>
    <s v="Laptop"/>
    <n v="24510.39"/>
    <n v="53"/>
    <x v="3"/>
    <d v="2024-01-15T00:00:00"/>
    <n v="14109.24"/>
    <s v="online"/>
    <s v="WH-A"/>
    <n v="158"/>
    <d v="2024-04-15T00:00:00"/>
    <n v="12"/>
    <s v="Valid"/>
    <n v="91"/>
    <x v="1"/>
    <s v="Delayed"/>
  </r>
  <r>
    <n v="11390"/>
    <n v="5329"/>
    <s v="phone"/>
    <n v="78546.03"/>
    <n v="91"/>
    <x v="1"/>
    <d v="2024-03-10T00:00:00"/>
    <n v="34210.36"/>
    <s v="offline"/>
    <s v="WH-B"/>
    <n v="366"/>
    <d v="2024-02-10T00:00:00"/>
    <n v="6"/>
    <s v="Invalid Date Order"/>
    <s v=""/>
    <x v="3"/>
    <s v=""/>
  </r>
  <r>
    <n v="11391"/>
    <n v="5785"/>
    <s v="phone"/>
    <n v="78156.160000000003"/>
    <n v="82"/>
    <x v="3"/>
    <d v="2024-03-10T00:00:00"/>
    <n v="43815.58"/>
    <s v="online"/>
    <s v="WH-C"/>
    <n v="1241"/>
    <d v="2024-03-10T00:00:00"/>
    <n v="13"/>
    <s v="Valid"/>
    <n v="0"/>
    <x v="3"/>
    <s v="On Time"/>
  </r>
  <r>
    <n v="11392"/>
    <n v="5777"/>
    <s v="phone"/>
    <n v="92094.37"/>
    <n v="68"/>
    <x v="1"/>
    <d v="2024-03-10T00:00:00"/>
    <n v="63662.879999999997"/>
    <s v="online"/>
    <s v="WH-A"/>
    <n v="491"/>
    <d v="2024-03-10T00:00:00"/>
    <n v="7"/>
    <s v="Valid"/>
    <n v="0"/>
    <x v="3"/>
    <s v="On Time"/>
  </r>
  <r>
    <n v="11393"/>
    <n v="6995"/>
    <s v="phone"/>
    <n v="64889.84"/>
    <n v="65"/>
    <x v="0"/>
    <d v="2024-03-10T00:00:00"/>
    <n v="136689.9"/>
    <s v="offline"/>
    <s v="WH-A"/>
    <n v="267"/>
    <d v="2024-03-10T00:00:00"/>
    <n v="8"/>
    <s v="Valid"/>
    <n v="0"/>
    <x v="3"/>
    <s v="On Time"/>
  </r>
  <r>
    <n v="11394"/>
    <n v="5911"/>
    <s v="phone"/>
    <n v="83481.61"/>
    <n v="1"/>
    <x v="2"/>
    <d v="2024-02-15T00:00:00"/>
    <n v="97541.01"/>
    <s v="Retail"/>
    <s v="WH-B"/>
    <n v="1295"/>
    <d v="2024-02-10T00:00:00"/>
    <n v="12"/>
    <s v="Invalid Date Order"/>
    <s v=""/>
    <x v="0"/>
    <s v=""/>
  </r>
  <r>
    <n v="11395"/>
    <n v="6944"/>
    <s v="Laptop"/>
    <n v="67327.320000000007"/>
    <n v="58"/>
    <x v="1"/>
    <d v="2024-04-01T00:00:00"/>
    <n v="75283.16"/>
    <s v="online"/>
    <s v="WH-C"/>
    <n v="722"/>
    <d v="2024-03-10T00:00:00"/>
    <n v="13"/>
    <s v="Invalid Date Order"/>
    <s v=""/>
    <x v="2"/>
    <s v=""/>
  </r>
  <r>
    <n v="11396"/>
    <n v="6574"/>
    <s v="Laptop"/>
    <n v="42468.95"/>
    <n v="26"/>
    <x v="3"/>
    <d v="2024-01-15T00:00:00"/>
    <n v="54989.3"/>
    <s v="Retail"/>
    <s v="WH-A"/>
    <n v="327"/>
    <d v="2024-03-10T00:00:00"/>
    <n v="11"/>
    <s v="Valid"/>
    <n v="55"/>
    <x v="1"/>
    <s v="Delayed"/>
  </r>
  <r>
    <n v="11397"/>
    <n v="6443"/>
    <s v="phone"/>
    <n v="40887.1"/>
    <n v="20"/>
    <x v="1"/>
    <d v="2024-03-10T00:00:00"/>
    <n v="100290.97"/>
    <s v="Retail"/>
    <s v="WH-B"/>
    <n v="1058"/>
    <d v="2024-03-10T00:00:00"/>
    <n v="9"/>
    <s v="Valid"/>
    <n v="0"/>
    <x v="3"/>
    <s v="On Time"/>
  </r>
  <r>
    <n v="11398"/>
    <n v="6630"/>
    <s v="phone"/>
    <n v="58250.57"/>
    <n v="87"/>
    <x v="3"/>
    <d v="2024-03-10T00:00:00"/>
    <n v="112992.1"/>
    <s v="offline"/>
    <s v="WH-A"/>
    <n v="618"/>
    <d v="2024-03-10T00:00:00"/>
    <n v="9"/>
    <s v="Valid"/>
    <n v="0"/>
    <x v="3"/>
    <s v="On Time"/>
  </r>
  <r>
    <n v="11399"/>
    <n v="6119"/>
    <s v="Laptop"/>
    <n v="19524.73"/>
    <n v="10"/>
    <x v="0"/>
    <d v="2024-02-15T00:00:00"/>
    <n v="177842.75"/>
    <s v="online"/>
    <s v="WH-A"/>
    <n v="1059"/>
    <d v="2024-04-15T00:00:00"/>
    <n v="8"/>
    <s v="Valid"/>
    <n v="60"/>
    <x v="0"/>
    <s v="Delayed"/>
  </r>
  <r>
    <n v="11400"/>
    <n v="6841"/>
    <s v="Laptop"/>
    <n v="59970.58"/>
    <n v="59"/>
    <x v="1"/>
    <d v="2024-04-01T00:00:00"/>
    <n v="28975.26"/>
    <s v="online"/>
    <s v="WH-A"/>
    <n v="924"/>
    <d v="2024-03-10T00:00:00"/>
    <n v="10"/>
    <s v="Invalid Date Order"/>
    <s v=""/>
    <x v="2"/>
    <s v=""/>
  </r>
  <r>
    <n v="11401"/>
    <n v="6605"/>
    <s v="phone"/>
    <n v="33097.71"/>
    <n v="75"/>
    <x v="0"/>
    <d v="2024-03-10T00:00:00"/>
    <n v="27671.58"/>
    <s v="Retail"/>
    <s v="WH-B"/>
    <n v="515"/>
    <d v="2024-02-10T00:00:00"/>
    <n v="11"/>
    <s v="Invalid Date Order"/>
    <s v=""/>
    <x v="3"/>
    <s v=""/>
  </r>
  <r>
    <n v="11402"/>
    <n v="5318"/>
    <s v="phone"/>
    <n v="14575.03"/>
    <n v="41"/>
    <x v="2"/>
    <d v="2024-02-15T00:00:00"/>
    <n v="34899.56"/>
    <s v="offline"/>
    <s v="WH-C"/>
    <n v="888"/>
    <d v="2024-03-10T00:00:00"/>
    <n v="12"/>
    <s v="Valid"/>
    <n v="24"/>
    <x v="0"/>
    <s v="Delayed"/>
  </r>
  <r>
    <n v="11403"/>
    <n v="6980"/>
    <s v="phone"/>
    <n v="9463.7199999999993"/>
    <n v="5"/>
    <x v="3"/>
    <d v="2024-01-15T00:00:00"/>
    <n v="103553.57"/>
    <s v="online"/>
    <s v="WH-B"/>
    <n v="803"/>
    <d v="2024-03-10T00:00:00"/>
    <n v="12"/>
    <s v="Valid"/>
    <n v="55"/>
    <x v="1"/>
    <s v="Delayed"/>
  </r>
  <r>
    <n v="11404"/>
    <n v="5236"/>
    <s v="phone"/>
    <n v="44397.63"/>
    <n v="65"/>
    <x v="3"/>
    <d v="2024-01-15T00:00:00"/>
    <n v="149793.89000000001"/>
    <s v="Retail"/>
    <s v="WH-C"/>
    <n v="887"/>
    <d v="2024-04-15T00:00:00"/>
    <n v="14"/>
    <s v="Valid"/>
    <n v="91"/>
    <x v="1"/>
    <s v="Delayed"/>
  </r>
  <r>
    <n v="11405"/>
    <n v="6970"/>
    <s v="phone"/>
    <n v="84309.53"/>
    <n v="17"/>
    <x v="0"/>
    <d v="2024-03-10T00:00:00"/>
    <n v="129402.57"/>
    <s v="online"/>
    <s v="WH-A"/>
    <n v="79"/>
    <d v="2024-03-10T00:00:00"/>
    <n v="3"/>
    <s v="Valid"/>
    <n v="0"/>
    <x v="3"/>
    <s v="On Time"/>
  </r>
  <r>
    <n v="11406"/>
    <n v="5334"/>
    <s v="Laptop"/>
    <n v="27019.47"/>
    <n v="22"/>
    <x v="2"/>
    <d v="2024-03-10T00:00:00"/>
    <n v="134505.71"/>
    <s v="offline"/>
    <s v="WH-C"/>
    <n v="408"/>
    <d v="2024-04-15T00:00:00"/>
    <n v="12"/>
    <s v="Valid"/>
    <n v="36"/>
    <x v="3"/>
    <s v="Delayed"/>
  </r>
  <r>
    <n v="11407"/>
    <n v="6909"/>
    <s v="phone"/>
    <n v="30313.53"/>
    <n v="98"/>
    <x v="1"/>
    <d v="2024-04-01T00:00:00"/>
    <n v="34102.32"/>
    <s v="offline"/>
    <s v="WH-A"/>
    <n v="1361"/>
    <d v="2024-02-10T00:00:00"/>
    <n v="2"/>
    <s v="Invalid Date Order"/>
    <s v=""/>
    <x v="2"/>
    <s v=""/>
  </r>
  <r>
    <n v="11408"/>
    <n v="5376"/>
    <s v="Laptop"/>
    <n v="69793.149999999994"/>
    <n v="41"/>
    <x v="1"/>
    <d v="2024-04-01T00:00:00"/>
    <n v="59335.5"/>
    <s v="offline"/>
    <s v="WH-A"/>
    <n v="135"/>
    <d v="2024-04-15T00:00:00"/>
    <n v="5"/>
    <s v="Valid"/>
    <n v="14"/>
    <x v="2"/>
    <s v="Delayed"/>
  </r>
  <r>
    <n v="11409"/>
    <n v="6483"/>
    <s v="Laptop"/>
    <n v="90560.24"/>
    <n v="93"/>
    <x v="3"/>
    <d v="2024-03-10T00:00:00"/>
    <n v="125139.91"/>
    <s v="online"/>
    <s v="WH-B"/>
    <n v="1307"/>
    <d v="2024-03-10T00:00:00"/>
    <n v="1"/>
    <s v="Valid"/>
    <n v="0"/>
    <x v="3"/>
    <s v="On Time"/>
  </r>
  <r>
    <n v="11410"/>
    <n v="6161"/>
    <s v="phone"/>
    <n v="55085.67"/>
    <n v="68"/>
    <x v="0"/>
    <d v="2024-02-15T00:00:00"/>
    <n v="92364.62"/>
    <s v="online"/>
    <s v="WH-A"/>
    <n v="796"/>
    <d v="2024-02-10T00:00:00"/>
    <n v="3"/>
    <s v="Invalid Date Order"/>
    <s v=""/>
    <x v="0"/>
    <s v=""/>
  </r>
  <r>
    <n v="11411"/>
    <n v="6954"/>
    <s v="phone"/>
    <n v="85047.24"/>
    <n v="69"/>
    <x v="0"/>
    <d v="2024-04-01T00:00:00"/>
    <n v="29288.61"/>
    <s v="online"/>
    <s v="WH-B"/>
    <n v="362"/>
    <d v="2024-03-10T00:00:00"/>
    <n v="1"/>
    <s v="Invalid Date Order"/>
    <s v=""/>
    <x v="2"/>
    <s v=""/>
  </r>
  <r>
    <n v="11412"/>
    <n v="5588"/>
    <s v="phone"/>
    <n v="70883.039999999994"/>
    <n v="11"/>
    <x v="1"/>
    <d v="2024-03-10T00:00:00"/>
    <n v="41243.660000000003"/>
    <s v="online"/>
    <s v="WH-C"/>
    <n v="414"/>
    <d v="2024-04-15T00:00:00"/>
    <n v="13"/>
    <s v="Valid"/>
    <n v="36"/>
    <x v="3"/>
    <s v="Delayed"/>
  </r>
  <r>
    <n v="11413"/>
    <n v="6571"/>
    <s v="Laptop"/>
    <n v="94561.66"/>
    <n v="56"/>
    <x v="2"/>
    <d v="2024-04-01T00:00:00"/>
    <n v="84261.7"/>
    <s v="offline"/>
    <s v="WH-C"/>
    <n v="954"/>
    <d v="2024-02-10T00:00:00"/>
    <n v="3"/>
    <s v="Invalid Date Order"/>
    <s v=""/>
    <x v="2"/>
    <s v=""/>
  </r>
  <r>
    <n v="11414"/>
    <n v="5513"/>
    <s v="phone"/>
    <n v="13512.77"/>
    <n v="51"/>
    <x v="2"/>
    <d v="2024-03-10T00:00:00"/>
    <n v="36135.61"/>
    <s v="Retail"/>
    <s v="WH-A"/>
    <n v="1342"/>
    <d v="2024-02-10T00:00:00"/>
    <n v="13"/>
    <s v="Invalid Date Order"/>
    <s v=""/>
    <x v="3"/>
    <s v=""/>
  </r>
  <r>
    <n v="11415"/>
    <n v="6320"/>
    <s v="phone"/>
    <n v="99902.63"/>
    <n v="21"/>
    <x v="1"/>
    <d v="2024-01-15T00:00:00"/>
    <n v="113306.22"/>
    <s v="online"/>
    <s v="WH-B"/>
    <n v="747"/>
    <d v="2024-04-15T00:00:00"/>
    <n v="4"/>
    <s v="Valid"/>
    <n v="91"/>
    <x v="1"/>
    <s v="Delayed"/>
  </r>
  <r>
    <n v="11416"/>
    <n v="6344"/>
    <s v="Laptop"/>
    <n v="24489.1"/>
    <n v="99"/>
    <x v="1"/>
    <d v="2024-03-10T00:00:00"/>
    <n v="103141.75999999999"/>
    <s v="offline"/>
    <s v="WH-A"/>
    <n v="180"/>
    <d v="2024-04-15T00:00:00"/>
    <n v="7"/>
    <s v="Valid"/>
    <n v="36"/>
    <x v="3"/>
    <s v="Delayed"/>
  </r>
  <r>
    <n v="11417"/>
    <n v="5918"/>
    <s v="phone"/>
    <n v="75915.95"/>
    <n v="76"/>
    <x v="0"/>
    <d v="2024-01-15T00:00:00"/>
    <n v="132995.43"/>
    <s v="offline"/>
    <s v="WH-B"/>
    <n v="852"/>
    <d v="2024-02-10T00:00:00"/>
    <n v="12"/>
    <s v="Valid"/>
    <n v="26"/>
    <x v="1"/>
    <s v="Delayed"/>
  </r>
  <r>
    <n v="11418"/>
    <n v="6596"/>
    <s v="phone"/>
    <n v="33952.720000000001"/>
    <n v="26"/>
    <x v="2"/>
    <d v="2024-04-01T00:00:00"/>
    <n v="69281.149999999994"/>
    <s v="online"/>
    <s v="WH-B"/>
    <n v="838"/>
    <d v="2024-02-10T00:00:00"/>
    <n v="12"/>
    <s v="Invalid Date Order"/>
    <s v=""/>
    <x v="2"/>
    <s v=""/>
  </r>
  <r>
    <n v="11419"/>
    <n v="6856"/>
    <s v="phone"/>
    <n v="54558.16"/>
    <n v="19"/>
    <x v="1"/>
    <d v="2024-03-10T00:00:00"/>
    <n v="18090.830000000002"/>
    <s v="Retail"/>
    <s v="WH-B"/>
    <n v="400"/>
    <d v="2024-04-15T00:00:00"/>
    <n v="5"/>
    <s v="Valid"/>
    <n v="36"/>
    <x v="3"/>
    <s v="Delayed"/>
  </r>
  <r>
    <n v="11420"/>
    <n v="6373"/>
    <s v="phone"/>
    <n v="84047.55"/>
    <n v="60"/>
    <x v="1"/>
    <d v="2024-04-01T00:00:00"/>
    <n v="122841.9"/>
    <s v="offline"/>
    <s v="WH-C"/>
    <n v="229"/>
    <d v="2024-03-10T00:00:00"/>
    <n v="5"/>
    <s v="Invalid Date Order"/>
    <s v=""/>
    <x v="2"/>
    <s v=""/>
  </r>
  <r>
    <n v="11421"/>
    <n v="6864"/>
    <s v="Laptop"/>
    <n v="73566.12"/>
    <n v="71"/>
    <x v="3"/>
    <d v="2024-01-15T00:00:00"/>
    <n v="90333.27"/>
    <s v="online"/>
    <s v="WH-B"/>
    <n v="1236"/>
    <d v="2024-02-10T00:00:00"/>
    <n v="13"/>
    <s v="Valid"/>
    <n v="26"/>
    <x v="1"/>
    <s v="Delayed"/>
  </r>
  <r>
    <n v="11422"/>
    <n v="6803"/>
    <s v="phone"/>
    <n v="41189.46"/>
    <n v="47"/>
    <x v="1"/>
    <d v="2024-03-10T00:00:00"/>
    <n v="74271.899999999994"/>
    <s v="Retail"/>
    <s v="WH-C"/>
    <n v="1169"/>
    <d v="2024-04-15T00:00:00"/>
    <n v="1"/>
    <s v="Valid"/>
    <n v="36"/>
    <x v="3"/>
    <s v="Delayed"/>
  </r>
  <r>
    <n v="11423"/>
    <n v="5873"/>
    <s v="phone"/>
    <n v="33156.44"/>
    <n v="71"/>
    <x v="1"/>
    <d v="2024-04-01T00:00:00"/>
    <n v="86353.279999999999"/>
    <s v="Retail"/>
    <s v="WH-B"/>
    <n v="823"/>
    <d v="2024-03-10T00:00:00"/>
    <n v="8"/>
    <s v="Invalid Date Order"/>
    <s v=""/>
    <x v="2"/>
    <s v=""/>
  </r>
  <r>
    <n v="11424"/>
    <n v="6253"/>
    <s v="phone"/>
    <n v="29604.51"/>
    <n v="26"/>
    <x v="2"/>
    <d v="2024-01-15T00:00:00"/>
    <n v="84138.3"/>
    <s v="offline"/>
    <s v="WH-C"/>
    <n v="559"/>
    <d v="2024-02-10T00:00:00"/>
    <n v="13"/>
    <s v="Valid"/>
    <n v="26"/>
    <x v="1"/>
    <s v="Delayed"/>
  </r>
  <r>
    <n v="11425"/>
    <n v="5270"/>
    <s v="phone"/>
    <n v="73378.899999999994"/>
    <n v="40"/>
    <x v="0"/>
    <d v="2024-04-01T00:00:00"/>
    <n v="42559.09"/>
    <s v="online"/>
    <s v="WH-C"/>
    <n v="414"/>
    <d v="2024-02-10T00:00:00"/>
    <n v="4"/>
    <s v="Invalid Date Order"/>
    <s v=""/>
    <x v="2"/>
    <s v=""/>
  </r>
  <r>
    <n v="11426"/>
    <n v="6852"/>
    <s v="phone"/>
    <n v="31632.16"/>
    <n v="5"/>
    <x v="2"/>
    <d v="2024-02-15T00:00:00"/>
    <n v="34273.42"/>
    <s v="online"/>
    <s v="WH-C"/>
    <n v="1030"/>
    <d v="2024-04-15T00:00:00"/>
    <n v="10"/>
    <s v="Valid"/>
    <n v="60"/>
    <x v="0"/>
    <s v="Delayed"/>
  </r>
  <r>
    <n v="11427"/>
    <n v="5798"/>
    <s v="phone"/>
    <n v="98545.46"/>
    <n v="21"/>
    <x v="0"/>
    <d v="2024-01-15T00:00:00"/>
    <n v="13715.25"/>
    <s v="offline"/>
    <s v="WH-A"/>
    <n v="402"/>
    <d v="2024-03-10T00:00:00"/>
    <n v="5"/>
    <s v="Valid"/>
    <n v="55"/>
    <x v="1"/>
    <s v="Delayed"/>
  </r>
  <r>
    <n v="11428"/>
    <n v="6315"/>
    <s v="phone"/>
    <n v="41019.19"/>
    <n v="78"/>
    <x v="3"/>
    <d v="2024-01-15T00:00:00"/>
    <n v="52541.38"/>
    <s v="Retail"/>
    <s v="WH-B"/>
    <n v="849"/>
    <d v="2024-02-10T00:00:00"/>
    <n v="2"/>
    <s v="Valid"/>
    <n v="26"/>
    <x v="1"/>
    <s v="Delayed"/>
  </r>
  <r>
    <n v="11429"/>
    <n v="5725"/>
    <s v="phone"/>
    <n v="39441.129999999997"/>
    <n v="4"/>
    <x v="1"/>
    <d v="2024-01-15T00:00:00"/>
    <n v="129178.17"/>
    <s v="offline"/>
    <s v="WH-A"/>
    <n v="1156"/>
    <d v="2024-03-10T00:00:00"/>
    <n v="12"/>
    <s v="Valid"/>
    <n v="55"/>
    <x v="1"/>
    <s v="Delayed"/>
  </r>
  <r>
    <n v="11430"/>
    <n v="6189"/>
    <s v="phone"/>
    <n v="53633"/>
    <n v="23"/>
    <x v="3"/>
    <d v="2024-03-10T00:00:00"/>
    <n v="143899.45000000001"/>
    <s v="online"/>
    <s v="WH-B"/>
    <n v="1298"/>
    <d v="2024-03-10T00:00:00"/>
    <n v="13"/>
    <s v="Valid"/>
    <n v="0"/>
    <x v="3"/>
    <s v="On Time"/>
  </r>
  <r>
    <n v="11431"/>
    <n v="5005"/>
    <s v="Laptop"/>
    <n v="58397.4"/>
    <n v="84"/>
    <x v="0"/>
    <d v="2024-03-10T00:00:00"/>
    <n v="83101.98"/>
    <s v="online"/>
    <s v="WH-B"/>
    <n v="461"/>
    <d v="2024-02-10T00:00:00"/>
    <n v="1"/>
    <s v="Invalid Date Order"/>
    <s v=""/>
    <x v="3"/>
    <s v=""/>
  </r>
  <r>
    <n v="11432"/>
    <n v="5851"/>
    <s v="phone"/>
    <n v="85575.1"/>
    <n v="15"/>
    <x v="2"/>
    <d v="2024-03-10T00:00:00"/>
    <n v="68303.45"/>
    <s v="online"/>
    <s v="WH-A"/>
    <n v="784"/>
    <d v="2024-03-10T00:00:00"/>
    <n v="9"/>
    <s v="Valid"/>
    <n v="0"/>
    <x v="3"/>
    <s v="On Time"/>
  </r>
  <r>
    <n v="11433"/>
    <n v="6403"/>
    <s v="phone"/>
    <n v="17475.599999999999"/>
    <n v="93"/>
    <x v="2"/>
    <d v="2024-02-15T00:00:00"/>
    <n v="179625.35"/>
    <s v="offline"/>
    <s v="WH-C"/>
    <n v="1030"/>
    <d v="2024-02-10T00:00:00"/>
    <n v="2"/>
    <s v="Invalid Date Order"/>
    <s v=""/>
    <x v="0"/>
    <s v=""/>
  </r>
  <r>
    <n v="11434"/>
    <n v="5078"/>
    <s v="phone"/>
    <n v="33673.29"/>
    <n v="8"/>
    <x v="3"/>
    <d v="2024-02-15T00:00:00"/>
    <n v="122524.18"/>
    <s v="offline"/>
    <s v="WH-B"/>
    <n v="167"/>
    <d v="2024-03-10T00:00:00"/>
    <n v="6"/>
    <s v="Valid"/>
    <n v="24"/>
    <x v="0"/>
    <s v="Delayed"/>
  </r>
  <r>
    <n v="11435"/>
    <n v="6434"/>
    <s v="phone"/>
    <n v="46130.04"/>
    <n v="41"/>
    <x v="0"/>
    <d v="2024-01-15T00:00:00"/>
    <n v="125858.36"/>
    <s v="Retail"/>
    <s v="WH-C"/>
    <n v="531"/>
    <d v="2024-02-10T00:00:00"/>
    <n v="1"/>
    <s v="Valid"/>
    <n v="26"/>
    <x v="1"/>
    <s v="Delayed"/>
  </r>
  <r>
    <n v="11436"/>
    <n v="5574"/>
    <s v="Laptop"/>
    <n v="31131.69"/>
    <n v="19"/>
    <x v="3"/>
    <d v="2024-02-15T00:00:00"/>
    <n v="131583.46"/>
    <s v="Retail"/>
    <s v="WH-A"/>
    <n v="241"/>
    <d v="2024-04-15T00:00:00"/>
    <n v="1"/>
    <s v="Valid"/>
    <n v="60"/>
    <x v="0"/>
    <s v="Delayed"/>
  </r>
  <r>
    <n v="11437"/>
    <n v="5132"/>
    <s v="phone"/>
    <n v="66001.7"/>
    <n v="46"/>
    <x v="3"/>
    <d v="2024-04-01T00:00:00"/>
    <n v="55859.67"/>
    <s v="Retail"/>
    <s v="WH-C"/>
    <n v="640"/>
    <d v="2024-02-10T00:00:00"/>
    <n v="9"/>
    <s v="Invalid Date Order"/>
    <s v=""/>
    <x v="2"/>
    <s v=""/>
  </r>
  <r>
    <n v="11438"/>
    <n v="5601"/>
    <s v="phone"/>
    <n v="57701.15"/>
    <n v="28"/>
    <x v="1"/>
    <d v="2024-01-15T00:00:00"/>
    <n v="134673.35"/>
    <s v="online"/>
    <s v="WH-B"/>
    <n v="639"/>
    <d v="2024-02-10T00:00:00"/>
    <n v="4"/>
    <s v="Valid"/>
    <n v="26"/>
    <x v="1"/>
    <s v="Delayed"/>
  </r>
  <r>
    <n v="11439"/>
    <n v="6773"/>
    <s v="phone"/>
    <n v="52043.63"/>
    <n v="91"/>
    <x v="3"/>
    <d v="2024-01-15T00:00:00"/>
    <n v="65816.929999999993"/>
    <s v="Retail"/>
    <s v="WH-B"/>
    <n v="708"/>
    <d v="2024-02-10T00:00:00"/>
    <n v="9"/>
    <s v="Valid"/>
    <n v="26"/>
    <x v="1"/>
    <s v="Delayed"/>
  </r>
  <r>
    <n v="11440"/>
    <n v="6066"/>
    <s v="phone"/>
    <n v="84014.89"/>
    <n v="68"/>
    <x v="1"/>
    <d v="2024-04-01T00:00:00"/>
    <n v="44850.32"/>
    <s v="offline"/>
    <s v="WH-B"/>
    <n v="156"/>
    <d v="2024-03-10T00:00:00"/>
    <n v="11"/>
    <s v="Invalid Date Order"/>
    <s v=""/>
    <x v="2"/>
    <s v=""/>
  </r>
  <r>
    <n v="11441"/>
    <n v="5089"/>
    <s v="phone"/>
    <n v="52494.82"/>
    <n v="15"/>
    <x v="1"/>
    <d v="2024-01-15T00:00:00"/>
    <n v="26747.22"/>
    <s v="Retail"/>
    <s v="WH-A"/>
    <n v="431"/>
    <d v="2024-04-15T00:00:00"/>
    <n v="5"/>
    <s v="Valid"/>
    <n v="91"/>
    <x v="1"/>
    <s v="Delayed"/>
  </r>
  <r>
    <n v="11442"/>
    <n v="5402"/>
    <s v="phone"/>
    <n v="20301.39"/>
    <n v="99"/>
    <x v="2"/>
    <d v="2024-02-15T00:00:00"/>
    <n v="63362.39"/>
    <s v="online"/>
    <s v="WH-B"/>
    <n v="832"/>
    <d v="2024-03-10T00:00:00"/>
    <n v="7"/>
    <s v="Valid"/>
    <n v="24"/>
    <x v="0"/>
    <s v="Delayed"/>
  </r>
  <r>
    <n v="11443"/>
    <n v="5296"/>
    <s v="phone"/>
    <n v="55337.41"/>
    <n v="37"/>
    <x v="1"/>
    <d v="2024-03-10T00:00:00"/>
    <n v="75308.33"/>
    <s v="Retail"/>
    <s v="WH-A"/>
    <n v="439"/>
    <d v="2024-03-10T00:00:00"/>
    <n v="1"/>
    <s v="Valid"/>
    <n v="0"/>
    <x v="3"/>
    <s v="On Time"/>
  </r>
  <r>
    <n v="11444"/>
    <n v="6864"/>
    <s v="phone"/>
    <n v="24320.080000000002"/>
    <n v="1"/>
    <x v="1"/>
    <d v="2024-04-01T00:00:00"/>
    <n v="138852.13"/>
    <s v="online"/>
    <s v="WH-C"/>
    <n v="293"/>
    <d v="2024-02-10T00:00:00"/>
    <n v="6"/>
    <s v="Invalid Date Order"/>
    <s v=""/>
    <x v="2"/>
    <s v=""/>
  </r>
  <r>
    <n v="11445"/>
    <n v="6319"/>
    <s v="phone"/>
    <n v="87098.28"/>
    <n v="67"/>
    <x v="2"/>
    <d v="2024-02-15T00:00:00"/>
    <n v="104937.78"/>
    <s v="online"/>
    <s v="WH-B"/>
    <n v="634"/>
    <d v="2024-03-10T00:00:00"/>
    <n v="8"/>
    <s v="Valid"/>
    <n v="24"/>
    <x v="0"/>
    <s v="Delayed"/>
  </r>
  <r>
    <n v="11446"/>
    <n v="5616"/>
    <s v="phone"/>
    <n v="63308.82"/>
    <n v="24"/>
    <x v="3"/>
    <d v="2024-04-01T00:00:00"/>
    <n v="103178.98"/>
    <s v="online"/>
    <s v="WH-B"/>
    <n v="918"/>
    <d v="2024-02-10T00:00:00"/>
    <n v="14"/>
    <s v="Invalid Date Order"/>
    <s v=""/>
    <x v="2"/>
    <s v=""/>
  </r>
  <r>
    <n v="11447"/>
    <n v="6550"/>
    <s v="Laptop"/>
    <n v="96550.98"/>
    <n v="27"/>
    <x v="0"/>
    <d v="2024-04-01T00:00:00"/>
    <n v="28739.25"/>
    <s v="online"/>
    <s v="WH-B"/>
    <n v="517"/>
    <d v="2024-04-15T00:00:00"/>
    <n v="1"/>
    <s v="Valid"/>
    <n v="14"/>
    <x v="2"/>
    <s v="Delayed"/>
  </r>
  <r>
    <n v="11448"/>
    <n v="5800"/>
    <s v="phone"/>
    <n v="29256.93"/>
    <n v="40"/>
    <x v="0"/>
    <d v="2024-01-15T00:00:00"/>
    <n v="41990.35"/>
    <s v="online"/>
    <s v="WH-C"/>
    <n v="915"/>
    <d v="2024-03-10T00:00:00"/>
    <n v="9"/>
    <s v="Valid"/>
    <n v="55"/>
    <x v="1"/>
    <s v="Delayed"/>
  </r>
  <r>
    <n v="11449"/>
    <n v="6715"/>
    <s v="phone"/>
    <n v="62495.49"/>
    <n v="63"/>
    <x v="0"/>
    <d v="2024-01-15T00:00:00"/>
    <n v="23103.63"/>
    <s v="offline"/>
    <s v="WH-B"/>
    <n v="983"/>
    <d v="2024-03-10T00:00:00"/>
    <n v="3"/>
    <s v="Valid"/>
    <n v="55"/>
    <x v="1"/>
    <s v="Delayed"/>
  </r>
  <r>
    <n v="11450"/>
    <n v="6661"/>
    <s v="phone"/>
    <n v="47262.16"/>
    <n v="61"/>
    <x v="3"/>
    <d v="2024-02-15T00:00:00"/>
    <n v="145155.6"/>
    <s v="Retail"/>
    <s v="WH-A"/>
    <n v="1283"/>
    <d v="2024-03-10T00:00:00"/>
    <n v="1"/>
    <s v="Valid"/>
    <n v="24"/>
    <x v="0"/>
    <s v="Delayed"/>
  </r>
  <r>
    <n v="11451"/>
    <n v="5422"/>
    <s v="phone"/>
    <n v="70792.490000000005"/>
    <n v="36"/>
    <x v="1"/>
    <d v="2024-04-01T00:00:00"/>
    <n v="120085.43"/>
    <s v="online"/>
    <s v="WH-C"/>
    <n v="653"/>
    <d v="2024-02-10T00:00:00"/>
    <n v="1"/>
    <s v="Invalid Date Order"/>
    <s v=""/>
    <x v="2"/>
    <s v=""/>
  </r>
  <r>
    <n v="11452"/>
    <n v="6889"/>
    <s v="phone"/>
    <n v="28825.1"/>
    <n v="98"/>
    <x v="0"/>
    <d v="2024-01-15T00:00:00"/>
    <n v="146917.45000000001"/>
    <s v="online"/>
    <s v="WH-C"/>
    <n v="1064"/>
    <d v="2024-02-10T00:00:00"/>
    <n v="13"/>
    <s v="Valid"/>
    <n v="26"/>
    <x v="1"/>
    <s v="Delayed"/>
  </r>
  <r>
    <n v="11453"/>
    <n v="6047"/>
    <s v="Laptop"/>
    <n v="35882.9"/>
    <n v="93"/>
    <x v="3"/>
    <d v="2024-01-15T00:00:00"/>
    <n v="42259.94"/>
    <s v="online"/>
    <s v="WH-C"/>
    <n v="1146"/>
    <d v="2024-03-10T00:00:00"/>
    <n v="14"/>
    <s v="Valid"/>
    <n v="55"/>
    <x v="1"/>
    <s v="Delayed"/>
  </r>
  <r>
    <n v="11454"/>
    <n v="5575"/>
    <s v="phone"/>
    <n v="30450.65"/>
    <n v="24"/>
    <x v="1"/>
    <d v="2024-04-01T00:00:00"/>
    <n v="42966.21"/>
    <s v="offline"/>
    <s v="WH-C"/>
    <n v="1382"/>
    <d v="2024-03-10T00:00:00"/>
    <n v="11"/>
    <s v="Invalid Date Order"/>
    <s v=""/>
    <x v="2"/>
    <s v=""/>
  </r>
  <r>
    <n v="11455"/>
    <n v="5143"/>
    <s v="phone"/>
    <n v="40578.25"/>
    <n v="24"/>
    <x v="2"/>
    <d v="2024-02-15T00:00:00"/>
    <n v="60535.55"/>
    <s v="offline"/>
    <s v="WH-C"/>
    <n v="909"/>
    <d v="2024-04-15T00:00:00"/>
    <n v="6"/>
    <s v="Valid"/>
    <n v="60"/>
    <x v="0"/>
    <s v="Delayed"/>
  </r>
  <r>
    <n v="11456"/>
    <n v="5993"/>
    <s v="Laptop"/>
    <n v="43099.63"/>
    <n v="4"/>
    <x v="0"/>
    <d v="2024-02-15T00:00:00"/>
    <n v="97371.45"/>
    <s v="online"/>
    <s v="WH-A"/>
    <n v="1259"/>
    <d v="2024-04-15T00:00:00"/>
    <n v="11"/>
    <s v="Valid"/>
    <n v="60"/>
    <x v="0"/>
    <s v="Delayed"/>
  </r>
  <r>
    <n v="11457"/>
    <n v="5665"/>
    <s v="phone"/>
    <n v="46539.59"/>
    <n v="67"/>
    <x v="1"/>
    <d v="2024-04-01T00:00:00"/>
    <n v="69779.16"/>
    <s v="offline"/>
    <s v="WH-C"/>
    <n v="1326"/>
    <d v="2024-04-15T00:00:00"/>
    <n v="6"/>
    <s v="Valid"/>
    <n v="14"/>
    <x v="2"/>
    <s v="Delayed"/>
  </r>
  <r>
    <n v="11458"/>
    <n v="5145"/>
    <s v="phone"/>
    <n v="74628.429999999993"/>
    <n v="34"/>
    <x v="0"/>
    <d v="2024-02-15T00:00:00"/>
    <n v="168830.79"/>
    <s v="Retail"/>
    <s v="WH-B"/>
    <n v="62"/>
    <d v="2024-04-15T00:00:00"/>
    <n v="1"/>
    <s v="Valid"/>
    <n v="60"/>
    <x v="0"/>
    <s v="Delayed"/>
  </r>
  <r>
    <n v="11459"/>
    <n v="6249"/>
    <s v="phone"/>
    <n v="28352.82"/>
    <n v="57"/>
    <x v="0"/>
    <d v="2024-01-15T00:00:00"/>
    <n v="85687.34"/>
    <s v="online"/>
    <s v="WH-C"/>
    <n v="348"/>
    <d v="2024-04-15T00:00:00"/>
    <n v="14"/>
    <s v="Valid"/>
    <n v="91"/>
    <x v="1"/>
    <s v="Delayed"/>
  </r>
  <r>
    <n v="11460"/>
    <n v="6007"/>
    <s v="phone"/>
    <n v="42332.42"/>
    <n v="49"/>
    <x v="0"/>
    <d v="2024-04-01T00:00:00"/>
    <n v="27196.19"/>
    <s v="online"/>
    <s v="WH-C"/>
    <n v="1149"/>
    <d v="2024-02-10T00:00:00"/>
    <n v="14"/>
    <s v="Invalid Date Order"/>
    <s v=""/>
    <x v="2"/>
    <s v=""/>
  </r>
  <r>
    <n v="11461"/>
    <n v="5503"/>
    <s v="phone"/>
    <n v="20195.560000000001"/>
    <n v="87"/>
    <x v="1"/>
    <d v="2024-01-15T00:00:00"/>
    <n v="59522.07"/>
    <s v="Retail"/>
    <s v="WH-C"/>
    <n v="1124"/>
    <d v="2024-04-15T00:00:00"/>
    <n v="3"/>
    <s v="Valid"/>
    <n v="91"/>
    <x v="1"/>
    <s v="Delayed"/>
  </r>
  <r>
    <n v="11462"/>
    <n v="6986"/>
    <s v="Laptop"/>
    <n v="62968.22"/>
    <n v="53"/>
    <x v="3"/>
    <d v="2024-03-10T00:00:00"/>
    <n v="70451.350000000006"/>
    <s v="Retail"/>
    <s v="WH-C"/>
    <n v="836"/>
    <d v="2024-04-15T00:00:00"/>
    <n v="7"/>
    <s v="Valid"/>
    <n v="36"/>
    <x v="3"/>
    <s v="Delayed"/>
  </r>
  <r>
    <n v="11463"/>
    <n v="6998"/>
    <s v="Laptop"/>
    <n v="41396.980000000003"/>
    <n v="23"/>
    <x v="1"/>
    <d v="2024-03-10T00:00:00"/>
    <n v="93653.59"/>
    <s v="Retail"/>
    <s v="WH-C"/>
    <n v="198"/>
    <d v="2024-03-10T00:00:00"/>
    <n v="10"/>
    <s v="Valid"/>
    <n v="0"/>
    <x v="3"/>
    <s v="On Time"/>
  </r>
  <r>
    <n v="11464"/>
    <n v="5821"/>
    <s v="Laptop"/>
    <n v="81625.73"/>
    <n v="69"/>
    <x v="0"/>
    <d v="2024-02-15T00:00:00"/>
    <n v="33549.449999999997"/>
    <s v="online"/>
    <s v="WH-A"/>
    <n v="171"/>
    <d v="2024-02-10T00:00:00"/>
    <n v="3"/>
    <s v="Invalid Date Order"/>
    <s v=""/>
    <x v="0"/>
    <s v=""/>
  </r>
  <r>
    <n v="11465"/>
    <n v="6640"/>
    <s v="phone"/>
    <n v="21797.65"/>
    <n v="95"/>
    <x v="1"/>
    <d v="2024-03-10T00:00:00"/>
    <n v="111106.07"/>
    <s v="online"/>
    <s v="WH-A"/>
    <n v="1284"/>
    <d v="2024-04-15T00:00:00"/>
    <n v="3"/>
    <s v="Valid"/>
    <n v="36"/>
    <x v="3"/>
    <s v="Delayed"/>
  </r>
  <r>
    <n v="11466"/>
    <n v="5104"/>
    <s v="phone"/>
    <n v="12345.91"/>
    <n v="53"/>
    <x v="2"/>
    <d v="2024-01-15T00:00:00"/>
    <n v="80898.38"/>
    <s v="online"/>
    <s v="WH-C"/>
    <n v="1353"/>
    <d v="2024-04-15T00:00:00"/>
    <n v="3"/>
    <s v="Valid"/>
    <n v="91"/>
    <x v="1"/>
    <s v="Delayed"/>
  </r>
  <r>
    <n v="11467"/>
    <n v="6971"/>
    <s v="phone"/>
    <n v="30521.46"/>
    <n v="62"/>
    <x v="3"/>
    <d v="2024-03-10T00:00:00"/>
    <n v="148429.51999999999"/>
    <s v="Retail"/>
    <s v="WH-A"/>
    <n v="587"/>
    <d v="2024-04-15T00:00:00"/>
    <n v="12"/>
    <s v="Valid"/>
    <n v="36"/>
    <x v="3"/>
    <s v="Delayed"/>
  </r>
  <r>
    <n v="11468"/>
    <n v="6063"/>
    <s v="phone"/>
    <n v="88173.58"/>
    <n v="41"/>
    <x v="1"/>
    <d v="2024-01-15T00:00:00"/>
    <n v="137984.26"/>
    <s v="Retail"/>
    <s v="WH-B"/>
    <n v="1229"/>
    <d v="2024-03-10T00:00:00"/>
    <n v="7"/>
    <s v="Valid"/>
    <n v="55"/>
    <x v="1"/>
    <s v="Delayed"/>
  </r>
  <r>
    <n v="11469"/>
    <n v="6971"/>
    <s v="Laptop"/>
    <n v="94946.35"/>
    <n v="57"/>
    <x v="2"/>
    <d v="2024-02-15T00:00:00"/>
    <n v="146631.88"/>
    <s v="online"/>
    <s v="WH-C"/>
    <n v="1311"/>
    <d v="2024-03-10T00:00:00"/>
    <n v="4"/>
    <s v="Valid"/>
    <n v="24"/>
    <x v="0"/>
    <s v="Delayed"/>
  </r>
  <r>
    <n v="11470"/>
    <n v="5198"/>
    <s v="phone"/>
    <n v="82484.36"/>
    <n v="60"/>
    <x v="3"/>
    <d v="2024-02-15T00:00:00"/>
    <n v="102841.34"/>
    <s v="offline"/>
    <s v="WH-B"/>
    <n v="425"/>
    <d v="2024-03-10T00:00:00"/>
    <n v="4"/>
    <s v="Valid"/>
    <n v="24"/>
    <x v="0"/>
    <s v="Delayed"/>
  </r>
  <r>
    <n v="11471"/>
    <n v="6670"/>
    <s v="phone"/>
    <n v="57435.78"/>
    <n v="54"/>
    <x v="2"/>
    <d v="2024-01-15T00:00:00"/>
    <n v="58774.37"/>
    <s v="online"/>
    <s v="WH-B"/>
    <n v="131"/>
    <d v="2024-04-15T00:00:00"/>
    <n v="3"/>
    <s v="Valid"/>
    <n v="91"/>
    <x v="1"/>
    <s v="Delayed"/>
  </r>
  <r>
    <n v="11472"/>
    <n v="5579"/>
    <s v="phone"/>
    <n v="48572.55"/>
    <n v="70"/>
    <x v="3"/>
    <d v="2024-03-10T00:00:00"/>
    <n v="130185.54"/>
    <s v="Retail"/>
    <s v="WH-C"/>
    <n v="541"/>
    <d v="2024-03-10T00:00:00"/>
    <n v="10"/>
    <s v="Valid"/>
    <n v="0"/>
    <x v="3"/>
    <s v="On Time"/>
  </r>
  <r>
    <n v="11473"/>
    <n v="5391"/>
    <s v="Laptop"/>
    <n v="34524.04"/>
    <n v="57"/>
    <x v="1"/>
    <d v="2024-02-15T00:00:00"/>
    <n v="12857.24"/>
    <s v="online"/>
    <s v="WH-B"/>
    <n v="405"/>
    <d v="2024-04-15T00:00:00"/>
    <n v="11"/>
    <s v="Valid"/>
    <n v="60"/>
    <x v="0"/>
    <s v="Delayed"/>
  </r>
  <r>
    <n v="11474"/>
    <n v="6203"/>
    <s v="phone"/>
    <n v="86768.56"/>
    <n v="10"/>
    <x v="2"/>
    <d v="2024-04-01T00:00:00"/>
    <n v="96326.36"/>
    <s v="Retail"/>
    <s v="WH-B"/>
    <n v="974"/>
    <d v="2024-02-10T00:00:00"/>
    <n v="9"/>
    <s v="Invalid Date Order"/>
    <s v=""/>
    <x v="2"/>
    <s v=""/>
  </r>
  <r>
    <n v="11475"/>
    <n v="6992"/>
    <s v="Laptop"/>
    <n v="54312.42"/>
    <n v="40"/>
    <x v="0"/>
    <d v="2024-02-15T00:00:00"/>
    <n v="126413.78"/>
    <s v="offline"/>
    <s v="WH-B"/>
    <n v="1346"/>
    <d v="2024-04-15T00:00:00"/>
    <n v="2"/>
    <s v="Valid"/>
    <n v="60"/>
    <x v="0"/>
    <s v="Delayed"/>
  </r>
  <r>
    <n v="11476"/>
    <n v="5554"/>
    <s v="phone"/>
    <n v="60477.38"/>
    <n v="7"/>
    <x v="2"/>
    <d v="2024-03-10T00:00:00"/>
    <n v="16134.3"/>
    <s v="online"/>
    <s v="WH-C"/>
    <n v="1117"/>
    <d v="2024-03-10T00:00:00"/>
    <n v="4"/>
    <s v="Valid"/>
    <n v="0"/>
    <x v="3"/>
    <s v="On Time"/>
  </r>
  <r>
    <n v="11477"/>
    <n v="6472"/>
    <s v="phone"/>
    <n v="65292.19"/>
    <n v="38"/>
    <x v="3"/>
    <d v="2024-04-01T00:00:00"/>
    <n v="85789.24"/>
    <s v="online"/>
    <s v="WH-C"/>
    <n v="1054"/>
    <d v="2024-02-10T00:00:00"/>
    <n v="8"/>
    <s v="Invalid Date Order"/>
    <s v=""/>
    <x v="2"/>
    <s v=""/>
  </r>
  <r>
    <n v="11478"/>
    <n v="6524"/>
    <s v="phone"/>
    <n v="14712.74"/>
    <n v="85"/>
    <x v="1"/>
    <d v="2024-03-10T00:00:00"/>
    <n v="176953.54"/>
    <s v="online"/>
    <s v="WH-B"/>
    <n v="172"/>
    <d v="2024-04-15T00:00:00"/>
    <n v="6"/>
    <s v="Valid"/>
    <n v="36"/>
    <x v="3"/>
    <s v="Delayed"/>
  </r>
  <r>
    <n v="11479"/>
    <n v="6039"/>
    <s v="phone"/>
    <n v="21317.58"/>
    <n v="61"/>
    <x v="3"/>
    <d v="2024-01-15T00:00:00"/>
    <n v="12342.34"/>
    <s v="online"/>
    <s v="WH-C"/>
    <n v="1422"/>
    <d v="2024-02-10T00:00:00"/>
    <n v="14"/>
    <s v="Valid"/>
    <n v="26"/>
    <x v="1"/>
    <s v="Delayed"/>
  </r>
  <r>
    <n v="11480"/>
    <n v="6647"/>
    <s v="phone"/>
    <n v="74921.47"/>
    <n v="84"/>
    <x v="2"/>
    <d v="2024-04-01T00:00:00"/>
    <n v="22297.54"/>
    <s v="online"/>
    <s v="WH-C"/>
    <n v="757"/>
    <d v="2024-02-10T00:00:00"/>
    <n v="7"/>
    <s v="Invalid Date Order"/>
    <s v=""/>
    <x v="2"/>
    <s v=""/>
  </r>
  <r>
    <n v="11481"/>
    <n v="6693"/>
    <s v="phone"/>
    <n v="47027.46"/>
    <n v="3"/>
    <x v="2"/>
    <d v="2024-03-10T00:00:00"/>
    <n v="65611.45"/>
    <s v="Retail"/>
    <s v="WH-B"/>
    <n v="379"/>
    <d v="2024-02-10T00:00:00"/>
    <n v="13"/>
    <s v="Invalid Date Order"/>
    <s v=""/>
    <x v="3"/>
    <s v=""/>
  </r>
  <r>
    <n v="11482"/>
    <n v="6313"/>
    <s v="phone"/>
    <n v="68262.87"/>
    <n v="51"/>
    <x v="0"/>
    <d v="2024-04-01T00:00:00"/>
    <n v="56965.23"/>
    <s v="online"/>
    <s v="WH-C"/>
    <n v="1482"/>
    <d v="2024-04-15T00:00:00"/>
    <n v="7"/>
    <s v="Valid"/>
    <n v="14"/>
    <x v="2"/>
    <s v="Delayed"/>
  </r>
  <r>
    <n v="11483"/>
    <n v="5478"/>
    <s v="phone"/>
    <n v="34647.019999999997"/>
    <n v="86"/>
    <x v="1"/>
    <d v="2024-03-10T00:00:00"/>
    <n v="53367.96"/>
    <s v="online"/>
    <s v="WH-A"/>
    <n v="1040"/>
    <d v="2024-03-10T00:00:00"/>
    <n v="2"/>
    <s v="Valid"/>
    <n v="0"/>
    <x v="3"/>
    <s v="On Time"/>
  </r>
  <r>
    <n v="11484"/>
    <n v="6255"/>
    <s v="phone"/>
    <n v="77943.679999999993"/>
    <n v="47"/>
    <x v="1"/>
    <d v="2024-04-01T00:00:00"/>
    <n v="69436.789999999994"/>
    <s v="online"/>
    <s v="WH-C"/>
    <n v="372"/>
    <d v="2024-04-15T00:00:00"/>
    <n v="4"/>
    <s v="Valid"/>
    <n v="14"/>
    <x v="2"/>
    <s v="Delayed"/>
  </r>
  <r>
    <n v="11485"/>
    <n v="5923"/>
    <s v="phone"/>
    <n v="41322.86"/>
    <n v="68"/>
    <x v="2"/>
    <d v="2024-03-10T00:00:00"/>
    <n v="19988.48"/>
    <s v="online"/>
    <s v="WH-A"/>
    <n v="1184"/>
    <d v="2024-03-10T00:00:00"/>
    <n v="10"/>
    <s v="Valid"/>
    <n v="0"/>
    <x v="3"/>
    <s v="On Time"/>
  </r>
  <r>
    <n v="11486"/>
    <n v="5420"/>
    <s v="phone"/>
    <n v="68575.78"/>
    <n v="92"/>
    <x v="1"/>
    <d v="2024-01-15T00:00:00"/>
    <n v="11537.99"/>
    <s v="online"/>
    <s v="WH-B"/>
    <n v="819"/>
    <d v="2024-04-15T00:00:00"/>
    <n v="10"/>
    <s v="Valid"/>
    <n v="91"/>
    <x v="1"/>
    <s v="Delayed"/>
  </r>
  <r>
    <n v="11487"/>
    <n v="5157"/>
    <s v="Laptop"/>
    <n v="64861.57"/>
    <n v="76"/>
    <x v="0"/>
    <d v="2024-04-01T00:00:00"/>
    <n v="171343.44"/>
    <s v="Retail"/>
    <s v="WH-C"/>
    <n v="1162"/>
    <d v="2024-04-15T00:00:00"/>
    <n v="6"/>
    <s v="Valid"/>
    <n v="14"/>
    <x v="2"/>
    <s v="Delayed"/>
  </r>
  <r>
    <n v="11488"/>
    <n v="5550"/>
    <s v="phone"/>
    <n v="52260.959999999999"/>
    <n v="38"/>
    <x v="3"/>
    <d v="2024-04-01T00:00:00"/>
    <n v="49840.71"/>
    <s v="online"/>
    <s v="WH-B"/>
    <n v="482"/>
    <d v="2024-04-15T00:00:00"/>
    <n v="3"/>
    <s v="Valid"/>
    <n v="14"/>
    <x v="2"/>
    <s v="Delayed"/>
  </r>
  <r>
    <n v="11489"/>
    <n v="6465"/>
    <s v="phone"/>
    <n v="56963.39"/>
    <n v="36"/>
    <x v="1"/>
    <d v="2024-04-01T00:00:00"/>
    <n v="42911.73"/>
    <s v="online"/>
    <s v="WH-B"/>
    <n v="759"/>
    <d v="2024-03-10T00:00:00"/>
    <n v="9"/>
    <s v="Invalid Date Order"/>
    <s v=""/>
    <x v="2"/>
    <s v=""/>
  </r>
  <r>
    <n v="11490"/>
    <n v="6121"/>
    <s v="Laptop"/>
    <n v="75652.740000000005"/>
    <n v="41"/>
    <x v="2"/>
    <d v="2024-04-01T00:00:00"/>
    <n v="98486.48"/>
    <s v="online"/>
    <s v="WH-B"/>
    <n v="843"/>
    <d v="2024-04-15T00:00:00"/>
    <n v="13"/>
    <s v="Valid"/>
    <n v="14"/>
    <x v="2"/>
    <s v="Delayed"/>
  </r>
  <r>
    <n v="11491"/>
    <n v="6021"/>
    <s v="phone"/>
    <n v="42462.39"/>
    <n v="69"/>
    <x v="3"/>
    <d v="2024-01-15T00:00:00"/>
    <n v="36485.160000000003"/>
    <s v="Retail"/>
    <s v="WH-B"/>
    <n v="761"/>
    <d v="2024-02-10T00:00:00"/>
    <n v="4"/>
    <s v="Valid"/>
    <n v="26"/>
    <x v="1"/>
    <s v="Delayed"/>
  </r>
  <r>
    <n v="11492"/>
    <n v="5997"/>
    <s v="phone"/>
    <n v="21114.73"/>
    <n v="13"/>
    <x v="3"/>
    <d v="2024-04-01T00:00:00"/>
    <n v="76096.19"/>
    <s v="offline"/>
    <s v="WH-B"/>
    <n v="1172"/>
    <d v="2024-04-15T00:00:00"/>
    <n v="10"/>
    <s v="Valid"/>
    <n v="14"/>
    <x v="2"/>
    <s v="Delayed"/>
  </r>
  <r>
    <n v="11493"/>
    <n v="6435"/>
    <s v="Laptop"/>
    <n v="21389.71"/>
    <n v="87"/>
    <x v="0"/>
    <d v="2024-02-15T00:00:00"/>
    <n v="38997.480000000003"/>
    <s v="online"/>
    <s v="WH-C"/>
    <n v="588"/>
    <d v="2024-02-10T00:00:00"/>
    <n v="13"/>
    <s v="Invalid Date Order"/>
    <s v=""/>
    <x v="0"/>
    <s v=""/>
  </r>
  <r>
    <n v="11494"/>
    <n v="5951"/>
    <s v="phone"/>
    <n v="57555.51"/>
    <n v="58"/>
    <x v="2"/>
    <d v="2024-01-15T00:00:00"/>
    <n v="67601.86"/>
    <s v="online"/>
    <s v="WH-A"/>
    <n v="650"/>
    <d v="2024-03-10T00:00:00"/>
    <n v="2"/>
    <s v="Valid"/>
    <n v="55"/>
    <x v="1"/>
    <s v="Delayed"/>
  </r>
  <r>
    <n v="11495"/>
    <n v="5289"/>
    <s v="phone"/>
    <n v="67438.679999999993"/>
    <n v="50"/>
    <x v="1"/>
    <d v="2024-02-15T00:00:00"/>
    <n v="81331.73"/>
    <s v="Retail"/>
    <s v="WH-C"/>
    <n v="1219"/>
    <d v="2024-03-10T00:00:00"/>
    <n v="6"/>
    <s v="Valid"/>
    <n v="24"/>
    <x v="0"/>
    <s v="Delayed"/>
  </r>
  <r>
    <n v="11496"/>
    <n v="6278"/>
    <s v="phone"/>
    <n v="82424.3"/>
    <n v="30"/>
    <x v="2"/>
    <d v="2024-04-01T00:00:00"/>
    <n v="145084.96"/>
    <s v="Retail"/>
    <s v="WH-C"/>
    <n v="306"/>
    <d v="2024-04-15T00:00:00"/>
    <n v="1"/>
    <s v="Valid"/>
    <n v="14"/>
    <x v="2"/>
    <s v="Delayed"/>
  </r>
  <r>
    <n v="11497"/>
    <n v="5196"/>
    <s v="phone"/>
    <n v="87422.01"/>
    <n v="62"/>
    <x v="3"/>
    <d v="2024-03-10T00:00:00"/>
    <n v="89259.16"/>
    <s v="Retail"/>
    <s v="WH-C"/>
    <n v="1262"/>
    <d v="2024-04-15T00:00:00"/>
    <n v="6"/>
    <s v="Valid"/>
    <n v="36"/>
    <x v="3"/>
    <s v="Delayed"/>
  </r>
  <r>
    <n v="11498"/>
    <n v="5598"/>
    <s v="phone"/>
    <n v="27583.759999999998"/>
    <n v="25"/>
    <x v="2"/>
    <d v="2024-02-15T00:00:00"/>
    <n v="142081.12"/>
    <s v="online"/>
    <s v="WH-C"/>
    <n v="1313"/>
    <d v="2024-04-15T00:00:00"/>
    <n v="13"/>
    <s v="Valid"/>
    <n v="60"/>
    <x v="0"/>
    <s v="Delayed"/>
  </r>
  <r>
    <n v="11499"/>
    <n v="6858"/>
    <s v="phone"/>
    <n v="92737.16"/>
    <n v="27"/>
    <x v="1"/>
    <d v="2024-04-01T00:00:00"/>
    <n v="20965.349999999999"/>
    <s v="online"/>
    <s v="WH-A"/>
    <n v="920"/>
    <d v="2024-02-10T00:00:00"/>
    <n v="12"/>
    <s v="Invalid Date Order"/>
    <s v=""/>
    <x v="2"/>
    <s v=""/>
  </r>
  <r>
    <n v="11500"/>
    <n v="6546"/>
    <s v="phone"/>
    <n v="76518.2"/>
    <n v="51"/>
    <x v="1"/>
    <d v="2024-02-15T00:00:00"/>
    <n v="127261.12"/>
    <s v="offline"/>
    <s v="WH-C"/>
    <n v="948"/>
    <d v="2024-03-10T00:00:00"/>
    <n v="10"/>
    <s v="Valid"/>
    <n v="24"/>
    <x v="0"/>
    <s v="Delay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B7284-6EBA-4489-BE6E-86F52DBDE30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7" firstHeaderRow="1" firstDataRow="2" firstDataCol="1"/>
  <pivotFields count="17">
    <pivotField showAll="0"/>
    <pivotField showAll="0"/>
    <pivotField showAll="0"/>
    <pivotField dataField="1" numFmtId="2" showAll="0"/>
    <pivotField showAll="0"/>
    <pivotField axis="axisRow" showAll="0">
      <items count="5">
        <item x="3"/>
        <item x="1"/>
        <item x="0"/>
        <item x="2"/>
        <item t="default"/>
      </items>
    </pivotField>
    <pivotField numFmtId="14" showAll="0"/>
    <pivotField numFmtId="2" showAll="0"/>
    <pivotField showAll="0"/>
    <pivotField showAll="0"/>
    <pivotField showAll="0"/>
    <pivotField numFmtId="14"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3" baseField="5" baseItem="3" numFmtId="164"/>
  </dataFields>
  <formats count="6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5" type="button" dataOnly="0" labelOnly="1" outline="0" axis="axisRow" fieldPosition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2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5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15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C0BC7-EAE7-4BC6-A174-81A2DB1928C7}" name="Table64" displayName="Table64" ref="A1:Q1501" totalsRowShown="0" headerRowDxfId="85" headerRowBorderDxfId="84" tableBorderDxfId="83" totalsRowBorderDxfId="82">
  <autoFilter ref="A1:Q1501" xr:uid="{3B8C0BC7-EAE7-4BC6-A174-81A2DB1928C7}"/>
  <tableColumns count="17">
    <tableColumn id="1" xr3:uid="{35FF33FB-6D1C-4EB6-9824-50761A7325E8}" name="Order ID" dataDxfId="81"/>
    <tableColumn id="2" xr3:uid="{E579D1A4-6502-41AA-B905-BA1E4BC15EBB}" name="Customer ID" dataDxfId="80"/>
    <tableColumn id="3" xr3:uid="{8D6A75EB-A3E9-4005-8DBF-F479C74158E1}" name="Product" dataDxfId="79"/>
    <tableColumn id="4" xr3:uid="{8CF41701-3603-4146-9C02-A5B70A407B92}" name="Revenue" dataDxfId="78"/>
    <tableColumn id="5" xr3:uid="{93D7AAC1-73AA-418D-9A6A-BA6D869C3279}" name="Units Sold" dataDxfId="77"/>
    <tableColumn id="6" xr3:uid="{8A59EFBA-D1A4-475B-BFB0-BEC7346AA35E}" name="Region" dataDxfId="76"/>
    <tableColumn id="7" xr3:uid="{4999D932-5E29-4AA9-815D-835271AEB0D1}" name="Order date" dataDxfId="75"/>
    <tableColumn id="8" xr3:uid="{18869765-E46B-4414-A486-F80F3312493F}" name="Amount" dataDxfId="74"/>
    <tableColumn id="9" xr3:uid="{0C24EE66-435D-4B70-9DA8-8B7F51AFA1FF}" name="Channel" dataDxfId="73"/>
    <tableColumn id="10" xr3:uid="{61A647D1-DC55-4AFD-AB4D-4B90A4A1B003}" name="Warehouse ID" dataDxfId="72"/>
    <tableColumn id="11" xr3:uid="{0877056B-9023-4893-BF3E-3237C543C9DA}" name="Inventory Level" dataDxfId="71"/>
    <tableColumn id="12" xr3:uid="{A125E5E4-685F-45AD-91BE-F15326F477ED}" name="shipment date " dataDxfId="70"/>
    <tableColumn id="17" xr3:uid="{7564C02D-96D9-4D56-963F-447AFE0DFD6B}" name="fulfilment days" dataDxfId="69"/>
    <tableColumn id="16" xr3:uid="{6F35EB24-2A2C-42F5-B41D-595007539841}" name="date validity flag" dataDxfId="68">
      <calculatedColumnFormula>IF(OR(Table64[[#This Row],[Order date]]="",Table64[[#This Row],[shipment date ]]=""),"Missing Date",IF(Table64[[#This Row],[shipment date ]]&lt;Table64[[#This Row],[Order date]],"Invalid Date Order","Valid"))</calculatedColumnFormula>
    </tableColumn>
    <tableColumn id="15" xr3:uid="{603CEC06-5E4C-43F2-829B-888C14CAAE3B}" name="Delay days " dataDxfId="67">
      <calculatedColumnFormula>IF(Table64[[#This Row],[date validity flag]]&lt;&gt;"Valid","",Table64[[#This Row],[shipment date ]]-Table64[[#This Row],[Order date]])</calculatedColumnFormula>
    </tableColumn>
    <tableColumn id="19" xr3:uid="{73822D48-DFBF-4B4A-9241-08588D64B44E}" name="Month" dataDxfId="63">
      <calculatedColumnFormula>TEXT(Table64[[#This Row],[Order date]],"mmm-yyyy")</calculatedColumnFormula>
    </tableColumn>
    <tableColumn id="13" xr3:uid="{FA071609-DB42-425D-9D4C-DC1271EF24EC}" name="Delay flag" dataDxfId="66">
      <calculatedColumnFormula>IF(O2="","",IF(O2&gt;0,"Delayed","On Time"))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829F-237E-4C4D-BB77-10689F18C06D}">
  <dimension ref="A1:F7"/>
  <sheetViews>
    <sheetView tabSelected="1" workbookViewId="0">
      <selection activeCell="Q17" sqref="Q17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6" width="14.6640625" bestFit="1" customWidth="1"/>
  </cols>
  <sheetData>
    <row r="1" spans="1:6" x14ac:dyDescent="0.3">
      <c r="A1" s="35" t="s">
        <v>31</v>
      </c>
      <c r="B1" s="35" t="s">
        <v>36</v>
      </c>
      <c r="C1" s="36"/>
      <c r="D1" s="36"/>
      <c r="E1" s="36"/>
      <c r="F1" s="36"/>
    </row>
    <row r="2" spans="1:6" x14ac:dyDescent="0.3">
      <c r="A2" s="35" t="s">
        <v>29</v>
      </c>
      <c r="B2" s="36" t="s">
        <v>32</v>
      </c>
      <c r="C2" s="36" t="s">
        <v>33</v>
      </c>
      <c r="D2" s="36" t="s">
        <v>34</v>
      </c>
      <c r="E2" s="36" t="s">
        <v>35</v>
      </c>
      <c r="F2" s="36" t="s">
        <v>30</v>
      </c>
    </row>
    <row r="3" spans="1:6" x14ac:dyDescent="0.3">
      <c r="A3" s="37" t="s">
        <v>13</v>
      </c>
      <c r="B3" s="38">
        <v>4950238.99</v>
      </c>
      <c r="C3" s="38">
        <v>4942622.5100000007</v>
      </c>
      <c r="D3" s="38">
        <v>4159864.1299999994</v>
      </c>
      <c r="E3" s="38">
        <v>5113028.0600000005</v>
      </c>
      <c r="F3" s="38">
        <v>19165753.689999998</v>
      </c>
    </row>
    <row r="4" spans="1:6" x14ac:dyDescent="0.3">
      <c r="A4" s="37" t="s">
        <v>22</v>
      </c>
      <c r="B4" s="38">
        <v>5998596.2500000019</v>
      </c>
      <c r="C4" s="38">
        <v>4262281.3899999987</v>
      </c>
      <c r="D4" s="38">
        <v>4303348.040000001</v>
      </c>
      <c r="E4" s="38">
        <v>5091056.6900000013</v>
      </c>
      <c r="F4" s="38">
        <v>19655282.370000005</v>
      </c>
    </row>
    <row r="5" spans="1:6" x14ac:dyDescent="0.3">
      <c r="A5" s="37" t="s">
        <v>21</v>
      </c>
      <c r="B5" s="38">
        <v>4273527.8900000006</v>
      </c>
      <c r="C5" s="38">
        <v>5167578.0200000005</v>
      </c>
      <c r="D5" s="38">
        <v>4276722.37</v>
      </c>
      <c r="E5" s="38">
        <v>5533125.46</v>
      </c>
      <c r="F5" s="38">
        <v>19250953.740000002</v>
      </c>
    </row>
    <row r="6" spans="1:6" x14ac:dyDescent="0.3">
      <c r="A6" s="37" t="s">
        <v>23</v>
      </c>
      <c r="B6" s="38">
        <v>4727689.3900000006</v>
      </c>
      <c r="C6" s="38">
        <v>4764061.16</v>
      </c>
      <c r="D6" s="38">
        <v>5105488.55</v>
      </c>
      <c r="E6" s="38">
        <v>4908305.2899999982</v>
      </c>
      <c r="F6" s="38">
        <v>19505544.390000001</v>
      </c>
    </row>
    <row r="7" spans="1:6" x14ac:dyDescent="0.3">
      <c r="A7" s="37" t="s">
        <v>30</v>
      </c>
      <c r="B7" s="38">
        <v>19950052.520000003</v>
      </c>
      <c r="C7" s="38">
        <v>19136543.079999998</v>
      </c>
      <c r="D7" s="38">
        <v>17845423.09</v>
      </c>
      <c r="E7" s="38">
        <v>20645515.5</v>
      </c>
      <c r="F7" s="38">
        <v>77577534.189999998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D74D-2A2F-47CF-B5F4-C9D357220D14}">
  <dimension ref="A1:Q1501"/>
  <sheetViews>
    <sheetView topLeftCell="A2" workbookViewId="0">
      <selection sqref="A1:Q1501"/>
    </sheetView>
  </sheetViews>
  <sheetFormatPr defaultRowHeight="14.4" x14ac:dyDescent="0.3"/>
  <cols>
    <col min="1" max="1" width="7.88671875" bestFit="1" customWidth="1"/>
    <col min="2" max="2" width="11.21875" bestFit="1" customWidth="1"/>
    <col min="3" max="3" width="7.5546875" bestFit="1" customWidth="1"/>
    <col min="4" max="4" width="12.5546875" customWidth="1"/>
    <col min="5" max="5" width="9.44140625" bestFit="1" customWidth="1"/>
    <col min="6" max="6" width="6.5546875" bestFit="1" customWidth="1"/>
    <col min="7" max="7" width="13.88671875" customWidth="1"/>
    <col min="8" max="8" width="12.109375" customWidth="1"/>
    <col min="9" max="9" width="12.77734375" customWidth="1"/>
    <col min="10" max="10" width="13.88671875" customWidth="1"/>
    <col min="11" max="11" width="16.6640625" customWidth="1"/>
    <col min="12" max="12" width="18.33203125" customWidth="1"/>
    <col min="13" max="13" width="13.44140625" customWidth="1"/>
    <col min="14" max="14" width="19.33203125" customWidth="1"/>
    <col min="15" max="16" width="13.44140625" style="33" customWidth="1"/>
    <col min="17" max="17" width="14.88671875" bestFit="1" customWidth="1"/>
  </cols>
  <sheetData>
    <row r="1" spans="1:17" x14ac:dyDescent="0.3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10" t="s">
        <v>6</v>
      </c>
      <c r="H1" s="9" t="s">
        <v>7</v>
      </c>
      <c r="I1" s="11" t="s">
        <v>8</v>
      </c>
      <c r="J1" s="8" t="s">
        <v>9</v>
      </c>
      <c r="K1" s="8" t="s">
        <v>10</v>
      </c>
      <c r="L1" s="10" t="s">
        <v>11</v>
      </c>
      <c r="M1" s="10" t="s">
        <v>24</v>
      </c>
      <c r="N1" s="10" t="s">
        <v>25</v>
      </c>
      <c r="O1" s="30" t="s">
        <v>26</v>
      </c>
      <c r="P1" s="30" t="s">
        <v>28</v>
      </c>
      <c r="Q1" s="8" t="s">
        <v>27</v>
      </c>
    </row>
    <row r="2" spans="1:17" x14ac:dyDescent="0.3">
      <c r="A2" s="12">
        <v>10001</v>
      </c>
      <c r="B2" s="1">
        <v>6127</v>
      </c>
      <c r="C2" s="1" t="s">
        <v>12</v>
      </c>
      <c r="D2" s="2">
        <v>39246.449999999997</v>
      </c>
      <c r="E2" s="1">
        <v>92</v>
      </c>
      <c r="F2" s="1" t="s">
        <v>21</v>
      </c>
      <c r="G2" s="3">
        <v>45337</v>
      </c>
      <c r="H2" s="2">
        <v>95016.07</v>
      </c>
      <c r="I2" s="13" t="s">
        <v>20</v>
      </c>
      <c r="J2" s="14" t="s">
        <v>15</v>
      </c>
      <c r="K2" s="14">
        <v>1151</v>
      </c>
      <c r="L2" s="15">
        <v>45397</v>
      </c>
      <c r="M2" s="16">
        <v>1</v>
      </c>
      <c r="N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" s="31">
        <f>IF(Table64[[#This Row],[date validity flag]]&lt;&gt;"Valid","",Table64[[#This Row],[shipment date ]]-Table64[[#This Row],[Order date]])</f>
        <v>60</v>
      </c>
      <c r="P2" s="34" t="str">
        <f>TEXT(Table64[[#This Row],[Order date]],"mmm-yyyy")</f>
        <v>Feb-2024</v>
      </c>
      <c r="Q2" s="29" t="str">
        <f t="shared" ref="Q2:Q65" si="0">IF(O2="","",IF(O2&gt;0,"Delayed","On Time"))</f>
        <v>Delayed</v>
      </c>
    </row>
    <row r="3" spans="1:17" x14ac:dyDescent="0.3">
      <c r="A3" s="17">
        <v>10002</v>
      </c>
      <c r="B3" s="4">
        <v>6460</v>
      </c>
      <c r="C3" s="4" t="s">
        <v>16</v>
      </c>
      <c r="D3" s="5">
        <v>22105.81</v>
      </c>
      <c r="E3" s="4">
        <v>47</v>
      </c>
      <c r="F3" s="4" t="s">
        <v>22</v>
      </c>
      <c r="G3" s="6">
        <v>45306</v>
      </c>
      <c r="H3" s="5">
        <v>114872.33</v>
      </c>
      <c r="I3" s="18" t="s">
        <v>20</v>
      </c>
      <c r="J3" s="14" t="s">
        <v>19</v>
      </c>
      <c r="K3" s="14">
        <v>1001</v>
      </c>
      <c r="L3" s="15">
        <v>45332</v>
      </c>
      <c r="M3" s="16">
        <v>8</v>
      </c>
      <c r="N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" s="31">
        <f>IF(Table64[[#This Row],[date validity flag]]&lt;&gt;"Valid","",Table64[[#This Row],[shipment date ]]-Table64[[#This Row],[Order date]])</f>
        <v>26</v>
      </c>
      <c r="P3" s="27" t="str">
        <f>TEXT(Table64[[#This Row],[Order date]],"mmm-yyyy")</f>
        <v>Jan-2024</v>
      </c>
      <c r="Q3" s="16" t="str">
        <f t="shared" si="0"/>
        <v>Delayed</v>
      </c>
    </row>
    <row r="4" spans="1:17" x14ac:dyDescent="0.3">
      <c r="A4" s="12">
        <v>10003</v>
      </c>
      <c r="B4" s="1">
        <v>5861</v>
      </c>
      <c r="C4" s="1" t="s">
        <v>16</v>
      </c>
      <c r="D4" s="2">
        <v>81104.320000000007</v>
      </c>
      <c r="E4" s="1">
        <v>75</v>
      </c>
      <c r="F4" s="1" t="s">
        <v>21</v>
      </c>
      <c r="G4" s="3">
        <v>45306</v>
      </c>
      <c r="H4" s="2">
        <v>80401.61</v>
      </c>
      <c r="I4" s="13" t="s">
        <v>20</v>
      </c>
      <c r="J4" s="14" t="s">
        <v>15</v>
      </c>
      <c r="K4" s="14">
        <v>1485</v>
      </c>
      <c r="L4" s="15">
        <v>45332</v>
      </c>
      <c r="M4" s="16">
        <v>1</v>
      </c>
      <c r="N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" s="31">
        <f>IF(Table64[[#This Row],[date validity flag]]&lt;&gt;"Valid","",Table64[[#This Row],[shipment date ]]-Table64[[#This Row],[Order date]])</f>
        <v>26</v>
      </c>
      <c r="P4" s="27" t="str">
        <f>TEXT(Table64[[#This Row],[Order date]],"mmm-yyyy")</f>
        <v>Jan-2024</v>
      </c>
      <c r="Q4" s="16" t="str">
        <f t="shared" si="0"/>
        <v>Delayed</v>
      </c>
    </row>
    <row r="5" spans="1:17" x14ac:dyDescent="0.3">
      <c r="A5" s="17">
        <v>10004</v>
      </c>
      <c r="B5" s="4">
        <v>6295</v>
      </c>
      <c r="C5" s="4" t="s">
        <v>16</v>
      </c>
      <c r="D5" s="5">
        <v>59685.58</v>
      </c>
      <c r="E5" s="4">
        <v>57</v>
      </c>
      <c r="F5" s="4" t="s">
        <v>23</v>
      </c>
      <c r="G5" s="6">
        <v>45383</v>
      </c>
      <c r="H5" s="5">
        <v>15760.58</v>
      </c>
      <c r="I5" s="18" t="s">
        <v>17</v>
      </c>
      <c r="J5" s="14" t="s">
        <v>15</v>
      </c>
      <c r="K5" s="14">
        <v>124</v>
      </c>
      <c r="L5" s="15">
        <v>45397</v>
      </c>
      <c r="M5" s="16">
        <v>3</v>
      </c>
      <c r="N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" s="31">
        <f>IF(Table64[[#This Row],[date validity flag]]&lt;&gt;"Valid","",Table64[[#This Row],[shipment date ]]-Table64[[#This Row],[Order date]])</f>
        <v>14</v>
      </c>
      <c r="P5" s="27" t="str">
        <f>TEXT(Table64[[#This Row],[Order date]],"mmm-yyyy")</f>
        <v>Apr-2024</v>
      </c>
      <c r="Q5" s="16" t="str">
        <f t="shared" si="0"/>
        <v>Delayed</v>
      </c>
    </row>
    <row r="6" spans="1:17" x14ac:dyDescent="0.3">
      <c r="A6" s="12">
        <v>10005</v>
      </c>
      <c r="B6" s="1">
        <v>6131</v>
      </c>
      <c r="C6" s="1" t="s">
        <v>12</v>
      </c>
      <c r="D6" s="2">
        <v>21926.83</v>
      </c>
      <c r="E6" s="1">
        <v>45</v>
      </c>
      <c r="F6" s="1" t="s">
        <v>13</v>
      </c>
      <c r="G6" s="3">
        <v>45383</v>
      </c>
      <c r="H6" s="2">
        <v>143181.41</v>
      </c>
      <c r="I6" s="13" t="s">
        <v>14</v>
      </c>
      <c r="J6" s="14" t="s">
        <v>15</v>
      </c>
      <c r="K6" s="14">
        <v>344</v>
      </c>
      <c r="L6" s="15">
        <v>45397</v>
      </c>
      <c r="M6" s="16">
        <v>11</v>
      </c>
      <c r="N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" s="31">
        <f>IF(Table64[[#This Row],[date validity flag]]&lt;&gt;"Valid","",Table64[[#This Row],[shipment date ]]-Table64[[#This Row],[Order date]])</f>
        <v>14</v>
      </c>
      <c r="P6" s="27" t="str">
        <f>TEXT(Table64[[#This Row],[Order date]],"mmm-yyyy")</f>
        <v>Apr-2024</v>
      </c>
      <c r="Q6" s="16" t="str">
        <f t="shared" si="0"/>
        <v>Delayed</v>
      </c>
    </row>
    <row r="7" spans="1:17" x14ac:dyDescent="0.3">
      <c r="A7" s="17">
        <v>10006</v>
      </c>
      <c r="B7" s="4">
        <v>6096</v>
      </c>
      <c r="C7" s="4" t="s">
        <v>16</v>
      </c>
      <c r="D7" s="5">
        <v>11946.78</v>
      </c>
      <c r="E7" s="4">
        <v>33</v>
      </c>
      <c r="F7" s="4" t="s">
        <v>13</v>
      </c>
      <c r="G7" s="6">
        <v>45361</v>
      </c>
      <c r="H7" s="5">
        <v>30556.959999999999</v>
      </c>
      <c r="I7" s="18" t="s">
        <v>17</v>
      </c>
      <c r="J7" s="14" t="s">
        <v>15</v>
      </c>
      <c r="K7" s="14">
        <v>70</v>
      </c>
      <c r="L7" s="15">
        <v>45361</v>
      </c>
      <c r="M7" s="16">
        <v>5</v>
      </c>
      <c r="N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" s="31">
        <f>IF(Table64[[#This Row],[date validity flag]]&lt;&gt;"Valid","",Table64[[#This Row],[shipment date ]]-Table64[[#This Row],[Order date]])</f>
        <v>0</v>
      </c>
      <c r="P7" s="27" t="str">
        <f>TEXT(Table64[[#This Row],[Order date]],"mmm-yyyy")</f>
        <v>Mar-2024</v>
      </c>
      <c r="Q7" s="16" t="str">
        <f t="shared" si="0"/>
        <v>On Time</v>
      </c>
    </row>
    <row r="8" spans="1:17" x14ac:dyDescent="0.3">
      <c r="A8" s="12">
        <v>10007</v>
      </c>
      <c r="B8" s="1">
        <v>6725</v>
      </c>
      <c r="C8" s="1" t="s">
        <v>12</v>
      </c>
      <c r="D8" s="2">
        <v>73360.479999999996</v>
      </c>
      <c r="E8" s="1">
        <v>17</v>
      </c>
      <c r="F8" s="1" t="s">
        <v>21</v>
      </c>
      <c r="G8" s="3">
        <v>45337</v>
      </c>
      <c r="H8" s="2">
        <v>124878.67</v>
      </c>
      <c r="I8" s="13" t="s">
        <v>17</v>
      </c>
      <c r="J8" s="14" t="s">
        <v>19</v>
      </c>
      <c r="K8" s="14">
        <v>1244</v>
      </c>
      <c r="L8" s="15">
        <v>45361</v>
      </c>
      <c r="M8" s="16">
        <v>8</v>
      </c>
      <c r="N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" s="31">
        <f>IF(Table64[[#This Row],[date validity flag]]&lt;&gt;"Valid","",Table64[[#This Row],[shipment date ]]-Table64[[#This Row],[Order date]])</f>
        <v>24</v>
      </c>
      <c r="P8" s="27" t="str">
        <f>TEXT(Table64[[#This Row],[Order date]],"mmm-yyyy")</f>
        <v>Feb-2024</v>
      </c>
      <c r="Q8" s="16" t="str">
        <f t="shared" si="0"/>
        <v>Delayed</v>
      </c>
    </row>
    <row r="9" spans="1:17" x14ac:dyDescent="0.3">
      <c r="A9" s="17">
        <v>10008</v>
      </c>
      <c r="B9" s="4">
        <v>6045</v>
      </c>
      <c r="C9" s="4" t="s">
        <v>16</v>
      </c>
      <c r="D9" s="5">
        <v>75710.929999999993</v>
      </c>
      <c r="E9" s="4">
        <v>70</v>
      </c>
      <c r="F9" s="4" t="s">
        <v>23</v>
      </c>
      <c r="G9" s="6">
        <v>45383</v>
      </c>
      <c r="H9" s="5">
        <v>59363</v>
      </c>
      <c r="I9" s="18" t="s">
        <v>17</v>
      </c>
      <c r="J9" s="14" t="s">
        <v>19</v>
      </c>
      <c r="K9" s="14">
        <v>1088</v>
      </c>
      <c r="L9" s="15">
        <v>45397</v>
      </c>
      <c r="M9" s="16">
        <v>9</v>
      </c>
      <c r="N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" s="31">
        <f>IF(Table64[[#This Row],[date validity flag]]&lt;&gt;"Valid","",Table64[[#This Row],[shipment date ]]-Table64[[#This Row],[Order date]])</f>
        <v>14</v>
      </c>
      <c r="P9" s="27" t="str">
        <f>TEXT(Table64[[#This Row],[Order date]],"mmm-yyyy")</f>
        <v>Apr-2024</v>
      </c>
      <c r="Q9" s="16" t="str">
        <f t="shared" si="0"/>
        <v>Delayed</v>
      </c>
    </row>
    <row r="10" spans="1:17" x14ac:dyDescent="0.3">
      <c r="A10" s="12">
        <v>10009</v>
      </c>
      <c r="B10" s="1">
        <v>6639</v>
      </c>
      <c r="C10" s="1" t="s">
        <v>12</v>
      </c>
      <c r="D10" s="2">
        <v>34793.94</v>
      </c>
      <c r="E10" s="1">
        <v>4</v>
      </c>
      <c r="F10" s="1" t="s">
        <v>13</v>
      </c>
      <c r="G10" s="3">
        <v>45306</v>
      </c>
      <c r="H10" s="2">
        <v>103657.56</v>
      </c>
      <c r="I10" s="13" t="s">
        <v>17</v>
      </c>
      <c r="J10" s="14" t="s">
        <v>18</v>
      </c>
      <c r="K10" s="14">
        <v>1284</v>
      </c>
      <c r="L10" s="15">
        <v>45397</v>
      </c>
      <c r="M10" s="16">
        <v>7</v>
      </c>
      <c r="N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" s="31">
        <f>IF(Table64[[#This Row],[date validity flag]]&lt;&gt;"Valid","",Table64[[#This Row],[shipment date ]]-Table64[[#This Row],[Order date]])</f>
        <v>91</v>
      </c>
      <c r="P10" s="27" t="str">
        <f>TEXT(Table64[[#This Row],[Order date]],"mmm-yyyy")</f>
        <v>Jan-2024</v>
      </c>
      <c r="Q10" s="16" t="str">
        <f t="shared" si="0"/>
        <v>Delayed</v>
      </c>
    </row>
    <row r="11" spans="1:17" x14ac:dyDescent="0.3">
      <c r="A11" s="17">
        <v>10010</v>
      </c>
      <c r="B11" s="4">
        <v>5122</v>
      </c>
      <c r="C11" s="4" t="s">
        <v>12</v>
      </c>
      <c r="D11" s="5">
        <v>69820.31</v>
      </c>
      <c r="E11" s="4">
        <v>20</v>
      </c>
      <c r="F11" s="4" t="s">
        <v>23</v>
      </c>
      <c r="G11" s="6">
        <v>45361</v>
      </c>
      <c r="H11" s="5">
        <v>116939.37</v>
      </c>
      <c r="I11" s="18" t="s">
        <v>20</v>
      </c>
      <c r="J11" s="14" t="s">
        <v>15</v>
      </c>
      <c r="K11" s="14">
        <v>609</v>
      </c>
      <c r="L11" s="15">
        <v>45361</v>
      </c>
      <c r="M11" s="16">
        <v>9</v>
      </c>
      <c r="N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" s="31">
        <f>IF(Table64[[#This Row],[date validity flag]]&lt;&gt;"Valid","",Table64[[#This Row],[shipment date ]]-Table64[[#This Row],[Order date]])</f>
        <v>0</v>
      </c>
      <c r="P11" s="27" t="str">
        <f>TEXT(Table64[[#This Row],[Order date]],"mmm-yyyy")</f>
        <v>Mar-2024</v>
      </c>
      <c r="Q11" s="16" t="str">
        <f t="shared" si="0"/>
        <v>On Time</v>
      </c>
    </row>
    <row r="12" spans="1:17" x14ac:dyDescent="0.3">
      <c r="A12" s="12">
        <v>10011</v>
      </c>
      <c r="B12" s="1">
        <v>5467</v>
      </c>
      <c r="C12" s="1" t="s">
        <v>12</v>
      </c>
      <c r="D12" s="2">
        <v>72715.34</v>
      </c>
      <c r="E12" s="1">
        <v>47</v>
      </c>
      <c r="F12" s="1" t="s">
        <v>23</v>
      </c>
      <c r="G12" s="3">
        <v>45383</v>
      </c>
      <c r="H12" s="2">
        <v>142333.18</v>
      </c>
      <c r="I12" s="13" t="s">
        <v>14</v>
      </c>
      <c r="J12" s="14" t="s">
        <v>19</v>
      </c>
      <c r="K12" s="14">
        <v>1159</v>
      </c>
      <c r="L12" s="15">
        <v>45397</v>
      </c>
      <c r="M12" s="16">
        <v>11</v>
      </c>
      <c r="N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" s="31">
        <f>IF(Table64[[#This Row],[date validity flag]]&lt;&gt;"Valid","",Table64[[#This Row],[shipment date ]]-Table64[[#This Row],[Order date]])</f>
        <v>14</v>
      </c>
      <c r="P12" s="27" t="str">
        <f>TEXT(Table64[[#This Row],[Order date]],"mmm-yyyy")</f>
        <v>Apr-2024</v>
      </c>
      <c r="Q12" s="16" t="str">
        <f t="shared" si="0"/>
        <v>Delayed</v>
      </c>
    </row>
    <row r="13" spans="1:17" x14ac:dyDescent="0.3">
      <c r="A13" s="17">
        <v>10012</v>
      </c>
      <c r="B13" s="4">
        <v>6239</v>
      </c>
      <c r="C13" s="4" t="s">
        <v>16</v>
      </c>
      <c r="D13" s="5">
        <v>89428.87</v>
      </c>
      <c r="E13" s="4">
        <v>91</v>
      </c>
      <c r="F13" s="4" t="s">
        <v>21</v>
      </c>
      <c r="G13" s="6">
        <v>45337</v>
      </c>
      <c r="H13" s="5">
        <v>88066.78</v>
      </c>
      <c r="I13" s="18" t="s">
        <v>14</v>
      </c>
      <c r="J13" s="14" t="s">
        <v>19</v>
      </c>
      <c r="K13" s="14">
        <v>1222</v>
      </c>
      <c r="L13" s="15">
        <v>45361</v>
      </c>
      <c r="M13" s="16">
        <v>3</v>
      </c>
      <c r="N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" s="31">
        <f>IF(Table64[[#This Row],[date validity flag]]&lt;&gt;"Valid","",Table64[[#This Row],[shipment date ]]-Table64[[#This Row],[Order date]])</f>
        <v>24</v>
      </c>
      <c r="P13" s="27" t="str">
        <f>TEXT(Table64[[#This Row],[Order date]],"mmm-yyyy")</f>
        <v>Feb-2024</v>
      </c>
      <c r="Q13" s="16" t="str">
        <f t="shared" si="0"/>
        <v>Delayed</v>
      </c>
    </row>
    <row r="14" spans="1:17" x14ac:dyDescent="0.3">
      <c r="A14" s="12">
        <v>10013</v>
      </c>
      <c r="B14" s="1">
        <v>5331</v>
      </c>
      <c r="C14" s="1" t="s">
        <v>16</v>
      </c>
      <c r="D14" s="2">
        <v>64517.47</v>
      </c>
      <c r="E14" s="1">
        <v>15</v>
      </c>
      <c r="F14" s="1" t="s">
        <v>22</v>
      </c>
      <c r="G14" s="3">
        <v>45337</v>
      </c>
      <c r="H14" s="2">
        <v>52532.160000000003</v>
      </c>
      <c r="I14" s="13" t="s">
        <v>17</v>
      </c>
      <c r="J14" s="14" t="s">
        <v>19</v>
      </c>
      <c r="K14" s="14">
        <v>421</v>
      </c>
      <c r="L14" s="15">
        <v>45361</v>
      </c>
      <c r="M14" s="16">
        <v>13</v>
      </c>
      <c r="N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" s="31">
        <f>IF(Table64[[#This Row],[date validity flag]]&lt;&gt;"Valid","",Table64[[#This Row],[shipment date ]]-Table64[[#This Row],[Order date]])</f>
        <v>24</v>
      </c>
      <c r="P14" s="27" t="str">
        <f>TEXT(Table64[[#This Row],[Order date]],"mmm-yyyy")</f>
        <v>Feb-2024</v>
      </c>
      <c r="Q14" s="16" t="str">
        <f t="shared" si="0"/>
        <v>Delayed</v>
      </c>
    </row>
    <row r="15" spans="1:17" x14ac:dyDescent="0.3">
      <c r="A15" s="17">
        <v>10014</v>
      </c>
      <c r="B15" s="4">
        <v>6483</v>
      </c>
      <c r="C15" s="4" t="s">
        <v>12</v>
      </c>
      <c r="D15" s="5">
        <v>34424.58</v>
      </c>
      <c r="E15" s="4">
        <v>70</v>
      </c>
      <c r="F15" s="4" t="s">
        <v>21</v>
      </c>
      <c r="G15" s="6">
        <v>45361</v>
      </c>
      <c r="H15" s="5">
        <v>160527.64000000001</v>
      </c>
      <c r="I15" s="18" t="s">
        <v>14</v>
      </c>
      <c r="J15" s="14" t="s">
        <v>15</v>
      </c>
      <c r="K15" s="14">
        <v>867</v>
      </c>
      <c r="L15" s="15">
        <v>45361</v>
      </c>
      <c r="M15" s="16">
        <v>5</v>
      </c>
      <c r="N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5" s="31">
        <f>IF(Table64[[#This Row],[date validity flag]]&lt;&gt;"Valid","",Table64[[#This Row],[shipment date ]]-Table64[[#This Row],[Order date]])</f>
        <v>0</v>
      </c>
      <c r="P15" s="27" t="str">
        <f>TEXT(Table64[[#This Row],[Order date]],"mmm-yyyy")</f>
        <v>Mar-2024</v>
      </c>
      <c r="Q15" s="16" t="str">
        <f t="shared" si="0"/>
        <v>On Time</v>
      </c>
    </row>
    <row r="16" spans="1:17" x14ac:dyDescent="0.3">
      <c r="A16" s="12">
        <v>10015</v>
      </c>
      <c r="B16" s="1">
        <v>5088</v>
      </c>
      <c r="C16" s="1" t="s">
        <v>16</v>
      </c>
      <c r="D16" s="2">
        <v>32455.67</v>
      </c>
      <c r="E16" s="1">
        <v>47</v>
      </c>
      <c r="F16" s="1" t="s">
        <v>22</v>
      </c>
      <c r="G16" s="3">
        <v>45361</v>
      </c>
      <c r="H16" s="2">
        <v>140434.91</v>
      </c>
      <c r="I16" s="13" t="s">
        <v>14</v>
      </c>
      <c r="J16" s="14" t="s">
        <v>18</v>
      </c>
      <c r="K16" s="14">
        <v>1224</v>
      </c>
      <c r="L16" s="15">
        <v>45332</v>
      </c>
      <c r="M16" s="16">
        <v>10</v>
      </c>
      <c r="N1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6" s="31" t="str">
        <f>IF(Table64[[#This Row],[date validity flag]]&lt;&gt;"Valid","",Table64[[#This Row],[shipment date ]]-Table64[[#This Row],[Order date]])</f>
        <v/>
      </c>
      <c r="P16" s="27" t="str">
        <f>TEXT(Table64[[#This Row],[Order date]],"mmm-yyyy")</f>
        <v>Mar-2024</v>
      </c>
      <c r="Q16" s="16" t="str">
        <f t="shared" si="0"/>
        <v/>
      </c>
    </row>
    <row r="17" spans="1:17" x14ac:dyDescent="0.3">
      <c r="A17" s="17">
        <v>10016</v>
      </c>
      <c r="B17" s="4">
        <v>6397</v>
      </c>
      <c r="C17" s="4" t="s">
        <v>16</v>
      </c>
      <c r="D17" s="5">
        <v>62583.12</v>
      </c>
      <c r="E17" s="4">
        <v>78</v>
      </c>
      <c r="F17" s="4" t="s">
        <v>23</v>
      </c>
      <c r="G17" s="6">
        <v>45361</v>
      </c>
      <c r="H17" s="5">
        <v>49958.77</v>
      </c>
      <c r="I17" s="18" t="s">
        <v>14</v>
      </c>
      <c r="J17" s="14" t="s">
        <v>19</v>
      </c>
      <c r="K17" s="14">
        <v>1214</v>
      </c>
      <c r="L17" s="15">
        <v>45332</v>
      </c>
      <c r="M17" s="16">
        <v>8</v>
      </c>
      <c r="N1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7" s="31" t="str">
        <f>IF(Table64[[#This Row],[date validity flag]]&lt;&gt;"Valid","",Table64[[#This Row],[shipment date ]]-Table64[[#This Row],[Order date]])</f>
        <v/>
      </c>
      <c r="P17" s="27" t="str">
        <f>TEXT(Table64[[#This Row],[Order date]],"mmm-yyyy")</f>
        <v>Mar-2024</v>
      </c>
      <c r="Q17" s="16" t="str">
        <f t="shared" si="0"/>
        <v/>
      </c>
    </row>
    <row r="18" spans="1:17" x14ac:dyDescent="0.3">
      <c r="A18" s="12">
        <v>10017</v>
      </c>
      <c r="B18" s="1">
        <v>6124</v>
      </c>
      <c r="C18" s="1" t="s">
        <v>16</v>
      </c>
      <c r="D18" s="2">
        <v>71984.100000000006</v>
      </c>
      <c r="E18" s="1">
        <v>75</v>
      </c>
      <c r="F18" s="1" t="s">
        <v>22</v>
      </c>
      <c r="G18" s="3">
        <v>45361</v>
      </c>
      <c r="H18" s="2">
        <v>31485.83</v>
      </c>
      <c r="I18" s="13" t="s">
        <v>17</v>
      </c>
      <c r="J18" s="14" t="s">
        <v>15</v>
      </c>
      <c r="K18" s="14">
        <v>1142</v>
      </c>
      <c r="L18" s="15">
        <v>45397</v>
      </c>
      <c r="M18" s="16">
        <v>12</v>
      </c>
      <c r="N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" s="31">
        <f>IF(Table64[[#This Row],[date validity flag]]&lt;&gt;"Valid","",Table64[[#This Row],[shipment date ]]-Table64[[#This Row],[Order date]])</f>
        <v>36</v>
      </c>
      <c r="P18" s="27" t="str">
        <f>TEXT(Table64[[#This Row],[Order date]],"mmm-yyyy")</f>
        <v>Mar-2024</v>
      </c>
      <c r="Q18" s="16" t="str">
        <f t="shared" si="0"/>
        <v>Delayed</v>
      </c>
    </row>
    <row r="19" spans="1:17" x14ac:dyDescent="0.3">
      <c r="A19" s="17">
        <v>10018</v>
      </c>
      <c r="B19" s="4">
        <v>5872</v>
      </c>
      <c r="C19" s="4" t="s">
        <v>16</v>
      </c>
      <c r="D19" s="5">
        <v>23804.45</v>
      </c>
      <c r="E19" s="4">
        <v>9</v>
      </c>
      <c r="F19" s="4" t="s">
        <v>23</v>
      </c>
      <c r="G19" s="6">
        <v>45361</v>
      </c>
      <c r="H19" s="5">
        <v>116814.49</v>
      </c>
      <c r="I19" s="18" t="s">
        <v>17</v>
      </c>
      <c r="J19" s="14" t="s">
        <v>19</v>
      </c>
      <c r="K19" s="14">
        <v>1333</v>
      </c>
      <c r="L19" s="15">
        <v>45361</v>
      </c>
      <c r="M19" s="16">
        <v>1</v>
      </c>
      <c r="N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" s="31">
        <f>IF(Table64[[#This Row],[date validity flag]]&lt;&gt;"Valid","",Table64[[#This Row],[shipment date ]]-Table64[[#This Row],[Order date]])</f>
        <v>0</v>
      </c>
      <c r="P19" s="27" t="str">
        <f>TEXT(Table64[[#This Row],[Order date]],"mmm-yyyy")</f>
        <v>Mar-2024</v>
      </c>
      <c r="Q19" s="16" t="str">
        <f t="shared" si="0"/>
        <v>On Time</v>
      </c>
    </row>
    <row r="20" spans="1:17" x14ac:dyDescent="0.3">
      <c r="A20" s="12">
        <v>10019</v>
      </c>
      <c r="B20" s="1">
        <v>6688</v>
      </c>
      <c r="C20" s="1" t="s">
        <v>16</v>
      </c>
      <c r="D20" s="2">
        <v>16686.63</v>
      </c>
      <c r="E20" s="1">
        <v>90</v>
      </c>
      <c r="F20" s="1" t="s">
        <v>13</v>
      </c>
      <c r="G20" s="3">
        <v>45306</v>
      </c>
      <c r="H20" s="2">
        <v>98518.02</v>
      </c>
      <c r="I20" s="13" t="s">
        <v>14</v>
      </c>
      <c r="J20" s="14" t="s">
        <v>19</v>
      </c>
      <c r="K20" s="14">
        <v>895</v>
      </c>
      <c r="L20" s="15">
        <v>45332</v>
      </c>
      <c r="M20" s="16">
        <v>8</v>
      </c>
      <c r="N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" s="31">
        <f>IF(Table64[[#This Row],[date validity flag]]&lt;&gt;"Valid","",Table64[[#This Row],[shipment date ]]-Table64[[#This Row],[Order date]])</f>
        <v>26</v>
      </c>
      <c r="P20" s="27" t="str">
        <f>TEXT(Table64[[#This Row],[Order date]],"mmm-yyyy")</f>
        <v>Jan-2024</v>
      </c>
      <c r="Q20" s="16" t="str">
        <f t="shared" si="0"/>
        <v>Delayed</v>
      </c>
    </row>
    <row r="21" spans="1:17" x14ac:dyDescent="0.3">
      <c r="A21" s="17">
        <v>10020</v>
      </c>
      <c r="B21" s="4">
        <v>5131</v>
      </c>
      <c r="C21" s="4" t="s">
        <v>16</v>
      </c>
      <c r="D21" s="5">
        <v>69041.62</v>
      </c>
      <c r="E21" s="4">
        <v>16</v>
      </c>
      <c r="F21" s="4" t="s">
        <v>13</v>
      </c>
      <c r="G21" s="6">
        <v>45306</v>
      </c>
      <c r="H21" s="5">
        <v>143728.91</v>
      </c>
      <c r="I21" s="18" t="s">
        <v>17</v>
      </c>
      <c r="J21" s="14" t="s">
        <v>18</v>
      </c>
      <c r="K21" s="14">
        <v>570</v>
      </c>
      <c r="L21" s="15">
        <v>45397</v>
      </c>
      <c r="M21" s="16">
        <v>7</v>
      </c>
      <c r="N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1" s="31">
        <f>IF(Table64[[#This Row],[date validity flag]]&lt;&gt;"Valid","",Table64[[#This Row],[shipment date ]]-Table64[[#This Row],[Order date]])</f>
        <v>91</v>
      </c>
      <c r="P21" s="27" t="str">
        <f>TEXT(Table64[[#This Row],[Order date]],"mmm-yyyy")</f>
        <v>Jan-2024</v>
      </c>
      <c r="Q21" s="16" t="str">
        <f t="shared" si="0"/>
        <v>Delayed</v>
      </c>
    </row>
    <row r="22" spans="1:17" x14ac:dyDescent="0.3">
      <c r="A22" s="12">
        <v>10021</v>
      </c>
      <c r="B22" s="1">
        <v>6686</v>
      </c>
      <c r="C22" s="1" t="s">
        <v>16</v>
      </c>
      <c r="D22" s="2">
        <v>78277.679999999993</v>
      </c>
      <c r="E22" s="1">
        <v>69</v>
      </c>
      <c r="F22" s="1" t="s">
        <v>13</v>
      </c>
      <c r="G22" s="3">
        <v>45383</v>
      </c>
      <c r="H22" s="2">
        <v>133780.28</v>
      </c>
      <c r="I22" s="13" t="s">
        <v>17</v>
      </c>
      <c r="J22" s="14" t="s">
        <v>19</v>
      </c>
      <c r="K22" s="14">
        <v>420</v>
      </c>
      <c r="L22" s="15">
        <v>45397</v>
      </c>
      <c r="M22" s="16">
        <v>1</v>
      </c>
      <c r="N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" s="31">
        <f>IF(Table64[[#This Row],[date validity flag]]&lt;&gt;"Valid","",Table64[[#This Row],[shipment date ]]-Table64[[#This Row],[Order date]])</f>
        <v>14</v>
      </c>
      <c r="P22" s="27" t="str">
        <f>TEXT(Table64[[#This Row],[Order date]],"mmm-yyyy")</f>
        <v>Apr-2024</v>
      </c>
      <c r="Q22" s="16" t="str">
        <f t="shared" si="0"/>
        <v>Delayed</v>
      </c>
    </row>
    <row r="23" spans="1:17" x14ac:dyDescent="0.3">
      <c r="A23" s="17">
        <v>10022</v>
      </c>
      <c r="B23" s="4">
        <v>6333</v>
      </c>
      <c r="C23" s="4" t="s">
        <v>16</v>
      </c>
      <c r="D23" s="5">
        <v>37284.46</v>
      </c>
      <c r="E23" s="4">
        <v>61</v>
      </c>
      <c r="F23" s="4" t="s">
        <v>21</v>
      </c>
      <c r="G23" s="6">
        <v>45337</v>
      </c>
      <c r="H23" s="5">
        <v>81710.820000000007</v>
      </c>
      <c r="I23" s="18" t="s">
        <v>20</v>
      </c>
      <c r="J23" s="14" t="s">
        <v>19</v>
      </c>
      <c r="K23" s="14">
        <v>1492</v>
      </c>
      <c r="L23" s="15">
        <v>45397</v>
      </c>
      <c r="M23" s="16">
        <v>13</v>
      </c>
      <c r="N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" s="31">
        <f>IF(Table64[[#This Row],[date validity flag]]&lt;&gt;"Valid","",Table64[[#This Row],[shipment date ]]-Table64[[#This Row],[Order date]])</f>
        <v>60</v>
      </c>
      <c r="P23" s="27" t="str">
        <f>TEXT(Table64[[#This Row],[Order date]],"mmm-yyyy")</f>
        <v>Feb-2024</v>
      </c>
      <c r="Q23" s="16" t="str">
        <f t="shared" si="0"/>
        <v>Delayed</v>
      </c>
    </row>
    <row r="24" spans="1:17" x14ac:dyDescent="0.3">
      <c r="A24" s="12">
        <v>10023</v>
      </c>
      <c r="B24" s="1">
        <v>5770</v>
      </c>
      <c r="C24" s="1" t="s">
        <v>16</v>
      </c>
      <c r="D24" s="2">
        <v>14422.25</v>
      </c>
      <c r="E24" s="1">
        <v>10</v>
      </c>
      <c r="F24" s="1" t="s">
        <v>21</v>
      </c>
      <c r="G24" s="3">
        <v>45306</v>
      </c>
      <c r="H24" s="2">
        <v>71411.350000000006</v>
      </c>
      <c r="I24" s="13" t="s">
        <v>17</v>
      </c>
      <c r="J24" s="14" t="s">
        <v>15</v>
      </c>
      <c r="K24" s="14">
        <v>150</v>
      </c>
      <c r="L24" s="15">
        <v>45397</v>
      </c>
      <c r="M24" s="16">
        <v>13</v>
      </c>
      <c r="N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4" s="31">
        <f>IF(Table64[[#This Row],[date validity flag]]&lt;&gt;"Valid","",Table64[[#This Row],[shipment date ]]-Table64[[#This Row],[Order date]])</f>
        <v>91</v>
      </c>
      <c r="P24" s="27" t="str">
        <f>TEXT(Table64[[#This Row],[Order date]],"mmm-yyyy")</f>
        <v>Jan-2024</v>
      </c>
      <c r="Q24" s="16" t="str">
        <f t="shared" si="0"/>
        <v>Delayed</v>
      </c>
    </row>
    <row r="25" spans="1:17" x14ac:dyDescent="0.3">
      <c r="A25" s="17">
        <v>10024</v>
      </c>
      <c r="B25" s="4">
        <v>5344</v>
      </c>
      <c r="C25" s="4" t="s">
        <v>12</v>
      </c>
      <c r="D25" s="5">
        <v>27061.7</v>
      </c>
      <c r="E25" s="4">
        <v>50</v>
      </c>
      <c r="F25" s="4" t="s">
        <v>23</v>
      </c>
      <c r="G25" s="6">
        <v>45306</v>
      </c>
      <c r="H25" s="5">
        <v>108953.85</v>
      </c>
      <c r="I25" s="18" t="s">
        <v>17</v>
      </c>
      <c r="J25" s="14" t="s">
        <v>15</v>
      </c>
      <c r="K25" s="14">
        <v>710</v>
      </c>
      <c r="L25" s="15">
        <v>45397</v>
      </c>
      <c r="M25" s="16">
        <v>10</v>
      </c>
      <c r="N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5" s="31">
        <f>IF(Table64[[#This Row],[date validity flag]]&lt;&gt;"Valid","",Table64[[#This Row],[shipment date ]]-Table64[[#This Row],[Order date]])</f>
        <v>91</v>
      </c>
      <c r="P25" s="27" t="str">
        <f>TEXT(Table64[[#This Row],[Order date]],"mmm-yyyy")</f>
        <v>Jan-2024</v>
      </c>
      <c r="Q25" s="16" t="str">
        <f t="shared" si="0"/>
        <v>Delayed</v>
      </c>
    </row>
    <row r="26" spans="1:17" x14ac:dyDescent="0.3">
      <c r="A26" s="12">
        <v>10025</v>
      </c>
      <c r="B26" s="1">
        <v>6516</v>
      </c>
      <c r="C26" s="1" t="s">
        <v>16</v>
      </c>
      <c r="D26" s="2">
        <v>65012.92</v>
      </c>
      <c r="E26" s="1">
        <v>3</v>
      </c>
      <c r="F26" s="1" t="s">
        <v>13</v>
      </c>
      <c r="G26" s="3">
        <v>45306</v>
      </c>
      <c r="H26" s="2">
        <v>100488.12</v>
      </c>
      <c r="I26" s="13" t="s">
        <v>14</v>
      </c>
      <c r="J26" s="14" t="s">
        <v>18</v>
      </c>
      <c r="K26" s="14">
        <v>1017</v>
      </c>
      <c r="L26" s="15">
        <v>45361</v>
      </c>
      <c r="M26" s="16">
        <v>12</v>
      </c>
      <c r="N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6" s="31">
        <f>IF(Table64[[#This Row],[date validity flag]]&lt;&gt;"Valid","",Table64[[#This Row],[shipment date ]]-Table64[[#This Row],[Order date]])</f>
        <v>55</v>
      </c>
      <c r="P26" s="27" t="str">
        <f>TEXT(Table64[[#This Row],[Order date]],"mmm-yyyy")</f>
        <v>Jan-2024</v>
      </c>
      <c r="Q26" s="16" t="str">
        <f t="shared" si="0"/>
        <v>Delayed</v>
      </c>
    </row>
    <row r="27" spans="1:17" x14ac:dyDescent="0.3">
      <c r="A27" s="17">
        <v>10026</v>
      </c>
      <c r="B27" s="4">
        <v>6438</v>
      </c>
      <c r="C27" s="4" t="s">
        <v>16</v>
      </c>
      <c r="D27" s="5">
        <v>69792.929999999993</v>
      </c>
      <c r="E27" s="4">
        <v>77</v>
      </c>
      <c r="F27" s="4" t="s">
        <v>21</v>
      </c>
      <c r="G27" s="6">
        <v>45383</v>
      </c>
      <c r="H27" s="5">
        <v>150758.04999999999</v>
      </c>
      <c r="I27" s="18" t="s">
        <v>17</v>
      </c>
      <c r="J27" s="14" t="s">
        <v>15</v>
      </c>
      <c r="K27" s="14">
        <v>292</v>
      </c>
      <c r="L27" s="15">
        <v>45397</v>
      </c>
      <c r="M27" s="16">
        <v>10</v>
      </c>
      <c r="N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" s="31">
        <f>IF(Table64[[#This Row],[date validity flag]]&lt;&gt;"Valid","",Table64[[#This Row],[shipment date ]]-Table64[[#This Row],[Order date]])</f>
        <v>14</v>
      </c>
      <c r="P27" s="27" t="str">
        <f>TEXT(Table64[[#This Row],[Order date]],"mmm-yyyy")</f>
        <v>Apr-2024</v>
      </c>
      <c r="Q27" s="16" t="str">
        <f t="shared" si="0"/>
        <v>Delayed</v>
      </c>
    </row>
    <row r="28" spans="1:17" x14ac:dyDescent="0.3">
      <c r="A28" s="12">
        <v>10027</v>
      </c>
      <c r="B28" s="1">
        <v>5806</v>
      </c>
      <c r="C28" s="1" t="s">
        <v>16</v>
      </c>
      <c r="D28" s="2">
        <v>23331.08</v>
      </c>
      <c r="E28" s="1">
        <v>94</v>
      </c>
      <c r="F28" s="1" t="s">
        <v>13</v>
      </c>
      <c r="G28" s="3">
        <v>45361</v>
      </c>
      <c r="H28" s="2">
        <v>123692.86</v>
      </c>
      <c r="I28" s="13" t="s">
        <v>17</v>
      </c>
      <c r="J28" s="14" t="s">
        <v>15</v>
      </c>
      <c r="K28" s="14">
        <v>802</v>
      </c>
      <c r="L28" s="15">
        <v>45361</v>
      </c>
      <c r="M28" s="16">
        <v>12</v>
      </c>
      <c r="N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" s="31">
        <f>IF(Table64[[#This Row],[date validity flag]]&lt;&gt;"Valid","",Table64[[#This Row],[shipment date ]]-Table64[[#This Row],[Order date]])</f>
        <v>0</v>
      </c>
      <c r="P28" s="27" t="str">
        <f>TEXT(Table64[[#This Row],[Order date]],"mmm-yyyy")</f>
        <v>Mar-2024</v>
      </c>
      <c r="Q28" s="16" t="str">
        <f t="shared" si="0"/>
        <v>On Time</v>
      </c>
    </row>
    <row r="29" spans="1:17" x14ac:dyDescent="0.3">
      <c r="A29" s="17">
        <v>10028</v>
      </c>
      <c r="B29" s="4">
        <v>5386</v>
      </c>
      <c r="C29" s="4" t="s">
        <v>16</v>
      </c>
      <c r="D29" s="5">
        <v>24696.37</v>
      </c>
      <c r="E29" s="4">
        <v>70</v>
      </c>
      <c r="F29" s="4" t="s">
        <v>21</v>
      </c>
      <c r="G29" s="6">
        <v>45383</v>
      </c>
      <c r="H29" s="5">
        <v>154097.85</v>
      </c>
      <c r="I29" s="18" t="s">
        <v>17</v>
      </c>
      <c r="J29" s="14" t="s">
        <v>18</v>
      </c>
      <c r="K29" s="14">
        <v>561</v>
      </c>
      <c r="L29" s="15">
        <v>45332</v>
      </c>
      <c r="M29" s="16">
        <v>6</v>
      </c>
      <c r="N2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9" s="31" t="str">
        <f>IF(Table64[[#This Row],[date validity flag]]&lt;&gt;"Valid","",Table64[[#This Row],[shipment date ]]-Table64[[#This Row],[Order date]])</f>
        <v/>
      </c>
      <c r="P29" s="27" t="str">
        <f>TEXT(Table64[[#This Row],[Order date]],"mmm-yyyy")</f>
        <v>Apr-2024</v>
      </c>
      <c r="Q29" s="16" t="str">
        <f t="shared" si="0"/>
        <v/>
      </c>
    </row>
    <row r="30" spans="1:17" x14ac:dyDescent="0.3">
      <c r="A30" s="12">
        <v>10029</v>
      </c>
      <c r="B30" s="1">
        <v>6216</v>
      </c>
      <c r="C30" s="1" t="s">
        <v>16</v>
      </c>
      <c r="D30" s="2">
        <v>80713.899999999994</v>
      </c>
      <c r="E30" s="1">
        <v>81</v>
      </c>
      <c r="F30" s="1" t="s">
        <v>22</v>
      </c>
      <c r="G30" s="3">
        <v>45337</v>
      </c>
      <c r="H30" s="2">
        <v>149339.43</v>
      </c>
      <c r="I30" s="13" t="s">
        <v>17</v>
      </c>
      <c r="J30" s="14" t="s">
        <v>19</v>
      </c>
      <c r="K30" s="14">
        <v>898</v>
      </c>
      <c r="L30" s="15">
        <v>45397</v>
      </c>
      <c r="M30" s="16">
        <v>1</v>
      </c>
      <c r="N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" s="31">
        <f>IF(Table64[[#This Row],[date validity flag]]&lt;&gt;"Valid","",Table64[[#This Row],[shipment date ]]-Table64[[#This Row],[Order date]])</f>
        <v>60</v>
      </c>
      <c r="P30" s="27" t="str">
        <f>TEXT(Table64[[#This Row],[Order date]],"mmm-yyyy")</f>
        <v>Feb-2024</v>
      </c>
      <c r="Q30" s="16" t="str">
        <f t="shared" si="0"/>
        <v>Delayed</v>
      </c>
    </row>
    <row r="31" spans="1:17" x14ac:dyDescent="0.3">
      <c r="A31" s="17">
        <v>10030</v>
      </c>
      <c r="B31" s="4">
        <v>5956</v>
      </c>
      <c r="C31" s="4" t="s">
        <v>16</v>
      </c>
      <c r="D31" s="5">
        <v>90009.13</v>
      </c>
      <c r="E31" s="4">
        <v>51</v>
      </c>
      <c r="F31" s="4" t="s">
        <v>22</v>
      </c>
      <c r="G31" s="6">
        <v>45337</v>
      </c>
      <c r="H31" s="5">
        <v>119964.83</v>
      </c>
      <c r="I31" s="18" t="s">
        <v>17</v>
      </c>
      <c r="J31" s="14" t="s">
        <v>18</v>
      </c>
      <c r="K31" s="14">
        <v>604</v>
      </c>
      <c r="L31" s="15">
        <v>45332</v>
      </c>
      <c r="M31" s="16">
        <v>2</v>
      </c>
      <c r="N3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1" s="31" t="str">
        <f>IF(Table64[[#This Row],[date validity flag]]&lt;&gt;"Valid","",Table64[[#This Row],[shipment date ]]-Table64[[#This Row],[Order date]])</f>
        <v/>
      </c>
      <c r="P31" s="27" t="str">
        <f>TEXT(Table64[[#This Row],[Order date]],"mmm-yyyy")</f>
        <v>Feb-2024</v>
      </c>
      <c r="Q31" s="16" t="str">
        <f t="shared" si="0"/>
        <v/>
      </c>
    </row>
    <row r="32" spans="1:17" x14ac:dyDescent="0.3">
      <c r="A32" s="12">
        <v>10031</v>
      </c>
      <c r="B32" s="1">
        <v>5277</v>
      </c>
      <c r="C32" s="1" t="s">
        <v>16</v>
      </c>
      <c r="D32" s="2">
        <v>44677.85</v>
      </c>
      <c r="E32" s="1">
        <v>19</v>
      </c>
      <c r="F32" s="1" t="s">
        <v>13</v>
      </c>
      <c r="G32" s="3">
        <v>45337</v>
      </c>
      <c r="H32" s="2">
        <v>143612.14000000001</v>
      </c>
      <c r="I32" s="13" t="s">
        <v>17</v>
      </c>
      <c r="J32" s="14" t="s">
        <v>15</v>
      </c>
      <c r="K32" s="14">
        <v>1168</v>
      </c>
      <c r="L32" s="15">
        <v>45361</v>
      </c>
      <c r="M32" s="16">
        <v>5</v>
      </c>
      <c r="N3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" s="31">
        <f>IF(Table64[[#This Row],[date validity flag]]&lt;&gt;"Valid","",Table64[[#This Row],[shipment date ]]-Table64[[#This Row],[Order date]])</f>
        <v>24</v>
      </c>
      <c r="P32" s="27" t="str">
        <f>TEXT(Table64[[#This Row],[Order date]],"mmm-yyyy")</f>
        <v>Feb-2024</v>
      </c>
      <c r="Q32" s="16" t="str">
        <f t="shared" si="0"/>
        <v>Delayed</v>
      </c>
    </row>
    <row r="33" spans="1:17" x14ac:dyDescent="0.3">
      <c r="A33" s="17">
        <v>10032</v>
      </c>
      <c r="B33" s="4">
        <v>6185</v>
      </c>
      <c r="C33" s="4" t="s">
        <v>12</v>
      </c>
      <c r="D33" s="5">
        <v>69255.429999999993</v>
      </c>
      <c r="E33" s="4">
        <v>42</v>
      </c>
      <c r="F33" s="4" t="s">
        <v>23</v>
      </c>
      <c r="G33" s="6">
        <v>45337</v>
      </c>
      <c r="H33" s="5">
        <v>139468.82999999999</v>
      </c>
      <c r="I33" s="18" t="s">
        <v>17</v>
      </c>
      <c r="J33" s="14" t="s">
        <v>18</v>
      </c>
      <c r="K33" s="14">
        <v>275</v>
      </c>
      <c r="L33" s="15">
        <v>45361</v>
      </c>
      <c r="M33" s="16">
        <v>2</v>
      </c>
      <c r="N3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3" s="31">
        <f>IF(Table64[[#This Row],[date validity flag]]&lt;&gt;"Valid","",Table64[[#This Row],[shipment date ]]-Table64[[#This Row],[Order date]])</f>
        <v>24</v>
      </c>
      <c r="P33" s="27" t="str">
        <f>TEXT(Table64[[#This Row],[Order date]],"mmm-yyyy")</f>
        <v>Feb-2024</v>
      </c>
      <c r="Q33" s="16" t="str">
        <f t="shared" si="0"/>
        <v>Delayed</v>
      </c>
    </row>
    <row r="34" spans="1:17" x14ac:dyDescent="0.3">
      <c r="A34" s="12">
        <v>10033</v>
      </c>
      <c r="B34" s="1">
        <v>5460</v>
      </c>
      <c r="C34" s="1" t="s">
        <v>16</v>
      </c>
      <c r="D34" s="2">
        <v>81196.25</v>
      </c>
      <c r="E34" s="1">
        <v>35</v>
      </c>
      <c r="F34" s="1" t="s">
        <v>21</v>
      </c>
      <c r="G34" s="3">
        <v>45306</v>
      </c>
      <c r="H34" s="2">
        <v>85680.46</v>
      </c>
      <c r="I34" s="13" t="s">
        <v>17</v>
      </c>
      <c r="J34" s="14" t="s">
        <v>19</v>
      </c>
      <c r="K34" s="14">
        <v>263</v>
      </c>
      <c r="L34" s="15">
        <v>45332</v>
      </c>
      <c r="M34" s="16">
        <v>14</v>
      </c>
      <c r="N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4" s="31">
        <f>IF(Table64[[#This Row],[date validity flag]]&lt;&gt;"Valid","",Table64[[#This Row],[shipment date ]]-Table64[[#This Row],[Order date]])</f>
        <v>26</v>
      </c>
      <c r="P34" s="27" t="str">
        <f>TEXT(Table64[[#This Row],[Order date]],"mmm-yyyy")</f>
        <v>Jan-2024</v>
      </c>
      <c r="Q34" s="16" t="str">
        <f t="shared" si="0"/>
        <v>Delayed</v>
      </c>
    </row>
    <row r="35" spans="1:17" x14ac:dyDescent="0.3">
      <c r="A35" s="17">
        <v>10034</v>
      </c>
      <c r="B35" s="4">
        <v>6338</v>
      </c>
      <c r="C35" s="4" t="s">
        <v>16</v>
      </c>
      <c r="D35" s="5">
        <v>92136.89</v>
      </c>
      <c r="E35" s="4">
        <v>46</v>
      </c>
      <c r="F35" s="4" t="s">
        <v>21</v>
      </c>
      <c r="G35" s="6">
        <v>45306</v>
      </c>
      <c r="H35" s="5">
        <v>122770.09</v>
      </c>
      <c r="I35" s="18" t="s">
        <v>14</v>
      </c>
      <c r="J35" s="14" t="s">
        <v>18</v>
      </c>
      <c r="K35" s="14">
        <v>767</v>
      </c>
      <c r="L35" s="15">
        <v>45397</v>
      </c>
      <c r="M35" s="16">
        <v>10</v>
      </c>
      <c r="N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" s="31">
        <f>IF(Table64[[#This Row],[date validity flag]]&lt;&gt;"Valid","",Table64[[#This Row],[shipment date ]]-Table64[[#This Row],[Order date]])</f>
        <v>91</v>
      </c>
      <c r="P35" s="27" t="str">
        <f>TEXT(Table64[[#This Row],[Order date]],"mmm-yyyy")</f>
        <v>Jan-2024</v>
      </c>
      <c r="Q35" s="16" t="str">
        <f t="shared" si="0"/>
        <v>Delayed</v>
      </c>
    </row>
    <row r="36" spans="1:17" x14ac:dyDescent="0.3">
      <c r="A36" s="12">
        <v>10035</v>
      </c>
      <c r="B36" s="1">
        <v>5022</v>
      </c>
      <c r="C36" s="1" t="s">
        <v>16</v>
      </c>
      <c r="D36" s="2">
        <v>79198.75</v>
      </c>
      <c r="E36" s="1">
        <v>26</v>
      </c>
      <c r="F36" s="1" t="s">
        <v>22</v>
      </c>
      <c r="G36" s="3">
        <v>45383</v>
      </c>
      <c r="H36" s="2">
        <v>50547.96</v>
      </c>
      <c r="I36" s="13" t="s">
        <v>14</v>
      </c>
      <c r="J36" s="14" t="s">
        <v>15</v>
      </c>
      <c r="K36" s="14">
        <v>116</v>
      </c>
      <c r="L36" s="15">
        <v>45397</v>
      </c>
      <c r="M36" s="16">
        <v>1</v>
      </c>
      <c r="N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" s="31">
        <f>IF(Table64[[#This Row],[date validity flag]]&lt;&gt;"Valid","",Table64[[#This Row],[shipment date ]]-Table64[[#This Row],[Order date]])</f>
        <v>14</v>
      </c>
      <c r="P36" s="27" t="str">
        <f>TEXT(Table64[[#This Row],[Order date]],"mmm-yyyy")</f>
        <v>Apr-2024</v>
      </c>
      <c r="Q36" s="16" t="str">
        <f t="shared" si="0"/>
        <v>Delayed</v>
      </c>
    </row>
    <row r="37" spans="1:17" x14ac:dyDescent="0.3">
      <c r="A37" s="17">
        <v>10036</v>
      </c>
      <c r="B37" s="4">
        <v>5253</v>
      </c>
      <c r="C37" s="4" t="s">
        <v>16</v>
      </c>
      <c r="D37" s="5">
        <v>47933.79</v>
      </c>
      <c r="E37" s="4">
        <v>69</v>
      </c>
      <c r="F37" s="4" t="s">
        <v>22</v>
      </c>
      <c r="G37" s="6">
        <v>45361</v>
      </c>
      <c r="H37" s="5">
        <v>105375.46</v>
      </c>
      <c r="I37" s="18" t="s">
        <v>14</v>
      </c>
      <c r="J37" s="14" t="s">
        <v>15</v>
      </c>
      <c r="K37" s="14">
        <v>445</v>
      </c>
      <c r="L37" s="15">
        <v>45332</v>
      </c>
      <c r="M37" s="16">
        <v>6</v>
      </c>
      <c r="N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7" s="31" t="str">
        <f>IF(Table64[[#This Row],[date validity flag]]&lt;&gt;"Valid","",Table64[[#This Row],[shipment date ]]-Table64[[#This Row],[Order date]])</f>
        <v/>
      </c>
      <c r="P37" s="27" t="str">
        <f>TEXT(Table64[[#This Row],[Order date]],"mmm-yyyy")</f>
        <v>Mar-2024</v>
      </c>
      <c r="Q37" s="16" t="str">
        <f t="shared" si="0"/>
        <v/>
      </c>
    </row>
    <row r="38" spans="1:17" x14ac:dyDescent="0.3">
      <c r="A38" s="12">
        <v>10037</v>
      </c>
      <c r="B38" s="1">
        <v>5748</v>
      </c>
      <c r="C38" s="1" t="s">
        <v>16</v>
      </c>
      <c r="D38" s="2">
        <v>90817.51</v>
      </c>
      <c r="E38" s="1">
        <v>93</v>
      </c>
      <c r="F38" s="1" t="s">
        <v>23</v>
      </c>
      <c r="G38" s="3">
        <v>45337</v>
      </c>
      <c r="H38" s="2">
        <v>146347.73000000001</v>
      </c>
      <c r="I38" s="13" t="s">
        <v>14</v>
      </c>
      <c r="J38" s="14" t="s">
        <v>18</v>
      </c>
      <c r="K38" s="14">
        <v>661</v>
      </c>
      <c r="L38" s="15">
        <v>45332</v>
      </c>
      <c r="M38" s="16">
        <v>8</v>
      </c>
      <c r="N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8" s="31" t="str">
        <f>IF(Table64[[#This Row],[date validity flag]]&lt;&gt;"Valid","",Table64[[#This Row],[shipment date ]]-Table64[[#This Row],[Order date]])</f>
        <v/>
      </c>
      <c r="P38" s="27" t="str">
        <f>TEXT(Table64[[#This Row],[Order date]],"mmm-yyyy")</f>
        <v>Feb-2024</v>
      </c>
      <c r="Q38" s="16" t="str">
        <f t="shared" si="0"/>
        <v/>
      </c>
    </row>
    <row r="39" spans="1:17" x14ac:dyDescent="0.3">
      <c r="A39" s="17">
        <v>10038</v>
      </c>
      <c r="B39" s="4">
        <v>5857</v>
      </c>
      <c r="C39" s="4" t="s">
        <v>16</v>
      </c>
      <c r="D39" s="5">
        <v>31490.15</v>
      </c>
      <c r="E39" s="4">
        <v>64</v>
      </c>
      <c r="F39" s="4" t="s">
        <v>23</v>
      </c>
      <c r="G39" s="6">
        <v>45383</v>
      </c>
      <c r="H39" s="5">
        <v>118719.89</v>
      </c>
      <c r="I39" s="18" t="s">
        <v>17</v>
      </c>
      <c r="J39" s="14" t="s">
        <v>19</v>
      </c>
      <c r="K39" s="14">
        <v>1085</v>
      </c>
      <c r="L39" s="15">
        <v>45332</v>
      </c>
      <c r="M39" s="16">
        <v>8</v>
      </c>
      <c r="N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9" s="31" t="str">
        <f>IF(Table64[[#This Row],[date validity flag]]&lt;&gt;"Valid","",Table64[[#This Row],[shipment date ]]-Table64[[#This Row],[Order date]])</f>
        <v/>
      </c>
      <c r="P39" s="27" t="str">
        <f>TEXT(Table64[[#This Row],[Order date]],"mmm-yyyy")</f>
        <v>Apr-2024</v>
      </c>
      <c r="Q39" s="16" t="str">
        <f t="shared" si="0"/>
        <v/>
      </c>
    </row>
    <row r="40" spans="1:17" x14ac:dyDescent="0.3">
      <c r="A40" s="12">
        <v>10039</v>
      </c>
      <c r="B40" s="1">
        <v>6585</v>
      </c>
      <c r="C40" s="1" t="s">
        <v>16</v>
      </c>
      <c r="D40" s="2">
        <v>11123.45</v>
      </c>
      <c r="E40" s="1">
        <v>37</v>
      </c>
      <c r="F40" s="1" t="s">
        <v>23</v>
      </c>
      <c r="G40" s="3">
        <v>45306</v>
      </c>
      <c r="H40" s="2">
        <v>81977.8</v>
      </c>
      <c r="I40" s="13" t="s">
        <v>20</v>
      </c>
      <c r="J40" s="14" t="s">
        <v>18</v>
      </c>
      <c r="K40" s="14">
        <v>1310</v>
      </c>
      <c r="L40" s="15">
        <v>45397</v>
      </c>
      <c r="M40" s="16">
        <v>13</v>
      </c>
      <c r="N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0" s="31">
        <f>IF(Table64[[#This Row],[date validity flag]]&lt;&gt;"Valid","",Table64[[#This Row],[shipment date ]]-Table64[[#This Row],[Order date]])</f>
        <v>91</v>
      </c>
      <c r="P40" s="27" t="str">
        <f>TEXT(Table64[[#This Row],[Order date]],"mmm-yyyy")</f>
        <v>Jan-2024</v>
      </c>
      <c r="Q40" s="16" t="str">
        <f t="shared" si="0"/>
        <v>Delayed</v>
      </c>
    </row>
    <row r="41" spans="1:17" x14ac:dyDescent="0.3">
      <c r="A41" s="17">
        <v>10040</v>
      </c>
      <c r="B41" s="4">
        <v>5475</v>
      </c>
      <c r="C41" s="4" t="s">
        <v>16</v>
      </c>
      <c r="D41" s="5">
        <v>8398.19</v>
      </c>
      <c r="E41" s="4">
        <v>84</v>
      </c>
      <c r="F41" s="4" t="s">
        <v>13</v>
      </c>
      <c r="G41" s="6">
        <v>45306</v>
      </c>
      <c r="H41" s="5">
        <v>103115.77</v>
      </c>
      <c r="I41" s="18" t="s">
        <v>20</v>
      </c>
      <c r="J41" s="14" t="s">
        <v>19</v>
      </c>
      <c r="K41" s="14">
        <v>819</v>
      </c>
      <c r="L41" s="15">
        <v>45397</v>
      </c>
      <c r="M41" s="16">
        <v>13</v>
      </c>
      <c r="N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1" s="31">
        <f>IF(Table64[[#This Row],[date validity flag]]&lt;&gt;"Valid","",Table64[[#This Row],[shipment date ]]-Table64[[#This Row],[Order date]])</f>
        <v>91</v>
      </c>
      <c r="P41" s="27" t="str">
        <f>TEXT(Table64[[#This Row],[Order date]],"mmm-yyyy")</f>
        <v>Jan-2024</v>
      </c>
      <c r="Q41" s="16" t="str">
        <f t="shared" si="0"/>
        <v>Delayed</v>
      </c>
    </row>
    <row r="42" spans="1:17" x14ac:dyDescent="0.3">
      <c r="A42" s="12">
        <v>10041</v>
      </c>
      <c r="B42" s="1">
        <v>6083</v>
      </c>
      <c r="C42" s="1" t="s">
        <v>16</v>
      </c>
      <c r="D42" s="2">
        <v>86834.42</v>
      </c>
      <c r="E42" s="1">
        <v>49</v>
      </c>
      <c r="F42" s="1" t="s">
        <v>22</v>
      </c>
      <c r="G42" s="3">
        <v>45361</v>
      </c>
      <c r="H42" s="2">
        <v>81468.12</v>
      </c>
      <c r="I42" s="13" t="s">
        <v>17</v>
      </c>
      <c r="J42" s="14" t="s">
        <v>19</v>
      </c>
      <c r="K42" s="14">
        <v>1472</v>
      </c>
      <c r="L42" s="15">
        <v>45397</v>
      </c>
      <c r="M42" s="16">
        <v>8</v>
      </c>
      <c r="N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" s="31">
        <f>IF(Table64[[#This Row],[date validity flag]]&lt;&gt;"Valid","",Table64[[#This Row],[shipment date ]]-Table64[[#This Row],[Order date]])</f>
        <v>36</v>
      </c>
      <c r="P42" s="27" t="str">
        <f>TEXT(Table64[[#This Row],[Order date]],"mmm-yyyy")</f>
        <v>Mar-2024</v>
      </c>
      <c r="Q42" s="16" t="str">
        <f t="shared" si="0"/>
        <v>Delayed</v>
      </c>
    </row>
    <row r="43" spans="1:17" x14ac:dyDescent="0.3">
      <c r="A43" s="17">
        <v>10042</v>
      </c>
      <c r="B43" s="4">
        <v>5511</v>
      </c>
      <c r="C43" s="4" t="s">
        <v>12</v>
      </c>
      <c r="D43" s="5">
        <v>21332.080000000002</v>
      </c>
      <c r="E43" s="4">
        <v>21</v>
      </c>
      <c r="F43" s="4" t="s">
        <v>13</v>
      </c>
      <c r="G43" s="6">
        <v>45361</v>
      </c>
      <c r="H43" s="5">
        <v>24908.02</v>
      </c>
      <c r="I43" s="18" t="s">
        <v>17</v>
      </c>
      <c r="J43" s="14" t="s">
        <v>18</v>
      </c>
      <c r="K43" s="14">
        <v>456</v>
      </c>
      <c r="L43" s="15">
        <v>45332</v>
      </c>
      <c r="M43" s="16">
        <v>11</v>
      </c>
      <c r="N4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3" s="31" t="str">
        <f>IF(Table64[[#This Row],[date validity flag]]&lt;&gt;"Valid","",Table64[[#This Row],[shipment date ]]-Table64[[#This Row],[Order date]])</f>
        <v/>
      </c>
      <c r="P43" s="27" t="str">
        <f>TEXT(Table64[[#This Row],[Order date]],"mmm-yyyy")</f>
        <v>Mar-2024</v>
      </c>
      <c r="Q43" s="16" t="str">
        <f t="shared" si="0"/>
        <v/>
      </c>
    </row>
    <row r="44" spans="1:17" x14ac:dyDescent="0.3">
      <c r="A44" s="12">
        <v>10043</v>
      </c>
      <c r="B44" s="1">
        <v>6706</v>
      </c>
      <c r="C44" s="1" t="s">
        <v>12</v>
      </c>
      <c r="D44" s="2">
        <v>58118.76</v>
      </c>
      <c r="E44" s="1">
        <v>74</v>
      </c>
      <c r="F44" s="1" t="s">
        <v>22</v>
      </c>
      <c r="G44" s="3">
        <v>45361</v>
      </c>
      <c r="H44" s="2">
        <v>64916.2</v>
      </c>
      <c r="I44" s="13" t="s">
        <v>17</v>
      </c>
      <c r="J44" s="14" t="s">
        <v>19</v>
      </c>
      <c r="K44" s="14">
        <v>974</v>
      </c>
      <c r="L44" s="15">
        <v>45397</v>
      </c>
      <c r="M44" s="16">
        <v>6</v>
      </c>
      <c r="N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" s="31">
        <f>IF(Table64[[#This Row],[date validity flag]]&lt;&gt;"Valid","",Table64[[#This Row],[shipment date ]]-Table64[[#This Row],[Order date]])</f>
        <v>36</v>
      </c>
      <c r="P44" s="27" t="str">
        <f>TEXT(Table64[[#This Row],[Order date]],"mmm-yyyy")</f>
        <v>Mar-2024</v>
      </c>
      <c r="Q44" s="16" t="str">
        <f t="shared" si="0"/>
        <v>Delayed</v>
      </c>
    </row>
    <row r="45" spans="1:17" x14ac:dyDescent="0.3">
      <c r="A45" s="17">
        <v>10044</v>
      </c>
      <c r="B45" s="4">
        <v>6500</v>
      </c>
      <c r="C45" s="4" t="s">
        <v>16</v>
      </c>
      <c r="D45" s="5">
        <v>54558.39</v>
      </c>
      <c r="E45" s="4">
        <v>64</v>
      </c>
      <c r="F45" s="4" t="s">
        <v>22</v>
      </c>
      <c r="G45" s="6">
        <v>45383</v>
      </c>
      <c r="H45" s="5">
        <v>142344.54</v>
      </c>
      <c r="I45" s="18" t="s">
        <v>17</v>
      </c>
      <c r="J45" s="14" t="s">
        <v>15</v>
      </c>
      <c r="K45" s="14">
        <v>696</v>
      </c>
      <c r="L45" s="15">
        <v>45361</v>
      </c>
      <c r="M45" s="16">
        <v>11</v>
      </c>
      <c r="N4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5" s="31" t="str">
        <f>IF(Table64[[#This Row],[date validity flag]]&lt;&gt;"Valid","",Table64[[#This Row],[shipment date ]]-Table64[[#This Row],[Order date]])</f>
        <v/>
      </c>
      <c r="P45" s="27" t="str">
        <f>TEXT(Table64[[#This Row],[Order date]],"mmm-yyyy")</f>
        <v>Apr-2024</v>
      </c>
      <c r="Q45" s="16" t="str">
        <f t="shared" si="0"/>
        <v/>
      </c>
    </row>
    <row r="46" spans="1:17" x14ac:dyDescent="0.3">
      <c r="A46" s="12">
        <v>10045</v>
      </c>
      <c r="B46" s="1">
        <v>5700</v>
      </c>
      <c r="C46" s="1" t="s">
        <v>16</v>
      </c>
      <c r="D46" s="2">
        <v>37249.64</v>
      </c>
      <c r="E46" s="1">
        <v>5</v>
      </c>
      <c r="F46" s="1" t="s">
        <v>21</v>
      </c>
      <c r="G46" s="3">
        <v>45306</v>
      </c>
      <c r="H46" s="2">
        <v>87362.66</v>
      </c>
      <c r="I46" s="13" t="s">
        <v>17</v>
      </c>
      <c r="J46" s="14" t="s">
        <v>18</v>
      </c>
      <c r="K46" s="14">
        <v>271</v>
      </c>
      <c r="L46" s="15">
        <v>45332</v>
      </c>
      <c r="M46" s="16">
        <v>3</v>
      </c>
      <c r="N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6" s="31">
        <f>IF(Table64[[#This Row],[date validity flag]]&lt;&gt;"Valid","",Table64[[#This Row],[shipment date ]]-Table64[[#This Row],[Order date]])</f>
        <v>26</v>
      </c>
      <c r="P46" s="27" t="str">
        <f>TEXT(Table64[[#This Row],[Order date]],"mmm-yyyy")</f>
        <v>Jan-2024</v>
      </c>
      <c r="Q46" s="16" t="str">
        <f t="shared" si="0"/>
        <v>Delayed</v>
      </c>
    </row>
    <row r="47" spans="1:17" x14ac:dyDescent="0.3">
      <c r="A47" s="17">
        <v>10046</v>
      </c>
      <c r="B47" s="4">
        <v>5976</v>
      </c>
      <c r="C47" s="4" t="s">
        <v>16</v>
      </c>
      <c r="D47" s="5">
        <v>17970.490000000002</v>
      </c>
      <c r="E47" s="4">
        <v>70</v>
      </c>
      <c r="F47" s="4" t="s">
        <v>22</v>
      </c>
      <c r="G47" s="6">
        <v>45306</v>
      </c>
      <c r="H47" s="5">
        <v>164477.1</v>
      </c>
      <c r="I47" s="18" t="s">
        <v>14</v>
      </c>
      <c r="J47" s="14" t="s">
        <v>19</v>
      </c>
      <c r="K47" s="14">
        <v>1229</v>
      </c>
      <c r="L47" s="15">
        <v>45397</v>
      </c>
      <c r="M47" s="16">
        <v>1</v>
      </c>
      <c r="N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7" s="31">
        <f>IF(Table64[[#This Row],[date validity flag]]&lt;&gt;"Valid","",Table64[[#This Row],[shipment date ]]-Table64[[#This Row],[Order date]])</f>
        <v>91</v>
      </c>
      <c r="P47" s="27" t="str">
        <f>TEXT(Table64[[#This Row],[Order date]],"mmm-yyyy")</f>
        <v>Jan-2024</v>
      </c>
      <c r="Q47" s="16" t="str">
        <f t="shared" si="0"/>
        <v>Delayed</v>
      </c>
    </row>
    <row r="48" spans="1:17" x14ac:dyDescent="0.3">
      <c r="A48" s="12">
        <v>10047</v>
      </c>
      <c r="B48" s="1">
        <v>6807</v>
      </c>
      <c r="C48" s="1" t="s">
        <v>16</v>
      </c>
      <c r="D48" s="2">
        <v>81898.2</v>
      </c>
      <c r="E48" s="1">
        <v>90</v>
      </c>
      <c r="F48" s="1" t="s">
        <v>22</v>
      </c>
      <c r="G48" s="3">
        <v>45361</v>
      </c>
      <c r="H48" s="2">
        <v>104882.21</v>
      </c>
      <c r="I48" s="13" t="s">
        <v>17</v>
      </c>
      <c r="J48" s="14" t="s">
        <v>15</v>
      </c>
      <c r="K48" s="14">
        <v>703</v>
      </c>
      <c r="L48" s="15">
        <v>45332</v>
      </c>
      <c r="M48" s="16">
        <v>2</v>
      </c>
      <c r="N4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8" s="31" t="str">
        <f>IF(Table64[[#This Row],[date validity flag]]&lt;&gt;"Valid","",Table64[[#This Row],[shipment date ]]-Table64[[#This Row],[Order date]])</f>
        <v/>
      </c>
      <c r="P48" s="27" t="str">
        <f>TEXT(Table64[[#This Row],[Order date]],"mmm-yyyy")</f>
        <v>Mar-2024</v>
      </c>
      <c r="Q48" s="16" t="str">
        <f t="shared" si="0"/>
        <v/>
      </c>
    </row>
    <row r="49" spans="1:17" x14ac:dyDescent="0.3">
      <c r="A49" s="17">
        <v>10048</v>
      </c>
      <c r="B49" s="4">
        <v>5190</v>
      </c>
      <c r="C49" s="4" t="s">
        <v>16</v>
      </c>
      <c r="D49" s="5">
        <v>21123.38</v>
      </c>
      <c r="E49" s="4">
        <v>4</v>
      </c>
      <c r="F49" s="4" t="s">
        <v>13</v>
      </c>
      <c r="G49" s="6">
        <v>45337</v>
      </c>
      <c r="H49" s="5">
        <v>65832.289999999994</v>
      </c>
      <c r="I49" s="18" t="s">
        <v>20</v>
      </c>
      <c r="J49" s="14" t="s">
        <v>18</v>
      </c>
      <c r="K49" s="14">
        <v>477</v>
      </c>
      <c r="L49" s="15">
        <v>45361</v>
      </c>
      <c r="M49" s="16">
        <v>5</v>
      </c>
      <c r="N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" s="31">
        <f>IF(Table64[[#This Row],[date validity flag]]&lt;&gt;"Valid","",Table64[[#This Row],[shipment date ]]-Table64[[#This Row],[Order date]])</f>
        <v>24</v>
      </c>
      <c r="P49" s="27" t="str">
        <f>TEXT(Table64[[#This Row],[Order date]],"mmm-yyyy")</f>
        <v>Feb-2024</v>
      </c>
      <c r="Q49" s="16" t="str">
        <f t="shared" si="0"/>
        <v>Delayed</v>
      </c>
    </row>
    <row r="50" spans="1:17" x14ac:dyDescent="0.3">
      <c r="A50" s="12">
        <v>10049</v>
      </c>
      <c r="B50" s="1">
        <v>5958</v>
      </c>
      <c r="C50" s="1" t="s">
        <v>16</v>
      </c>
      <c r="D50" s="2">
        <v>21391.5</v>
      </c>
      <c r="E50" s="1">
        <v>39</v>
      </c>
      <c r="F50" s="1" t="s">
        <v>22</v>
      </c>
      <c r="G50" s="3">
        <v>45361</v>
      </c>
      <c r="H50" s="2">
        <v>59508.89</v>
      </c>
      <c r="I50" s="13" t="s">
        <v>14</v>
      </c>
      <c r="J50" s="14" t="s">
        <v>15</v>
      </c>
      <c r="K50" s="14">
        <v>1231</v>
      </c>
      <c r="L50" s="15">
        <v>45361</v>
      </c>
      <c r="M50" s="16">
        <v>13</v>
      </c>
      <c r="N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0" s="31">
        <f>IF(Table64[[#This Row],[date validity flag]]&lt;&gt;"Valid","",Table64[[#This Row],[shipment date ]]-Table64[[#This Row],[Order date]])</f>
        <v>0</v>
      </c>
      <c r="P50" s="27" t="str">
        <f>TEXT(Table64[[#This Row],[Order date]],"mmm-yyyy")</f>
        <v>Mar-2024</v>
      </c>
      <c r="Q50" s="16" t="str">
        <f t="shared" si="0"/>
        <v>On Time</v>
      </c>
    </row>
    <row r="51" spans="1:17" x14ac:dyDescent="0.3">
      <c r="A51" s="17">
        <v>10050</v>
      </c>
      <c r="B51" s="4">
        <v>5687</v>
      </c>
      <c r="C51" s="4" t="s">
        <v>12</v>
      </c>
      <c r="D51" s="5">
        <v>83566.98</v>
      </c>
      <c r="E51" s="4">
        <v>35</v>
      </c>
      <c r="F51" s="4" t="s">
        <v>13</v>
      </c>
      <c r="G51" s="6">
        <v>45383</v>
      </c>
      <c r="H51" s="5">
        <v>177620.71</v>
      </c>
      <c r="I51" s="18" t="s">
        <v>17</v>
      </c>
      <c r="J51" s="14" t="s">
        <v>15</v>
      </c>
      <c r="K51" s="14">
        <v>1026</v>
      </c>
      <c r="L51" s="15">
        <v>45332</v>
      </c>
      <c r="M51" s="16">
        <v>10</v>
      </c>
      <c r="N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1" s="31" t="str">
        <f>IF(Table64[[#This Row],[date validity flag]]&lt;&gt;"Valid","",Table64[[#This Row],[shipment date ]]-Table64[[#This Row],[Order date]])</f>
        <v/>
      </c>
      <c r="P51" s="27" t="str">
        <f>TEXT(Table64[[#This Row],[Order date]],"mmm-yyyy")</f>
        <v>Apr-2024</v>
      </c>
      <c r="Q51" s="16" t="str">
        <f t="shared" si="0"/>
        <v/>
      </c>
    </row>
    <row r="52" spans="1:17" x14ac:dyDescent="0.3">
      <c r="A52" s="12">
        <v>10051</v>
      </c>
      <c r="B52" s="1">
        <v>5958</v>
      </c>
      <c r="C52" s="1" t="s">
        <v>16</v>
      </c>
      <c r="D52" s="2">
        <v>83795.77</v>
      </c>
      <c r="E52" s="1">
        <v>1</v>
      </c>
      <c r="F52" s="1" t="s">
        <v>23</v>
      </c>
      <c r="G52" s="3">
        <v>45361</v>
      </c>
      <c r="H52" s="2">
        <v>66220.100000000006</v>
      </c>
      <c r="I52" s="13" t="s">
        <v>14</v>
      </c>
      <c r="J52" s="14" t="s">
        <v>15</v>
      </c>
      <c r="K52" s="14">
        <v>1489</v>
      </c>
      <c r="L52" s="15">
        <v>45332</v>
      </c>
      <c r="M52" s="16">
        <v>5</v>
      </c>
      <c r="N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2" s="31" t="str">
        <f>IF(Table64[[#This Row],[date validity flag]]&lt;&gt;"Valid","",Table64[[#This Row],[shipment date ]]-Table64[[#This Row],[Order date]])</f>
        <v/>
      </c>
      <c r="P52" s="27" t="str">
        <f>TEXT(Table64[[#This Row],[Order date]],"mmm-yyyy")</f>
        <v>Mar-2024</v>
      </c>
      <c r="Q52" s="16" t="str">
        <f t="shared" si="0"/>
        <v/>
      </c>
    </row>
    <row r="53" spans="1:17" x14ac:dyDescent="0.3">
      <c r="A53" s="17">
        <v>10052</v>
      </c>
      <c r="B53" s="4">
        <v>5563</v>
      </c>
      <c r="C53" s="4" t="s">
        <v>16</v>
      </c>
      <c r="D53" s="5">
        <v>59720.47</v>
      </c>
      <c r="E53" s="4">
        <v>24</v>
      </c>
      <c r="F53" s="4" t="s">
        <v>22</v>
      </c>
      <c r="G53" s="6">
        <v>45361</v>
      </c>
      <c r="H53" s="5">
        <v>138579.14000000001</v>
      </c>
      <c r="I53" s="18" t="s">
        <v>20</v>
      </c>
      <c r="J53" s="14" t="s">
        <v>19</v>
      </c>
      <c r="K53" s="14">
        <v>1055</v>
      </c>
      <c r="L53" s="15">
        <v>45361</v>
      </c>
      <c r="M53" s="16">
        <v>10</v>
      </c>
      <c r="N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3" s="31">
        <f>IF(Table64[[#This Row],[date validity flag]]&lt;&gt;"Valid","",Table64[[#This Row],[shipment date ]]-Table64[[#This Row],[Order date]])</f>
        <v>0</v>
      </c>
      <c r="P53" s="27" t="str">
        <f>TEXT(Table64[[#This Row],[Order date]],"mmm-yyyy")</f>
        <v>Mar-2024</v>
      </c>
      <c r="Q53" s="16" t="str">
        <f t="shared" si="0"/>
        <v>On Time</v>
      </c>
    </row>
    <row r="54" spans="1:17" x14ac:dyDescent="0.3">
      <c r="A54" s="12">
        <v>10053</v>
      </c>
      <c r="B54" s="1">
        <v>6900</v>
      </c>
      <c r="C54" s="1" t="s">
        <v>16</v>
      </c>
      <c r="D54" s="2">
        <v>78728.66</v>
      </c>
      <c r="E54" s="1">
        <v>57</v>
      </c>
      <c r="F54" s="1" t="s">
        <v>22</v>
      </c>
      <c r="G54" s="3">
        <v>45383</v>
      </c>
      <c r="H54" s="2">
        <v>173581.04</v>
      </c>
      <c r="I54" s="13" t="s">
        <v>17</v>
      </c>
      <c r="J54" s="14" t="s">
        <v>18</v>
      </c>
      <c r="K54" s="14">
        <v>1399</v>
      </c>
      <c r="L54" s="15">
        <v>45332</v>
      </c>
      <c r="M54" s="16">
        <v>14</v>
      </c>
      <c r="N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4" s="31" t="str">
        <f>IF(Table64[[#This Row],[date validity flag]]&lt;&gt;"Valid","",Table64[[#This Row],[shipment date ]]-Table64[[#This Row],[Order date]])</f>
        <v/>
      </c>
      <c r="P54" s="27" t="str">
        <f>TEXT(Table64[[#This Row],[Order date]],"mmm-yyyy")</f>
        <v>Apr-2024</v>
      </c>
      <c r="Q54" s="16" t="str">
        <f t="shared" si="0"/>
        <v/>
      </c>
    </row>
    <row r="55" spans="1:17" x14ac:dyDescent="0.3">
      <c r="A55" s="17">
        <v>10054</v>
      </c>
      <c r="B55" s="4">
        <v>6591</v>
      </c>
      <c r="C55" s="4" t="s">
        <v>12</v>
      </c>
      <c r="D55" s="5">
        <v>11881.76</v>
      </c>
      <c r="E55" s="4">
        <v>70</v>
      </c>
      <c r="F55" s="4" t="s">
        <v>13</v>
      </c>
      <c r="G55" s="6">
        <v>45361</v>
      </c>
      <c r="H55" s="5">
        <v>169036.11</v>
      </c>
      <c r="I55" s="18" t="s">
        <v>20</v>
      </c>
      <c r="J55" s="14" t="s">
        <v>18</v>
      </c>
      <c r="K55" s="14">
        <v>420</v>
      </c>
      <c r="L55" s="15">
        <v>45361</v>
      </c>
      <c r="M55" s="16">
        <v>1</v>
      </c>
      <c r="N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5" s="31">
        <f>IF(Table64[[#This Row],[date validity flag]]&lt;&gt;"Valid","",Table64[[#This Row],[shipment date ]]-Table64[[#This Row],[Order date]])</f>
        <v>0</v>
      </c>
      <c r="P55" s="27" t="str">
        <f>TEXT(Table64[[#This Row],[Order date]],"mmm-yyyy")</f>
        <v>Mar-2024</v>
      </c>
      <c r="Q55" s="16" t="str">
        <f t="shared" si="0"/>
        <v>On Time</v>
      </c>
    </row>
    <row r="56" spans="1:17" x14ac:dyDescent="0.3">
      <c r="A56" s="12">
        <v>10055</v>
      </c>
      <c r="B56" s="1">
        <v>6268</v>
      </c>
      <c r="C56" s="1" t="s">
        <v>12</v>
      </c>
      <c r="D56" s="2">
        <v>26891.41</v>
      </c>
      <c r="E56" s="1">
        <v>41</v>
      </c>
      <c r="F56" s="1" t="s">
        <v>23</v>
      </c>
      <c r="G56" s="3">
        <v>45306</v>
      </c>
      <c r="H56" s="2">
        <v>179647.86</v>
      </c>
      <c r="I56" s="13" t="s">
        <v>20</v>
      </c>
      <c r="J56" s="14" t="s">
        <v>19</v>
      </c>
      <c r="K56" s="14">
        <v>1417</v>
      </c>
      <c r="L56" s="15">
        <v>45361</v>
      </c>
      <c r="M56" s="16">
        <v>1</v>
      </c>
      <c r="N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" s="31">
        <f>IF(Table64[[#This Row],[date validity flag]]&lt;&gt;"Valid","",Table64[[#This Row],[shipment date ]]-Table64[[#This Row],[Order date]])</f>
        <v>55</v>
      </c>
      <c r="P56" s="27" t="str">
        <f>TEXT(Table64[[#This Row],[Order date]],"mmm-yyyy")</f>
        <v>Jan-2024</v>
      </c>
      <c r="Q56" s="16" t="str">
        <f t="shared" si="0"/>
        <v>Delayed</v>
      </c>
    </row>
    <row r="57" spans="1:17" x14ac:dyDescent="0.3">
      <c r="A57" s="17">
        <v>10056</v>
      </c>
      <c r="B57" s="4">
        <v>5832</v>
      </c>
      <c r="C57" s="4" t="s">
        <v>16</v>
      </c>
      <c r="D57" s="5">
        <v>22710.55</v>
      </c>
      <c r="E57" s="4">
        <v>54</v>
      </c>
      <c r="F57" s="4" t="s">
        <v>21</v>
      </c>
      <c r="G57" s="6">
        <v>45337</v>
      </c>
      <c r="H57" s="5">
        <v>68821.990000000005</v>
      </c>
      <c r="I57" s="18" t="s">
        <v>20</v>
      </c>
      <c r="J57" s="14" t="s">
        <v>18</v>
      </c>
      <c r="K57" s="14">
        <v>1335</v>
      </c>
      <c r="L57" s="15">
        <v>45397</v>
      </c>
      <c r="M57" s="16">
        <v>9</v>
      </c>
      <c r="N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" s="31">
        <f>IF(Table64[[#This Row],[date validity flag]]&lt;&gt;"Valid","",Table64[[#This Row],[shipment date ]]-Table64[[#This Row],[Order date]])</f>
        <v>60</v>
      </c>
      <c r="P57" s="27" t="str">
        <f>TEXT(Table64[[#This Row],[Order date]],"mmm-yyyy")</f>
        <v>Feb-2024</v>
      </c>
      <c r="Q57" s="16" t="str">
        <f t="shared" si="0"/>
        <v>Delayed</v>
      </c>
    </row>
    <row r="58" spans="1:17" x14ac:dyDescent="0.3">
      <c r="A58" s="12">
        <v>10057</v>
      </c>
      <c r="B58" s="1">
        <v>6529</v>
      </c>
      <c r="C58" s="1" t="s">
        <v>16</v>
      </c>
      <c r="D58" s="2">
        <v>27203.71</v>
      </c>
      <c r="E58" s="1">
        <v>46</v>
      </c>
      <c r="F58" s="1" t="s">
        <v>23</v>
      </c>
      <c r="G58" s="3">
        <v>45361</v>
      </c>
      <c r="H58" s="2">
        <v>30098.45</v>
      </c>
      <c r="I58" s="13" t="s">
        <v>17</v>
      </c>
      <c r="J58" s="14" t="s">
        <v>15</v>
      </c>
      <c r="K58" s="14">
        <v>1356</v>
      </c>
      <c r="L58" s="15">
        <v>45332</v>
      </c>
      <c r="M58" s="16">
        <v>2</v>
      </c>
      <c r="N5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8" s="31" t="str">
        <f>IF(Table64[[#This Row],[date validity flag]]&lt;&gt;"Valid","",Table64[[#This Row],[shipment date ]]-Table64[[#This Row],[Order date]])</f>
        <v/>
      </c>
      <c r="P58" s="27" t="str">
        <f>TEXT(Table64[[#This Row],[Order date]],"mmm-yyyy")</f>
        <v>Mar-2024</v>
      </c>
      <c r="Q58" s="16" t="str">
        <f t="shared" si="0"/>
        <v/>
      </c>
    </row>
    <row r="59" spans="1:17" x14ac:dyDescent="0.3">
      <c r="A59" s="17">
        <v>10058</v>
      </c>
      <c r="B59" s="4">
        <v>6155</v>
      </c>
      <c r="C59" s="4" t="s">
        <v>16</v>
      </c>
      <c r="D59" s="5">
        <v>57337.279999999999</v>
      </c>
      <c r="E59" s="4">
        <v>60</v>
      </c>
      <c r="F59" s="4" t="s">
        <v>13</v>
      </c>
      <c r="G59" s="6">
        <v>45383</v>
      </c>
      <c r="H59" s="5">
        <v>10672.99</v>
      </c>
      <c r="I59" s="18" t="s">
        <v>17</v>
      </c>
      <c r="J59" s="14" t="s">
        <v>18</v>
      </c>
      <c r="K59" s="14">
        <v>899</v>
      </c>
      <c r="L59" s="15">
        <v>45332</v>
      </c>
      <c r="M59" s="16">
        <v>7</v>
      </c>
      <c r="N5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9" s="31" t="str">
        <f>IF(Table64[[#This Row],[date validity flag]]&lt;&gt;"Valid","",Table64[[#This Row],[shipment date ]]-Table64[[#This Row],[Order date]])</f>
        <v/>
      </c>
      <c r="P59" s="27" t="str">
        <f>TEXT(Table64[[#This Row],[Order date]],"mmm-yyyy")</f>
        <v>Apr-2024</v>
      </c>
      <c r="Q59" s="16" t="str">
        <f t="shared" si="0"/>
        <v/>
      </c>
    </row>
    <row r="60" spans="1:17" x14ac:dyDescent="0.3">
      <c r="A60" s="12">
        <v>10059</v>
      </c>
      <c r="B60" s="1">
        <v>6509</v>
      </c>
      <c r="C60" s="1" t="s">
        <v>16</v>
      </c>
      <c r="D60" s="2">
        <v>55028.31</v>
      </c>
      <c r="E60" s="1">
        <v>60</v>
      </c>
      <c r="F60" s="1" t="s">
        <v>23</v>
      </c>
      <c r="G60" s="3">
        <v>45337</v>
      </c>
      <c r="H60" s="2">
        <v>115818.52</v>
      </c>
      <c r="I60" s="13" t="s">
        <v>17</v>
      </c>
      <c r="J60" s="14" t="s">
        <v>19</v>
      </c>
      <c r="K60" s="14">
        <v>905</v>
      </c>
      <c r="L60" s="15">
        <v>45397</v>
      </c>
      <c r="M60" s="16">
        <v>10</v>
      </c>
      <c r="N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0" s="31">
        <f>IF(Table64[[#This Row],[date validity flag]]&lt;&gt;"Valid","",Table64[[#This Row],[shipment date ]]-Table64[[#This Row],[Order date]])</f>
        <v>60</v>
      </c>
      <c r="P60" s="27" t="str">
        <f>TEXT(Table64[[#This Row],[Order date]],"mmm-yyyy")</f>
        <v>Feb-2024</v>
      </c>
      <c r="Q60" s="16" t="str">
        <f t="shared" si="0"/>
        <v>Delayed</v>
      </c>
    </row>
    <row r="61" spans="1:17" x14ac:dyDescent="0.3">
      <c r="A61" s="17">
        <v>10060</v>
      </c>
      <c r="B61" s="4">
        <v>6843</v>
      </c>
      <c r="C61" s="4" t="s">
        <v>16</v>
      </c>
      <c r="D61" s="5">
        <v>15973.73</v>
      </c>
      <c r="E61" s="4">
        <v>57</v>
      </c>
      <c r="F61" s="4" t="s">
        <v>13</v>
      </c>
      <c r="G61" s="6">
        <v>45383</v>
      </c>
      <c r="H61" s="5">
        <v>146814.28</v>
      </c>
      <c r="I61" s="18" t="s">
        <v>20</v>
      </c>
      <c r="J61" s="14" t="s">
        <v>15</v>
      </c>
      <c r="K61" s="14">
        <v>278</v>
      </c>
      <c r="L61" s="15">
        <v>45361</v>
      </c>
      <c r="M61" s="16">
        <v>4</v>
      </c>
      <c r="N6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1" s="31" t="str">
        <f>IF(Table64[[#This Row],[date validity flag]]&lt;&gt;"Valid","",Table64[[#This Row],[shipment date ]]-Table64[[#This Row],[Order date]])</f>
        <v/>
      </c>
      <c r="P61" s="27" t="str">
        <f>TEXT(Table64[[#This Row],[Order date]],"mmm-yyyy")</f>
        <v>Apr-2024</v>
      </c>
      <c r="Q61" s="16" t="str">
        <f t="shared" si="0"/>
        <v/>
      </c>
    </row>
    <row r="62" spans="1:17" x14ac:dyDescent="0.3">
      <c r="A62" s="12">
        <v>10061</v>
      </c>
      <c r="B62" s="1">
        <v>5647</v>
      </c>
      <c r="C62" s="1" t="s">
        <v>12</v>
      </c>
      <c r="D62" s="2">
        <v>62983.38</v>
      </c>
      <c r="E62" s="1">
        <v>31</v>
      </c>
      <c r="F62" s="1" t="s">
        <v>13</v>
      </c>
      <c r="G62" s="3">
        <v>45337</v>
      </c>
      <c r="H62" s="2">
        <v>86101.81</v>
      </c>
      <c r="I62" s="13" t="s">
        <v>17</v>
      </c>
      <c r="J62" s="14" t="s">
        <v>19</v>
      </c>
      <c r="K62" s="14">
        <v>329</v>
      </c>
      <c r="L62" s="15">
        <v>45332</v>
      </c>
      <c r="M62" s="16">
        <v>7</v>
      </c>
      <c r="N6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2" s="31" t="str">
        <f>IF(Table64[[#This Row],[date validity flag]]&lt;&gt;"Valid","",Table64[[#This Row],[shipment date ]]-Table64[[#This Row],[Order date]])</f>
        <v/>
      </c>
      <c r="P62" s="27" t="str">
        <f>TEXT(Table64[[#This Row],[Order date]],"mmm-yyyy")</f>
        <v>Feb-2024</v>
      </c>
      <c r="Q62" s="16" t="str">
        <f t="shared" si="0"/>
        <v/>
      </c>
    </row>
    <row r="63" spans="1:17" x14ac:dyDescent="0.3">
      <c r="A63" s="17">
        <v>10062</v>
      </c>
      <c r="B63" s="4">
        <v>5021</v>
      </c>
      <c r="C63" s="4" t="s">
        <v>16</v>
      </c>
      <c r="D63" s="5">
        <v>15169.09</v>
      </c>
      <c r="E63" s="4">
        <v>84</v>
      </c>
      <c r="F63" s="4" t="s">
        <v>21</v>
      </c>
      <c r="G63" s="6">
        <v>45337</v>
      </c>
      <c r="H63" s="5">
        <v>177993.98</v>
      </c>
      <c r="I63" s="18" t="s">
        <v>20</v>
      </c>
      <c r="J63" s="14" t="s">
        <v>15</v>
      </c>
      <c r="K63" s="14">
        <v>1363</v>
      </c>
      <c r="L63" s="15">
        <v>45397</v>
      </c>
      <c r="M63" s="16">
        <v>8</v>
      </c>
      <c r="N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3" s="31">
        <f>IF(Table64[[#This Row],[date validity flag]]&lt;&gt;"Valid","",Table64[[#This Row],[shipment date ]]-Table64[[#This Row],[Order date]])</f>
        <v>60</v>
      </c>
      <c r="P63" s="27" t="str">
        <f>TEXT(Table64[[#This Row],[Order date]],"mmm-yyyy")</f>
        <v>Feb-2024</v>
      </c>
      <c r="Q63" s="16" t="str">
        <f t="shared" si="0"/>
        <v>Delayed</v>
      </c>
    </row>
    <row r="64" spans="1:17" x14ac:dyDescent="0.3">
      <c r="A64" s="12">
        <v>10063</v>
      </c>
      <c r="B64" s="1">
        <v>5841</v>
      </c>
      <c r="C64" s="1" t="s">
        <v>12</v>
      </c>
      <c r="D64" s="2">
        <v>68106.490000000005</v>
      </c>
      <c r="E64" s="1">
        <v>24</v>
      </c>
      <c r="F64" s="1" t="s">
        <v>22</v>
      </c>
      <c r="G64" s="3">
        <v>45361</v>
      </c>
      <c r="H64" s="2">
        <v>102498.7</v>
      </c>
      <c r="I64" s="13" t="s">
        <v>17</v>
      </c>
      <c r="J64" s="14" t="s">
        <v>15</v>
      </c>
      <c r="K64" s="14">
        <v>1120</v>
      </c>
      <c r="L64" s="15">
        <v>45397</v>
      </c>
      <c r="M64" s="16">
        <v>5</v>
      </c>
      <c r="N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" s="31">
        <f>IF(Table64[[#This Row],[date validity flag]]&lt;&gt;"Valid","",Table64[[#This Row],[shipment date ]]-Table64[[#This Row],[Order date]])</f>
        <v>36</v>
      </c>
      <c r="P64" s="27" t="str">
        <f>TEXT(Table64[[#This Row],[Order date]],"mmm-yyyy")</f>
        <v>Mar-2024</v>
      </c>
      <c r="Q64" s="16" t="str">
        <f t="shared" si="0"/>
        <v>Delayed</v>
      </c>
    </row>
    <row r="65" spans="1:17" x14ac:dyDescent="0.3">
      <c r="A65" s="17">
        <v>10064</v>
      </c>
      <c r="B65" s="4">
        <v>5167</v>
      </c>
      <c r="C65" s="4" t="s">
        <v>16</v>
      </c>
      <c r="D65" s="5">
        <v>53839.33</v>
      </c>
      <c r="E65" s="4">
        <v>89</v>
      </c>
      <c r="F65" s="4" t="s">
        <v>13</v>
      </c>
      <c r="G65" s="6">
        <v>45306</v>
      </c>
      <c r="H65" s="5">
        <v>97812.46</v>
      </c>
      <c r="I65" s="18" t="s">
        <v>14</v>
      </c>
      <c r="J65" s="14" t="s">
        <v>18</v>
      </c>
      <c r="K65" s="14">
        <v>1024</v>
      </c>
      <c r="L65" s="15">
        <v>45332</v>
      </c>
      <c r="M65" s="16">
        <v>13</v>
      </c>
      <c r="N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5" s="31">
        <f>IF(Table64[[#This Row],[date validity flag]]&lt;&gt;"Valid","",Table64[[#This Row],[shipment date ]]-Table64[[#This Row],[Order date]])</f>
        <v>26</v>
      </c>
      <c r="P65" s="27" t="str">
        <f>TEXT(Table64[[#This Row],[Order date]],"mmm-yyyy")</f>
        <v>Jan-2024</v>
      </c>
      <c r="Q65" s="16" t="str">
        <f t="shared" si="0"/>
        <v>Delayed</v>
      </c>
    </row>
    <row r="66" spans="1:17" x14ac:dyDescent="0.3">
      <c r="A66" s="12">
        <v>10065</v>
      </c>
      <c r="B66" s="1">
        <v>6298</v>
      </c>
      <c r="C66" s="1" t="s">
        <v>16</v>
      </c>
      <c r="D66" s="2">
        <v>86399.57</v>
      </c>
      <c r="E66" s="1">
        <v>36</v>
      </c>
      <c r="F66" s="1" t="s">
        <v>13</v>
      </c>
      <c r="G66" s="3">
        <v>45361</v>
      </c>
      <c r="H66" s="2">
        <v>155754.42000000001</v>
      </c>
      <c r="I66" s="13" t="s">
        <v>17</v>
      </c>
      <c r="J66" s="14" t="s">
        <v>15</v>
      </c>
      <c r="K66" s="14">
        <v>1287</v>
      </c>
      <c r="L66" s="15">
        <v>45397</v>
      </c>
      <c r="M66" s="16">
        <v>12</v>
      </c>
      <c r="N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6" s="31">
        <f>IF(Table64[[#This Row],[date validity flag]]&lt;&gt;"Valid","",Table64[[#This Row],[shipment date ]]-Table64[[#This Row],[Order date]])</f>
        <v>36</v>
      </c>
      <c r="P66" s="27" t="str">
        <f>TEXT(Table64[[#This Row],[Order date]],"mmm-yyyy")</f>
        <v>Mar-2024</v>
      </c>
      <c r="Q66" s="16" t="str">
        <f t="shared" ref="Q66:Q129" si="1">IF(O66="","",IF(O66&gt;0,"Delayed","On Time"))</f>
        <v>Delayed</v>
      </c>
    </row>
    <row r="67" spans="1:17" x14ac:dyDescent="0.3">
      <c r="A67" s="17">
        <v>10066</v>
      </c>
      <c r="B67" s="4">
        <v>5388</v>
      </c>
      <c r="C67" s="4" t="s">
        <v>16</v>
      </c>
      <c r="D67" s="5">
        <v>83591.070000000007</v>
      </c>
      <c r="E67" s="4">
        <v>85</v>
      </c>
      <c r="F67" s="4" t="s">
        <v>21</v>
      </c>
      <c r="G67" s="6">
        <v>45383</v>
      </c>
      <c r="H67" s="5">
        <v>54752.94</v>
      </c>
      <c r="I67" s="18" t="s">
        <v>17</v>
      </c>
      <c r="J67" s="14" t="s">
        <v>19</v>
      </c>
      <c r="K67" s="14">
        <v>807</v>
      </c>
      <c r="L67" s="15">
        <v>45361</v>
      </c>
      <c r="M67" s="16">
        <v>12</v>
      </c>
      <c r="N6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7" s="31" t="str">
        <f>IF(Table64[[#This Row],[date validity flag]]&lt;&gt;"Valid","",Table64[[#This Row],[shipment date ]]-Table64[[#This Row],[Order date]])</f>
        <v/>
      </c>
      <c r="P67" s="27" t="str">
        <f>TEXT(Table64[[#This Row],[Order date]],"mmm-yyyy")</f>
        <v>Apr-2024</v>
      </c>
      <c r="Q67" s="16" t="str">
        <f t="shared" si="1"/>
        <v/>
      </c>
    </row>
    <row r="68" spans="1:17" x14ac:dyDescent="0.3">
      <c r="A68" s="12">
        <v>10067</v>
      </c>
      <c r="B68" s="1">
        <v>5601</v>
      </c>
      <c r="C68" s="1" t="s">
        <v>16</v>
      </c>
      <c r="D68" s="2">
        <v>66460.31</v>
      </c>
      <c r="E68" s="1">
        <v>30</v>
      </c>
      <c r="F68" s="1" t="s">
        <v>13</v>
      </c>
      <c r="G68" s="3">
        <v>45383</v>
      </c>
      <c r="H68" s="2">
        <v>167896.02</v>
      </c>
      <c r="I68" s="13" t="s">
        <v>14</v>
      </c>
      <c r="J68" s="14" t="s">
        <v>18</v>
      </c>
      <c r="K68" s="14">
        <v>1097</v>
      </c>
      <c r="L68" s="15">
        <v>45397</v>
      </c>
      <c r="M68" s="16">
        <v>1</v>
      </c>
      <c r="N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8" s="31">
        <f>IF(Table64[[#This Row],[date validity flag]]&lt;&gt;"Valid","",Table64[[#This Row],[shipment date ]]-Table64[[#This Row],[Order date]])</f>
        <v>14</v>
      </c>
      <c r="P68" s="27" t="str">
        <f>TEXT(Table64[[#This Row],[Order date]],"mmm-yyyy")</f>
        <v>Apr-2024</v>
      </c>
      <c r="Q68" s="16" t="str">
        <f t="shared" si="1"/>
        <v>Delayed</v>
      </c>
    </row>
    <row r="69" spans="1:17" x14ac:dyDescent="0.3">
      <c r="A69" s="17">
        <v>10068</v>
      </c>
      <c r="B69" s="4">
        <v>5316</v>
      </c>
      <c r="C69" s="4" t="s">
        <v>12</v>
      </c>
      <c r="D69" s="5">
        <v>40819.879999999997</v>
      </c>
      <c r="E69" s="4">
        <v>24</v>
      </c>
      <c r="F69" s="4" t="s">
        <v>22</v>
      </c>
      <c r="G69" s="6">
        <v>45337</v>
      </c>
      <c r="H69" s="5">
        <v>132566.48000000001</v>
      </c>
      <c r="I69" s="18" t="s">
        <v>17</v>
      </c>
      <c r="J69" s="14" t="s">
        <v>19</v>
      </c>
      <c r="K69" s="14">
        <v>370</v>
      </c>
      <c r="L69" s="15">
        <v>45361</v>
      </c>
      <c r="M69" s="16">
        <v>4</v>
      </c>
      <c r="N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9" s="31">
        <f>IF(Table64[[#This Row],[date validity flag]]&lt;&gt;"Valid","",Table64[[#This Row],[shipment date ]]-Table64[[#This Row],[Order date]])</f>
        <v>24</v>
      </c>
      <c r="P69" s="27" t="str">
        <f>TEXT(Table64[[#This Row],[Order date]],"mmm-yyyy")</f>
        <v>Feb-2024</v>
      </c>
      <c r="Q69" s="16" t="str">
        <f t="shared" si="1"/>
        <v>Delayed</v>
      </c>
    </row>
    <row r="70" spans="1:17" x14ac:dyDescent="0.3">
      <c r="A70" s="12">
        <v>10069</v>
      </c>
      <c r="B70" s="1">
        <v>5014</v>
      </c>
      <c r="C70" s="1" t="s">
        <v>16</v>
      </c>
      <c r="D70" s="2">
        <v>13300.73</v>
      </c>
      <c r="E70" s="1">
        <v>30</v>
      </c>
      <c r="F70" s="1" t="s">
        <v>21</v>
      </c>
      <c r="G70" s="3">
        <v>45337</v>
      </c>
      <c r="H70" s="2">
        <v>109158.97</v>
      </c>
      <c r="I70" s="13" t="s">
        <v>14</v>
      </c>
      <c r="J70" s="14" t="s">
        <v>15</v>
      </c>
      <c r="K70" s="14">
        <v>323</v>
      </c>
      <c r="L70" s="15">
        <v>45361</v>
      </c>
      <c r="M70" s="16">
        <v>10</v>
      </c>
      <c r="N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0" s="31">
        <f>IF(Table64[[#This Row],[date validity flag]]&lt;&gt;"Valid","",Table64[[#This Row],[shipment date ]]-Table64[[#This Row],[Order date]])</f>
        <v>24</v>
      </c>
      <c r="P70" s="27" t="str">
        <f>TEXT(Table64[[#This Row],[Order date]],"mmm-yyyy")</f>
        <v>Feb-2024</v>
      </c>
      <c r="Q70" s="16" t="str">
        <f t="shared" si="1"/>
        <v>Delayed</v>
      </c>
    </row>
    <row r="71" spans="1:17" x14ac:dyDescent="0.3">
      <c r="A71" s="17">
        <v>10070</v>
      </c>
      <c r="B71" s="4">
        <v>5242</v>
      </c>
      <c r="C71" s="4" t="s">
        <v>16</v>
      </c>
      <c r="D71" s="5">
        <v>61856.639999999999</v>
      </c>
      <c r="E71" s="4">
        <v>86</v>
      </c>
      <c r="F71" s="4" t="s">
        <v>22</v>
      </c>
      <c r="G71" s="6">
        <v>45306</v>
      </c>
      <c r="H71" s="5">
        <v>143665.48000000001</v>
      </c>
      <c r="I71" s="18" t="s">
        <v>17</v>
      </c>
      <c r="J71" s="14" t="s">
        <v>19</v>
      </c>
      <c r="K71" s="14">
        <v>605</v>
      </c>
      <c r="L71" s="15">
        <v>45332</v>
      </c>
      <c r="M71" s="16">
        <v>3</v>
      </c>
      <c r="N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1" s="31">
        <f>IF(Table64[[#This Row],[date validity flag]]&lt;&gt;"Valid","",Table64[[#This Row],[shipment date ]]-Table64[[#This Row],[Order date]])</f>
        <v>26</v>
      </c>
      <c r="P71" s="27" t="str">
        <f>TEXT(Table64[[#This Row],[Order date]],"mmm-yyyy")</f>
        <v>Jan-2024</v>
      </c>
      <c r="Q71" s="16" t="str">
        <f t="shared" si="1"/>
        <v>Delayed</v>
      </c>
    </row>
    <row r="72" spans="1:17" x14ac:dyDescent="0.3">
      <c r="A72" s="12">
        <v>10071</v>
      </c>
      <c r="B72" s="1">
        <v>5777</v>
      </c>
      <c r="C72" s="1" t="s">
        <v>16</v>
      </c>
      <c r="D72" s="2">
        <v>13429.5</v>
      </c>
      <c r="E72" s="1">
        <v>92</v>
      </c>
      <c r="F72" s="1" t="s">
        <v>22</v>
      </c>
      <c r="G72" s="3">
        <v>45361</v>
      </c>
      <c r="H72" s="2">
        <v>13700.09</v>
      </c>
      <c r="I72" s="13" t="s">
        <v>17</v>
      </c>
      <c r="J72" s="14" t="s">
        <v>19</v>
      </c>
      <c r="K72" s="14">
        <v>893</v>
      </c>
      <c r="L72" s="15">
        <v>45397</v>
      </c>
      <c r="M72" s="16">
        <v>10</v>
      </c>
      <c r="N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2" s="31">
        <f>IF(Table64[[#This Row],[date validity flag]]&lt;&gt;"Valid","",Table64[[#This Row],[shipment date ]]-Table64[[#This Row],[Order date]])</f>
        <v>36</v>
      </c>
      <c r="P72" s="27" t="str">
        <f>TEXT(Table64[[#This Row],[Order date]],"mmm-yyyy")</f>
        <v>Mar-2024</v>
      </c>
      <c r="Q72" s="16" t="str">
        <f t="shared" si="1"/>
        <v>Delayed</v>
      </c>
    </row>
    <row r="73" spans="1:17" x14ac:dyDescent="0.3">
      <c r="A73" s="17">
        <v>10072</v>
      </c>
      <c r="B73" s="4">
        <v>6370</v>
      </c>
      <c r="C73" s="4" t="s">
        <v>16</v>
      </c>
      <c r="D73" s="5">
        <v>93954.4</v>
      </c>
      <c r="E73" s="4">
        <v>7</v>
      </c>
      <c r="F73" s="4" t="s">
        <v>21</v>
      </c>
      <c r="G73" s="6">
        <v>45383</v>
      </c>
      <c r="H73" s="5">
        <v>167274.69</v>
      </c>
      <c r="I73" s="18" t="s">
        <v>20</v>
      </c>
      <c r="J73" s="14" t="s">
        <v>15</v>
      </c>
      <c r="K73" s="14">
        <v>1386</v>
      </c>
      <c r="L73" s="15">
        <v>45361</v>
      </c>
      <c r="M73" s="16">
        <v>12</v>
      </c>
      <c r="N7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3" s="31" t="str">
        <f>IF(Table64[[#This Row],[date validity flag]]&lt;&gt;"Valid","",Table64[[#This Row],[shipment date ]]-Table64[[#This Row],[Order date]])</f>
        <v/>
      </c>
      <c r="P73" s="27" t="str">
        <f>TEXT(Table64[[#This Row],[Order date]],"mmm-yyyy")</f>
        <v>Apr-2024</v>
      </c>
      <c r="Q73" s="16" t="str">
        <f t="shared" si="1"/>
        <v/>
      </c>
    </row>
    <row r="74" spans="1:17" x14ac:dyDescent="0.3">
      <c r="A74" s="12">
        <v>10073</v>
      </c>
      <c r="B74" s="1">
        <v>5565</v>
      </c>
      <c r="C74" s="1" t="s">
        <v>16</v>
      </c>
      <c r="D74" s="2">
        <v>33962.400000000001</v>
      </c>
      <c r="E74" s="1">
        <v>35</v>
      </c>
      <c r="F74" s="1" t="s">
        <v>13</v>
      </c>
      <c r="G74" s="3">
        <v>45337</v>
      </c>
      <c r="H74" s="2">
        <v>45487.19</v>
      </c>
      <c r="I74" s="13" t="s">
        <v>20</v>
      </c>
      <c r="J74" s="14" t="s">
        <v>18</v>
      </c>
      <c r="K74" s="14">
        <v>1436</v>
      </c>
      <c r="L74" s="15">
        <v>45361</v>
      </c>
      <c r="M74" s="16">
        <v>5</v>
      </c>
      <c r="N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" s="31">
        <f>IF(Table64[[#This Row],[date validity flag]]&lt;&gt;"Valid","",Table64[[#This Row],[shipment date ]]-Table64[[#This Row],[Order date]])</f>
        <v>24</v>
      </c>
      <c r="P74" s="27" t="str">
        <f>TEXT(Table64[[#This Row],[Order date]],"mmm-yyyy")</f>
        <v>Feb-2024</v>
      </c>
      <c r="Q74" s="16" t="str">
        <f t="shared" si="1"/>
        <v>Delayed</v>
      </c>
    </row>
    <row r="75" spans="1:17" x14ac:dyDescent="0.3">
      <c r="A75" s="17">
        <v>10074</v>
      </c>
      <c r="B75" s="4">
        <v>5898</v>
      </c>
      <c r="C75" s="4" t="s">
        <v>16</v>
      </c>
      <c r="D75" s="5">
        <v>17896.32</v>
      </c>
      <c r="E75" s="4">
        <v>55</v>
      </c>
      <c r="F75" s="4" t="s">
        <v>22</v>
      </c>
      <c r="G75" s="6">
        <v>45306</v>
      </c>
      <c r="H75" s="5">
        <v>122096.63</v>
      </c>
      <c r="I75" s="18" t="s">
        <v>14</v>
      </c>
      <c r="J75" s="14" t="s">
        <v>19</v>
      </c>
      <c r="K75" s="14">
        <v>717</v>
      </c>
      <c r="L75" s="15">
        <v>45397</v>
      </c>
      <c r="M75" s="16">
        <v>10</v>
      </c>
      <c r="N7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5" s="31">
        <f>IF(Table64[[#This Row],[date validity flag]]&lt;&gt;"Valid","",Table64[[#This Row],[shipment date ]]-Table64[[#This Row],[Order date]])</f>
        <v>91</v>
      </c>
      <c r="P75" s="27" t="str">
        <f>TEXT(Table64[[#This Row],[Order date]],"mmm-yyyy")</f>
        <v>Jan-2024</v>
      </c>
      <c r="Q75" s="16" t="str">
        <f t="shared" si="1"/>
        <v>Delayed</v>
      </c>
    </row>
    <row r="76" spans="1:17" x14ac:dyDescent="0.3">
      <c r="A76" s="12">
        <v>10075</v>
      </c>
      <c r="B76" s="1">
        <v>6364</v>
      </c>
      <c r="C76" s="1" t="s">
        <v>16</v>
      </c>
      <c r="D76" s="2">
        <v>35681.629999999997</v>
      </c>
      <c r="E76" s="1">
        <v>92</v>
      </c>
      <c r="F76" s="1" t="s">
        <v>22</v>
      </c>
      <c r="G76" s="3">
        <v>45383</v>
      </c>
      <c r="H76" s="2">
        <v>111623.94</v>
      </c>
      <c r="I76" s="13" t="s">
        <v>17</v>
      </c>
      <c r="J76" s="14" t="s">
        <v>15</v>
      </c>
      <c r="K76" s="14">
        <v>1049</v>
      </c>
      <c r="L76" s="15">
        <v>45361</v>
      </c>
      <c r="M76" s="16">
        <v>13</v>
      </c>
      <c r="N7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6" s="31" t="str">
        <f>IF(Table64[[#This Row],[date validity flag]]&lt;&gt;"Valid","",Table64[[#This Row],[shipment date ]]-Table64[[#This Row],[Order date]])</f>
        <v/>
      </c>
      <c r="P76" s="27" t="str">
        <f>TEXT(Table64[[#This Row],[Order date]],"mmm-yyyy")</f>
        <v>Apr-2024</v>
      </c>
      <c r="Q76" s="16" t="str">
        <f t="shared" si="1"/>
        <v/>
      </c>
    </row>
    <row r="77" spans="1:17" x14ac:dyDescent="0.3">
      <c r="A77" s="17">
        <v>10076</v>
      </c>
      <c r="B77" s="4">
        <v>5092</v>
      </c>
      <c r="C77" s="4" t="s">
        <v>16</v>
      </c>
      <c r="D77" s="5">
        <v>55279.74</v>
      </c>
      <c r="E77" s="4">
        <v>14</v>
      </c>
      <c r="F77" s="4" t="s">
        <v>22</v>
      </c>
      <c r="G77" s="6">
        <v>45337</v>
      </c>
      <c r="H77" s="5">
        <v>118608.67</v>
      </c>
      <c r="I77" s="18" t="s">
        <v>14</v>
      </c>
      <c r="J77" s="14" t="s">
        <v>18</v>
      </c>
      <c r="K77" s="14">
        <v>429</v>
      </c>
      <c r="L77" s="15">
        <v>45397</v>
      </c>
      <c r="M77" s="16">
        <v>10</v>
      </c>
      <c r="N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" s="31">
        <f>IF(Table64[[#This Row],[date validity flag]]&lt;&gt;"Valid","",Table64[[#This Row],[shipment date ]]-Table64[[#This Row],[Order date]])</f>
        <v>60</v>
      </c>
      <c r="P77" s="27" t="str">
        <f>TEXT(Table64[[#This Row],[Order date]],"mmm-yyyy")</f>
        <v>Feb-2024</v>
      </c>
      <c r="Q77" s="16" t="str">
        <f t="shared" si="1"/>
        <v>Delayed</v>
      </c>
    </row>
    <row r="78" spans="1:17" x14ac:dyDescent="0.3">
      <c r="A78" s="12">
        <v>10077</v>
      </c>
      <c r="B78" s="1">
        <v>6391</v>
      </c>
      <c r="C78" s="1" t="s">
        <v>16</v>
      </c>
      <c r="D78" s="2">
        <v>78653.919999999998</v>
      </c>
      <c r="E78" s="1">
        <v>10</v>
      </c>
      <c r="F78" s="1" t="s">
        <v>22</v>
      </c>
      <c r="G78" s="3">
        <v>45383</v>
      </c>
      <c r="H78" s="2">
        <v>130811.06</v>
      </c>
      <c r="I78" s="13" t="s">
        <v>17</v>
      </c>
      <c r="J78" s="14" t="s">
        <v>18</v>
      </c>
      <c r="K78" s="14">
        <v>760</v>
      </c>
      <c r="L78" s="15">
        <v>45332</v>
      </c>
      <c r="M78" s="16">
        <v>13</v>
      </c>
      <c r="N7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8" s="31" t="str">
        <f>IF(Table64[[#This Row],[date validity flag]]&lt;&gt;"Valid","",Table64[[#This Row],[shipment date ]]-Table64[[#This Row],[Order date]])</f>
        <v/>
      </c>
      <c r="P78" s="27" t="str">
        <f>TEXT(Table64[[#This Row],[Order date]],"mmm-yyyy")</f>
        <v>Apr-2024</v>
      </c>
      <c r="Q78" s="16" t="str">
        <f t="shared" si="1"/>
        <v/>
      </c>
    </row>
    <row r="79" spans="1:17" x14ac:dyDescent="0.3">
      <c r="A79" s="17">
        <v>10078</v>
      </c>
      <c r="B79" s="4">
        <v>5956</v>
      </c>
      <c r="C79" s="4" t="s">
        <v>16</v>
      </c>
      <c r="D79" s="5">
        <v>80962.259999999995</v>
      </c>
      <c r="E79" s="4">
        <v>80</v>
      </c>
      <c r="F79" s="4" t="s">
        <v>21</v>
      </c>
      <c r="G79" s="6">
        <v>45306</v>
      </c>
      <c r="H79" s="5">
        <v>32968.589999999997</v>
      </c>
      <c r="I79" s="18" t="s">
        <v>20</v>
      </c>
      <c r="J79" s="14" t="s">
        <v>18</v>
      </c>
      <c r="K79" s="14">
        <v>795</v>
      </c>
      <c r="L79" s="15">
        <v>45361</v>
      </c>
      <c r="M79" s="16">
        <v>6</v>
      </c>
      <c r="N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" s="31">
        <f>IF(Table64[[#This Row],[date validity flag]]&lt;&gt;"Valid","",Table64[[#This Row],[shipment date ]]-Table64[[#This Row],[Order date]])</f>
        <v>55</v>
      </c>
      <c r="P79" s="27" t="str">
        <f>TEXT(Table64[[#This Row],[Order date]],"mmm-yyyy")</f>
        <v>Jan-2024</v>
      </c>
      <c r="Q79" s="16" t="str">
        <f t="shared" si="1"/>
        <v>Delayed</v>
      </c>
    </row>
    <row r="80" spans="1:17" x14ac:dyDescent="0.3">
      <c r="A80" s="12">
        <v>10079</v>
      </c>
      <c r="B80" s="1">
        <v>6479</v>
      </c>
      <c r="C80" s="1" t="s">
        <v>16</v>
      </c>
      <c r="D80" s="2">
        <v>17953.72</v>
      </c>
      <c r="E80" s="1">
        <v>16</v>
      </c>
      <c r="F80" s="1" t="s">
        <v>21</v>
      </c>
      <c r="G80" s="3">
        <v>45306</v>
      </c>
      <c r="H80" s="2">
        <v>179516.13</v>
      </c>
      <c r="I80" s="13" t="s">
        <v>14</v>
      </c>
      <c r="J80" s="14" t="s">
        <v>19</v>
      </c>
      <c r="K80" s="14">
        <v>724</v>
      </c>
      <c r="L80" s="15">
        <v>45361</v>
      </c>
      <c r="M80" s="16">
        <v>2</v>
      </c>
      <c r="N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" s="31">
        <f>IF(Table64[[#This Row],[date validity flag]]&lt;&gt;"Valid","",Table64[[#This Row],[shipment date ]]-Table64[[#This Row],[Order date]])</f>
        <v>55</v>
      </c>
      <c r="P80" s="27" t="str">
        <f>TEXT(Table64[[#This Row],[Order date]],"mmm-yyyy")</f>
        <v>Jan-2024</v>
      </c>
      <c r="Q80" s="16" t="str">
        <f t="shared" si="1"/>
        <v>Delayed</v>
      </c>
    </row>
    <row r="81" spans="1:17" x14ac:dyDescent="0.3">
      <c r="A81" s="17">
        <v>10080</v>
      </c>
      <c r="B81" s="4">
        <v>6452</v>
      </c>
      <c r="C81" s="4" t="s">
        <v>16</v>
      </c>
      <c r="D81" s="5">
        <v>99158.07</v>
      </c>
      <c r="E81" s="4">
        <v>54</v>
      </c>
      <c r="F81" s="4" t="s">
        <v>23</v>
      </c>
      <c r="G81" s="6">
        <v>45383</v>
      </c>
      <c r="H81" s="5">
        <v>113290.16</v>
      </c>
      <c r="I81" s="18" t="s">
        <v>14</v>
      </c>
      <c r="J81" s="14" t="s">
        <v>19</v>
      </c>
      <c r="K81" s="14">
        <v>165</v>
      </c>
      <c r="L81" s="15">
        <v>45397</v>
      </c>
      <c r="M81" s="16">
        <v>7</v>
      </c>
      <c r="N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" s="31">
        <f>IF(Table64[[#This Row],[date validity flag]]&lt;&gt;"Valid","",Table64[[#This Row],[shipment date ]]-Table64[[#This Row],[Order date]])</f>
        <v>14</v>
      </c>
      <c r="P81" s="27" t="str">
        <f>TEXT(Table64[[#This Row],[Order date]],"mmm-yyyy")</f>
        <v>Apr-2024</v>
      </c>
      <c r="Q81" s="16" t="str">
        <f t="shared" si="1"/>
        <v>Delayed</v>
      </c>
    </row>
    <row r="82" spans="1:17" x14ac:dyDescent="0.3">
      <c r="A82" s="12">
        <v>10081</v>
      </c>
      <c r="B82" s="1">
        <v>5509</v>
      </c>
      <c r="C82" s="1" t="s">
        <v>16</v>
      </c>
      <c r="D82" s="2">
        <v>43708.23</v>
      </c>
      <c r="E82" s="1">
        <v>95</v>
      </c>
      <c r="F82" s="1" t="s">
        <v>23</v>
      </c>
      <c r="G82" s="3">
        <v>45361</v>
      </c>
      <c r="H82" s="2">
        <v>91848.67</v>
      </c>
      <c r="I82" s="13" t="s">
        <v>20</v>
      </c>
      <c r="J82" s="14" t="s">
        <v>19</v>
      </c>
      <c r="K82" s="14">
        <v>654</v>
      </c>
      <c r="L82" s="15">
        <v>45397</v>
      </c>
      <c r="M82" s="16">
        <v>13</v>
      </c>
      <c r="N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" s="31">
        <f>IF(Table64[[#This Row],[date validity flag]]&lt;&gt;"Valid","",Table64[[#This Row],[shipment date ]]-Table64[[#This Row],[Order date]])</f>
        <v>36</v>
      </c>
      <c r="P82" s="27" t="str">
        <f>TEXT(Table64[[#This Row],[Order date]],"mmm-yyyy")</f>
        <v>Mar-2024</v>
      </c>
      <c r="Q82" s="16" t="str">
        <f t="shared" si="1"/>
        <v>Delayed</v>
      </c>
    </row>
    <row r="83" spans="1:17" x14ac:dyDescent="0.3">
      <c r="A83" s="17">
        <v>10082</v>
      </c>
      <c r="B83" s="4">
        <v>5776</v>
      </c>
      <c r="C83" s="4" t="s">
        <v>16</v>
      </c>
      <c r="D83" s="5">
        <v>33729.61</v>
      </c>
      <c r="E83" s="4">
        <v>89</v>
      </c>
      <c r="F83" s="4" t="s">
        <v>22</v>
      </c>
      <c r="G83" s="6">
        <v>45383</v>
      </c>
      <c r="H83" s="5">
        <v>126054.33</v>
      </c>
      <c r="I83" s="18" t="s">
        <v>20</v>
      </c>
      <c r="J83" s="14" t="s">
        <v>18</v>
      </c>
      <c r="K83" s="14">
        <v>1115</v>
      </c>
      <c r="L83" s="15">
        <v>45397</v>
      </c>
      <c r="M83" s="16">
        <v>3</v>
      </c>
      <c r="N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3" s="31">
        <f>IF(Table64[[#This Row],[date validity flag]]&lt;&gt;"Valid","",Table64[[#This Row],[shipment date ]]-Table64[[#This Row],[Order date]])</f>
        <v>14</v>
      </c>
      <c r="P83" s="27" t="str">
        <f>TEXT(Table64[[#This Row],[Order date]],"mmm-yyyy")</f>
        <v>Apr-2024</v>
      </c>
      <c r="Q83" s="16" t="str">
        <f t="shared" si="1"/>
        <v>Delayed</v>
      </c>
    </row>
    <row r="84" spans="1:17" x14ac:dyDescent="0.3">
      <c r="A84" s="12">
        <v>10083</v>
      </c>
      <c r="B84" s="1">
        <v>6967</v>
      </c>
      <c r="C84" s="1" t="s">
        <v>16</v>
      </c>
      <c r="D84" s="2">
        <v>74484.800000000003</v>
      </c>
      <c r="E84" s="1">
        <v>77</v>
      </c>
      <c r="F84" s="1" t="s">
        <v>13</v>
      </c>
      <c r="G84" s="3">
        <v>45337</v>
      </c>
      <c r="H84" s="2">
        <v>73900</v>
      </c>
      <c r="I84" s="13" t="s">
        <v>20</v>
      </c>
      <c r="J84" s="14" t="s">
        <v>19</v>
      </c>
      <c r="K84" s="14">
        <v>428</v>
      </c>
      <c r="L84" s="15">
        <v>45397</v>
      </c>
      <c r="M84" s="16">
        <v>1</v>
      </c>
      <c r="N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4" s="31">
        <f>IF(Table64[[#This Row],[date validity flag]]&lt;&gt;"Valid","",Table64[[#This Row],[shipment date ]]-Table64[[#This Row],[Order date]])</f>
        <v>60</v>
      </c>
      <c r="P84" s="27" t="str">
        <f>TEXT(Table64[[#This Row],[Order date]],"mmm-yyyy")</f>
        <v>Feb-2024</v>
      </c>
      <c r="Q84" s="16" t="str">
        <f t="shared" si="1"/>
        <v>Delayed</v>
      </c>
    </row>
    <row r="85" spans="1:17" x14ac:dyDescent="0.3">
      <c r="A85" s="17">
        <v>10084</v>
      </c>
      <c r="B85" s="4">
        <v>5035</v>
      </c>
      <c r="C85" s="4" t="s">
        <v>16</v>
      </c>
      <c r="D85" s="5">
        <v>25885.33</v>
      </c>
      <c r="E85" s="4">
        <v>70</v>
      </c>
      <c r="F85" s="4" t="s">
        <v>22</v>
      </c>
      <c r="G85" s="6">
        <v>45361</v>
      </c>
      <c r="H85" s="5">
        <v>108788.24</v>
      </c>
      <c r="I85" s="18" t="s">
        <v>17</v>
      </c>
      <c r="J85" s="14" t="s">
        <v>15</v>
      </c>
      <c r="K85" s="14">
        <v>1279</v>
      </c>
      <c r="L85" s="15">
        <v>45361</v>
      </c>
      <c r="M85" s="16">
        <v>10</v>
      </c>
      <c r="N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5" s="31">
        <f>IF(Table64[[#This Row],[date validity flag]]&lt;&gt;"Valid","",Table64[[#This Row],[shipment date ]]-Table64[[#This Row],[Order date]])</f>
        <v>0</v>
      </c>
      <c r="P85" s="27" t="str">
        <f>TEXT(Table64[[#This Row],[Order date]],"mmm-yyyy")</f>
        <v>Mar-2024</v>
      </c>
      <c r="Q85" s="16" t="str">
        <f t="shared" si="1"/>
        <v>On Time</v>
      </c>
    </row>
    <row r="86" spans="1:17" x14ac:dyDescent="0.3">
      <c r="A86" s="12">
        <v>10085</v>
      </c>
      <c r="B86" s="1">
        <v>5206</v>
      </c>
      <c r="C86" s="1" t="s">
        <v>16</v>
      </c>
      <c r="D86" s="2">
        <v>18976.14</v>
      </c>
      <c r="E86" s="1">
        <v>44</v>
      </c>
      <c r="F86" s="1" t="s">
        <v>13</v>
      </c>
      <c r="G86" s="3">
        <v>45337</v>
      </c>
      <c r="H86" s="2">
        <v>149934.1</v>
      </c>
      <c r="I86" s="13" t="s">
        <v>20</v>
      </c>
      <c r="J86" s="14" t="s">
        <v>19</v>
      </c>
      <c r="K86" s="14">
        <v>515</v>
      </c>
      <c r="L86" s="15">
        <v>45332</v>
      </c>
      <c r="M86" s="16">
        <v>3</v>
      </c>
      <c r="N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6" s="31" t="str">
        <f>IF(Table64[[#This Row],[date validity flag]]&lt;&gt;"Valid","",Table64[[#This Row],[shipment date ]]-Table64[[#This Row],[Order date]])</f>
        <v/>
      </c>
      <c r="P86" s="27" t="str">
        <f>TEXT(Table64[[#This Row],[Order date]],"mmm-yyyy")</f>
        <v>Feb-2024</v>
      </c>
      <c r="Q86" s="16" t="str">
        <f t="shared" si="1"/>
        <v/>
      </c>
    </row>
    <row r="87" spans="1:17" x14ac:dyDescent="0.3">
      <c r="A87" s="17">
        <v>10086</v>
      </c>
      <c r="B87" s="4">
        <v>6105</v>
      </c>
      <c r="C87" s="4" t="s">
        <v>16</v>
      </c>
      <c r="D87" s="5">
        <v>16164.04</v>
      </c>
      <c r="E87" s="4">
        <v>73</v>
      </c>
      <c r="F87" s="4" t="s">
        <v>22</v>
      </c>
      <c r="G87" s="6">
        <v>45383</v>
      </c>
      <c r="H87" s="5">
        <v>18980.490000000002</v>
      </c>
      <c r="I87" s="18" t="s">
        <v>17</v>
      </c>
      <c r="J87" s="14" t="s">
        <v>19</v>
      </c>
      <c r="K87" s="14">
        <v>329</v>
      </c>
      <c r="L87" s="15">
        <v>45332</v>
      </c>
      <c r="M87" s="16">
        <v>9</v>
      </c>
      <c r="N8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7" s="31" t="str">
        <f>IF(Table64[[#This Row],[date validity flag]]&lt;&gt;"Valid","",Table64[[#This Row],[shipment date ]]-Table64[[#This Row],[Order date]])</f>
        <v/>
      </c>
      <c r="P87" s="27" t="str">
        <f>TEXT(Table64[[#This Row],[Order date]],"mmm-yyyy")</f>
        <v>Apr-2024</v>
      </c>
      <c r="Q87" s="16" t="str">
        <f t="shared" si="1"/>
        <v/>
      </c>
    </row>
    <row r="88" spans="1:17" x14ac:dyDescent="0.3">
      <c r="A88" s="12">
        <v>10087</v>
      </c>
      <c r="B88" s="1">
        <v>6956</v>
      </c>
      <c r="C88" s="1" t="s">
        <v>16</v>
      </c>
      <c r="D88" s="2">
        <v>98370.96</v>
      </c>
      <c r="E88" s="1">
        <v>45</v>
      </c>
      <c r="F88" s="1" t="s">
        <v>23</v>
      </c>
      <c r="G88" s="3">
        <v>45361</v>
      </c>
      <c r="H88" s="2">
        <v>142607.14000000001</v>
      </c>
      <c r="I88" s="13" t="s">
        <v>14</v>
      </c>
      <c r="J88" s="14" t="s">
        <v>18</v>
      </c>
      <c r="K88" s="14">
        <v>667</v>
      </c>
      <c r="L88" s="15">
        <v>45332</v>
      </c>
      <c r="M88" s="16">
        <v>10</v>
      </c>
      <c r="N8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8" s="31" t="str">
        <f>IF(Table64[[#This Row],[date validity flag]]&lt;&gt;"Valid","",Table64[[#This Row],[shipment date ]]-Table64[[#This Row],[Order date]])</f>
        <v/>
      </c>
      <c r="P88" s="27" t="str">
        <f>TEXT(Table64[[#This Row],[Order date]],"mmm-yyyy")</f>
        <v>Mar-2024</v>
      </c>
      <c r="Q88" s="16" t="str">
        <f t="shared" si="1"/>
        <v/>
      </c>
    </row>
    <row r="89" spans="1:17" x14ac:dyDescent="0.3">
      <c r="A89" s="17">
        <v>10088</v>
      </c>
      <c r="B89" s="4">
        <v>6586</v>
      </c>
      <c r="C89" s="4" t="s">
        <v>16</v>
      </c>
      <c r="D89" s="5">
        <v>89748.56</v>
      </c>
      <c r="E89" s="4">
        <v>56</v>
      </c>
      <c r="F89" s="4" t="s">
        <v>23</v>
      </c>
      <c r="G89" s="6">
        <v>45337</v>
      </c>
      <c r="H89" s="5">
        <v>23723.41</v>
      </c>
      <c r="I89" s="18" t="s">
        <v>20</v>
      </c>
      <c r="J89" s="14" t="s">
        <v>19</v>
      </c>
      <c r="K89" s="14">
        <v>167</v>
      </c>
      <c r="L89" s="15">
        <v>45332</v>
      </c>
      <c r="M89" s="16">
        <v>11</v>
      </c>
      <c r="N8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9" s="31" t="str">
        <f>IF(Table64[[#This Row],[date validity flag]]&lt;&gt;"Valid","",Table64[[#This Row],[shipment date ]]-Table64[[#This Row],[Order date]])</f>
        <v/>
      </c>
      <c r="P89" s="27" t="str">
        <f>TEXT(Table64[[#This Row],[Order date]],"mmm-yyyy")</f>
        <v>Feb-2024</v>
      </c>
      <c r="Q89" s="16" t="str">
        <f t="shared" si="1"/>
        <v/>
      </c>
    </row>
    <row r="90" spans="1:17" x14ac:dyDescent="0.3">
      <c r="A90" s="12">
        <v>10089</v>
      </c>
      <c r="B90" s="1">
        <v>6896</v>
      </c>
      <c r="C90" s="1" t="s">
        <v>12</v>
      </c>
      <c r="D90" s="2">
        <v>51263.99</v>
      </c>
      <c r="E90" s="1">
        <v>84</v>
      </c>
      <c r="F90" s="1" t="s">
        <v>13</v>
      </c>
      <c r="G90" s="3">
        <v>45383</v>
      </c>
      <c r="H90" s="2">
        <v>154060.10999999999</v>
      </c>
      <c r="I90" s="13" t="s">
        <v>20</v>
      </c>
      <c r="J90" s="14" t="s">
        <v>15</v>
      </c>
      <c r="K90" s="14">
        <v>1310</v>
      </c>
      <c r="L90" s="15">
        <v>45397</v>
      </c>
      <c r="M90" s="16">
        <v>11</v>
      </c>
      <c r="N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0" s="31">
        <f>IF(Table64[[#This Row],[date validity flag]]&lt;&gt;"Valid","",Table64[[#This Row],[shipment date ]]-Table64[[#This Row],[Order date]])</f>
        <v>14</v>
      </c>
      <c r="P90" s="27" t="str">
        <f>TEXT(Table64[[#This Row],[Order date]],"mmm-yyyy")</f>
        <v>Apr-2024</v>
      </c>
      <c r="Q90" s="16" t="str">
        <f t="shared" si="1"/>
        <v>Delayed</v>
      </c>
    </row>
    <row r="91" spans="1:17" x14ac:dyDescent="0.3">
      <c r="A91" s="17">
        <v>10090</v>
      </c>
      <c r="B91" s="4">
        <v>6412</v>
      </c>
      <c r="C91" s="4" t="s">
        <v>16</v>
      </c>
      <c r="D91" s="5">
        <v>10519.91</v>
      </c>
      <c r="E91" s="4">
        <v>82</v>
      </c>
      <c r="F91" s="4" t="s">
        <v>22</v>
      </c>
      <c r="G91" s="6">
        <v>45383</v>
      </c>
      <c r="H91" s="5">
        <v>106748.12</v>
      </c>
      <c r="I91" s="18" t="s">
        <v>17</v>
      </c>
      <c r="J91" s="14" t="s">
        <v>18</v>
      </c>
      <c r="K91" s="14">
        <v>358</v>
      </c>
      <c r="L91" s="15">
        <v>45361</v>
      </c>
      <c r="M91" s="16">
        <v>6</v>
      </c>
      <c r="N9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1" s="31" t="str">
        <f>IF(Table64[[#This Row],[date validity flag]]&lt;&gt;"Valid","",Table64[[#This Row],[shipment date ]]-Table64[[#This Row],[Order date]])</f>
        <v/>
      </c>
      <c r="P91" s="27" t="str">
        <f>TEXT(Table64[[#This Row],[Order date]],"mmm-yyyy")</f>
        <v>Apr-2024</v>
      </c>
      <c r="Q91" s="16" t="str">
        <f t="shared" si="1"/>
        <v/>
      </c>
    </row>
    <row r="92" spans="1:17" x14ac:dyDescent="0.3">
      <c r="A92" s="12">
        <v>10091</v>
      </c>
      <c r="B92" s="1">
        <v>6026</v>
      </c>
      <c r="C92" s="1" t="s">
        <v>16</v>
      </c>
      <c r="D92" s="2">
        <v>82125.38</v>
      </c>
      <c r="E92" s="1">
        <v>57</v>
      </c>
      <c r="F92" s="1" t="s">
        <v>13</v>
      </c>
      <c r="G92" s="3">
        <v>45361</v>
      </c>
      <c r="H92" s="2">
        <v>108709.32</v>
      </c>
      <c r="I92" s="13" t="s">
        <v>17</v>
      </c>
      <c r="J92" s="14" t="s">
        <v>15</v>
      </c>
      <c r="K92" s="14">
        <v>149</v>
      </c>
      <c r="L92" s="15">
        <v>45361</v>
      </c>
      <c r="M92" s="16">
        <v>11</v>
      </c>
      <c r="N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2" s="31">
        <f>IF(Table64[[#This Row],[date validity flag]]&lt;&gt;"Valid","",Table64[[#This Row],[shipment date ]]-Table64[[#This Row],[Order date]])</f>
        <v>0</v>
      </c>
      <c r="P92" s="27" t="str">
        <f>TEXT(Table64[[#This Row],[Order date]],"mmm-yyyy")</f>
        <v>Mar-2024</v>
      </c>
      <c r="Q92" s="16" t="str">
        <f t="shared" si="1"/>
        <v>On Time</v>
      </c>
    </row>
    <row r="93" spans="1:17" x14ac:dyDescent="0.3">
      <c r="A93" s="17">
        <v>10092</v>
      </c>
      <c r="B93" s="4">
        <v>6022</v>
      </c>
      <c r="C93" s="4" t="s">
        <v>12</v>
      </c>
      <c r="D93" s="5">
        <v>68782.62</v>
      </c>
      <c r="E93" s="4">
        <v>21</v>
      </c>
      <c r="F93" s="4" t="s">
        <v>23</v>
      </c>
      <c r="G93" s="6">
        <v>45383</v>
      </c>
      <c r="H93" s="5">
        <v>64226.34</v>
      </c>
      <c r="I93" s="18" t="s">
        <v>14</v>
      </c>
      <c r="J93" s="14" t="s">
        <v>18</v>
      </c>
      <c r="K93" s="14">
        <v>310</v>
      </c>
      <c r="L93" s="15">
        <v>45361</v>
      </c>
      <c r="M93" s="16">
        <v>6</v>
      </c>
      <c r="N9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3" s="31" t="str">
        <f>IF(Table64[[#This Row],[date validity flag]]&lt;&gt;"Valid","",Table64[[#This Row],[shipment date ]]-Table64[[#This Row],[Order date]])</f>
        <v/>
      </c>
      <c r="P93" s="27" t="str">
        <f>TEXT(Table64[[#This Row],[Order date]],"mmm-yyyy")</f>
        <v>Apr-2024</v>
      </c>
      <c r="Q93" s="16" t="str">
        <f t="shared" si="1"/>
        <v/>
      </c>
    </row>
    <row r="94" spans="1:17" x14ac:dyDescent="0.3">
      <c r="A94" s="12">
        <v>10093</v>
      </c>
      <c r="B94" s="1">
        <v>6414</v>
      </c>
      <c r="C94" s="1" t="s">
        <v>16</v>
      </c>
      <c r="D94" s="2">
        <v>55959.65</v>
      </c>
      <c r="E94" s="1">
        <v>68</v>
      </c>
      <c r="F94" s="1" t="s">
        <v>22</v>
      </c>
      <c r="G94" s="3">
        <v>45306</v>
      </c>
      <c r="H94" s="2">
        <v>51440.9</v>
      </c>
      <c r="I94" s="13" t="s">
        <v>17</v>
      </c>
      <c r="J94" s="14" t="s">
        <v>18</v>
      </c>
      <c r="K94" s="14">
        <v>1042</v>
      </c>
      <c r="L94" s="15">
        <v>45397</v>
      </c>
      <c r="M94" s="16">
        <v>4</v>
      </c>
      <c r="N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" s="31">
        <f>IF(Table64[[#This Row],[date validity flag]]&lt;&gt;"Valid","",Table64[[#This Row],[shipment date ]]-Table64[[#This Row],[Order date]])</f>
        <v>91</v>
      </c>
      <c r="P94" s="27" t="str">
        <f>TEXT(Table64[[#This Row],[Order date]],"mmm-yyyy")</f>
        <v>Jan-2024</v>
      </c>
      <c r="Q94" s="16" t="str">
        <f t="shared" si="1"/>
        <v>Delayed</v>
      </c>
    </row>
    <row r="95" spans="1:17" x14ac:dyDescent="0.3">
      <c r="A95" s="17">
        <v>10094</v>
      </c>
      <c r="B95" s="4">
        <v>5566</v>
      </c>
      <c r="C95" s="4" t="s">
        <v>16</v>
      </c>
      <c r="D95" s="5">
        <v>70797.84</v>
      </c>
      <c r="E95" s="4">
        <v>50</v>
      </c>
      <c r="F95" s="4" t="s">
        <v>22</v>
      </c>
      <c r="G95" s="6">
        <v>45337</v>
      </c>
      <c r="H95" s="5">
        <v>50100.73</v>
      </c>
      <c r="I95" s="18" t="s">
        <v>14</v>
      </c>
      <c r="J95" s="14" t="s">
        <v>19</v>
      </c>
      <c r="K95" s="14">
        <v>1378</v>
      </c>
      <c r="L95" s="15">
        <v>45361</v>
      </c>
      <c r="M95" s="16">
        <v>8</v>
      </c>
      <c r="N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" s="31">
        <f>IF(Table64[[#This Row],[date validity flag]]&lt;&gt;"Valid","",Table64[[#This Row],[shipment date ]]-Table64[[#This Row],[Order date]])</f>
        <v>24</v>
      </c>
      <c r="P95" s="27" t="str">
        <f>TEXT(Table64[[#This Row],[Order date]],"mmm-yyyy")</f>
        <v>Feb-2024</v>
      </c>
      <c r="Q95" s="16" t="str">
        <f t="shared" si="1"/>
        <v>Delayed</v>
      </c>
    </row>
    <row r="96" spans="1:17" x14ac:dyDescent="0.3">
      <c r="A96" s="12">
        <v>10095</v>
      </c>
      <c r="B96" s="1">
        <v>6130</v>
      </c>
      <c r="C96" s="1" t="s">
        <v>16</v>
      </c>
      <c r="D96" s="2">
        <v>82544</v>
      </c>
      <c r="E96" s="1">
        <v>33</v>
      </c>
      <c r="F96" s="1" t="s">
        <v>13</v>
      </c>
      <c r="G96" s="3">
        <v>45337</v>
      </c>
      <c r="H96" s="2">
        <v>147309.14000000001</v>
      </c>
      <c r="I96" s="13" t="s">
        <v>20</v>
      </c>
      <c r="J96" s="14" t="s">
        <v>15</v>
      </c>
      <c r="K96" s="14">
        <v>1427</v>
      </c>
      <c r="L96" s="15">
        <v>45397</v>
      </c>
      <c r="M96" s="16">
        <v>5</v>
      </c>
      <c r="N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" s="31">
        <f>IF(Table64[[#This Row],[date validity flag]]&lt;&gt;"Valid","",Table64[[#This Row],[shipment date ]]-Table64[[#This Row],[Order date]])</f>
        <v>60</v>
      </c>
      <c r="P96" s="27" t="str">
        <f>TEXT(Table64[[#This Row],[Order date]],"mmm-yyyy")</f>
        <v>Feb-2024</v>
      </c>
      <c r="Q96" s="16" t="str">
        <f t="shared" si="1"/>
        <v>Delayed</v>
      </c>
    </row>
    <row r="97" spans="1:17" x14ac:dyDescent="0.3">
      <c r="A97" s="17">
        <v>10096</v>
      </c>
      <c r="B97" s="4">
        <v>6796</v>
      </c>
      <c r="C97" s="4" t="s">
        <v>16</v>
      </c>
      <c r="D97" s="5">
        <v>68293.23</v>
      </c>
      <c r="E97" s="4">
        <v>91</v>
      </c>
      <c r="F97" s="4" t="s">
        <v>21</v>
      </c>
      <c r="G97" s="6">
        <v>45383</v>
      </c>
      <c r="H97" s="5">
        <v>52241.22</v>
      </c>
      <c r="I97" s="18" t="s">
        <v>17</v>
      </c>
      <c r="J97" s="14" t="s">
        <v>18</v>
      </c>
      <c r="K97" s="14">
        <v>335</v>
      </c>
      <c r="L97" s="15">
        <v>45361</v>
      </c>
      <c r="M97" s="16">
        <v>7</v>
      </c>
      <c r="N9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7" s="31" t="str">
        <f>IF(Table64[[#This Row],[date validity flag]]&lt;&gt;"Valid","",Table64[[#This Row],[shipment date ]]-Table64[[#This Row],[Order date]])</f>
        <v/>
      </c>
      <c r="P97" s="27" t="str">
        <f>TEXT(Table64[[#This Row],[Order date]],"mmm-yyyy")</f>
        <v>Apr-2024</v>
      </c>
      <c r="Q97" s="16" t="str">
        <f t="shared" si="1"/>
        <v/>
      </c>
    </row>
    <row r="98" spans="1:17" x14ac:dyDescent="0.3">
      <c r="A98" s="12">
        <v>10097</v>
      </c>
      <c r="B98" s="1">
        <v>6846</v>
      </c>
      <c r="C98" s="1" t="s">
        <v>12</v>
      </c>
      <c r="D98" s="2">
        <v>32447.200000000001</v>
      </c>
      <c r="E98" s="1">
        <v>7</v>
      </c>
      <c r="F98" s="1" t="s">
        <v>13</v>
      </c>
      <c r="G98" s="3">
        <v>45383</v>
      </c>
      <c r="H98" s="2">
        <v>85500.05</v>
      </c>
      <c r="I98" s="13" t="s">
        <v>17</v>
      </c>
      <c r="J98" s="14" t="s">
        <v>19</v>
      </c>
      <c r="K98" s="14">
        <v>377</v>
      </c>
      <c r="L98" s="15">
        <v>45332</v>
      </c>
      <c r="M98" s="16">
        <v>9</v>
      </c>
      <c r="N9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8" s="31" t="str">
        <f>IF(Table64[[#This Row],[date validity flag]]&lt;&gt;"Valid","",Table64[[#This Row],[shipment date ]]-Table64[[#This Row],[Order date]])</f>
        <v/>
      </c>
      <c r="P98" s="27" t="str">
        <f>TEXT(Table64[[#This Row],[Order date]],"mmm-yyyy")</f>
        <v>Apr-2024</v>
      </c>
      <c r="Q98" s="16" t="str">
        <f t="shared" si="1"/>
        <v/>
      </c>
    </row>
    <row r="99" spans="1:17" x14ac:dyDescent="0.3">
      <c r="A99" s="17">
        <v>10098</v>
      </c>
      <c r="B99" s="4">
        <v>6501</v>
      </c>
      <c r="C99" s="4" t="s">
        <v>16</v>
      </c>
      <c r="D99" s="5">
        <v>55790.37</v>
      </c>
      <c r="E99" s="4">
        <v>70</v>
      </c>
      <c r="F99" s="4" t="s">
        <v>23</v>
      </c>
      <c r="G99" s="6">
        <v>45306</v>
      </c>
      <c r="H99" s="5">
        <v>32151.17</v>
      </c>
      <c r="I99" s="18" t="s">
        <v>17</v>
      </c>
      <c r="J99" s="14" t="s">
        <v>18</v>
      </c>
      <c r="K99" s="14">
        <v>1176</v>
      </c>
      <c r="L99" s="15">
        <v>45397</v>
      </c>
      <c r="M99" s="16">
        <v>13</v>
      </c>
      <c r="N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" s="31">
        <f>IF(Table64[[#This Row],[date validity flag]]&lt;&gt;"Valid","",Table64[[#This Row],[shipment date ]]-Table64[[#This Row],[Order date]])</f>
        <v>91</v>
      </c>
      <c r="P99" s="27" t="str">
        <f>TEXT(Table64[[#This Row],[Order date]],"mmm-yyyy")</f>
        <v>Jan-2024</v>
      </c>
      <c r="Q99" s="16" t="str">
        <f t="shared" si="1"/>
        <v>Delayed</v>
      </c>
    </row>
    <row r="100" spans="1:17" x14ac:dyDescent="0.3">
      <c r="A100" s="12">
        <v>10099</v>
      </c>
      <c r="B100" s="1">
        <v>5703</v>
      </c>
      <c r="C100" s="1" t="s">
        <v>16</v>
      </c>
      <c r="D100" s="2">
        <v>60732.74</v>
      </c>
      <c r="E100" s="1">
        <v>15</v>
      </c>
      <c r="F100" s="1" t="s">
        <v>23</v>
      </c>
      <c r="G100" s="3">
        <v>45361</v>
      </c>
      <c r="H100" s="2">
        <v>16891.28</v>
      </c>
      <c r="I100" s="13" t="s">
        <v>17</v>
      </c>
      <c r="J100" s="14" t="s">
        <v>18</v>
      </c>
      <c r="K100" s="14">
        <v>112</v>
      </c>
      <c r="L100" s="15">
        <v>45361</v>
      </c>
      <c r="M100" s="16">
        <v>13</v>
      </c>
      <c r="N1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0" s="31">
        <f>IF(Table64[[#This Row],[date validity flag]]&lt;&gt;"Valid","",Table64[[#This Row],[shipment date ]]-Table64[[#This Row],[Order date]])</f>
        <v>0</v>
      </c>
      <c r="P100" s="27" t="str">
        <f>TEXT(Table64[[#This Row],[Order date]],"mmm-yyyy")</f>
        <v>Mar-2024</v>
      </c>
      <c r="Q100" s="16" t="str">
        <f t="shared" si="1"/>
        <v>On Time</v>
      </c>
    </row>
    <row r="101" spans="1:17" x14ac:dyDescent="0.3">
      <c r="A101" s="17">
        <v>10100</v>
      </c>
      <c r="B101" s="4">
        <v>5402</v>
      </c>
      <c r="C101" s="4" t="s">
        <v>16</v>
      </c>
      <c r="D101" s="5">
        <v>89833.91</v>
      </c>
      <c r="E101" s="4">
        <v>82</v>
      </c>
      <c r="F101" s="4" t="s">
        <v>23</v>
      </c>
      <c r="G101" s="6">
        <v>45383</v>
      </c>
      <c r="H101" s="5">
        <v>168503.75</v>
      </c>
      <c r="I101" s="18" t="s">
        <v>14</v>
      </c>
      <c r="J101" s="14" t="s">
        <v>18</v>
      </c>
      <c r="K101" s="14">
        <v>736</v>
      </c>
      <c r="L101" s="15">
        <v>45332</v>
      </c>
      <c r="M101" s="16">
        <v>14</v>
      </c>
      <c r="N10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1" s="31" t="str">
        <f>IF(Table64[[#This Row],[date validity flag]]&lt;&gt;"Valid","",Table64[[#This Row],[shipment date ]]-Table64[[#This Row],[Order date]])</f>
        <v/>
      </c>
      <c r="P101" s="27" t="str">
        <f>TEXT(Table64[[#This Row],[Order date]],"mmm-yyyy")</f>
        <v>Apr-2024</v>
      </c>
      <c r="Q101" s="16" t="str">
        <f t="shared" si="1"/>
        <v/>
      </c>
    </row>
    <row r="102" spans="1:17" x14ac:dyDescent="0.3">
      <c r="A102" s="12">
        <v>10101</v>
      </c>
      <c r="B102" s="1">
        <v>5730</v>
      </c>
      <c r="C102" s="1" t="s">
        <v>16</v>
      </c>
      <c r="D102" s="2">
        <v>70457.740000000005</v>
      </c>
      <c r="E102" s="1">
        <v>32</v>
      </c>
      <c r="F102" s="1" t="s">
        <v>23</v>
      </c>
      <c r="G102" s="3">
        <v>45383</v>
      </c>
      <c r="H102" s="2">
        <v>87650.44</v>
      </c>
      <c r="I102" s="13" t="s">
        <v>17</v>
      </c>
      <c r="J102" s="14" t="s">
        <v>18</v>
      </c>
      <c r="K102" s="14">
        <v>1355</v>
      </c>
      <c r="L102" s="15">
        <v>45332</v>
      </c>
      <c r="M102" s="16">
        <v>5</v>
      </c>
      <c r="N10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2" s="31" t="str">
        <f>IF(Table64[[#This Row],[date validity flag]]&lt;&gt;"Valid","",Table64[[#This Row],[shipment date ]]-Table64[[#This Row],[Order date]])</f>
        <v/>
      </c>
      <c r="P102" s="27" t="str">
        <f>TEXT(Table64[[#This Row],[Order date]],"mmm-yyyy")</f>
        <v>Apr-2024</v>
      </c>
      <c r="Q102" s="16" t="str">
        <f t="shared" si="1"/>
        <v/>
      </c>
    </row>
    <row r="103" spans="1:17" x14ac:dyDescent="0.3">
      <c r="A103" s="17">
        <v>10102</v>
      </c>
      <c r="B103" s="4">
        <v>6580</v>
      </c>
      <c r="C103" s="4" t="s">
        <v>16</v>
      </c>
      <c r="D103" s="5">
        <v>96404.69</v>
      </c>
      <c r="E103" s="4">
        <v>75</v>
      </c>
      <c r="F103" s="4" t="s">
        <v>23</v>
      </c>
      <c r="G103" s="6">
        <v>45383</v>
      </c>
      <c r="H103" s="5">
        <v>43209.17</v>
      </c>
      <c r="I103" s="18" t="s">
        <v>17</v>
      </c>
      <c r="J103" s="14" t="s">
        <v>18</v>
      </c>
      <c r="K103" s="14">
        <v>1366</v>
      </c>
      <c r="L103" s="15">
        <v>45332</v>
      </c>
      <c r="M103" s="16">
        <v>11</v>
      </c>
      <c r="N10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3" s="31" t="str">
        <f>IF(Table64[[#This Row],[date validity flag]]&lt;&gt;"Valid","",Table64[[#This Row],[shipment date ]]-Table64[[#This Row],[Order date]])</f>
        <v/>
      </c>
      <c r="P103" s="27" t="str">
        <f>TEXT(Table64[[#This Row],[Order date]],"mmm-yyyy")</f>
        <v>Apr-2024</v>
      </c>
      <c r="Q103" s="16" t="str">
        <f t="shared" si="1"/>
        <v/>
      </c>
    </row>
    <row r="104" spans="1:17" x14ac:dyDescent="0.3">
      <c r="A104" s="12">
        <v>10103</v>
      </c>
      <c r="B104" s="1">
        <v>5162</v>
      </c>
      <c r="C104" s="1" t="s">
        <v>16</v>
      </c>
      <c r="D104" s="2">
        <v>74734.98</v>
      </c>
      <c r="E104" s="1">
        <v>20</v>
      </c>
      <c r="F104" s="1" t="s">
        <v>21</v>
      </c>
      <c r="G104" s="3">
        <v>45383</v>
      </c>
      <c r="H104" s="2">
        <v>113287.21</v>
      </c>
      <c r="I104" s="13" t="s">
        <v>20</v>
      </c>
      <c r="J104" s="14" t="s">
        <v>18</v>
      </c>
      <c r="K104" s="14">
        <v>787</v>
      </c>
      <c r="L104" s="15">
        <v>45397</v>
      </c>
      <c r="M104" s="16">
        <v>14</v>
      </c>
      <c r="N1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" s="31">
        <f>IF(Table64[[#This Row],[date validity flag]]&lt;&gt;"Valid","",Table64[[#This Row],[shipment date ]]-Table64[[#This Row],[Order date]])</f>
        <v>14</v>
      </c>
      <c r="P104" s="27" t="str">
        <f>TEXT(Table64[[#This Row],[Order date]],"mmm-yyyy")</f>
        <v>Apr-2024</v>
      </c>
      <c r="Q104" s="16" t="str">
        <f t="shared" si="1"/>
        <v>Delayed</v>
      </c>
    </row>
    <row r="105" spans="1:17" x14ac:dyDescent="0.3">
      <c r="A105" s="17">
        <v>10104</v>
      </c>
      <c r="B105" s="4">
        <v>5202</v>
      </c>
      <c r="C105" s="4" t="s">
        <v>16</v>
      </c>
      <c r="D105" s="5">
        <v>27029.46</v>
      </c>
      <c r="E105" s="4">
        <v>88</v>
      </c>
      <c r="F105" s="4" t="s">
        <v>22</v>
      </c>
      <c r="G105" s="6">
        <v>45337</v>
      </c>
      <c r="H105" s="5">
        <v>167924.75</v>
      </c>
      <c r="I105" s="18" t="s">
        <v>17</v>
      </c>
      <c r="J105" s="14" t="s">
        <v>19</v>
      </c>
      <c r="K105" s="14">
        <v>1080</v>
      </c>
      <c r="L105" s="15">
        <v>45397</v>
      </c>
      <c r="M105" s="16">
        <v>5</v>
      </c>
      <c r="N1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5" s="31">
        <f>IF(Table64[[#This Row],[date validity flag]]&lt;&gt;"Valid","",Table64[[#This Row],[shipment date ]]-Table64[[#This Row],[Order date]])</f>
        <v>60</v>
      </c>
      <c r="P105" s="27" t="str">
        <f>TEXT(Table64[[#This Row],[Order date]],"mmm-yyyy")</f>
        <v>Feb-2024</v>
      </c>
      <c r="Q105" s="16" t="str">
        <f t="shared" si="1"/>
        <v>Delayed</v>
      </c>
    </row>
    <row r="106" spans="1:17" x14ac:dyDescent="0.3">
      <c r="A106" s="12">
        <v>10105</v>
      </c>
      <c r="B106" s="1">
        <v>6982</v>
      </c>
      <c r="C106" s="1" t="s">
        <v>12</v>
      </c>
      <c r="D106" s="2">
        <v>65166.93</v>
      </c>
      <c r="E106" s="1">
        <v>15</v>
      </c>
      <c r="F106" s="1" t="s">
        <v>13</v>
      </c>
      <c r="G106" s="3">
        <v>45383</v>
      </c>
      <c r="H106" s="2">
        <v>124022.1</v>
      </c>
      <c r="I106" s="13" t="s">
        <v>17</v>
      </c>
      <c r="J106" s="14" t="s">
        <v>18</v>
      </c>
      <c r="K106" s="14">
        <v>688</v>
      </c>
      <c r="L106" s="15">
        <v>45361</v>
      </c>
      <c r="M106" s="16">
        <v>14</v>
      </c>
      <c r="N10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6" s="31" t="str">
        <f>IF(Table64[[#This Row],[date validity flag]]&lt;&gt;"Valid","",Table64[[#This Row],[shipment date ]]-Table64[[#This Row],[Order date]])</f>
        <v/>
      </c>
      <c r="P106" s="27" t="str">
        <f>TEXT(Table64[[#This Row],[Order date]],"mmm-yyyy")</f>
        <v>Apr-2024</v>
      </c>
      <c r="Q106" s="16" t="str">
        <f t="shared" si="1"/>
        <v/>
      </c>
    </row>
    <row r="107" spans="1:17" x14ac:dyDescent="0.3">
      <c r="A107" s="17">
        <v>10106</v>
      </c>
      <c r="B107" s="4">
        <v>5996</v>
      </c>
      <c r="C107" s="4" t="s">
        <v>16</v>
      </c>
      <c r="D107" s="5">
        <v>52372.03</v>
      </c>
      <c r="E107" s="4">
        <v>48</v>
      </c>
      <c r="F107" s="4" t="s">
        <v>13</v>
      </c>
      <c r="G107" s="6">
        <v>45337</v>
      </c>
      <c r="H107" s="5">
        <v>146762.53</v>
      </c>
      <c r="I107" s="18" t="s">
        <v>17</v>
      </c>
      <c r="J107" s="14" t="s">
        <v>15</v>
      </c>
      <c r="K107" s="14">
        <v>985</v>
      </c>
      <c r="L107" s="15">
        <v>45332</v>
      </c>
      <c r="M107" s="16">
        <v>4</v>
      </c>
      <c r="N10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7" s="31" t="str">
        <f>IF(Table64[[#This Row],[date validity flag]]&lt;&gt;"Valid","",Table64[[#This Row],[shipment date ]]-Table64[[#This Row],[Order date]])</f>
        <v/>
      </c>
      <c r="P107" s="27" t="str">
        <f>TEXT(Table64[[#This Row],[Order date]],"mmm-yyyy")</f>
        <v>Feb-2024</v>
      </c>
      <c r="Q107" s="16" t="str">
        <f t="shared" si="1"/>
        <v/>
      </c>
    </row>
    <row r="108" spans="1:17" x14ac:dyDescent="0.3">
      <c r="A108" s="12">
        <v>10107</v>
      </c>
      <c r="B108" s="1">
        <v>5270</v>
      </c>
      <c r="C108" s="1" t="s">
        <v>16</v>
      </c>
      <c r="D108" s="2">
        <v>51509.29</v>
      </c>
      <c r="E108" s="1">
        <v>71</v>
      </c>
      <c r="F108" s="1" t="s">
        <v>23</v>
      </c>
      <c r="G108" s="3">
        <v>45383</v>
      </c>
      <c r="H108" s="2">
        <v>17601.96</v>
      </c>
      <c r="I108" s="13" t="s">
        <v>17</v>
      </c>
      <c r="J108" s="14" t="s">
        <v>19</v>
      </c>
      <c r="K108" s="14">
        <v>1165</v>
      </c>
      <c r="L108" s="15">
        <v>45361</v>
      </c>
      <c r="M108" s="16">
        <v>6</v>
      </c>
      <c r="N10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8" s="31" t="str">
        <f>IF(Table64[[#This Row],[date validity flag]]&lt;&gt;"Valid","",Table64[[#This Row],[shipment date ]]-Table64[[#This Row],[Order date]])</f>
        <v/>
      </c>
      <c r="P108" s="27" t="str">
        <f>TEXT(Table64[[#This Row],[Order date]],"mmm-yyyy")</f>
        <v>Apr-2024</v>
      </c>
      <c r="Q108" s="16" t="str">
        <f t="shared" si="1"/>
        <v/>
      </c>
    </row>
    <row r="109" spans="1:17" x14ac:dyDescent="0.3">
      <c r="A109" s="17">
        <v>10108</v>
      </c>
      <c r="B109" s="4">
        <v>6887</v>
      </c>
      <c r="C109" s="4" t="s">
        <v>12</v>
      </c>
      <c r="D109" s="5">
        <v>96874.59</v>
      </c>
      <c r="E109" s="4">
        <v>21</v>
      </c>
      <c r="F109" s="4" t="s">
        <v>13</v>
      </c>
      <c r="G109" s="6">
        <v>45361</v>
      </c>
      <c r="H109" s="5">
        <v>126364.22</v>
      </c>
      <c r="I109" s="18" t="s">
        <v>20</v>
      </c>
      <c r="J109" s="14" t="s">
        <v>15</v>
      </c>
      <c r="K109" s="14">
        <v>1263</v>
      </c>
      <c r="L109" s="15">
        <v>45361</v>
      </c>
      <c r="M109" s="16">
        <v>2</v>
      </c>
      <c r="N1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" s="31">
        <f>IF(Table64[[#This Row],[date validity flag]]&lt;&gt;"Valid","",Table64[[#This Row],[shipment date ]]-Table64[[#This Row],[Order date]])</f>
        <v>0</v>
      </c>
      <c r="P109" s="27" t="str">
        <f>TEXT(Table64[[#This Row],[Order date]],"mmm-yyyy")</f>
        <v>Mar-2024</v>
      </c>
      <c r="Q109" s="16" t="str">
        <f t="shared" si="1"/>
        <v>On Time</v>
      </c>
    </row>
    <row r="110" spans="1:17" x14ac:dyDescent="0.3">
      <c r="A110" s="12">
        <v>10109</v>
      </c>
      <c r="B110" s="1">
        <v>5816</v>
      </c>
      <c r="C110" s="1" t="s">
        <v>16</v>
      </c>
      <c r="D110" s="2">
        <v>72712.53</v>
      </c>
      <c r="E110" s="1">
        <v>42</v>
      </c>
      <c r="F110" s="1" t="s">
        <v>23</v>
      </c>
      <c r="G110" s="3">
        <v>45306</v>
      </c>
      <c r="H110" s="2">
        <v>25360.55</v>
      </c>
      <c r="I110" s="13" t="s">
        <v>14</v>
      </c>
      <c r="J110" s="14" t="s">
        <v>18</v>
      </c>
      <c r="K110" s="14">
        <v>525</v>
      </c>
      <c r="L110" s="15">
        <v>45332</v>
      </c>
      <c r="M110" s="16">
        <v>3</v>
      </c>
      <c r="N1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" s="31">
        <f>IF(Table64[[#This Row],[date validity flag]]&lt;&gt;"Valid","",Table64[[#This Row],[shipment date ]]-Table64[[#This Row],[Order date]])</f>
        <v>26</v>
      </c>
      <c r="P110" s="27" t="str">
        <f>TEXT(Table64[[#This Row],[Order date]],"mmm-yyyy")</f>
        <v>Jan-2024</v>
      </c>
      <c r="Q110" s="16" t="str">
        <f t="shared" si="1"/>
        <v>Delayed</v>
      </c>
    </row>
    <row r="111" spans="1:17" x14ac:dyDescent="0.3">
      <c r="A111" s="17">
        <v>10110</v>
      </c>
      <c r="B111" s="4">
        <v>6295</v>
      </c>
      <c r="C111" s="4" t="s">
        <v>16</v>
      </c>
      <c r="D111" s="5">
        <v>87890.81</v>
      </c>
      <c r="E111" s="4">
        <v>26</v>
      </c>
      <c r="F111" s="4" t="s">
        <v>21</v>
      </c>
      <c r="G111" s="6">
        <v>45361</v>
      </c>
      <c r="H111" s="5">
        <v>100943.65</v>
      </c>
      <c r="I111" s="18" t="s">
        <v>17</v>
      </c>
      <c r="J111" s="14" t="s">
        <v>15</v>
      </c>
      <c r="K111" s="14">
        <v>102</v>
      </c>
      <c r="L111" s="15">
        <v>45361</v>
      </c>
      <c r="M111" s="16">
        <v>1</v>
      </c>
      <c r="N1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" s="31">
        <f>IF(Table64[[#This Row],[date validity flag]]&lt;&gt;"Valid","",Table64[[#This Row],[shipment date ]]-Table64[[#This Row],[Order date]])</f>
        <v>0</v>
      </c>
      <c r="P111" s="27" t="str">
        <f>TEXT(Table64[[#This Row],[Order date]],"mmm-yyyy")</f>
        <v>Mar-2024</v>
      </c>
      <c r="Q111" s="16" t="str">
        <f t="shared" si="1"/>
        <v>On Time</v>
      </c>
    </row>
    <row r="112" spans="1:17" x14ac:dyDescent="0.3">
      <c r="A112" s="12">
        <v>10111</v>
      </c>
      <c r="B112" s="1">
        <v>5456</v>
      </c>
      <c r="C112" s="1" t="s">
        <v>16</v>
      </c>
      <c r="D112" s="2">
        <v>25420.61</v>
      </c>
      <c r="E112" s="1">
        <v>14</v>
      </c>
      <c r="F112" s="1" t="s">
        <v>21</v>
      </c>
      <c r="G112" s="3">
        <v>45383</v>
      </c>
      <c r="H112" s="2">
        <v>178231.51</v>
      </c>
      <c r="I112" s="13" t="s">
        <v>17</v>
      </c>
      <c r="J112" s="14" t="s">
        <v>18</v>
      </c>
      <c r="K112" s="14">
        <v>803</v>
      </c>
      <c r="L112" s="15">
        <v>45397</v>
      </c>
      <c r="M112" s="16">
        <v>2</v>
      </c>
      <c r="N1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2" s="31">
        <f>IF(Table64[[#This Row],[date validity flag]]&lt;&gt;"Valid","",Table64[[#This Row],[shipment date ]]-Table64[[#This Row],[Order date]])</f>
        <v>14</v>
      </c>
      <c r="P112" s="27" t="str">
        <f>TEXT(Table64[[#This Row],[Order date]],"mmm-yyyy")</f>
        <v>Apr-2024</v>
      </c>
      <c r="Q112" s="16" t="str">
        <f t="shared" si="1"/>
        <v>Delayed</v>
      </c>
    </row>
    <row r="113" spans="1:17" x14ac:dyDescent="0.3">
      <c r="A113" s="17">
        <v>10112</v>
      </c>
      <c r="B113" s="4">
        <v>6486</v>
      </c>
      <c r="C113" s="4" t="s">
        <v>12</v>
      </c>
      <c r="D113" s="5">
        <v>78772.92</v>
      </c>
      <c r="E113" s="4">
        <v>57</v>
      </c>
      <c r="F113" s="4" t="s">
        <v>22</v>
      </c>
      <c r="G113" s="6">
        <v>45383</v>
      </c>
      <c r="H113" s="5">
        <v>14445.16</v>
      </c>
      <c r="I113" s="18" t="s">
        <v>14</v>
      </c>
      <c r="J113" s="14" t="s">
        <v>18</v>
      </c>
      <c r="K113" s="14">
        <v>535</v>
      </c>
      <c r="L113" s="15">
        <v>45361</v>
      </c>
      <c r="M113" s="16">
        <v>2</v>
      </c>
      <c r="N11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3" s="31" t="str">
        <f>IF(Table64[[#This Row],[date validity flag]]&lt;&gt;"Valid","",Table64[[#This Row],[shipment date ]]-Table64[[#This Row],[Order date]])</f>
        <v/>
      </c>
      <c r="P113" s="27" t="str">
        <f>TEXT(Table64[[#This Row],[Order date]],"mmm-yyyy")</f>
        <v>Apr-2024</v>
      </c>
      <c r="Q113" s="16" t="str">
        <f t="shared" si="1"/>
        <v/>
      </c>
    </row>
    <row r="114" spans="1:17" x14ac:dyDescent="0.3">
      <c r="A114" s="12">
        <v>10113</v>
      </c>
      <c r="B114" s="1">
        <v>6751</v>
      </c>
      <c r="C114" s="1" t="s">
        <v>16</v>
      </c>
      <c r="D114" s="2">
        <v>76922.75</v>
      </c>
      <c r="E114" s="1">
        <v>37</v>
      </c>
      <c r="F114" s="1" t="s">
        <v>21</v>
      </c>
      <c r="G114" s="3">
        <v>45383</v>
      </c>
      <c r="H114" s="2">
        <v>140747.03</v>
      </c>
      <c r="I114" s="13" t="s">
        <v>17</v>
      </c>
      <c r="J114" s="14" t="s">
        <v>19</v>
      </c>
      <c r="K114" s="14">
        <v>1437</v>
      </c>
      <c r="L114" s="15">
        <v>45332</v>
      </c>
      <c r="M114" s="16">
        <v>8</v>
      </c>
      <c r="N11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4" s="31" t="str">
        <f>IF(Table64[[#This Row],[date validity flag]]&lt;&gt;"Valid","",Table64[[#This Row],[shipment date ]]-Table64[[#This Row],[Order date]])</f>
        <v/>
      </c>
      <c r="P114" s="27" t="str">
        <f>TEXT(Table64[[#This Row],[Order date]],"mmm-yyyy")</f>
        <v>Apr-2024</v>
      </c>
      <c r="Q114" s="16" t="str">
        <f t="shared" si="1"/>
        <v/>
      </c>
    </row>
    <row r="115" spans="1:17" x14ac:dyDescent="0.3">
      <c r="A115" s="17">
        <v>10114</v>
      </c>
      <c r="B115" s="4">
        <v>6276</v>
      </c>
      <c r="C115" s="4" t="s">
        <v>12</v>
      </c>
      <c r="D115" s="5">
        <v>68954.33</v>
      </c>
      <c r="E115" s="4">
        <v>58</v>
      </c>
      <c r="F115" s="4" t="s">
        <v>21</v>
      </c>
      <c r="G115" s="6">
        <v>45361</v>
      </c>
      <c r="H115" s="5">
        <v>104057.08</v>
      </c>
      <c r="I115" s="18" t="s">
        <v>17</v>
      </c>
      <c r="J115" s="14" t="s">
        <v>19</v>
      </c>
      <c r="K115" s="14">
        <v>1185</v>
      </c>
      <c r="L115" s="15">
        <v>45397</v>
      </c>
      <c r="M115" s="16">
        <v>8</v>
      </c>
      <c r="N1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" s="31">
        <f>IF(Table64[[#This Row],[date validity flag]]&lt;&gt;"Valid","",Table64[[#This Row],[shipment date ]]-Table64[[#This Row],[Order date]])</f>
        <v>36</v>
      </c>
      <c r="P115" s="27" t="str">
        <f>TEXT(Table64[[#This Row],[Order date]],"mmm-yyyy")</f>
        <v>Mar-2024</v>
      </c>
      <c r="Q115" s="16" t="str">
        <f t="shared" si="1"/>
        <v>Delayed</v>
      </c>
    </row>
    <row r="116" spans="1:17" x14ac:dyDescent="0.3">
      <c r="A116" s="12">
        <v>10115</v>
      </c>
      <c r="B116" s="1">
        <v>6017</v>
      </c>
      <c r="C116" s="1" t="s">
        <v>12</v>
      </c>
      <c r="D116" s="2">
        <v>81281.570000000007</v>
      </c>
      <c r="E116" s="1">
        <v>21</v>
      </c>
      <c r="F116" s="1" t="s">
        <v>22</v>
      </c>
      <c r="G116" s="3">
        <v>45383</v>
      </c>
      <c r="H116" s="2">
        <v>78200.039999999994</v>
      </c>
      <c r="I116" s="13" t="s">
        <v>17</v>
      </c>
      <c r="J116" s="14" t="s">
        <v>18</v>
      </c>
      <c r="K116" s="14">
        <v>458</v>
      </c>
      <c r="L116" s="15">
        <v>45397</v>
      </c>
      <c r="M116" s="16">
        <v>2</v>
      </c>
      <c r="N1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" s="31">
        <f>IF(Table64[[#This Row],[date validity flag]]&lt;&gt;"Valid","",Table64[[#This Row],[shipment date ]]-Table64[[#This Row],[Order date]])</f>
        <v>14</v>
      </c>
      <c r="P116" s="27" t="str">
        <f>TEXT(Table64[[#This Row],[Order date]],"mmm-yyyy")</f>
        <v>Apr-2024</v>
      </c>
      <c r="Q116" s="16" t="str">
        <f t="shared" si="1"/>
        <v>Delayed</v>
      </c>
    </row>
    <row r="117" spans="1:17" x14ac:dyDescent="0.3">
      <c r="A117" s="17">
        <v>10116</v>
      </c>
      <c r="B117" s="4">
        <v>6726</v>
      </c>
      <c r="C117" s="4" t="s">
        <v>16</v>
      </c>
      <c r="D117" s="5">
        <v>94988.23</v>
      </c>
      <c r="E117" s="4">
        <v>82</v>
      </c>
      <c r="F117" s="4" t="s">
        <v>13</v>
      </c>
      <c r="G117" s="6">
        <v>45361</v>
      </c>
      <c r="H117" s="5">
        <v>79527.72</v>
      </c>
      <c r="I117" s="18" t="s">
        <v>17</v>
      </c>
      <c r="J117" s="14" t="s">
        <v>19</v>
      </c>
      <c r="K117" s="14">
        <v>1080</v>
      </c>
      <c r="L117" s="15">
        <v>45361</v>
      </c>
      <c r="M117" s="16">
        <v>13</v>
      </c>
      <c r="N1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7" s="31">
        <f>IF(Table64[[#This Row],[date validity flag]]&lt;&gt;"Valid","",Table64[[#This Row],[shipment date ]]-Table64[[#This Row],[Order date]])</f>
        <v>0</v>
      </c>
      <c r="P117" s="27" t="str">
        <f>TEXT(Table64[[#This Row],[Order date]],"mmm-yyyy")</f>
        <v>Mar-2024</v>
      </c>
      <c r="Q117" s="16" t="str">
        <f t="shared" si="1"/>
        <v>On Time</v>
      </c>
    </row>
    <row r="118" spans="1:17" x14ac:dyDescent="0.3">
      <c r="A118" s="12">
        <v>10117</v>
      </c>
      <c r="B118" s="1">
        <v>5296</v>
      </c>
      <c r="C118" s="1" t="s">
        <v>16</v>
      </c>
      <c r="D118" s="2">
        <v>62893.5</v>
      </c>
      <c r="E118" s="1">
        <v>69</v>
      </c>
      <c r="F118" s="1" t="s">
        <v>23</v>
      </c>
      <c r="G118" s="3">
        <v>45337</v>
      </c>
      <c r="H118" s="2">
        <v>121795.65</v>
      </c>
      <c r="I118" s="13" t="s">
        <v>17</v>
      </c>
      <c r="J118" s="14" t="s">
        <v>15</v>
      </c>
      <c r="K118" s="14">
        <v>717</v>
      </c>
      <c r="L118" s="15">
        <v>45361</v>
      </c>
      <c r="M118" s="16">
        <v>14</v>
      </c>
      <c r="N1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" s="31">
        <f>IF(Table64[[#This Row],[date validity flag]]&lt;&gt;"Valid","",Table64[[#This Row],[shipment date ]]-Table64[[#This Row],[Order date]])</f>
        <v>24</v>
      </c>
      <c r="P118" s="27" t="str">
        <f>TEXT(Table64[[#This Row],[Order date]],"mmm-yyyy")</f>
        <v>Feb-2024</v>
      </c>
      <c r="Q118" s="16" t="str">
        <f t="shared" si="1"/>
        <v>Delayed</v>
      </c>
    </row>
    <row r="119" spans="1:17" x14ac:dyDescent="0.3">
      <c r="A119" s="17">
        <v>10118</v>
      </c>
      <c r="B119" s="4">
        <v>6749</v>
      </c>
      <c r="C119" s="4" t="s">
        <v>16</v>
      </c>
      <c r="D119" s="5">
        <v>45661.39</v>
      </c>
      <c r="E119" s="4">
        <v>3</v>
      </c>
      <c r="F119" s="4" t="s">
        <v>23</v>
      </c>
      <c r="G119" s="6">
        <v>45306</v>
      </c>
      <c r="H119" s="5">
        <v>10328.15</v>
      </c>
      <c r="I119" s="18" t="s">
        <v>17</v>
      </c>
      <c r="J119" s="14" t="s">
        <v>19</v>
      </c>
      <c r="K119" s="14">
        <v>1270</v>
      </c>
      <c r="L119" s="15">
        <v>45397</v>
      </c>
      <c r="M119" s="16">
        <v>6</v>
      </c>
      <c r="N1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9" s="31">
        <f>IF(Table64[[#This Row],[date validity flag]]&lt;&gt;"Valid","",Table64[[#This Row],[shipment date ]]-Table64[[#This Row],[Order date]])</f>
        <v>91</v>
      </c>
      <c r="P119" s="27" t="str">
        <f>TEXT(Table64[[#This Row],[Order date]],"mmm-yyyy")</f>
        <v>Jan-2024</v>
      </c>
      <c r="Q119" s="16" t="str">
        <f t="shared" si="1"/>
        <v>Delayed</v>
      </c>
    </row>
    <row r="120" spans="1:17" x14ac:dyDescent="0.3">
      <c r="A120" s="12">
        <v>10119</v>
      </c>
      <c r="B120" s="1">
        <v>5720</v>
      </c>
      <c r="C120" s="1" t="s">
        <v>16</v>
      </c>
      <c r="D120" s="2">
        <v>10350.92</v>
      </c>
      <c r="E120" s="1">
        <v>87</v>
      </c>
      <c r="F120" s="1" t="s">
        <v>13</v>
      </c>
      <c r="G120" s="3">
        <v>45306</v>
      </c>
      <c r="H120" s="2">
        <v>142828.57</v>
      </c>
      <c r="I120" s="13" t="s">
        <v>17</v>
      </c>
      <c r="J120" s="14" t="s">
        <v>19</v>
      </c>
      <c r="K120" s="14">
        <v>884</v>
      </c>
      <c r="L120" s="15">
        <v>45361</v>
      </c>
      <c r="M120" s="16">
        <v>5</v>
      </c>
      <c r="N1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" s="31">
        <f>IF(Table64[[#This Row],[date validity flag]]&lt;&gt;"Valid","",Table64[[#This Row],[shipment date ]]-Table64[[#This Row],[Order date]])</f>
        <v>55</v>
      </c>
      <c r="P120" s="27" t="str">
        <f>TEXT(Table64[[#This Row],[Order date]],"mmm-yyyy")</f>
        <v>Jan-2024</v>
      </c>
      <c r="Q120" s="16" t="str">
        <f t="shared" si="1"/>
        <v>Delayed</v>
      </c>
    </row>
    <row r="121" spans="1:17" x14ac:dyDescent="0.3">
      <c r="A121" s="17">
        <v>10120</v>
      </c>
      <c r="B121" s="4">
        <v>6773</v>
      </c>
      <c r="C121" s="4" t="s">
        <v>16</v>
      </c>
      <c r="D121" s="5">
        <v>39767.72</v>
      </c>
      <c r="E121" s="4">
        <v>90</v>
      </c>
      <c r="F121" s="4" t="s">
        <v>22</v>
      </c>
      <c r="G121" s="6">
        <v>45361</v>
      </c>
      <c r="H121" s="5">
        <v>16556.04</v>
      </c>
      <c r="I121" s="18" t="s">
        <v>17</v>
      </c>
      <c r="J121" s="14" t="s">
        <v>15</v>
      </c>
      <c r="K121" s="14">
        <v>925</v>
      </c>
      <c r="L121" s="15">
        <v>45332</v>
      </c>
      <c r="M121" s="16">
        <v>3</v>
      </c>
      <c r="N12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1" s="31" t="str">
        <f>IF(Table64[[#This Row],[date validity flag]]&lt;&gt;"Valid","",Table64[[#This Row],[shipment date ]]-Table64[[#This Row],[Order date]])</f>
        <v/>
      </c>
      <c r="P121" s="27" t="str">
        <f>TEXT(Table64[[#This Row],[Order date]],"mmm-yyyy")</f>
        <v>Mar-2024</v>
      </c>
      <c r="Q121" s="16" t="str">
        <f t="shared" si="1"/>
        <v/>
      </c>
    </row>
    <row r="122" spans="1:17" x14ac:dyDescent="0.3">
      <c r="A122" s="12">
        <v>10121</v>
      </c>
      <c r="B122" s="1">
        <v>5338</v>
      </c>
      <c r="C122" s="1" t="s">
        <v>16</v>
      </c>
      <c r="D122" s="2">
        <v>93783.7</v>
      </c>
      <c r="E122" s="1">
        <v>37</v>
      </c>
      <c r="F122" s="1" t="s">
        <v>13</v>
      </c>
      <c r="G122" s="3">
        <v>45337</v>
      </c>
      <c r="H122" s="2">
        <v>142095.04999999999</v>
      </c>
      <c r="I122" s="13" t="s">
        <v>17</v>
      </c>
      <c r="J122" s="14" t="s">
        <v>19</v>
      </c>
      <c r="K122" s="14">
        <v>416</v>
      </c>
      <c r="L122" s="15">
        <v>45361</v>
      </c>
      <c r="M122" s="16">
        <v>5</v>
      </c>
      <c r="N1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" s="31">
        <f>IF(Table64[[#This Row],[date validity flag]]&lt;&gt;"Valid","",Table64[[#This Row],[shipment date ]]-Table64[[#This Row],[Order date]])</f>
        <v>24</v>
      </c>
      <c r="P122" s="27" t="str">
        <f>TEXT(Table64[[#This Row],[Order date]],"mmm-yyyy")</f>
        <v>Feb-2024</v>
      </c>
      <c r="Q122" s="16" t="str">
        <f t="shared" si="1"/>
        <v>Delayed</v>
      </c>
    </row>
    <row r="123" spans="1:17" x14ac:dyDescent="0.3">
      <c r="A123" s="17">
        <v>10122</v>
      </c>
      <c r="B123" s="4">
        <v>5879</v>
      </c>
      <c r="C123" s="4" t="s">
        <v>16</v>
      </c>
      <c r="D123" s="5">
        <v>25011.84</v>
      </c>
      <c r="E123" s="4">
        <v>88</v>
      </c>
      <c r="F123" s="4" t="s">
        <v>21</v>
      </c>
      <c r="G123" s="6">
        <v>45361</v>
      </c>
      <c r="H123" s="5">
        <v>139804.51</v>
      </c>
      <c r="I123" s="18" t="s">
        <v>20</v>
      </c>
      <c r="J123" s="14" t="s">
        <v>18</v>
      </c>
      <c r="K123" s="14">
        <v>1051</v>
      </c>
      <c r="L123" s="15">
        <v>45361</v>
      </c>
      <c r="M123" s="16">
        <v>5</v>
      </c>
      <c r="N1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3" s="31">
        <f>IF(Table64[[#This Row],[date validity flag]]&lt;&gt;"Valid","",Table64[[#This Row],[shipment date ]]-Table64[[#This Row],[Order date]])</f>
        <v>0</v>
      </c>
      <c r="P123" s="27" t="str">
        <f>TEXT(Table64[[#This Row],[Order date]],"mmm-yyyy")</f>
        <v>Mar-2024</v>
      </c>
      <c r="Q123" s="16" t="str">
        <f t="shared" si="1"/>
        <v>On Time</v>
      </c>
    </row>
    <row r="124" spans="1:17" x14ac:dyDescent="0.3">
      <c r="A124" s="12">
        <v>10123</v>
      </c>
      <c r="B124" s="1">
        <v>6077</v>
      </c>
      <c r="C124" s="1" t="s">
        <v>16</v>
      </c>
      <c r="D124" s="2">
        <v>87841.52</v>
      </c>
      <c r="E124" s="1">
        <v>49</v>
      </c>
      <c r="F124" s="1" t="s">
        <v>22</v>
      </c>
      <c r="G124" s="3">
        <v>45337</v>
      </c>
      <c r="H124" s="2">
        <v>72703.22</v>
      </c>
      <c r="I124" s="13" t="s">
        <v>14</v>
      </c>
      <c r="J124" s="14" t="s">
        <v>15</v>
      </c>
      <c r="K124" s="14">
        <v>299</v>
      </c>
      <c r="L124" s="15">
        <v>45397</v>
      </c>
      <c r="M124" s="16">
        <v>5</v>
      </c>
      <c r="N1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4" s="31">
        <f>IF(Table64[[#This Row],[date validity flag]]&lt;&gt;"Valid","",Table64[[#This Row],[shipment date ]]-Table64[[#This Row],[Order date]])</f>
        <v>60</v>
      </c>
      <c r="P124" s="27" t="str">
        <f>TEXT(Table64[[#This Row],[Order date]],"mmm-yyyy")</f>
        <v>Feb-2024</v>
      </c>
      <c r="Q124" s="16" t="str">
        <f t="shared" si="1"/>
        <v>Delayed</v>
      </c>
    </row>
    <row r="125" spans="1:17" x14ac:dyDescent="0.3">
      <c r="A125" s="17">
        <v>10124</v>
      </c>
      <c r="B125" s="4">
        <v>5792</v>
      </c>
      <c r="C125" s="4" t="s">
        <v>16</v>
      </c>
      <c r="D125" s="5">
        <v>63052.800000000003</v>
      </c>
      <c r="E125" s="4">
        <v>19</v>
      </c>
      <c r="F125" s="4" t="s">
        <v>22</v>
      </c>
      <c r="G125" s="6">
        <v>45383</v>
      </c>
      <c r="H125" s="5">
        <v>84275.839999999997</v>
      </c>
      <c r="I125" s="18" t="s">
        <v>20</v>
      </c>
      <c r="J125" s="14" t="s">
        <v>18</v>
      </c>
      <c r="K125" s="14">
        <v>1313</v>
      </c>
      <c r="L125" s="15">
        <v>45361</v>
      </c>
      <c r="M125" s="16">
        <v>3</v>
      </c>
      <c r="N12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5" s="31" t="str">
        <f>IF(Table64[[#This Row],[date validity flag]]&lt;&gt;"Valid","",Table64[[#This Row],[shipment date ]]-Table64[[#This Row],[Order date]])</f>
        <v/>
      </c>
      <c r="P125" s="27" t="str">
        <f>TEXT(Table64[[#This Row],[Order date]],"mmm-yyyy")</f>
        <v>Apr-2024</v>
      </c>
      <c r="Q125" s="16" t="str">
        <f t="shared" si="1"/>
        <v/>
      </c>
    </row>
    <row r="126" spans="1:17" x14ac:dyDescent="0.3">
      <c r="A126" s="12">
        <v>10125</v>
      </c>
      <c r="B126" s="1">
        <v>6946</v>
      </c>
      <c r="C126" s="1" t="s">
        <v>16</v>
      </c>
      <c r="D126" s="2">
        <v>72368.539999999994</v>
      </c>
      <c r="E126" s="1">
        <v>89</v>
      </c>
      <c r="F126" s="1" t="s">
        <v>22</v>
      </c>
      <c r="G126" s="3">
        <v>45337</v>
      </c>
      <c r="H126" s="2">
        <v>88420.41</v>
      </c>
      <c r="I126" s="13" t="s">
        <v>17</v>
      </c>
      <c r="J126" s="14" t="s">
        <v>15</v>
      </c>
      <c r="K126" s="14">
        <v>429</v>
      </c>
      <c r="L126" s="15">
        <v>45361</v>
      </c>
      <c r="M126" s="16">
        <v>3</v>
      </c>
      <c r="N1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6" s="31">
        <f>IF(Table64[[#This Row],[date validity flag]]&lt;&gt;"Valid","",Table64[[#This Row],[shipment date ]]-Table64[[#This Row],[Order date]])</f>
        <v>24</v>
      </c>
      <c r="P126" s="27" t="str">
        <f>TEXT(Table64[[#This Row],[Order date]],"mmm-yyyy")</f>
        <v>Feb-2024</v>
      </c>
      <c r="Q126" s="16" t="str">
        <f t="shared" si="1"/>
        <v>Delayed</v>
      </c>
    </row>
    <row r="127" spans="1:17" x14ac:dyDescent="0.3">
      <c r="A127" s="17">
        <v>10126</v>
      </c>
      <c r="B127" s="4">
        <v>5217</v>
      </c>
      <c r="C127" s="4" t="s">
        <v>16</v>
      </c>
      <c r="D127" s="5">
        <v>92967.74</v>
      </c>
      <c r="E127" s="4">
        <v>85</v>
      </c>
      <c r="F127" s="4" t="s">
        <v>23</v>
      </c>
      <c r="G127" s="6">
        <v>45337</v>
      </c>
      <c r="H127" s="5">
        <v>53526.239999999998</v>
      </c>
      <c r="I127" s="18" t="s">
        <v>17</v>
      </c>
      <c r="J127" s="14" t="s">
        <v>18</v>
      </c>
      <c r="K127" s="14">
        <v>921</v>
      </c>
      <c r="L127" s="15">
        <v>45361</v>
      </c>
      <c r="M127" s="16">
        <v>4</v>
      </c>
      <c r="N1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" s="31">
        <f>IF(Table64[[#This Row],[date validity flag]]&lt;&gt;"Valid","",Table64[[#This Row],[shipment date ]]-Table64[[#This Row],[Order date]])</f>
        <v>24</v>
      </c>
      <c r="P127" s="27" t="str">
        <f>TEXT(Table64[[#This Row],[Order date]],"mmm-yyyy")</f>
        <v>Feb-2024</v>
      </c>
      <c r="Q127" s="16" t="str">
        <f t="shared" si="1"/>
        <v>Delayed</v>
      </c>
    </row>
    <row r="128" spans="1:17" x14ac:dyDescent="0.3">
      <c r="A128" s="12">
        <v>10127</v>
      </c>
      <c r="B128" s="1">
        <v>5764</v>
      </c>
      <c r="C128" s="1" t="s">
        <v>16</v>
      </c>
      <c r="D128" s="2">
        <v>56391.72</v>
      </c>
      <c r="E128" s="1">
        <v>12</v>
      </c>
      <c r="F128" s="1" t="s">
        <v>13</v>
      </c>
      <c r="G128" s="3">
        <v>45337</v>
      </c>
      <c r="H128" s="2">
        <v>101568.24</v>
      </c>
      <c r="I128" s="13" t="s">
        <v>20</v>
      </c>
      <c r="J128" s="14" t="s">
        <v>18</v>
      </c>
      <c r="K128" s="14">
        <v>884</v>
      </c>
      <c r="L128" s="15">
        <v>45332</v>
      </c>
      <c r="M128" s="16">
        <v>7</v>
      </c>
      <c r="N12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8" s="31" t="str">
        <f>IF(Table64[[#This Row],[date validity flag]]&lt;&gt;"Valid","",Table64[[#This Row],[shipment date ]]-Table64[[#This Row],[Order date]])</f>
        <v/>
      </c>
      <c r="P128" s="27" t="str">
        <f>TEXT(Table64[[#This Row],[Order date]],"mmm-yyyy")</f>
        <v>Feb-2024</v>
      </c>
      <c r="Q128" s="16" t="str">
        <f t="shared" si="1"/>
        <v/>
      </c>
    </row>
    <row r="129" spans="1:17" x14ac:dyDescent="0.3">
      <c r="A129" s="17">
        <v>10128</v>
      </c>
      <c r="B129" s="4">
        <v>5188</v>
      </c>
      <c r="C129" s="4" t="s">
        <v>12</v>
      </c>
      <c r="D129" s="5">
        <v>68568.929999999993</v>
      </c>
      <c r="E129" s="4">
        <v>61</v>
      </c>
      <c r="F129" s="4" t="s">
        <v>22</v>
      </c>
      <c r="G129" s="6">
        <v>45306</v>
      </c>
      <c r="H129" s="5">
        <v>43839.519999999997</v>
      </c>
      <c r="I129" s="18" t="s">
        <v>17</v>
      </c>
      <c r="J129" s="14" t="s">
        <v>19</v>
      </c>
      <c r="K129" s="14">
        <v>824</v>
      </c>
      <c r="L129" s="15">
        <v>45361</v>
      </c>
      <c r="M129" s="16">
        <v>12</v>
      </c>
      <c r="N1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" s="31">
        <f>IF(Table64[[#This Row],[date validity flag]]&lt;&gt;"Valid","",Table64[[#This Row],[shipment date ]]-Table64[[#This Row],[Order date]])</f>
        <v>55</v>
      </c>
      <c r="P129" s="27" t="str">
        <f>TEXT(Table64[[#This Row],[Order date]],"mmm-yyyy")</f>
        <v>Jan-2024</v>
      </c>
      <c r="Q129" s="16" t="str">
        <f t="shared" si="1"/>
        <v>Delayed</v>
      </c>
    </row>
    <row r="130" spans="1:17" x14ac:dyDescent="0.3">
      <c r="A130" s="12">
        <v>10129</v>
      </c>
      <c r="B130" s="1">
        <v>5380</v>
      </c>
      <c r="C130" s="1" t="s">
        <v>16</v>
      </c>
      <c r="D130" s="2">
        <v>56420.18</v>
      </c>
      <c r="E130" s="1">
        <v>41</v>
      </c>
      <c r="F130" s="1" t="s">
        <v>22</v>
      </c>
      <c r="G130" s="3">
        <v>45337</v>
      </c>
      <c r="H130" s="2">
        <v>19954.89</v>
      </c>
      <c r="I130" s="13" t="s">
        <v>14</v>
      </c>
      <c r="J130" s="14" t="s">
        <v>18</v>
      </c>
      <c r="K130" s="14">
        <v>968</v>
      </c>
      <c r="L130" s="15">
        <v>45332</v>
      </c>
      <c r="M130" s="16">
        <v>12</v>
      </c>
      <c r="N13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0" s="31" t="str">
        <f>IF(Table64[[#This Row],[date validity flag]]&lt;&gt;"Valid","",Table64[[#This Row],[shipment date ]]-Table64[[#This Row],[Order date]])</f>
        <v/>
      </c>
      <c r="P130" s="27" t="str">
        <f>TEXT(Table64[[#This Row],[Order date]],"mmm-yyyy")</f>
        <v>Feb-2024</v>
      </c>
      <c r="Q130" s="16" t="str">
        <f t="shared" ref="Q130:Q193" si="2">IF(O130="","",IF(O130&gt;0,"Delayed","On Time"))</f>
        <v/>
      </c>
    </row>
    <row r="131" spans="1:17" x14ac:dyDescent="0.3">
      <c r="A131" s="17">
        <v>10130</v>
      </c>
      <c r="B131" s="4">
        <v>5493</v>
      </c>
      <c r="C131" s="4" t="s">
        <v>16</v>
      </c>
      <c r="D131" s="5">
        <v>9323.33</v>
      </c>
      <c r="E131" s="4">
        <v>33</v>
      </c>
      <c r="F131" s="4" t="s">
        <v>22</v>
      </c>
      <c r="G131" s="6">
        <v>45383</v>
      </c>
      <c r="H131" s="5">
        <v>15000.05</v>
      </c>
      <c r="I131" s="18" t="s">
        <v>17</v>
      </c>
      <c r="J131" s="14" t="s">
        <v>19</v>
      </c>
      <c r="K131" s="14">
        <v>504</v>
      </c>
      <c r="L131" s="15">
        <v>45332</v>
      </c>
      <c r="M131" s="16">
        <v>12</v>
      </c>
      <c r="N13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1" s="31" t="str">
        <f>IF(Table64[[#This Row],[date validity flag]]&lt;&gt;"Valid","",Table64[[#This Row],[shipment date ]]-Table64[[#This Row],[Order date]])</f>
        <v/>
      </c>
      <c r="P131" s="27" t="str">
        <f>TEXT(Table64[[#This Row],[Order date]],"mmm-yyyy")</f>
        <v>Apr-2024</v>
      </c>
      <c r="Q131" s="16" t="str">
        <f t="shared" si="2"/>
        <v/>
      </c>
    </row>
    <row r="132" spans="1:17" x14ac:dyDescent="0.3">
      <c r="A132" s="12">
        <v>10131</v>
      </c>
      <c r="B132" s="1">
        <v>6065</v>
      </c>
      <c r="C132" s="1" t="s">
        <v>16</v>
      </c>
      <c r="D132" s="2">
        <v>99632.39</v>
      </c>
      <c r="E132" s="1">
        <v>50</v>
      </c>
      <c r="F132" s="1" t="s">
        <v>13</v>
      </c>
      <c r="G132" s="3">
        <v>45383</v>
      </c>
      <c r="H132" s="2">
        <v>75542.78</v>
      </c>
      <c r="I132" s="13" t="s">
        <v>14</v>
      </c>
      <c r="J132" s="14" t="s">
        <v>15</v>
      </c>
      <c r="K132" s="14">
        <v>415</v>
      </c>
      <c r="L132" s="15">
        <v>45332</v>
      </c>
      <c r="M132" s="16">
        <v>14</v>
      </c>
      <c r="N1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2" s="31" t="str">
        <f>IF(Table64[[#This Row],[date validity flag]]&lt;&gt;"Valid","",Table64[[#This Row],[shipment date ]]-Table64[[#This Row],[Order date]])</f>
        <v/>
      </c>
      <c r="P132" s="27" t="str">
        <f>TEXT(Table64[[#This Row],[Order date]],"mmm-yyyy")</f>
        <v>Apr-2024</v>
      </c>
      <c r="Q132" s="16" t="str">
        <f t="shared" si="2"/>
        <v/>
      </c>
    </row>
    <row r="133" spans="1:17" x14ac:dyDescent="0.3">
      <c r="A133" s="17">
        <v>10132</v>
      </c>
      <c r="B133" s="4">
        <v>6181</v>
      </c>
      <c r="C133" s="4" t="s">
        <v>16</v>
      </c>
      <c r="D133" s="5">
        <v>58624.06</v>
      </c>
      <c r="E133" s="4">
        <v>68</v>
      </c>
      <c r="F133" s="4" t="s">
        <v>23</v>
      </c>
      <c r="G133" s="6">
        <v>45383</v>
      </c>
      <c r="H133" s="5">
        <v>104582.04</v>
      </c>
      <c r="I133" s="18" t="s">
        <v>20</v>
      </c>
      <c r="J133" s="14" t="s">
        <v>18</v>
      </c>
      <c r="K133" s="14">
        <v>1363</v>
      </c>
      <c r="L133" s="15">
        <v>45332</v>
      </c>
      <c r="M133" s="16">
        <v>2</v>
      </c>
      <c r="N1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3" s="31" t="str">
        <f>IF(Table64[[#This Row],[date validity flag]]&lt;&gt;"Valid","",Table64[[#This Row],[shipment date ]]-Table64[[#This Row],[Order date]])</f>
        <v/>
      </c>
      <c r="P133" s="27" t="str">
        <f>TEXT(Table64[[#This Row],[Order date]],"mmm-yyyy")</f>
        <v>Apr-2024</v>
      </c>
      <c r="Q133" s="16" t="str">
        <f t="shared" si="2"/>
        <v/>
      </c>
    </row>
    <row r="134" spans="1:17" x14ac:dyDescent="0.3">
      <c r="A134" s="12">
        <v>10133</v>
      </c>
      <c r="B134" s="1">
        <v>5015</v>
      </c>
      <c r="C134" s="1" t="s">
        <v>16</v>
      </c>
      <c r="D134" s="2">
        <v>56817.15</v>
      </c>
      <c r="E134" s="1">
        <v>71</v>
      </c>
      <c r="F134" s="1" t="s">
        <v>21</v>
      </c>
      <c r="G134" s="3">
        <v>45337</v>
      </c>
      <c r="H134" s="2">
        <v>28089.08</v>
      </c>
      <c r="I134" s="13" t="s">
        <v>20</v>
      </c>
      <c r="J134" s="14" t="s">
        <v>18</v>
      </c>
      <c r="K134" s="14">
        <v>452</v>
      </c>
      <c r="L134" s="15">
        <v>45397</v>
      </c>
      <c r="M134" s="16">
        <v>10</v>
      </c>
      <c r="N1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" s="31">
        <f>IF(Table64[[#This Row],[date validity flag]]&lt;&gt;"Valid","",Table64[[#This Row],[shipment date ]]-Table64[[#This Row],[Order date]])</f>
        <v>60</v>
      </c>
      <c r="P134" s="27" t="str">
        <f>TEXT(Table64[[#This Row],[Order date]],"mmm-yyyy")</f>
        <v>Feb-2024</v>
      </c>
      <c r="Q134" s="16" t="str">
        <f t="shared" si="2"/>
        <v>Delayed</v>
      </c>
    </row>
    <row r="135" spans="1:17" x14ac:dyDescent="0.3">
      <c r="A135" s="17">
        <v>10134</v>
      </c>
      <c r="B135" s="4">
        <v>6837</v>
      </c>
      <c r="C135" s="4" t="s">
        <v>16</v>
      </c>
      <c r="D135" s="5">
        <v>45341.4</v>
      </c>
      <c r="E135" s="4">
        <v>86</v>
      </c>
      <c r="F135" s="4" t="s">
        <v>23</v>
      </c>
      <c r="G135" s="6">
        <v>45361</v>
      </c>
      <c r="H135" s="5">
        <v>94790.58</v>
      </c>
      <c r="I135" s="18" t="s">
        <v>17</v>
      </c>
      <c r="J135" s="14" t="s">
        <v>15</v>
      </c>
      <c r="K135" s="14">
        <v>107</v>
      </c>
      <c r="L135" s="15">
        <v>45332</v>
      </c>
      <c r="M135" s="16">
        <v>4</v>
      </c>
      <c r="N13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5" s="31" t="str">
        <f>IF(Table64[[#This Row],[date validity flag]]&lt;&gt;"Valid","",Table64[[#This Row],[shipment date ]]-Table64[[#This Row],[Order date]])</f>
        <v/>
      </c>
      <c r="P135" s="27" t="str">
        <f>TEXT(Table64[[#This Row],[Order date]],"mmm-yyyy")</f>
        <v>Mar-2024</v>
      </c>
      <c r="Q135" s="16" t="str">
        <f t="shared" si="2"/>
        <v/>
      </c>
    </row>
    <row r="136" spans="1:17" x14ac:dyDescent="0.3">
      <c r="A136" s="12">
        <v>10135</v>
      </c>
      <c r="B136" s="1">
        <v>5065</v>
      </c>
      <c r="C136" s="1" t="s">
        <v>16</v>
      </c>
      <c r="D136" s="2">
        <v>33507.519999999997</v>
      </c>
      <c r="E136" s="1">
        <v>33</v>
      </c>
      <c r="F136" s="1" t="s">
        <v>22</v>
      </c>
      <c r="G136" s="3">
        <v>45361</v>
      </c>
      <c r="H136" s="2">
        <v>75868.52</v>
      </c>
      <c r="I136" s="13" t="s">
        <v>14</v>
      </c>
      <c r="J136" s="14" t="s">
        <v>15</v>
      </c>
      <c r="K136" s="14">
        <v>570</v>
      </c>
      <c r="L136" s="15">
        <v>45361</v>
      </c>
      <c r="M136" s="16">
        <v>4</v>
      </c>
      <c r="N1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6" s="31">
        <f>IF(Table64[[#This Row],[date validity flag]]&lt;&gt;"Valid","",Table64[[#This Row],[shipment date ]]-Table64[[#This Row],[Order date]])</f>
        <v>0</v>
      </c>
      <c r="P136" s="27" t="str">
        <f>TEXT(Table64[[#This Row],[Order date]],"mmm-yyyy")</f>
        <v>Mar-2024</v>
      </c>
      <c r="Q136" s="16" t="str">
        <f t="shared" si="2"/>
        <v>On Time</v>
      </c>
    </row>
    <row r="137" spans="1:17" x14ac:dyDescent="0.3">
      <c r="A137" s="17">
        <v>10136</v>
      </c>
      <c r="B137" s="4">
        <v>6881</v>
      </c>
      <c r="C137" s="4" t="s">
        <v>16</v>
      </c>
      <c r="D137" s="5">
        <v>39271.449999999997</v>
      </c>
      <c r="E137" s="4">
        <v>81</v>
      </c>
      <c r="F137" s="4" t="s">
        <v>23</v>
      </c>
      <c r="G137" s="6">
        <v>45383</v>
      </c>
      <c r="H137" s="5">
        <v>93249.4</v>
      </c>
      <c r="I137" s="18" t="s">
        <v>17</v>
      </c>
      <c r="J137" s="14" t="s">
        <v>18</v>
      </c>
      <c r="K137" s="14">
        <v>1377</v>
      </c>
      <c r="L137" s="15">
        <v>45332</v>
      </c>
      <c r="M137" s="16">
        <v>1</v>
      </c>
      <c r="N1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7" s="31" t="str">
        <f>IF(Table64[[#This Row],[date validity flag]]&lt;&gt;"Valid","",Table64[[#This Row],[shipment date ]]-Table64[[#This Row],[Order date]])</f>
        <v/>
      </c>
      <c r="P137" s="27" t="str">
        <f>TEXT(Table64[[#This Row],[Order date]],"mmm-yyyy")</f>
        <v>Apr-2024</v>
      </c>
      <c r="Q137" s="16" t="str">
        <f t="shared" si="2"/>
        <v/>
      </c>
    </row>
    <row r="138" spans="1:17" x14ac:dyDescent="0.3">
      <c r="A138" s="12">
        <v>10137</v>
      </c>
      <c r="B138" s="1">
        <v>6863</v>
      </c>
      <c r="C138" s="1" t="s">
        <v>16</v>
      </c>
      <c r="D138" s="2">
        <v>82911.94</v>
      </c>
      <c r="E138" s="1">
        <v>24</v>
      </c>
      <c r="F138" s="1" t="s">
        <v>23</v>
      </c>
      <c r="G138" s="3">
        <v>45306</v>
      </c>
      <c r="H138" s="2">
        <v>46707.27</v>
      </c>
      <c r="I138" s="13" t="s">
        <v>17</v>
      </c>
      <c r="J138" s="14" t="s">
        <v>15</v>
      </c>
      <c r="K138" s="14">
        <v>1188</v>
      </c>
      <c r="L138" s="15">
        <v>45361</v>
      </c>
      <c r="M138" s="16">
        <v>10</v>
      </c>
      <c r="N13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" s="31">
        <f>IF(Table64[[#This Row],[date validity flag]]&lt;&gt;"Valid","",Table64[[#This Row],[shipment date ]]-Table64[[#This Row],[Order date]])</f>
        <v>55</v>
      </c>
      <c r="P138" s="27" t="str">
        <f>TEXT(Table64[[#This Row],[Order date]],"mmm-yyyy")</f>
        <v>Jan-2024</v>
      </c>
      <c r="Q138" s="16" t="str">
        <f t="shared" si="2"/>
        <v>Delayed</v>
      </c>
    </row>
    <row r="139" spans="1:17" x14ac:dyDescent="0.3">
      <c r="A139" s="17">
        <v>10138</v>
      </c>
      <c r="B139" s="4">
        <v>5521</v>
      </c>
      <c r="C139" s="4" t="s">
        <v>12</v>
      </c>
      <c r="D139" s="5">
        <v>88485.15</v>
      </c>
      <c r="E139" s="4">
        <v>61</v>
      </c>
      <c r="F139" s="4" t="s">
        <v>21</v>
      </c>
      <c r="G139" s="6">
        <v>45361</v>
      </c>
      <c r="H139" s="5">
        <v>135167.49</v>
      </c>
      <c r="I139" s="18" t="s">
        <v>17</v>
      </c>
      <c r="J139" s="14" t="s">
        <v>19</v>
      </c>
      <c r="K139" s="14">
        <v>259</v>
      </c>
      <c r="L139" s="15">
        <v>45332</v>
      </c>
      <c r="M139" s="16">
        <v>8</v>
      </c>
      <c r="N1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9" s="31" t="str">
        <f>IF(Table64[[#This Row],[date validity flag]]&lt;&gt;"Valid","",Table64[[#This Row],[shipment date ]]-Table64[[#This Row],[Order date]])</f>
        <v/>
      </c>
      <c r="P139" s="27" t="str">
        <f>TEXT(Table64[[#This Row],[Order date]],"mmm-yyyy")</f>
        <v>Mar-2024</v>
      </c>
      <c r="Q139" s="16" t="str">
        <f t="shared" si="2"/>
        <v/>
      </c>
    </row>
    <row r="140" spans="1:17" x14ac:dyDescent="0.3">
      <c r="A140" s="12">
        <v>10139</v>
      </c>
      <c r="B140" s="1">
        <v>6368</v>
      </c>
      <c r="C140" s="1" t="s">
        <v>16</v>
      </c>
      <c r="D140" s="2">
        <v>90447.61</v>
      </c>
      <c r="E140" s="1">
        <v>61</v>
      </c>
      <c r="F140" s="1" t="s">
        <v>13</v>
      </c>
      <c r="G140" s="3">
        <v>45337</v>
      </c>
      <c r="H140" s="2">
        <v>106683.97</v>
      </c>
      <c r="I140" s="13" t="s">
        <v>17</v>
      </c>
      <c r="J140" s="14" t="s">
        <v>15</v>
      </c>
      <c r="K140" s="14">
        <v>1114</v>
      </c>
      <c r="L140" s="15">
        <v>45397</v>
      </c>
      <c r="M140" s="16">
        <v>1</v>
      </c>
      <c r="N1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" s="31">
        <f>IF(Table64[[#This Row],[date validity flag]]&lt;&gt;"Valid","",Table64[[#This Row],[shipment date ]]-Table64[[#This Row],[Order date]])</f>
        <v>60</v>
      </c>
      <c r="P140" s="27" t="str">
        <f>TEXT(Table64[[#This Row],[Order date]],"mmm-yyyy")</f>
        <v>Feb-2024</v>
      </c>
      <c r="Q140" s="16" t="str">
        <f t="shared" si="2"/>
        <v>Delayed</v>
      </c>
    </row>
    <row r="141" spans="1:17" x14ac:dyDescent="0.3">
      <c r="A141" s="17">
        <v>10140</v>
      </c>
      <c r="B141" s="4">
        <v>6153</v>
      </c>
      <c r="C141" s="4" t="s">
        <v>16</v>
      </c>
      <c r="D141" s="5">
        <v>83194.94</v>
      </c>
      <c r="E141" s="4">
        <v>98</v>
      </c>
      <c r="F141" s="4" t="s">
        <v>13</v>
      </c>
      <c r="G141" s="6">
        <v>45361</v>
      </c>
      <c r="H141" s="5">
        <v>66704.490000000005</v>
      </c>
      <c r="I141" s="18" t="s">
        <v>17</v>
      </c>
      <c r="J141" s="14" t="s">
        <v>15</v>
      </c>
      <c r="K141" s="14">
        <v>865</v>
      </c>
      <c r="L141" s="15">
        <v>45332</v>
      </c>
      <c r="M141" s="16">
        <v>8</v>
      </c>
      <c r="N14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1" s="31" t="str">
        <f>IF(Table64[[#This Row],[date validity flag]]&lt;&gt;"Valid","",Table64[[#This Row],[shipment date ]]-Table64[[#This Row],[Order date]])</f>
        <v/>
      </c>
      <c r="P141" s="27" t="str">
        <f>TEXT(Table64[[#This Row],[Order date]],"mmm-yyyy")</f>
        <v>Mar-2024</v>
      </c>
      <c r="Q141" s="16" t="str">
        <f t="shared" si="2"/>
        <v/>
      </c>
    </row>
    <row r="142" spans="1:17" x14ac:dyDescent="0.3">
      <c r="A142" s="12">
        <v>10141</v>
      </c>
      <c r="B142" s="1">
        <v>5648</v>
      </c>
      <c r="C142" s="1" t="s">
        <v>16</v>
      </c>
      <c r="D142" s="2">
        <v>39363.46</v>
      </c>
      <c r="E142" s="1">
        <v>28</v>
      </c>
      <c r="F142" s="1" t="s">
        <v>23</v>
      </c>
      <c r="G142" s="3">
        <v>45383</v>
      </c>
      <c r="H142" s="2">
        <v>134403.37</v>
      </c>
      <c r="I142" s="13" t="s">
        <v>17</v>
      </c>
      <c r="J142" s="14" t="s">
        <v>18</v>
      </c>
      <c r="K142" s="14">
        <v>222</v>
      </c>
      <c r="L142" s="15">
        <v>45332</v>
      </c>
      <c r="M142" s="16">
        <v>7</v>
      </c>
      <c r="N14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2" s="31" t="str">
        <f>IF(Table64[[#This Row],[date validity flag]]&lt;&gt;"Valid","",Table64[[#This Row],[shipment date ]]-Table64[[#This Row],[Order date]])</f>
        <v/>
      </c>
      <c r="P142" s="27" t="str">
        <f>TEXT(Table64[[#This Row],[Order date]],"mmm-yyyy")</f>
        <v>Apr-2024</v>
      </c>
      <c r="Q142" s="16" t="str">
        <f t="shared" si="2"/>
        <v/>
      </c>
    </row>
    <row r="143" spans="1:17" x14ac:dyDescent="0.3">
      <c r="A143" s="17">
        <v>10142</v>
      </c>
      <c r="B143" s="4">
        <v>6496</v>
      </c>
      <c r="C143" s="4" t="s">
        <v>16</v>
      </c>
      <c r="D143" s="5">
        <v>86814.93</v>
      </c>
      <c r="E143" s="4">
        <v>58</v>
      </c>
      <c r="F143" s="4" t="s">
        <v>23</v>
      </c>
      <c r="G143" s="6">
        <v>45306</v>
      </c>
      <c r="H143" s="5">
        <v>117866.49</v>
      </c>
      <c r="I143" s="18" t="s">
        <v>17</v>
      </c>
      <c r="J143" s="14" t="s">
        <v>19</v>
      </c>
      <c r="K143" s="14">
        <v>283</v>
      </c>
      <c r="L143" s="15">
        <v>45397</v>
      </c>
      <c r="M143" s="16">
        <v>9</v>
      </c>
      <c r="N1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" s="31">
        <f>IF(Table64[[#This Row],[date validity flag]]&lt;&gt;"Valid","",Table64[[#This Row],[shipment date ]]-Table64[[#This Row],[Order date]])</f>
        <v>91</v>
      </c>
      <c r="P143" s="27" t="str">
        <f>TEXT(Table64[[#This Row],[Order date]],"mmm-yyyy")</f>
        <v>Jan-2024</v>
      </c>
      <c r="Q143" s="16" t="str">
        <f t="shared" si="2"/>
        <v>Delayed</v>
      </c>
    </row>
    <row r="144" spans="1:17" x14ac:dyDescent="0.3">
      <c r="A144" s="12">
        <v>10143</v>
      </c>
      <c r="B144" s="1">
        <v>6087</v>
      </c>
      <c r="C144" s="1" t="s">
        <v>12</v>
      </c>
      <c r="D144" s="2">
        <v>34557.269999999997</v>
      </c>
      <c r="E144" s="1">
        <v>43</v>
      </c>
      <c r="F144" s="1" t="s">
        <v>13</v>
      </c>
      <c r="G144" s="3">
        <v>45361</v>
      </c>
      <c r="H144" s="2">
        <v>59580.18</v>
      </c>
      <c r="I144" s="13" t="s">
        <v>14</v>
      </c>
      <c r="J144" s="14" t="s">
        <v>15</v>
      </c>
      <c r="K144" s="14">
        <v>842</v>
      </c>
      <c r="L144" s="15">
        <v>45332</v>
      </c>
      <c r="M144" s="16">
        <v>8</v>
      </c>
      <c r="N14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4" s="31" t="str">
        <f>IF(Table64[[#This Row],[date validity flag]]&lt;&gt;"Valid","",Table64[[#This Row],[shipment date ]]-Table64[[#This Row],[Order date]])</f>
        <v/>
      </c>
      <c r="P144" s="27" t="str">
        <f>TEXT(Table64[[#This Row],[Order date]],"mmm-yyyy")</f>
        <v>Mar-2024</v>
      </c>
      <c r="Q144" s="16" t="str">
        <f t="shared" si="2"/>
        <v/>
      </c>
    </row>
    <row r="145" spans="1:17" x14ac:dyDescent="0.3">
      <c r="A145" s="17">
        <v>10144</v>
      </c>
      <c r="B145" s="4">
        <v>6163</v>
      </c>
      <c r="C145" s="4" t="s">
        <v>16</v>
      </c>
      <c r="D145" s="5">
        <v>18577.36</v>
      </c>
      <c r="E145" s="4">
        <v>41</v>
      </c>
      <c r="F145" s="4" t="s">
        <v>13</v>
      </c>
      <c r="G145" s="6">
        <v>45361</v>
      </c>
      <c r="H145" s="5">
        <v>134101.65</v>
      </c>
      <c r="I145" s="18" t="s">
        <v>20</v>
      </c>
      <c r="J145" s="14" t="s">
        <v>19</v>
      </c>
      <c r="K145" s="14">
        <v>842</v>
      </c>
      <c r="L145" s="15">
        <v>45361</v>
      </c>
      <c r="M145" s="16">
        <v>5</v>
      </c>
      <c r="N1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" s="31">
        <f>IF(Table64[[#This Row],[date validity flag]]&lt;&gt;"Valid","",Table64[[#This Row],[shipment date ]]-Table64[[#This Row],[Order date]])</f>
        <v>0</v>
      </c>
      <c r="P145" s="27" t="str">
        <f>TEXT(Table64[[#This Row],[Order date]],"mmm-yyyy")</f>
        <v>Mar-2024</v>
      </c>
      <c r="Q145" s="16" t="str">
        <f t="shared" si="2"/>
        <v>On Time</v>
      </c>
    </row>
    <row r="146" spans="1:17" x14ac:dyDescent="0.3">
      <c r="A146" s="12">
        <v>10145</v>
      </c>
      <c r="B146" s="1">
        <v>6523</v>
      </c>
      <c r="C146" s="1" t="s">
        <v>12</v>
      </c>
      <c r="D146" s="2">
        <v>31968.38</v>
      </c>
      <c r="E146" s="1">
        <v>39</v>
      </c>
      <c r="F146" s="1" t="s">
        <v>21</v>
      </c>
      <c r="G146" s="3">
        <v>45383</v>
      </c>
      <c r="H146" s="2">
        <v>129436.98</v>
      </c>
      <c r="I146" s="13" t="s">
        <v>20</v>
      </c>
      <c r="J146" s="14" t="s">
        <v>19</v>
      </c>
      <c r="K146" s="14">
        <v>1476</v>
      </c>
      <c r="L146" s="15">
        <v>45332</v>
      </c>
      <c r="M146" s="16">
        <v>8</v>
      </c>
      <c r="N14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6" s="31" t="str">
        <f>IF(Table64[[#This Row],[date validity flag]]&lt;&gt;"Valid","",Table64[[#This Row],[shipment date ]]-Table64[[#This Row],[Order date]])</f>
        <v/>
      </c>
      <c r="P146" s="27" t="str">
        <f>TEXT(Table64[[#This Row],[Order date]],"mmm-yyyy")</f>
        <v>Apr-2024</v>
      </c>
      <c r="Q146" s="16" t="str">
        <f t="shared" si="2"/>
        <v/>
      </c>
    </row>
    <row r="147" spans="1:17" x14ac:dyDescent="0.3">
      <c r="A147" s="17">
        <v>10146</v>
      </c>
      <c r="B147" s="4">
        <v>5593</v>
      </c>
      <c r="C147" s="4" t="s">
        <v>16</v>
      </c>
      <c r="D147" s="5">
        <v>85271.55</v>
      </c>
      <c r="E147" s="4">
        <v>86</v>
      </c>
      <c r="F147" s="4" t="s">
        <v>22</v>
      </c>
      <c r="G147" s="6">
        <v>45306</v>
      </c>
      <c r="H147" s="5">
        <v>110620.85</v>
      </c>
      <c r="I147" s="18" t="s">
        <v>17</v>
      </c>
      <c r="J147" s="14" t="s">
        <v>19</v>
      </c>
      <c r="K147" s="14">
        <v>1112</v>
      </c>
      <c r="L147" s="15">
        <v>45332</v>
      </c>
      <c r="M147" s="16">
        <v>14</v>
      </c>
      <c r="N1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" s="31">
        <f>IF(Table64[[#This Row],[date validity flag]]&lt;&gt;"Valid","",Table64[[#This Row],[shipment date ]]-Table64[[#This Row],[Order date]])</f>
        <v>26</v>
      </c>
      <c r="P147" s="27" t="str">
        <f>TEXT(Table64[[#This Row],[Order date]],"mmm-yyyy")</f>
        <v>Jan-2024</v>
      </c>
      <c r="Q147" s="16" t="str">
        <f t="shared" si="2"/>
        <v>Delayed</v>
      </c>
    </row>
    <row r="148" spans="1:17" x14ac:dyDescent="0.3">
      <c r="A148" s="12">
        <v>10147</v>
      </c>
      <c r="B148" s="1">
        <v>5392</v>
      </c>
      <c r="C148" s="1" t="s">
        <v>16</v>
      </c>
      <c r="D148" s="2">
        <v>56951.59</v>
      </c>
      <c r="E148" s="1">
        <v>49</v>
      </c>
      <c r="F148" s="1" t="s">
        <v>23</v>
      </c>
      <c r="G148" s="3">
        <v>45306</v>
      </c>
      <c r="H148" s="2">
        <v>51351.03</v>
      </c>
      <c r="I148" s="13" t="s">
        <v>17</v>
      </c>
      <c r="J148" s="14" t="s">
        <v>18</v>
      </c>
      <c r="K148" s="14">
        <v>168</v>
      </c>
      <c r="L148" s="15">
        <v>45332</v>
      </c>
      <c r="M148" s="16">
        <v>11</v>
      </c>
      <c r="N1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" s="31">
        <f>IF(Table64[[#This Row],[date validity flag]]&lt;&gt;"Valid","",Table64[[#This Row],[shipment date ]]-Table64[[#This Row],[Order date]])</f>
        <v>26</v>
      </c>
      <c r="P148" s="27" t="str">
        <f>TEXT(Table64[[#This Row],[Order date]],"mmm-yyyy")</f>
        <v>Jan-2024</v>
      </c>
      <c r="Q148" s="16" t="str">
        <f t="shared" si="2"/>
        <v>Delayed</v>
      </c>
    </row>
    <row r="149" spans="1:17" x14ac:dyDescent="0.3">
      <c r="A149" s="17">
        <v>10148</v>
      </c>
      <c r="B149" s="4">
        <v>6699</v>
      </c>
      <c r="C149" s="4" t="s">
        <v>16</v>
      </c>
      <c r="D149" s="5">
        <v>70479.789999999994</v>
      </c>
      <c r="E149" s="4">
        <v>17</v>
      </c>
      <c r="F149" s="4" t="s">
        <v>13</v>
      </c>
      <c r="G149" s="6">
        <v>45383</v>
      </c>
      <c r="H149" s="5">
        <v>73987.509999999995</v>
      </c>
      <c r="I149" s="18" t="s">
        <v>17</v>
      </c>
      <c r="J149" s="14" t="s">
        <v>15</v>
      </c>
      <c r="K149" s="14">
        <v>384</v>
      </c>
      <c r="L149" s="15">
        <v>45397</v>
      </c>
      <c r="M149" s="16">
        <v>10</v>
      </c>
      <c r="N1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" s="31">
        <f>IF(Table64[[#This Row],[date validity flag]]&lt;&gt;"Valid","",Table64[[#This Row],[shipment date ]]-Table64[[#This Row],[Order date]])</f>
        <v>14</v>
      </c>
      <c r="P149" s="27" t="str">
        <f>TEXT(Table64[[#This Row],[Order date]],"mmm-yyyy")</f>
        <v>Apr-2024</v>
      </c>
      <c r="Q149" s="16" t="str">
        <f t="shared" si="2"/>
        <v>Delayed</v>
      </c>
    </row>
    <row r="150" spans="1:17" x14ac:dyDescent="0.3">
      <c r="A150" s="12">
        <v>10149</v>
      </c>
      <c r="B150" s="1">
        <v>5419</v>
      </c>
      <c r="C150" s="1" t="s">
        <v>16</v>
      </c>
      <c r="D150" s="2">
        <v>86012.94</v>
      </c>
      <c r="E150" s="1">
        <v>98</v>
      </c>
      <c r="F150" s="1" t="s">
        <v>23</v>
      </c>
      <c r="G150" s="3">
        <v>45337</v>
      </c>
      <c r="H150" s="2">
        <v>61545.88</v>
      </c>
      <c r="I150" s="13" t="s">
        <v>17</v>
      </c>
      <c r="J150" s="14" t="s">
        <v>18</v>
      </c>
      <c r="K150" s="14">
        <v>1409</v>
      </c>
      <c r="L150" s="15">
        <v>45332</v>
      </c>
      <c r="M150" s="16">
        <v>12</v>
      </c>
      <c r="N15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0" s="31" t="str">
        <f>IF(Table64[[#This Row],[date validity flag]]&lt;&gt;"Valid","",Table64[[#This Row],[shipment date ]]-Table64[[#This Row],[Order date]])</f>
        <v/>
      </c>
      <c r="P150" s="27" t="str">
        <f>TEXT(Table64[[#This Row],[Order date]],"mmm-yyyy")</f>
        <v>Feb-2024</v>
      </c>
      <c r="Q150" s="16" t="str">
        <f t="shared" si="2"/>
        <v/>
      </c>
    </row>
    <row r="151" spans="1:17" x14ac:dyDescent="0.3">
      <c r="A151" s="17">
        <v>10150</v>
      </c>
      <c r="B151" s="4">
        <v>5289</v>
      </c>
      <c r="C151" s="4" t="s">
        <v>16</v>
      </c>
      <c r="D151" s="5">
        <v>62229.120000000003</v>
      </c>
      <c r="E151" s="4">
        <v>70</v>
      </c>
      <c r="F151" s="4" t="s">
        <v>23</v>
      </c>
      <c r="G151" s="6">
        <v>45361</v>
      </c>
      <c r="H151" s="5">
        <v>121706.49</v>
      </c>
      <c r="I151" s="18" t="s">
        <v>20</v>
      </c>
      <c r="J151" s="14" t="s">
        <v>15</v>
      </c>
      <c r="K151" s="14">
        <v>1147</v>
      </c>
      <c r="L151" s="15">
        <v>45332</v>
      </c>
      <c r="M151" s="16">
        <v>12</v>
      </c>
      <c r="N1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1" s="31" t="str">
        <f>IF(Table64[[#This Row],[date validity flag]]&lt;&gt;"Valid","",Table64[[#This Row],[shipment date ]]-Table64[[#This Row],[Order date]])</f>
        <v/>
      </c>
      <c r="P151" s="27" t="str">
        <f>TEXT(Table64[[#This Row],[Order date]],"mmm-yyyy")</f>
        <v>Mar-2024</v>
      </c>
      <c r="Q151" s="16" t="str">
        <f t="shared" si="2"/>
        <v/>
      </c>
    </row>
    <row r="152" spans="1:17" x14ac:dyDescent="0.3">
      <c r="A152" s="12">
        <v>10151</v>
      </c>
      <c r="B152" s="1">
        <v>5379</v>
      </c>
      <c r="C152" s="1" t="s">
        <v>16</v>
      </c>
      <c r="D152" s="2">
        <v>70503.81</v>
      </c>
      <c r="E152" s="1">
        <v>70</v>
      </c>
      <c r="F152" s="1" t="s">
        <v>13</v>
      </c>
      <c r="G152" s="3">
        <v>45337</v>
      </c>
      <c r="H152" s="2">
        <v>38256.36</v>
      </c>
      <c r="I152" s="13" t="s">
        <v>17</v>
      </c>
      <c r="J152" s="14" t="s">
        <v>15</v>
      </c>
      <c r="K152" s="14">
        <v>1264</v>
      </c>
      <c r="L152" s="15">
        <v>45361</v>
      </c>
      <c r="M152" s="16">
        <v>3</v>
      </c>
      <c r="N15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52" s="31">
        <f>IF(Table64[[#This Row],[date validity flag]]&lt;&gt;"Valid","",Table64[[#This Row],[shipment date ]]-Table64[[#This Row],[Order date]])</f>
        <v>24</v>
      </c>
      <c r="P152" s="27" t="str">
        <f>TEXT(Table64[[#This Row],[Order date]],"mmm-yyyy")</f>
        <v>Feb-2024</v>
      </c>
      <c r="Q152" s="16" t="str">
        <f t="shared" si="2"/>
        <v>Delayed</v>
      </c>
    </row>
    <row r="153" spans="1:17" x14ac:dyDescent="0.3">
      <c r="A153" s="17">
        <v>10152</v>
      </c>
      <c r="B153" s="4">
        <v>6797</v>
      </c>
      <c r="C153" s="4" t="s">
        <v>16</v>
      </c>
      <c r="D153" s="5">
        <v>24507.81</v>
      </c>
      <c r="E153" s="4">
        <v>98</v>
      </c>
      <c r="F153" s="4" t="s">
        <v>21</v>
      </c>
      <c r="G153" s="6">
        <v>45361</v>
      </c>
      <c r="H153" s="5">
        <v>46254.48</v>
      </c>
      <c r="I153" s="18" t="s">
        <v>14</v>
      </c>
      <c r="J153" s="14" t="s">
        <v>18</v>
      </c>
      <c r="K153" s="14">
        <v>373</v>
      </c>
      <c r="L153" s="15">
        <v>45332</v>
      </c>
      <c r="M153" s="16">
        <v>10</v>
      </c>
      <c r="N15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3" s="31" t="str">
        <f>IF(Table64[[#This Row],[date validity flag]]&lt;&gt;"Valid","",Table64[[#This Row],[shipment date ]]-Table64[[#This Row],[Order date]])</f>
        <v/>
      </c>
      <c r="P153" s="27" t="str">
        <f>TEXT(Table64[[#This Row],[Order date]],"mmm-yyyy")</f>
        <v>Mar-2024</v>
      </c>
      <c r="Q153" s="16" t="str">
        <f t="shared" si="2"/>
        <v/>
      </c>
    </row>
    <row r="154" spans="1:17" x14ac:dyDescent="0.3">
      <c r="A154" s="12">
        <v>10153</v>
      </c>
      <c r="B154" s="1">
        <v>6514</v>
      </c>
      <c r="C154" s="1" t="s">
        <v>16</v>
      </c>
      <c r="D154" s="2">
        <v>65767.570000000007</v>
      </c>
      <c r="E154" s="1">
        <v>65</v>
      </c>
      <c r="F154" s="1" t="s">
        <v>23</v>
      </c>
      <c r="G154" s="3">
        <v>45361</v>
      </c>
      <c r="H154" s="2">
        <v>96626.96</v>
      </c>
      <c r="I154" s="13" t="s">
        <v>17</v>
      </c>
      <c r="J154" s="14" t="s">
        <v>19</v>
      </c>
      <c r="K154" s="14">
        <v>1060</v>
      </c>
      <c r="L154" s="15">
        <v>45332</v>
      </c>
      <c r="M154" s="16">
        <v>7</v>
      </c>
      <c r="N1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4" s="31" t="str">
        <f>IF(Table64[[#This Row],[date validity flag]]&lt;&gt;"Valid","",Table64[[#This Row],[shipment date ]]-Table64[[#This Row],[Order date]])</f>
        <v/>
      </c>
      <c r="P154" s="27" t="str">
        <f>TEXT(Table64[[#This Row],[Order date]],"mmm-yyyy")</f>
        <v>Mar-2024</v>
      </c>
      <c r="Q154" s="16" t="str">
        <f t="shared" si="2"/>
        <v/>
      </c>
    </row>
    <row r="155" spans="1:17" x14ac:dyDescent="0.3">
      <c r="A155" s="17">
        <v>10154</v>
      </c>
      <c r="B155" s="4">
        <v>5231</v>
      </c>
      <c r="C155" s="4" t="s">
        <v>16</v>
      </c>
      <c r="D155" s="5">
        <v>50968.18</v>
      </c>
      <c r="E155" s="4">
        <v>74</v>
      </c>
      <c r="F155" s="4" t="s">
        <v>21</v>
      </c>
      <c r="G155" s="6">
        <v>45337</v>
      </c>
      <c r="H155" s="5">
        <v>62300.93</v>
      </c>
      <c r="I155" s="18" t="s">
        <v>20</v>
      </c>
      <c r="J155" s="14" t="s">
        <v>19</v>
      </c>
      <c r="K155" s="14">
        <v>1220</v>
      </c>
      <c r="L155" s="15">
        <v>45332</v>
      </c>
      <c r="M155" s="16">
        <v>12</v>
      </c>
      <c r="N15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5" s="31" t="str">
        <f>IF(Table64[[#This Row],[date validity flag]]&lt;&gt;"Valid","",Table64[[#This Row],[shipment date ]]-Table64[[#This Row],[Order date]])</f>
        <v/>
      </c>
      <c r="P155" s="27" t="str">
        <f>TEXT(Table64[[#This Row],[Order date]],"mmm-yyyy")</f>
        <v>Feb-2024</v>
      </c>
      <c r="Q155" s="16" t="str">
        <f t="shared" si="2"/>
        <v/>
      </c>
    </row>
    <row r="156" spans="1:17" x14ac:dyDescent="0.3">
      <c r="A156" s="12">
        <v>10155</v>
      </c>
      <c r="B156" s="1">
        <v>6018</v>
      </c>
      <c r="C156" s="1" t="s">
        <v>12</v>
      </c>
      <c r="D156" s="2">
        <v>30454.07</v>
      </c>
      <c r="E156" s="1">
        <v>85</v>
      </c>
      <c r="F156" s="1" t="s">
        <v>13</v>
      </c>
      <c r="G156" s="3">
        <v>45383</v>
      </c>
      <c r="H156" s="2">
        <v>54999.33</v>
      </c>
      <c r="I156" s="13" t="s">
        <v>17</v>
      </c>
      <c r="J156" s="14" t="s">
        <v>15</v>
      </c>
      <c r="K156" s="14">
        <v>333</v>
      </c>
      <c r="L156" s="15">
        <v>45332</v>
      </c>
      <c r="M156" s="16">
        <v>4</v>
      </c>
      <c r="N15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6" s="31" t="str">
        <f>IF(Table64[[#This Row],[date validity flag]]&lt;&gt;"Valid","",Table64[[#This Row],[shipment date ]]-Table64[[#This Row],[Order date]])</f>
        <v/>
      </c>
      <c r="P156" s="27" t="str">
        <f>TEXT(Table64[[#This Row],[Order date]],"mmm-yyyy")</f>
        <v>Apr-2024</v>
      </c>
      <c r="Q156" s="16" t="str">
        <f t="shared" si="2"/>
        <v/>
      </c>
    </row>
    <row r="157" spans="1:17" x14ac:dyDescent="0.3">
      <c r="A157" s="17">
        <v>10156</v>
      </c>
      <c r="B157" s="4">
        <v>5041</v>
      </c>
      <c r="C157" s="4" t="s">
        <v>12</v>
      </c>
      <c r="D157" s="5">
        <v>21414.7</v>
      </c>
      <c r="E157" s="4">
        <v>5</v>
      </c>
      <c r="F157" s="4" t="s">
        <v>22</v>
      </c>
      <c r="G157" s="6">
        <v>45383</v>
      </c>
      <c r="H157" s="5">
        <v>22711.69</v>
      </c>
      <c r="I157" s="18" t="s">
        <v>20</v>
      </c>
      <c r="J157" s="14" t="s">
        <v>18</v>
      </c>
      <c r="K157" s="14">
        <v>262</v>
      </c>
      <c r="L157" s="15">
        <v>45361</v>
      </c>
      <c r="M157" s="16">
        <v>5</v>
      </c>
      <c r="N15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7" s="31" t="str">
        <f>IF(Table64[[#This Row],[date validity flag]]&lt;&gt;"Valid","",Table64[[#This Row],[shipment date ]]-Table64[[#This Row],[Order date]])</f>
        <v/>
      </c>
      <c r="P157" s="27" t="str">
        <f>TEXT(Table64[[#This Row],[Order date]],"mmm-yyyy")</f>
        <v>Apr-2024</v>
      </c>
      <c r="Q157" s="16" t="str">
        <f t="shared" si="2"/>
        <v/>
      </c>
    </row>
    <row r="158" spans="1:17" x14ac:dyDescent="0.3">
      <c r="A158" s="12">
        <v>10157</v>
      </c>
      <c r="B158" s="1">
        <v>6052</v>
      </c>
      <c r="C158" s="1" t="s">
        <v>16</v>
      </c>
      <c r="D158" s="2">
        <v>45338.3</v>
      </c>
      <c r="E158" s="1">
        <v>2</v>
      </c>
      <c r="F158" s="1" t="s">
        <v>22</v>
      </c>
      <c r="G158" s="3">
        <v>45361</v>
      </c>
      <c r="H158" s="2">
        <v>96846.71</v>
      </c>
      <c r="I158" s="13" t="s">
        <v>17</v>
      </c>
      <c r="J158" s="14" t="s">
        <v>19</v>
      </c>
      <c r="K158" s="14">
        <v>978</v>
      </c>
      <c r="L158" s="15">
        <v>45361</v>
      </c>
      <c r="M158" s="16">
        <v>9</v>
      </c>
      <c r="N1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58" s="31">
        <f>IF(Table64[[#This Row],[date validity flag]]&lt;&gt;"Valid","",Table64[[#This Row],[shipment date ]]-Table64[[#This Row],[Order date]])</f>
        <v>0</v>
      </c>
      <c r="P158" s="27" t="str">
        <f>TEXT(Table64[[#This Row],[Order date]],"mmm-yyyy")</f>
        <v>Mar-2024</v>
      </c>
      <c r="Q158" s="16" t="str">
        <f t="shared" si="2"/>
        <v>On Time</v>
      </c>
    </row>
    <row r="159" spans="1:17" x14ac:dyDescent="0.3">
      <c r="A159" s="17">
        <v>10158</v>
      </c>
      <c r="B159" s="4">
        <v>5135</v>
      </c>
      <c r="C159" s="4" t="s">
        <v>16</v>
      </c>
      <c r="D159" s="5">
        <v>35250.480000000003</v>
      </c>
      <c r="E159" s="4">
        <v>22</v>
      </c>
      <c r="F159" s="4" t="s">
        <v>23</v>
      </c>
      <c r="G159" s="6">
        <v>45383</v>
      </c>
      <c r="H159" s="5">
        <v>14184.66</v>
      </c>
      <c r="I159" s="18" t="s">
        <v>14</v>
      </c>
      <c r="J159" s="14" t="s">
        <v>19</v>
      </c>
      <c r="K159" s="14">
        <v>801</v>
      </c>
      <c r="L159" s="15">
        <v>45397</v>
      </c>
      <c r="M159" s="16">
        <v>7</v>
      </c>
      <c r="N1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59" s="31">
        <f>IF(Table64[[#This Row],[date validity flag]]&lt;&gt;"Valid","",Table64[[#This Row],[shipment date ]]-Table64[[#This Row],[Order date]])</f>
        <v>14</v>
      </c>
      <c r="P159" s="27" t="str">
        <f>TEXT(Table64[[#This Row],[Order date]],"mmm-yyyy")</f>
        <v>Apr-2024</v>
      </c>
      <c r="Q159" s="16" t="str">
        <f t="shared" si="2"/>
        <v>Delayed</v>
      </c>
    </row>
    <row r="160" spans="1:17" x14ac:dyDescent="0.3">
      <c r="A160" s="12">
        <v>10159</v>
      </c>
      <c r="B160" s="1">
        <v>5201</v>
      </c>
      <c r="C160" s="1" t="s">
        <v>16</v>
      </c>
      <c r="D160" s="2">
        <v>12600.8</v>
      </c>
      <c r="E160" s="1">
        <v>57</v>
      </c>
      <c r="F160" s="1" t="s">
        <v>13</v>
      </c>
      <c r="G160" s="3">
        <v>45361</v>
      </c>
      <c r="H160" s="2">
        <v>139007.18</v>
      </c>
      <c r="I160" s="13" t="s">
        <v>17</v>
      </c>
      <c r="J160" s="14" t="s">
        <v>15</v>
      </c>
      <c r="K160" s="14">
        <v>1467</v>
      </c>
      <c r="L160" s="15">
        <v>45332</v>
      </c>
      <c r="M160" s="16">
        <v>4</v>
      </c>
      <c r="N16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60" s="31" t="str">
        <f>IF(Table64[[#This Row],[date validity flag]]&lt;&gt;"Valid","",Table64[[#This Row],[shipment date ]]-Table64[[#This Row],[Order date]])</f>
        <v/>
      </c>
      <c r="P160" s="27" t="str">
        <f>TEXT(Table64[[#This Row],[Order date]],"mmm-yyyy")</f>
        <v>Mar-2024</v>
      </c>
      <c r="Q160" s="16" t="str">
        <f t="shared" si="2"/>
        <v/>
      </c>
    </row>
    <row r="161" spans="1:17" x14ac:dyDescent="0.3">
      <c r="A161" s="17">
        <v>10160</v>
      </c>
      <c r="B161" s="4">
        <v>6864</v>
      </c>
      <c r="C161" s="4" t="s">
        <v>12</v>
      </c>
      <c r="D161" s="5">
        <v>67360.37</v>
      </c>
      <c r="E161" s="4">
        <v>66</v>
      </c>
      <c r="F161" s="4" t="s">
        <v>21</v>
      </c>
      <c r="G161" s="6">
        <v>45383</v>
      </c>
      <c r="H161" s="5">
        <v>133837.97</v>
      </c>
      <c r="I161" s="18" t="s">
        <v>14</v>
      </c>
      <c r="J161" s="14" t="s">
        <v>15</v>
      </c>
      <c r="K161" s="14">
        <v>388</v>
      </c>
      <c r="L161" s="15">
        <v>45397</v>
      </c>
      <c r="M161" s="16">
        <v>6</v>
      </c>
      <c r="N1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61" s="31">
        <f>IF(Table64[[#This Row],[date validity flag]]&lt;&gt;"Valid","",Table64[[#This Row],[shipment date ]]-Table64[[#This Row],[Order date]])</f>
        <v>14</v>
      </c>
      <c r="P161" s="27" t="str">
        <f>TEXT(Table64[[#This Row],[Order date]],"mmm-yyyy")</f>
        <v>Apr-2024</v>
      </c>
      <c r="Q161" s="16" t="str">
        <f t="shared" si="2"/>
        <v>Delayed</v>
      </c>
    </row>
    <row r="162" spans="1:17" x14ac:dyDescent="0.3">
      <c r="A162" s="12">
        <v>10161</v>
      </c>
      <c r="B162" s="1">
        <v>5780</v>
      </c>
      <c r="C162" s="1" t="s">
        <v>16</v>
      </c>
      <c r="D162" s="2">
        <v>31571.59</v>
      </c>
      <c r="E162" s="1">
        <v>74</v>
      </c>
      <c r="F162" s="1" t="s">
        <v>23</v>
      </c>
      <c r="G162" s="3">
        <v>45361</v>
      </c>
      <c r="H162" s="2">
        <v>27486.45</v>
      </c>
      <c r="I162" s="13" t="s">
        <v>14</v>
      </c>
      <c r="J162" s="14" t="s">
        <v>18</v>
      </c>
      <c r="K162" s="14">
        <v>1095</v>
      </c>
      <c r="L162" s="15">
        <v>45397</v>
      </c>
      <c r="M162" s="16">
        <v>10</v>
      </c>
      <c r="N1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62" s="31">
        <f>IF(Table64[[#This Row],[date validity flag]]&lt;&gt;"Valid","",Table64[[#This Row],[shipment date ]]-Table64[[#This Row],[Order date]])</f>
        <v>36</v>
      </c>
      <c r="P162" s="27" t="str">
        <f>TEXT(Table64[[#This Row],[Order date]],"mmm-yyyy")</f>
        <v>Mar-2024</v>
      </c>
      <c r="Q162" s="16" t="str">
        <f t="shared" si="2"/>
        <v>Delayed</v>
      </c>
    </row>
    <row r="163" spans="1:17" x14ac:dyDescent="0.3">
      <c r="A163" s="17">
        <v>10162</v>
      </c>
      <c r="B163" s="4">
        <v>5930</v>
      </c>
      <c r="C163" s="4" t="s">
        <v>12</v>
      </c>
      <c r="D163" s="5">
        <v>46888.42</v>
      </c>
      <c r="E163" s="4">
        <v>98</v>
      </c>
      <c r="F163" s="4" t="s">
        <v>13</v>
      </c>
      <c r="G163" s="6">
        <v>45383</v>
      </c>
      <c r="H163" s="5">
        <v>78272.87</v>
      </c>
      <c r="I163" s="18" t="s">
        <v>17</v>
      </c>
      <c r="J163" s="14" t="s">
        <v>15</v>
      </c>
      <c r="K163" s="14">
        <v>154</v>
      </c>
      <c r="L163" s="15">
        <v>45332</v>
      </c>
      <c r="M163" s="16">
        <v>14</v>
      </c>
      <c r="N16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63" s="31" t="str">
        <f>IF(Table64[[#This Row],[date validity flag]]&lt;&gt;"Valid","",Table64[[#This Row],[shipment date ]]-Table64[[#This Row],[Order date]])</f>
        <v/>
      </c>
      <c r="P163" s="27" t="str">
        <f>TEXT(Table64[[#This Row],[Order date]],"mmm-yyyy")</f>
        <v>Apr-2024</v>
      </c>
      <c r="Q163" s="16" t="str">
        <f t="shared" si="2"/>
        <v/>
      </c>
    </row>
    <row r="164" spans="1:17" x14ac:dyDescent="0.3">
      <c r="A164" s="12">
        <v>10163</v>
      </c>
      <c r="B164" s="1">
        <v>6057</v>
      </c>
      <c r="C164" s="1" t="s">
        <v>16</v>
      </c>
      <c r="D164" s="2">
        <v>71263.33</v>
      </c>
      <c r="E164" s="1">
        <v>16</v>
      </c>
      <c r="F164" s="1" t="s">
        <v>13</v>
      </c>
      <c r="G164" s="3">
        <v>45306</v>
      </c>
      <c r="H164" s="2">
        <v>65404.59</v>
      </c>
      <c r="I164" s="13" t="s">
        <v>14</v>
      </c>
      <c r="J164" s="14" t="s">
        <v>19</v>
      </c>
      <c r="K164" s="14">
        <v>819</v>
      </c>
      <c r="L164" s="15">
        <v>45361</v>
      </c>
      <c r="M164" s="16">
        <v>11</v>
      </c>
      <c r="N1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64" s="31">
        <f>IF(Table64[[#This Row],[date validity flag]]&lt;&gt;"Valid","",Table64[[#This Row],[shipment date ]]-Table64[[#This Row],[Order date]])</f>
        <v>55</v>
      </c>
      <c r="P164" s="27" t="str">
        <f>TEXT(Table64[[#This Row],[Order date]],"mmm-yyyy")</f>
        <v>Jan-2024</v>
      </c>
      <c r="Q164" s="16" t="str">
        <f t="shared" si="2"/>
        <v>Delayed</v>
      </c>
    </row>
    <row r="165" spans="1:17" x14ac:dyDescent="0.3">
      <c r="A165" s="17">
        <v>10164</v>
      </c>
      <c r="B165" s="4">
        <v>6072</v>
      </c>
      <c r="C165" s="4" t="s">
        <v>16</v>
      </c>
      <c r="D165" s="5">
        <v>45696.44</v>
      </c>
      <c r="E165" s="4">
        <v>51</v>
      </c>
      <c r="F165" s="4" t="s">
        <v>21</v>
      </c>
      <c r="G165" s="6">
        <v>45337</v>
      </c>
      <c r="H165" s="5">
        <v>92167.54</v>
      </c>
      <c r="I165" s="18" t="s">
        <v>17</v>
      </c>
      <c r="J165" s="14" t="s">
        <v>19</v>
      </c>
      <c r="K165" s="14">
        <v>765</v>
      </c>
      <c r="L165" s="15">
        <v>45361</v>
      </c>
      <c r="M165" s="16">
        <v>7</v>
      </c>
      <c r="N1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65" s="31">
        <f>IF(Table64[[#This Row],[date validity flag]]&lt;&gt;"Valid","",Table64[[#This Row],[shipment date ]]-Table64[[#This Row],[Order date]])</f>
        <v>24</v>
      </c>
      <c r="P165" s="27" t="str">
        <f>TEXT(Table64[[#This Row],[Order date]],"mmm-yyyy")</f>
        <v>Feb-2024</v>
      </c>
      <c r="Q165" s="16" t="str">
        <f t="shared" si="2"/>
        <v>Delayed</v>
      </c>
    </row>
    <row r="166" spans="1:17" x14ac:dyDescent="0.3">
      <c r="A166" s="12">
        <v>10165</v>
      </c>
      <c r="B166" s="1">
        <v>5503</v>
      </c>
      <c r="C166" s="1" t="s">
        <v>12</v>
      </c>
      <c r="D166" s="2">
        <v>22307.03</v>
      </c>
      <c r="E166" s="1">
        <v>39</v>
      </c>
      <c r="F166" s="1" t="s">
        <v>23</v>
      </c>
      <c r="G166" s="3">
        <v>45306</v>
      </c>
      <c r="H166" s="2">
        <v>54928.91</v>
      </c>
      <c r="I166" s="13" t="s">
        <v>17</v>
      </c>
      <c r="J166" s="14" t="s">
        <v>19</v>
      </c>
      <c r="K166" s="14">
        <v>812</v>
      </c>
      <c r="L166" s="15">
        <v>45332</v>
      </c>
      <c r="M166" s="16">
        <v>13</v>
      </c>
      <c r="N1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66" s="31">
        <f>IF(Table64[[#This Row],[date validity flag]]&lt;&gt;"Valid","",Table64[[#This Row],[shipment date ]]-Table64[[#This Row],[Order date]])</f>
        <v>26</v>
      </c>
      <c r="P166" s="27" t="str">
        <f>TEXT(Table64[[#This Row],[Order date]],"mmm-yyyy")</f>
        <v>Jan-2024</v>
      </c>
      <c r="Q166" s="16" t="str">
        <f t="shared" si="2"/>
        <v>Delayed</v>
      </c>
    </row>
    <row r="167" spans="1:17" x14ac:dyDescent="0.3">
      <c r="A167" s="17">
        <v>10166</v>
      </c>
      <c r="B167" s="4">
        <v>5407</v>
      </c>
      <c r="C167" s="4" t="s">
        <v>16</v>
      </c>
      <c r="D167" s="5">
        <v>63438.34</v>
      </c>
      <c r="E167" s="4">
        <v>86</v>
      </c>
      <c r="F167" s="4" t="s">
        <v>13</v>
      </c>
      <c r="G167" s="6">
        <v>45337</v>
      </c>
      <c r="H167" s="5">
        <v>114620.89</v>
      </c>
      <c r="I167" s="18" t="s">
        <v>17</v>
      </c>
      <c r="J167" s="14" t="s">
        <v>19</v>
      </c>
      <c r="K167" s="14">
        <v>1294</v>
      </c>
      <c r="L167" s="15">
        <v>45332</v>
      </c>
      <c r="M167" s="16">
        <v>10</v>
      </c>
      <c r="N16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67" s="31" t="str">
        <f>IF(Table64[[#This Row],[date validity flag]]&lt;&gt;"Valid","",Table64[[#This Row],[shipment date ]]-Table64[[#This Row],[Order date]])</f>
        <v/>
      </c>
      <c r="P167" s="27" t="str">
        <f>TEXT(Table64[[#This Row],[Order date]],"mmm-yyyy")</f>
        <v>Feb-2024</v>
      </c>
      <c r="Q167" s="16" t="str">
        <f t="shared" si="2"/>
        <v/>
      </c>
    </row>
    <row r="168" spans="1:17" x14ac:dyDescent="0.3">
      <c r="A168" s="12">
        <v>10167</v>
      </c>
      <c r="B168" s="1">
        <v>6598</v>
      </c>
      <c r="C168" s="1" t="s">
        <v>16</v>
      </c>
      <c r="D168" s="2">
        <v>43704.92</v>
      </c>
      <c r="E168" s="1">
        <v>76</v>
      </c>
      <c r="F168" s="1" t="s">
        <v>13</v>
      </c>
      <c r="G168" s="3">
        <v>45337</v>
      </c>
      <c r="H168" s="2">
        <v>139460.07</v>
      </c>
      <c r="I168" s="13" t="s">
        <v>14</v>
      </c>
      <c r="J168" s="14" t="s">
        <v>18</v>
      </c>
      <c r="K168" s="14">
        <v>428</v>
      </c>
      <c r="L168" s="15">
        <v>45361</v>
      </c>
      <c r="M168" s="16">
        <v>13</v>
      </c>
      <c r="N1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68" s="31">
        <f>IF(Table64[[#This Row],[date validity flag]]&lt;&gt;"Valid","",Table64[[#This Row],[shipment date ]]-Table64[[#This Row],[Order date]])</f>
        <v>24</v>
      </c>
      <c r="P168" s="27" t="str">
        <f>TEXT(Table64[[#This Row],[Order date]],"mmm-yyyy")</f>
        <v>Feb-2024</v>
      </c>
      <c r="Q168" s="16" t="str">
        <f t="shared" si="2"/>
        <v>Delayed</v>
      </c>
    </row>
    <row r="169" spans="1:17" x14ac:dyDescent="0.3">
      <c r="A169" s="17">
        <v>10168</v>
      </c>
      <c r="B169" s="4">
        <v>6752</v>
      </c>
      <c r="C169" s="4" t="s">
        <v>16</v>
      </c>
      <c r="D169" s="5">
        <v>45844.05</v>
      </c>
      <c r="E169" s="4">
        <v>88</v>
      </c>
      <c r="F169" s="4" t="s">
        <v>13</v>
      </c>
      <c r="G169" s="6">
        <v>45361</v>
      </c>
      <c r="H169" s="5">
        <v>65208.27</v>
      </c>
      <c r="I169" s="18" t="s">
        <v>14</v>
      </c>
      <c r="J169" s="14" t="s">
        <v>18</v>
      </c>
      <c r="K169" s="14">
        <v>1295</v>
      </c>
      <c r="L169" s="15">
        <v>45332</v>
      </c>
      <c r="M169" s="16">
        <v>9</v>
      </c>
      <c r="N16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69" s="31" t="str">
        <f>IF(Table64[[#This Row],[date validity flag]]&lt;&gt;"Valid","",Table64[[#This Row],[shipment date ]]-Table64[[#This Row],[Order date]])</f>
        <v/>
      </c>
      <c r="P169" s="27" t="str">
        <f>TEXT(Table64[[#This Row],[Order date]],"mmm-yyyy")</f>
        <v>Mar-2024</v>
      </c>
      <c r="Q169" s="16" t="str">
        <f t="shared" si="2"/>
        <v/>
      </c>
    </row>
    <row r="170" spans="1:17" x14ac:dyDescent="0.3">
      <c r="A170" s="12">
        <v>10169</v>
      </c>
      <c r="B170" s="1">
        <v>5805</v>
      </c>
      <c r="C170" s="1" t="s">
        <v>16</v>
      </c>
      <c r="D170" s="2">
        <v>57080.7</v>
      </c>
      <c r="E170" s="1">
        <v>40</v>
      </c>
      <c r="F170" s="1" t="s">
        <v>21</v>
      </c>
      <c r="G170" s="3">
        <v>45337</v>
      </c>
      <c r="H170" s="2">
        <v>91333.440000000002</v>
      </c>
      <c r="I170" s="13" t="s">
        <v>17</v>
      </c>
      <c r="J170" s="14" t="s">
        <v>15</v>
      </c>
      <c r="K170" s="14">
        <v>1331</v>
      </c>
      <c r="L170" s="15">
        <v>45332</v>
      </c>
      <c r="M170" s="16">
        <v>4</v>
      </c>
      <c r="N17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70" s="31" t="str">
        <f>IF(Table64[[#This Row],[date validity flag]]&lt;&gt;"Valid","",Table64[[#This Row],[shipment date ]]-Table64[[#This Row],[Order date]])</f>
        <v/>
      </c>
      <c r="P170" s="27" t="str">
        <f>TEXT(Table64[[#This Row],[Order date]],"mmm-yyyy")</f>
        <v>Feb-2024</v>
      </c>
      <c r="Q170" s="16" t="str">
        <f t="shared" si="2"/>
        <v/>
      </c>
    </row>
    <row r="171" spans="1:17" x14ac:dyDescent="0.3">
      <c r="A171" s="17">
        <v>10170</v>
      </c>
      <c r="B171" s="4">
        <v>5099</v>
      </c>
      <c r="C171" s="4" t="s">
        <v>12</v>
      </c>
      <c r="D171" s="5">
        <v>89246.26</v>
      </c>
      <c r="E171" s="4">
        <v>38</v>
      </c>
      <c r="F171" s="4" t="s">
        <v>23</v>
      </c>
      <c r="G171" s="6">
        <v>45306</v>
      </c>
      <c r="H171" s="5">
        <v>161561.89000000001</v>
      </c>
      <c r="I171" s="18" t="s">
        <v>17</v>
      </c>
      <c r="J171" s="14" t="s">
        <v>15</v>
      </c>
      <c r="K171" s="14">
        <v>762</v>
      </c>
      <c r="L171" s="15">
        <v>45332</v>
      </c>
      <c r="M171" s="16">
        <v>10</v>
      </c>
      <c r="N1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1" s="31">
        <f>IF(Table64[[#This Row],[date validity flag]]&lt;&gt;"Valid","",Table64[[#This Row],[shipment date ]]-Table64[[#This Row],[Order date]])</f>
        <v>26</v>
      </c>
      <c r="P171" s="27" t="str">
        <f>TEXT(Table64[[#This Row],[Order date]],"mmm-yyyy")</f>
        <v>Jan-2024</v>
      </c>
      <c r="Q171" s="16" t="str">
        <f t="shared" si="2"/>
        <v>Delayed</v>
      </c>
    </row>
    <row r="172" spans="1:17" x14ac:dyDescent="0.3">
      <c r="A172" s="12">
        <v>10171</v>
      </c>
      <c r="B172" s="1">
        <v>5684</v>
      </c>
      <c r="C172" s="1" t="s">
        <v>16</v>
      </c>
      <c r="D172" s="2">
        <v>20679.79</v>
      </c>
      <c r="E172" s="1">
        <v>60</v>
      </c>
      <c r="F172" s="1" t="s">
        <v>23</v>
      </c>
      <c r="G172" s="3">
        <v>45306</v>
      </c>
      <c r="H172" s="2">
        <v>141045.16</v>
      </c>
      <c r="I172" s="13" t="s">
        <v>14</v>
      </c>
      <c r="J172" s="14" t="s">
        <v>15</v>
      </c>
      <c r="K172" s="14">
        <v>1440</v>
      </c>
      <c r="L172" s="15">
        <v>45361</v>
      </c>
      <c r="M172" s="16">
        <v>3</v>
      </c>
      <c r="N1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2" s="31">
        <f>IF(Table64[[#This Row],[date validity flag]]&lt;&gt;"Valid","",Table64[[#This Row],[shipment date ]]-Table64[[#This Row],[Order date]])</f>
        <v>55</v>
      </c>
      <c r="P172" s="27" t="str">
        <f>TEXT(Table64[[#This Row],[Order date]],"mmm-yyyy")</f>
        <v>Jan-2024</v>
      </c>
      <c r="Q172" s="16" t="str">
        <f t="shared" si="2"/>
        <v>Delayed</v>
      </c>
    </row>
    <row r="173" spans="1:17" x14ac:dyDescent="0.3">
      <c r="A173" s="17">
        <v>10172</v>
      </c>
      <c r="B173" s="4">
        <v>6896</v>
      </c>
      <c r="C173" s="4" t="s">
        <v>16</v>
      </c>
      <c r="D173" s="5">
        <v>79220.539999999994</v>
      </c>
      <c r="E173" s="4">
        <v>59</v>
      </c>
      <c r="F173" s="4" t="s">
        <v>23</v>
      </c>
      <c r="G173" s="6">
        <v>45383</v>
      </c>
      <c r="H173" s="5">
        <v>99759.87</v>
      </c>
      <c r="I173" s="18" t="s">
        <v>14</v>
      </c>
      <c r="J173" s="14" t="s">
        <v>18</v>
      </c>
      <c r="K173" s="14">
        <v>1422</v>
      </c>
      <c r="L173" s="15">
        <v>45397</v>
      </c>
      <c r="M173" s="16">
        <v>8</v>
      </c>
      <c r="N1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3" s="31">
        <f>IF(Table64[[#This Row],[date validity flag]]&lt;&gt;"Valid","",Table64[[#This Row],[shipment date ]]-Table64[[#This Row],[Order date]])</f>
        <v>14</v>
      </c>
      <c r="P173" s="27" t="str">
        <f>TEXT(Table64[[#This Row],[Order date]],"mmm-yyyy")</f>
        <v>Apr-2024</v>
      </c>
      <c r="Q173" s="16" t="str">
        <f t="shared" si="2"/>
        <v>Delayed</v>
      </c>
    </row>
    <row r="174" spans="1:17" x14ac:dyDescent="0.3">
      <c r="A174" s="12">
        <v>10173</v>
      </c>
      <c r="B174" s="1">
        <v>5726</v>
      </c>
      <c r="C174" s="1" t="s">
        <v>16</v>
      </c>
      <c r="D174" s="2">
        <v>48332.18</v>
      </c>
      <c r="E174" s="1">
        <v>10</v>
      </c>
      <c r="F174" s="1" t="s">
        <v>23</v>
      </c>
      <c r="G174" s="3">
        <v>45306</v>
      </c>
      <c r="H174" s="2">
        <v>84773.15</v>
      </c>
      <c r="I174" s="13" t="s">
        <v>20</v>
      </c>
      <c r="J174" s="14" t="s">
        <v>19</v>
      </c>
      <c r="K174" s="14">
        <v>274</v>
      </c>
      <c r="L174" s="15">
        <v>45397</v>
      </c>
      <c r="M174" s="16">
        <v>1</v>
      </c>
      <c r="N1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4" s="31">
        <f>IF(Table64[[#This Row],[date validity flag]]&lt;&gt;"Valid","",Table64[[#This Row],[shipment date ]]-Table64[[#This Row],[Order date]])</f>
        <v>91</v>
      </c>
      <c r="P174" s="27" t="str">
        <f>TEXT(Table64[[#This Row],[Order date]],"mmm-yyyy")</f>
        <v>Jan-2024</v>
      </c>
      <c r="Q174" s="16" t="str">
        <f t="shared" si="2"/>
        <v>Delayed</v>
      </c>
    </row>
    <row r="175" spans="1:17" x14ac:dyDescent="0.3">
      <c r="A175" s="17">
        <v>10174</v>
      </c>
      <c r="B175" s="4">
        <v>6571</v>
      </c>
      <c r="C175" s="4" t="s">
        <v>16</v>
      </c>
      <c r="D175" s="5">
        <v>68441.61</v>
      </c>
      <c r="E175" s="4">
        <v>99</v>
      </c>
      <c r="F175" s="4" t="s">
        <v>22</v>
      </c>
      <c r="G175" s="6">
        <v>45383</v>
      </c>
      <c r="H175" s="5">
        <v>65546.33</v>
      </c>
      <c r="I175" s="18" t="s">
        <v>17</v>
      </c>
      <c r="J175" s="14" t="s">
        <v>15</v>
      </c>
      <c r="K175" s="14">
        <v>787</v>
      </c>
      <c r="L175" s="15">
        <v>45332</v>
      </c>
      <c r="M175" s="16">
        <v>9</v>
      </c>
      <c r="N1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75" s="31" t="str">
        <f>IF(Table64[[#This Row],[date validity flag]]&lt;&gt;"Valid","",Table64[[#This Row],[shipment date ]]-Table64[[#This Row],[Order date]])</f>
        <v/>
      </c>
      <c r="P175" s="27" t="str">
        <f>TEXT(Table64[[#This Row],[Order date]],"mmm-yyyy")</f>
        <v>Apr-2024</v>
      </c>
      <c r="Q175" s="16" t="str">
        <f t="shared" si="2"/>
        <v/>
      </c>
    </row>
    <row r="176" spans="1:17" x14ac:dyDescent="0.3">
      <c r="A176" s="12">
        <v>10175</v>
      </c>
      <c r="B176" s="1">
        <v>5961</v>
      </c>
      <c r="C176" s="1" t="s">
        <v>16</v>
      </c>
      <c r="D176" s="2">
        <v>68977.53</v>
      </c>
      <c r="E176" s="1">
        <v>64</v>
      </c>
      <c r="F176" s="1" t="s">
        <v>22</v>
      </c>
      <c r="G176" s="3">
        <v>45337</v>
      </c>
      <c r="H176" s="2">
        <v>129151.48</v>
      </c>
      <c r="I176" s="13" t="s">
        <v>17</v>
      </c>
      <c r="J176" s="14" t="s">
        <v>19</v>
      </c>
      <c r="K176" s="14">
        <v>285</v>
      </c>
      <c r="L176" s="15">
        <v>45361</v>
      </c>
      <c r="M176" s="16">
        <v>13</v>
      </c>
      <c r="N1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6" s="31">
        <f>IF(Table64[[#This Row],[date validity flag]]&lt;&gt;"Valid","",Table64[[#This Row],[shipment date ]]-Table64[[#This Row],[Order date]])</f>
        <v>24</v>
      </c>
      <c r="P176" s="27" t="str">
        <f>TEXT(Table64[[#This Row],[Order date]],"mmm-yyyy")</f>
        <v>Feb-2024</v>
      </c>
      <c r="Q176" s="16" t="str">
        <f t="shared" si="2"/>
        <v>Delayed</v>
      </c>
    </row>
    <row r="177" spans="1:17" x14ac:dyDescent="0.3">
      <c r="A177" s="17">
        <v>10176</v>
      </c>
      <c r="B177" s="4">
        <v>6763</v>
      </c>
      <c r="C177" s="4" t="s">
        <v>16</v>
      </c>
      <c r="D177" s="5">
        <v>17721.400000000001</v>
      </c>
      <c r="E177" s="4">
        <v>63</v>
      </c>
      <c r="F177" s="4" t="s">
        <v>23</v>
      </c>
      <c r="G177" s="6">
        <v>45306</v>
      </c>
      <c r="H177" s="5">
        <v>84458.43</v>
      </c>
      <c r="I177" s="18" t="s">
        <v>17</v>
      </c>
      <c r="J177" s="14" t="s">
        <v>15</v>
      </c>
      <c r="K177" s="14">
        <v>232</v>
      </c>
      <c r="L177" s="15">
        <v>45332</v>
      </c>
      <c r="M177" s="16">
        <v>1</v>
      </c>
      <c r="N1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7" s="31">
        <f>IF(Table64[[#This Row],[date validity flag]]&lt;&gt;"Valid","",Table64[[#This Row],[shipment date ]]-Table64[[#This Row],[Order date]])</f>
        <v>26</v>
      </c>
      <c r="P177" s="27" t="str">
        <f>TEXT(Table64[[#This Row],[Order date]],"mmm-yyyy")</f>
        <v>Jan-2024</v>
      </c>
      <c r="Q177" s="16" t="str">
        <f t="shared" si="2"/>
        <v>Delayed</v>
      </c>
    </row>
    <row r="178" spans="1:17" x14ac:dyDescent="0.3">
      <c r="A178" s="12">
        <v>10177</v>
      </c>
      <c r="B178" s="1">
        <v>5613</v>
      </c>
      <c r="C178" s="1" t="s">
        <v>16</v>
      </c>
      <c r="D178" s="2">
        <v>40838.06</v>
      </c>
      <c r="E178" s="1">
        <v>49</v>
      </c>
      <c r="F178" s="1" t="s">
        <v>21</v>
      </c>
      <c r="G178" s="3">
        <v>45337</v>
      </c>
      <c r="H178" s="2">
        <v>64727.87</v>
      </c>
      <c r="I178" s="13" t="s">
        <v>17</v>
      </c>
      <c r="J178" s="14" t="s">
        <v>15</v>
      </c>
      <c r="K178" s="14">
        <v>761</v>
      </c>
      <c r="L178" s="15">
        <v>45361</v>
      </c>
      <c r="M178" s="16">
        <v>2</v>
      </c>
      <c r="N1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8" s="31">
        <f>IF(Table64[[#This Row],[date validity flag]]&lt;&gt;"Valid","",Table64[[#This Row],[shipment date ]]-Table64[[#This Row],[Order date]])</f>
        <v>24</v>
      </c>
      <c r="P178" s="27" t="str">
        <f>TEXT(Table64[[#This Row],[Order date]],"mmm-yyyy")</f>
        <v>Feb-2024</v>
      </c>
      <c r="Q178" s="16" t="str">
        <f t="shared" si="2"/>
        <v>Delayed</v>
      </c>
    </row>
    <row r="179" spans="1:17" x14ac:dyDescent="0.3">
      <c r="A179" s="17">
        <v>10178</v>
      </c>
      <c r="B179" s="4">
        <v>6967</v>
      </c>
      <c r="C179" s="4" t="s">
        <v>12</v>
      </c>
      <c r="D179" s="5">
        <v>72202.740000000005</v>
      </c>
      <c r="E179" s="4">
        <v>64</v>
      </c>
      <c r="F179" s="4" t="s">
        <v>22</v>
      </c>
      <c r="G179" s="6">
        <v>45306</v>
      </c>
      <c r="H179" s="5">
        <v>108302.95</v>
      </c>
      <c r="I179" s="18" t="s">
        <v>17</v>
      </c>
      <c r="J179" s="14" t="s">
        <v>15</v>
      </c>
      <c r="K179" s="14">
        <v>493</v>
      </c>
      <c r="L179" s="15">
        <v>45332</v>
      </c>
      <c r="M179" s="16">
        <v>13</v>
      </c>
      <c r="N1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79" s="31">
        <f>IF(Table64[[#This Row],[date validity flag]]&lt;&gt;"Valid","",Table64[[#This Row],[shipment date ]]-Table64[[#This Row],[Order date]])</f>
        <v>26</v>
      </c>
      <c r="P179" s="27" t="str">
        <f>TEXT(Table64[[#This Row],[Order date]],"mmm-yyyy")</f>
        <v>Jan-2024</v>
      </c>
      <c r="Q179" s="16" t="str">
        <f t="shared" si="2"/>
        <v>Delayed</v>
      </c>
    </row>
    <row r="180" spans="1:17" x14ac:dyDescent="0.3">
      <c r="A180" s="12">
        <v>10179</v>
      </c>
      <c r="B180" s="1">
        <v>6486</v>
      </c>
      <c r="C180" s="1" t="s">
        <v>12</v>
      </c>
      <c r="D180" s="2">
        <v>41541.589999999997</v>
      </c>
      <c r="E180" s="1">
        <v>32</v>
      </c>
      <c r="F180" s="1" t="s">
        <v>13</v>
      </c>
      <c r="G180" s="3">
        <v>45306</v>
      </c>
      <c r="H180" s="2">
        <v>97384.46</v>
      </c>
      <c r="I180" s="13" t="s">
        <v>20</v>
      </c>
      <c r="J180" s="14" t="s">
        <v>15</v>
      </c>
      <c r="K180" s="14">
        <v>672</v>
      </c>
      <c r="L180" s="15">
        <v>45361</v>
      </c>
      <c r="M180" s="16">
        <v>8</v>
      </c>
      <c r="N1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0" s="31">
        <f>IF(Table64[[#This Row],[date validity flag]]&lt;&gt;"Valid","",Table64[[#This Row],[shipment date ]]-Table64[[#This Row],[Order date]])</f>
        <v>55</v>
      </c>
      <c r="P180" s="27" t="str">
        <f>TEXT(Table64[[#This Row],[Order date]],"mmm-yyyy")</f>
        <v>Jan-2024</v>
      </c>
      <c r="Q180" s="16" t="str">
        <f t="shared" si="2"/>
        <v>Delayed</v>
      </c>
    </row>
    <row r="181" spans="1:17" x14ac:dyDescent="0.3">
      <c r="A181" s="17">
        <v>10180</v>
      </c>
      <c r="B181" s="4">
        <v>5643</v>
      </c>
      <c r="C181" s="4" t="s">
        <v>16</v>
      </c>
      <c r="D181" s="5">
        <v>99826.66</v>
      </c>
      <c r="E181" s="4">
        <v>7</v>
      </c>
      <c r="F181" s="4" t="s">
        <v>22</v>
      </c>
      <c r="G181" s="6">
        <v>45383</v>
      </c>
      <c r="H181" s="5">
        <v>133246.69</v>
      </c>
      <c r="I181" s="18" t="s">
        <v>17</v>
      </c>
      <c r="J181" s="14" t="s">
        <v>15</v>
      </c>
      <c r="K181" s="14">
        <v>1079</v>
      </c>
      <c r="L181" s="15">
        <v>45361</v>
      </c>
      <c r="M181" s="16">
        <v>9</v>
      </c>
      <c r="N18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81" s="31" t="str">
        <f>IF(Table64[[#This Row],[date validity flag]]&lt;&gt;"Valid","",Table64[[#This Row],[shipment date ]]-Table64[[#This Row],[Order date]])</f>
        <v/>
      </c>
      <c r="P181" s="27" t="str">
        <f>TEXT(Table64[[#This Row],[Order date]],"mmm-yyyy")</f>
        <v>Apr-2024</v>
      </c>
      <c r="Q181" s="16" t="str">
        <f t="shared" si="2"/>
        <v/>
      </c>
    </row>
    <row r="182" spans="1:17" x14ac:dyDescent="0.3">
      <c r="A182" s="12">
        <v>10181</v>
      </c>
      <c r="B182" s="1">
        <v>6793</v>
      </c>
      <c r="C182" s="1" t="s">
        <v>16</v>
      </c>
      <c r="D182" s="2">
        <v>70273.509999999995</v>
      </c>
      <c r="E182" s="1">
        <v>21</v>
      </c>
      <c r="F182" s="1" t="s">
        <v>13</v>
      </c>
      <c r="G182" s="3">
        <v>45337</v>
      </c>
      <c r="H182" s="2">
        <v>84777.47</v>
      </c>
      <c r="I182" s="13" t="s">
        <v>14</v>
      </c>
      <c r="J182" s="14" t="s">
        <v>19</v>
      </c>
      <c r="K182" s="14">
        <v>1309</v>
      </c>
      <c r="L182" s="15">
        <v>45397</v>
      </c>
      <c r="M182" s="16">
        <v>7</v>
      </c>
      <c r="N1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2" s="31">
        <f>IF(Table64[[#This Row],[date validity flag]]&lt;&gt;"Valid","",Table64[[#This Row],[shipment date ]]-Table64[[#This Row],[Order date]])</f>
        <v>60</v>
      </c>
      <c r="P182" s="27" t="str">
        <f>TEXT(Table64[[#This Row],[Order date]],"mmm-yyyy")</f>
        <v>Feb-2024</v>
      </c>
      <c r="Q182" s="16" t="str">
        <f t="shared" si="2"/>
        <v>Delayed</v>
      </c>
    </row>
    <row r="183" spans="1:17" x14ac:dyDescent="0.3">
      <c r="A183" s="17">
        <v>10182</v>
      </c>
      <c r="B183" s="4">
        <v>6029</v>
      </c>
      <c r="C183" s="4" t="s">
        <v>12</v>
      </c>
      <c r="D183" s="5">
        <v>10178.51</v>
      </c>
      <c r="E183" s="4">
        <v>20</v>
      </c>
      <c r="F183" s="4" t="s">
        <v>23</v>
      </c>
      <c r="G183" s="6">
        <v>45306</v>
      </c>
      <c r="H183" s="5">
        <v>59815.5</v>
      </c>
      <c r="I183" s="18" t="s">
        <v>20</v>
      </c>
      <c r="J183" s="14" t="s">
        <v>15</v>
      </c>
      <c r="K183" s="14">
        <v>1200</v>
      </c>
      <c r="L183" s="15">
        <v>45332</v>
      </c>
      <c r="M183" s="16">
        <v>3</v>
      </c>
      <c r="N1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3" s="31">
        <f>IF(Table64[[#This Row],[date validity flag]]&lt;&gt;"Valid","",Table64[[#This Row],[shipment date ]]-Table64[[#This Row],[Order date]])</f>
        <v>26</v>
      </c>
      <c r="P183" s="27" t="str">
        <f>TEXT(Table64[[#This Row],[Order date]],"mmm-yyyy")</f>
        <v>Jan-2024</v>
      </c>
      <c r="Q183" s="16" t="str">
        <f t="shared" si="2"/>
        <v>Delayed</v>
      </c>
    </row>
    <row r="184" spans="1:17" x14ac:dyDescent="0.3">
      <c r="A184" s="12">
        <v>10183</v>
      </c>
      <c r="B184" s="1">
        <v>6242</v>
      </c>
      <c r="C184" s="1" t="s">
        <v>16</v>
      </c>
      <c r="D184" s="2">
        <v>8611.19</v>
      </c>
      <c r="E184" s="1">
        <v>26</v>
      </c>
      <c r="F184" s="1" t="s">
        <v>22</v>
      </c>
      <c r="G184" s="3">
        <v>45361</v>
      </c>
      <c r="H184" s="2">
        <v>120099.41</v>
      </c>
      <c r="I184" s="13" t="s">
        <v>17</v>
      </c>
      <c r="J184" s="14" t="s">
        <v>19</v>
      </c>
      <c r="K184" s="14">
        <v>1177</v>
      </c>
      <c r="L184" s="15">
        <v>45397</v>
      </c>
      <c r="M184" s="16">
        <v>7</v>
      </c>
      <c r="N1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4" s="31">
        <f>IF(Table64[[#This Row],[date validity flag]]&lt;&gt;"Valid","",Table64[[#This Row],[shipment date ]]-Table64[[#This Row],[Order date]])</f>
        <v>36</v>
      </c>
      <c r="P184" s="27" t="str">
        <f>TEXT(Table64[[#This Row],[Order date]],"mmm-yyyy")</f>
        <v>Mar-2024</v>
      </c>
      <c r="Q184" s="16" t="str">
        <f t="shared" si="2"/>
        <v>Delayed</v>
      </c>
    </row>
    <row r="185" spans="1:17" x14ac:dyDescent="0.3">
      <c r="A185" s="17">
        <v>10184</v>
      </c>
      <c r="B185" s="4">
        <v>5503</v>
      </c>
      <c r="C185" s="4" t="s">
        <v>16</v>
      </c>
      <c r="D185" s="5">
        <v>41912.42</v>
      </c>
      <c r="E185" s="4">
        <v>68</v>
      </c>
      <c r="F185" s="4" t="s">
        <v>21</v>
      </c>
      <c r="G185" s="6">
        <v>45337</v>
      </c>
      <c r="H185" s="5">
        <v>36953.81</v>
      </c>
      <c r="I185" s="18" t="s">
        <v>20</v>
      </c>
      <c r="J185" s="14" t="s">
        <v>18</v>
      </c>
      <c r="K185" s="14">
        <v>798</v>
      </c>
      <c r="L185" s="15">
        <v>45397</v>
      </c>
      <c r="M185" s="16">
        <v>6</v>
      </c>
      <c r="N1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5" s="31">
        <f>IF(Table64[[#This Row],[date validity flag]]&lt;&gt;"Valid","",Table64[[#This Row],[shipment date ]]-Table64[[#This Row],[Order date]])</f>
        <v>60</v>
      </c>
      <c r="P185" s="27" t="str">
        <f>TEXT(Table64[[#This Row],[Order date]],"mmm-yyyy")</f>
        <v>Feb-2024</v>
      </c>
      <c r="Q185" s="16" t="str">
        <f t="shared" si="2"/>
        <v>Delayed</v>
      </c>
    </row>
    <row r="186" spans="1:17" x14ac:dyDescent="0.3">
      <c r="A186" s="12">
        <v>10185</v>
      </c>
      <c r="B186" s="1">
        <v>5767</v>
      </c>
      <c r="C186" s="1" t="s">
        <v>16</v>
      </c>
      <c r="D186" s="2">
        <v>48745.07</v>
      </c>
      <c r="E186" s="1">
        <v>86</v>
      </c>
      <c r="F186" s="1" t="s">
        <v>22</v>
      </c>
      <c r="G186" s="3">
        <v>45337</v>
      </c>
      <c r="H186" s="2">
        <v>28938.43</v>
      </c>
      <c r="I186" s="13" t="s">
        <v>17</v>
      </c>
      <c r="J186" s="14" t="s">
        <v>15</v>
      </c>
      <c r="K186" s="14">
        <v>204</v>
      </c>
      <c r="L186" s="15">
        <v>45361</v>
      </c>
      <c r="M186" s="16">
        <v>2</v>
      </c>
      <c r="N18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6" s="31">
        <f>IF(Table64[[#This Row],[date validity flag]]&lt;&gt;"Valid","",Table64[[#This Row],[shipment date ]]-Table64[[#This Row],[Order date]])</f>
        <v>24</v>
      </c>
      <c r="P186" s="27" t="str">
        <f>TEXT(Table64[[#This Row],[Order date]],"mmm-yyyy")</f>
        <v>Feb-2024</v>
      </c>
      <c r="Q186" s="16" t="str">
        <f t="shared" si="2"/>
        <v>Delayed</v>
      </c>
    </row>
    <row r="187" spans="1:17" x14ac:dyDescent="0.3">
      <c r="A187" s="17">
        <v>10186</v>
      </c>
      <c r="B187" s="4">
        <v>5398</v>
      </c>
      <c r="C187" s="4" t="s">
        <v>16</v>
      </c>
      <c r="D187" s="5">
        <v>13680.2</v>
      </c>
      <c r="E187" s="4">
        <v>15</v>
      </c>
      <c r="F187" s="4" t="s">
        <v>22</v>
      </c>
      <c r="G187" s="6">
        <v>45337</v>
      </c>
      <c r="H187" s="5">
        <v>93192.14</v>
      </c>
      <c r="I187" s="18" t="s">
        <v>20</v>
      </c>
      <c r="J187" s="14" t="s">
        <v>19</v>
      </c>
      <c r="K187" s="14">
        <v>306</v>
      </c>
      <c r="L187" s="15">
        <v>45332</v>
      </c>
      <c r="M187" s="16">
        <v>3</v>
      </c>
      <c r="N18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87" s="31" t="str">
        <f>IF(Table64[[#This Row],[date validity flag]]&lt;&gt;"Valid","",Table64[[#This Row],[shipment date ]]-Table64[[#This Row],[Order date]])</f>
        <v/>
      </c>
      <c r="P187" s="27" t="str">
        <f>TEXT(Table64[[#This Row],[Order date]],"mmm-yyyy")</f>
        <v>Feb-2024</v>
      </c>
      <c r="Q187" s="16" t="str">
        <f t="shared" si="2"/>
        <v/>
      </c>
    </row>
    <row r="188" spans="1:17" x14ac:dyDescent="0.3">
      <c r="A188" s="12">
        <v>10187</v>
      </c>
      <c r="B188" s="1">
        <v>5871</v>
      </c>
      <c r="C188" s="1" t="s">
        <v>16</v>
      </c>
      <c r="D188" s="2">
        <v>68777.06</v>
      </c>
      <c r="E188" s="1">
        <v>85</v>
      </c>
      <c r="F188" s="1" t="s">
        <v>22</v>
      </c>
      <c r="G188" s="3">
        <v>45383</v>
      </c>
      <c r="H188" s="2">
        <v>121673.66</v>
      </c>
      <c r="I188" s="13" t="s">
        <v>17</v>
      </c>
      <c r="J188" s="14" t="s">
        <v>18</v>
      </c>
      <c r="K188" s="14">
        <v>284</v>
      </c>
      <c r="L188" s="15">
        <v>45361</v>
      </c>
      <c r="M188" s="16">
        <v>11</v>
      </c>
      <c r="N18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88" s="31" t="str">
        <f>IF(Table64[[#This Row],[date validity flag]]&lt;&gt;"Valid","",Table64[[#This Row],[shipment date ]]-Table64[[#This Row],[Order date]])</f>
        <v/>
      </c>
      <c r="P188" s="27" t="str">
        <f>TEXT(Table64[[#This Row],[Order date]],"mmm-yyyy")</f>
        <v>Apr-2024</v>
      </c>
      <c r="Q188" s="16" t="str">
        <f t="shared" si="2"/>
        <v/>
      </c>
    </row>
    <row r="189" spans="1:17" x14ac:dyDescent="0.3">
      <c r="A189" s="17">
        <v>10188</v>
      </c>
      <c r="B189" s="4">
        <v>5795</v>
      </c>
      <c r="C189" s="4" t="s">
        <v>16</v>
      </c>
      <c r="D189" s="5">
        <v>17211.38</v>
      </c>
      <c r="E189" s="4">
        <v>79</v>
      </c>
      <c r="F189" s="4" t="s">
        <v>23</v>
      </c>
      <c r="G189" s="6">
        <v>45361</v>
      </c>
      <c r="H189" s="5">
        <v>121814.39</v>
      </c>
      <c r="I189" s="18" t="s">
        <v>17</v>
      </c>
      <c r="J189" s="14" t="s">
        <v>18</v>
      </c>
      <c r="K189" s="14">
        <v>549</v>
      </c>
      <c r="L189" s="15">
        <v>45361</v>
      </c>
      <c r="M189" s="16">
        <v>13</v>
      </c>
      <c r="N1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89" s="31">
        <f>IF(Table64[[#This Row],[date validity flag]]&lt;&gt;"Valid","",Table64[[#This Row],[shipment date ]]-Table64[[#This Row],[Order date]])</f>
        <v>0</v>
      </c>
      <c r="P189" s="27" t="str">
        <f>TEXT(Table64[[#This Row],[Order date]],"mmm-yyyy")</f>
        <v>Mar-2024</v>
      </c>
      <c r="Q189" s="16" t="str">
        <f t="shared" si="2"/>
        <v>On Time</v>
      </c>
    </row>
    <row r="190" spans="1:17" x14ac:dyDescent="0.3">
      <c r="A190" s="12">
        <v>10189</v>
      </c>
      <c r="B190" s="1">
        <v>5393</v>
      </c>
      <c r="C190" s="1" t="s">
        <v>16</v>
      </c>
      <c r="D190" s="2">
        <v>23511.78</v>
      </c>
      <c r="E190" s="1">
        <v>86</v>
      </c>
      <c r="F190" s="1" t="s">
        <v>21</v>
      </c>
      <c r="G190" s="3">
        <v>45337</v>
      </c>
      <c r="H190" s="2">
        <v>97122.13</v>
      </c>
      <c r="I190" s="13" t="s">
        <v>14</v>
      </c>
      <c r="J190" s="14" t="s">
        <v>18</v>
      </c>
      <c r="K190" s="14">
        <v>338</v>
      </c>
      <c r="L190" s="15">
        <v>45361</v>
      </c>
      <c r="M190" s="16">
        <v>12</v>
      </c>
      <c r="N1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0" s="31">
        <f>IF(Table64[[#This Row],[date validity flag]]&lt;&gt;"Valid","",Table64[[#This Row],[shipment date ]]-Table64[[#This Row],[Order date]])</f>
        <v>24</v>
      </c>
      <c r="P190" s="27" t="str">
        <f>TEXT(Table64[[#This Row],[Order date]],"mmm-yyyy")</f>
        <v>Feb-2024</v>
      </c>
      <c r="Q190" s="16" t="str">
        <f t="shared" si="2"/>
        <v>Delayed</v>
      </c>
    </row>
    <row r="191" spans="1:17" x14ac:dyDescent="0.3">
      <c r="A191" s="17">
        <v>10190</v>
      </c>
      <c r="B191" s="4">
        <v>5207</v>
      </c>
      <c r="C191" s="4" t="s">
        <v>16</v>
      </c>
      <c r="D191" s="5">
        <v>61844.15</v>
      </c>
      <c r="E191" s="4">
        <v>92</v>
      </c>
      <c r="F191" s="4" t="s">
        <v>22</v>
      </c>
      <c r="G191" s="6">
        <v>45306</v>
      </c>
      <c r="H191" s="5">
        <v>84163.02</v>
      </c>
      <c r="I191" s="18" t="s">
        <v>17</v>
      </c>
      <c r="J191" s="14" t="s">
        <v>19</v>
      </c>
      <c r="K191" s="14">
        <v>559</v>
      </c>
      <c r="L191" s="15">
        <v>45332</v>
      </c>
      <c r="M191" s="16">
        <v>13</v>
      </c>
      <c r="N1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1" s="31">
        <f>IF(Table64[[#This Row],[date validity flag]]&lt;&gt;"Valid","",Table64[[#This Row],[shipment date ]]-Table64[[#This Row],[Order date]])</f>
        <v>26</v>
      </c>
      <c r="P191" s="27" t="str">
        <f>TEXT(Table64[[#This Row],[Order date]],"mmm-yyyy")</f>
        <v>Jan-2024</v>
      </c>
      <c r="Q191" s="16" t="str">
        <f t="shared" si="2"/>
        <v>Delayed</v>
      </c>
    </row>
    <row r="192" spans="1:17" x14ac:dyDescent="0.3">
      <c r="A192" s="12">
        <v>10191</v>
      </c>
      <c r="B192" s="1">
        <v>6039</v>
      </c>
      <c r="C192" s="1" t="s">
        <v>16</v>
      </c>
      <c r="D192" s="2">
        <v>78392.149999999994</v>
      </c>
      <c r="E192" s="1">
        <v>14</v>
      </c>
      <c r="F192" s="1" t="s">
        <v>21</v>
      </c>
      <c r="G192" s="3">
        <v>45306</v>
      </c>
      <c r="H192" s="2">
        <v>171960.14</v>
      </c>
      <c r="I192" s="13" t="s">
        <v>20</v>
      </c>
      <c r="J192" s="14" t="s">
        <v>15</v>
      </c>
      <c r="K192" s="14">
        <v>758</v>
      </c>
      <c r="L192" s="15">
        <v>45332</v>
      </c>
      <c r="M192" s="16">
        <v>10</v>
      </c>
      <c r="N1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2" s="31">
        <f>IF(Table64[[#This Row],[date validity flag]]&lt;&gt;"Valid","",Table64[[#This Row],[shipment date ]]-Table64[[#This Row],[Order date]])</f>
        <v>26</v>
      </c>
      <c r="P192" s="27" t="str">
        <f>TEXT(Table64[[#This Row],[Order date]],"mmm-yyyy")</f>
        <v>Jan-2024</v>
      </c>
      <c r="Q192" s="16" t="str">
        <f t="shared" si="2"/>
        <v>Delayed</v>
      </c>
    </row>
    <row r="193" spans="1:17" x14ac:dyDescent="0.3">
      <c r="A193" s="17">
        <v>10192</v>
      </c>
      <c r="B193" s="4">
        <v>6882</v>
      </c>
      <c r="C193" s="4" t="s">
        <v>16</v>
      </c>
      <c r="D193" s="5">
        <v>18429.099999999999</v>
      </c>
      <c r="E193" s="4">
        <v>27</v>
      </c>
      <c r="F193" s="4" t="s">
        <v>23</v>
      </c>
      <c r="G193" s="6">
        <v>45383</v>
      </c>
      <c r="H193" s="5">
        <v>27129.62</v>
      </c>
      <c r="I193" s="18" t="s">
        <v>17</v>
      </c>
      <c r="J193" s="14" t="s">
        <v>15</v>
      </c>
      <c r="K193" s="14">
        <v>834</v>
      </c>
      <c r="L193" s="15">
        <v>45361</v>
      </c>
      <c r="M193" s="16">
        <v>10</v>
      </c>
      <c r="N19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93" s="31" t="str">
        <f>IF(Table64[[#This Row],[date validity flag]]&lt;&gt;"Valid","",Table64[[#This Row],[shipment date ]]-Table64[[#This Row],[Order date]])</f>
        <v/>
      </c>
      <c r="P193" s="27" t="str">
        <f>TEXT(Table64[[#This Row],[Order date]],"mmm-yyyy")</f>
        <v>Apr-2024</v>
      </c>
      <c r="Q193" s="16" t="str">
        <f t="shared" si="2"/>
        <v/>
      </c>
    </row>
    <row r="194" spans="1:17" x14ac:dyDescent="0.3">
      <c r="A194" s="12">
        <v>10193</v>
      </c>
      <c r="B194" s="1">
        <v>6578</v>
      </c>
      <c r="C194" s="1" t="s">
        <v>16</v>
      </c>
      <c r="D194" s="2">
        <v>44049.91</v>
      </c>
      <c r="E194" s="1">
        <v>40</v>
      </c>
      <c r="F194" s="1" t="s">
        <v>13</v>
      </c>
      <c r="G194" s="3">
        <v>45306</v>
      </c>
      <c r="H194" s="2">
        <v>109650.28</v>
      </c>
      <c r="I194" s="13" t="s">
        <v>17</v>
      </c>
      <c r="J194" s="14" t="s">
        <v>19</v>
      </c>
      <c r="K194" s="14">
        <v>943</v>
      </c>
      <c r="L194" s="15">
        <v>45332</v>
      </c>
      <c r="M194" s="16">
        <v>13</v>
      </c>
      <c r="N1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4" s="31">
        <f>IF(Table64[[#This Row],[date validity flag]]&lt;&gt;"Valid","",Table64[[#This Row],[shipment date ]]-Table64[[#This Row],[Order date]])</f>
        <v>26</v>
      </c>
      <c r="P194" s="27" t="str">
        <f>TEXT(Table64[[#This Row],[Order date]],"mmm-yyyy")</f>
        <v>Jan-2024</v>
      </c>
      <c r="Q194" s="16" t="str">
        <f t="shared" ref="Q194:Q257" si="3">IF(O194="","",IF(O194&gt;0,"Delayed","On Time"))</f>
        <v>Delayed</v>
      </c>
    </row>
    <row r="195" spans="1:17" x14ac:dyDescent="0.3">
      <c r="A195" s="17">
        <v>10194</v>
      </c>
      <c r="B195" s="4">
        <v>5892</v>
      </c>
      <c r="C195" s="4" t="s">
        <v>16</v>
      </c>
      <c r="D195" s="5">
        <v>87922.82</v>
      </c>
      <c r="E195" s="4">
        <v>58</v>
      </c>
      <c r="F195" s="4" t="s">
        <v>22</v>
      </c>
      <c r="G195" s="6">
        <v>45337</v>
      </c>
      <c r="H195" s="5">
        <v>74074.929999999993</v>
      </c>
      <c r="I195" s="18" t="s">
        <v>17</v>
      </c>
      <c r="J195" s="14" t="s">
        <v>15</v>
      </c>
      <c r="K195" s="14">
        <v>825</v>
      </c>
      <c r="L195" s="15">
        <v>45361</v>
      </c>
      <c r="M195" s="16">
        <v>12</v>
      </c>
      <c r="N1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5" s="31">
        <f>IF(Table64[[#This Row],[date validity flag]]&lt;&gt;"Valid","",Table64[[#This Row],[shipment date ]]-Table64[[#This Row],[Order date]])</f>
        <v>24</v>
      </c>
      <c r="P195" s="27" t="str">
        <f>TEXT(Table64[[#This Row],[Order date]],"mmm-yyyy")</f>
        <v>Feb-2024</v>
      </c>
      <c r="Q195" s="16" t="str">
        <f t="shared" si="3"/>
        <v>Delayed</v>
      </c>
    </row>
    <row r="196" spans="1:17" x14ac:dyDescent="0.3">
      <c r="A196" s="12">
        <v>10195</v>
      </c>
      <c r="B196" s="1">
        <v>6485</v>
      </c>
      <c r="C196" s="1" t="s">
        <v>16</v>
      </c>
      <c r="D196" s="2">
        <v>40510.22</v>
      </c>
      <c r="E196" s="1">
        <v>28</v>
      </c>
      <c r="F196" s="1" t="s">
        <v>21</v>
      </c>
      <c r="G196" s="3">
        <v>45306</v>
      </c>
      <c r="H196" s="2">
        <v>126044.19</v>
      </c>
      <c r="I196" s="13" t="s">
        <v>20</v>
      </c>
      <c r="J196" s="14" t="s">
        <v>19</v>
      </c>
      <c r="K196" s="14">
        <v>347</v>
      </c>
      <c r="L196" s="15">
        <v>45332</v>
      </c>
      <c r="M196" s="16">
        <v>5</v>
      </c>
      <c r="N1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6" s="31">
        <f>IF(Table64[[#This Row],[date validity flag]]&lt;&gt;"Valid","",Table64[[#This Row],[shipment date ]]-Table64[[#This Row],[Order date]])</f>
        <v>26</v>
      </c>
      <c r="P196" s="27" t="str">
        <f>TEXT(Table64[[#This Row],[Order date]],"mmm-yyyy")</f>
        <v>Jan-2024</v>
      </c>
      <c r="Q196" s="16" t="str">
        <f t="shared" si="3"/>
        <v>Delayed</v>
      </c>
    </row>
    <row r="197" spans="1:17" x14ac:dyDescent="0.3">
      <c r="A197" s="17">
        <v>10196</v>
      </c>
      <c r="B197" s="4">
        <v>6715</v>
      </c>
      <c r="C197" s="4" t="s">
        <v>16</v>
      </c>
      <c r="D197" s="5">
        <v>15960.7</v>
      </c>
      <c r="E197" s="4">
        <v>26</v>
      </c>
      <c r="F197" s="4" t="s">
        <v>21</v>
      </c>
      <c r="G197" s="6">
        <v>45337</v>
      </c>
      <c r="H197" s="5">
        <v>21690.6</v>
      </c>
      <c r="I197" s="18" t="s">
        <v>14</v>
      </c>
      <c r="J197" s="14" t="s">
        <v>15</v>
      </c>
      <c r="K197" s="14">
        <v>186</v>
      </c>
      <c r="L197" s="15">
        <v>45332</v>
      </c>
      <c r="M197" s="16">
        <v>10</v>
      </c>
      <c r="N19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97" s="31" t="str">
        <f>IF(Table64[[#This Row],[date validity flag]]&lt;&gt;"Valid","",Table64[[#This Row],[shipment date ]]-Table64[[#This Row],[Order date]])</f>
        <v/>
      </c>
      <c r="P197" s="27" t="str">
        <f>TEXT(Table64[[#This Row],[Order date]],"mmm-yyyy")</f>
        <v>Feb-2024</v>
      </c>
      <c r="Q197" s="16" t="str">
        <f t="shared" si="3"/>
        <v/>
      </c>
    </row>
    <row r="198" spans="1:17" x14ac:dyDescent="0.3">
      <c r="A198" s="12">
        <v>10197</v>
      </c>
      <c r="B198" s="1">
        <v>6599</v>
      </c>
      <c r="C198" s="1" t="s">
        <v>12</v>
      </c>
      <c r="D198" s="2">
        <v>53282.48</v>
      </c>
      <c r="E198" s="1">
        <v>63</v>
      </c>
      <c r="F198" s="1" t="s">
        <v>23</v>
      </c>
      <c r="G198" s="3">
        <v>45306</v>
      </c>
      <c r="H198" s="2">
        <v>76981.97</v>
      </c>
      <c r="I198" s="13" t="s">
        <v>17</v>
      </c>
      <c r="J198" s="14" t="s">
        <v>18</v>
      </c>
      <c r="K198" s="14">
        <v>425</v>
      </c>
      <c r="L198" s="15">
        <v>45397</v>
      </c>
      <c r="M198" s="16">
        <v>4</v>
      </c>
      <c r="N1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8" s="31">
        <f>IF(Table64[[#This Row],[date validity flag]]&lt;&gt;"Valid","",Table64[[#This Row],[shipment date ]]-Table64[[#This Row],[Order date]])</f>
        <v>91</v>
      </c>
      <c r="P198" s="27" t="str">
        <f>TEXT(Table64[[#This Row],[Order date]],"mmm-yyyy")</f>
        <v>Jan-2024</v>
      </c>
      <c r="Q198" s="16" t="str">
        <f t="shared" si="3"/>
        <v>Delayed</v>
      </c>
    </row>
    <row r="199" spans="1:17" x14ac:dyDescent="0.3">
      <c r="A199" s="17">
        <v>10198</v>
      </c>
      <c r="B199" s="4">
        <v>5864</v>
      </c>
      <c r="C199" s="4" t="s">
        <v>16</v>
      </c>
      <c r="D199" s="5">
        <v>15559.16</v>
      </c>
      <c r="E199" s="4">
        <v>66</v>
      </c>
      <c r="F199" s="4" t="s">
        <v>22</v>
      </c>
      <c r="G199" s="6">
        <v>45361</v>
      </c>
      <c r="H199" s="5">
        <v>30410.94</v>
      </c>
      <c r="I199" s="18" t="s">
        <v>14</v>
      </c>
      <c r="J199" s="14" t="s">
        <v>15</v>
      </c>
      <c r="K199" s="14">
        <v>136</v>
      </c>
      <c r="L199" s="15">
        <v>45361</v>
      </c>
      <c r="M199" s="16">
        <v>2</v>
      </c>
      <c r="N1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99" s="31">
        <f>IF(Table64[[#This Row],[date validity flag]]&lt;&gt;"Valid","",Table64[[#This Row],[shipment date ]]-Table64[[#This Row],[Order date]])</f>
        <v>0</v>
      </c>
      <c r="P199" s="27" t="str">
        <f>TEXT(Table64[[#This Row],[Order date]],"mmm-yyyy")</f>
        <v>Mar-2024</v>
      </c>
      <c r="Q199" s="16" t="str">
        <f t="shared" si="3"/>
        <v>On Time</v>
      </c>
    </row>
    <row r="200" spans="1:17" x14ac:dyDescent="0.3">
      <c r="A200" s="12">
        <v>10199</v>
      </c>
      <c r="B200" s="1">
        <v>5743</v>
      </c>
      <c r="C200" s="1" t="s">
        <v>16</v>
      </c>
      <c r="D200" s="2">
        <v>75450.42</v>
      </c>
      <c r="E200" s="1">
        <v>25</v>
      </c>
      <c r="F200" s="1" t="s">
        <v>13</v>
      </c>
      <c r="G200" s="3">
        <v>45383</v>
      </c>
      <c r="H200" s="2">
        <v>162123.01</v>
      </c>
      <c r="I200" s="13" t="s">
        <v>17</v>
      </c>
      <c r="J200" s="14" t="s">
        <v>19</v>
      </c>
      <c r="K200" s="14">
        <v>1492</v>
      </c>
      <c r="L200" s="15">
        <v>45397</v>
      </c>
      <c r="M200" s="16">
        <v>4</v>
      </c>
      <c r="N2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0" s="31">
        <f>IF(Table64[[#This Row],[date validity flag]]&lt;&gt;"Valid","",Table64[[#This Row],[shipment date ]]-Table64[[#This Row],[Order date]])</f>
        <v>14</v>
      </c>
      <c r="P200" s="27" t="str">
        <f>TEXT(Table64[[#This Row],[Order date]],"mmm-yyyy")</f>
        <v>Apr-2024</v>
      </c>
      <c r="Q200" s="16" t="str">
        <f t="shared" si="3"/>
        <v>Delayed</v>
      </c>
    </row>
    <row r="201" spans="1:17" x14ac:dyDescent="0.3">
      <c r="A201" s="17">
        <v>10200</v>
      </c>
      <c r="B201" s="4">
        <v>6265</v>
      </c>
      <c r="C201" s="4" t="s">
        <v>16</v>
      </c>
      <c r="D201" s="5">
        <v>26334.99</v>
      </c>
      <c r="E201" s="4">
        <v>3</v>
      </c>
      <c r="F201" s="4" t="s">
        <v>21</v>
      </c>
      <c r="G201" s="6">
        <v>45383</v>
      </c>
      <c r="H201" s="5">
        <v>62722.57</v>
      </c>
      <c r="I201" s="18" t="s">
        <v>20</v>
      </c>
      <c r="J201" s="14" t="s">
        <v>19</v>
      </c>
      <c r="K201" s="14">
        <v>1272</v>
      </c>
      <c r="L201" s="15">
        <v>45397</v>
      </c>
      <c r="M201" s="16">
        <v>12</v>
      </c>
      <c r="N2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1" s="31">
        <f>IF(Table64[[#This Row],[date validity flag]]&lt;&gt;"Valid","",Table64[[#This Row],[shipment date ]]-Table64[[#This Row],[Order date]])</f>
        <v>14</v>
      </c>
      <c r="P201" s="27" t="str">
        <f>TEXT(Table64[[#This Row],[Order date]],"mmm-yyyy")</f>
        <v>Apr-2024</v>
      </c>
      <c r="Q201" s="16" t="str">
        <f t="shared" si="3"/>
        <v>Delayed</v>
      </c>
    </row>
    <row r="202" spans="1:17" x14ac:dyDescent="0.3">
      <c r="A202" s="12">
        <v>10201</v>
      </c>
      <c r="B202" s="1">
        <v>5564</v>
      </c>
      <c r="C202" s="1" t="s">
        <v>16</v>
      </c>
      <c r="D202" s="2">
        <v>87373.72</v>
      </c>
      <c r="E202" s="1">
        <v>72</v>
      </c>
      <c r="F202" s="1" t="s">
        <v>22</v>
      </c>
      <c r="G202" s="3">
        <v>45361</v>
      </c>
      <c r="H202" s="2">
        <v>127914.06</v>
      </c>
      <c r="I202" s="13" t="s">
        <v>14</v>
      </c>
      <c r="J202" s="14" t="s">
        <v>18</v>
      </c>
      <c r="K202" s="14">
        <v>486</v>
      </c>
      <c r="L202" s="15">
        <v>45361</v>
      </c>
      <c r="M202" s="16">
        <v>8</v>
      </c>
      <c r="N2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2" s="31">
        <f>IF(Table64[[#This Row],[date validity flag]]&lt;&gt;"Valid","",Table64[[#This Row],[shipment date ]]-Table64[[#This Row],[Order date]])</f>
        <v>0</v>
      </c>
      <c r="P202" s="27" t="str">
        <f>TEXT(Table64[[#This Row],[Order date]],"mmm-yyyy")</f>
        <v>Mar-2024</v>
      </c>
      <c r="Q202" s="16" t="str">
        <f t="shared" si="3"/>
        <v>On Time</v>
      </c>
    </row>
    <row r="203" spans="1:17" x14ac:dyDescent="0.3">
      <c r="A203" s="17">
        <v>10202</v>
      </c>
      <c r="B203" s="4">
        <v>6021</v>
      </c>
      <c r="C203" s="4" t="s">
        <v>16</v>
      </c>
      <c r="D203" s="5">
        <v>23459.41</v>
      </c>
      <c r="E203" s="4">
        <v>44</v>
      </c>
      <c r="F203" s="4" t="s">
        <v>13</v>
      </c>
      <c r="G203" s="6">
        <v>45361</v>
      </c>
      <c r="H203" s="5">
        <v>17464.53</v>
      </c>
      <c r="I203" s="18" t="s">
        <v>17</v>
      </c>
      <c r="J203" s="14" t="s">
        <v>19</v>
      </c>
      <c r="K203" s="14">
        <v>1383</v>
      </c>
      <c r="L203" s="15">
        <v>45361</v>
      </c>
      <c r="M203" s="16">
        <v>5</v>
      </c>
      <c r="N2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3" s="31">
        <f>IF(Table64[[#This Row],[date validity flag]]&lt;&gt;"Valid","",Table64[[#This Row],[shipment date ]]-Table64[[#This Row],[Order date]])</f>
        <v>0</v>
      </c>
      <c r="P203" s="27" t="str">
        <f>TEXT(Table64[[#This Row],[Order date]],"mmm-yyyy")</f>
        <v>Mar-2024</v>
      </c>
      <c r="Q203" s="16" t="str">
        <f t="shared" si="3"/>
        <v>On Time</v>
      </c>
    </row>
    <row r="204" spans="1:17" x14ac:dyDescent="0.3">
      <c r="A204" s="12">
        <v>10203</v>
      </c>
      <c r="B204" s="1">
        <v>5096</v>
      </c>
      <c r="C204" s="1" t="s">
        <v>16</v>
      </c>
      <c r="D204" s="2">
        <v>31512.18</v>
      </c>
      <c r="E204" s="1">
        <v>97</v>
      </c>
      <c r="F204" s="1" t="s">
        <v>21</v>
      </c>
      <c r="G204" s="3">
        <v>45383</v>
      </c>
      <c r="H204" s="2">
        <v>19864.27</v>
      </c>
      <c r="I204" s="13" t="s">
        <v>17</v>
      </c>
      <c r="J204" s="14" t="s">
        <v>15</v>
      </c>
      <c r="K204" s="14">
        <v>1354</v>
      </c>
      <c r="L204" s="15">
        <v>45332</v>
      </c>
      <c r="M204" s="16">
        <v>5</v>
      </c>
      <c r="N20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04" s="31" t="str">
        <f>IF(Table64[[#This Row],[date validity flag]]&lt;&gt;"Valid","",Table64[[#This Row],[shipment date ]]-Table64[[#This Row],[Order date]])</f>
        <v/>
      </c>
      <c r="P204" s="27" t="str">
        <f>TEXT(Table64[[#This Row],[Order date]],"mmm-yyyy")</f>
        <v>Apr-2024</v>
      </c>
      <c r="Q204" s="16" t="str">
        <f t="shared" si="3"/>
        <v/>
      </c>
    </row>
    <row r="205" spans="1:17" x14ac:dyDescent="0.3">
      <c r="A205" s="17">
        <v>10204</v>
      </c>
      <c r="B205" s="4">
        <v>6924</v>
      </c>
      <c r="C205" s="4" t="s">
        <v>12</v>
      </c>
      <c r="D205" s="5">
        <v>33443.919999999998</v>
      </c>
      <c r="E205" s="4">
        <v>42</v>
      </c>
      <c r="F205" s="4" t="s">
        <v>21</v>
      </c>
      <c r="G205" s="6">
        <v>45361</v>
      </c>
      <c r="H205" s="5">
        <v>20904.95</v>
      </c>
      <c r="I205" s="18" t="s">
        <v>17</v>
      </c>
      <c r="J205" s="14" t="s">
        <v>15</v>
      </c>
      <c r="K205" s="14">
        <v>1396</v>
      </c>
      <c r="L205" s="15">
        <v>45361</v>
      </c>
      <c r="M205" s="16">
        <v>13</v>
      </c>
      <c r="N2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5" s="31">
        <f>IF(Table64[[#This Row],[date validity flag]]&lt;&gt;"Valid","",Table64[[#This Row],[shipment date ]]-Table64[[#This Row],[Order date]])</f>
        <v>0</v>
      </c>
      <c r="P205" s="27" t="str">
        <f>TEXT(Table64[[#This Row],[Order date]],"mmm-yyyy")</f>
        <v>Mar-2024</v>
      </c>
      <c r="Q205" s="16" t="str">
        <f t="shared" si="3"/>
        <v>On Time</v>
      </c>
    </row>
    <row r="206" spans="1:17" x14ac:dyDescent="0.3">
      <c r="A206" s="12">
        <v>10205</v>
      </c>
      <c r="B206" s="1">
        <v>6758</v>
      </c>
      <c r="C206" s="1" t="s">
        <v>12</v>
      </c>
      <c r="D206" s="2">
        <v>33859.980000000003</v>
      </c>
      <c r="E206" s="1">
        <v>99</v>
      </c>
      <c r="F206" s="1" t="s">
        <v>13</v>
      </c>
      <c r="G206" s="3">
        <v>45337</v>
      </c>
      <c r="H206" s="2">
        <v>85958.9</v>
      </c>
      <c r="I206" s="13" t="s">
        <v>17</v>
      </c>
      <c r="J206" s="14" t="s">
        <v>18</v>
      </c>
      <c r="K206" s="14">
        <v>813</v>
      </c>
      <c r="L206" s="15">
        <v>45397</v>
      </c>
      <c r="M206" s="16">
        <v>12</v>
      </c>
      <c r="N2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6" s="31">
        <f>IF(Table64[[#This Row],[date validity flag]]&lt;&gt;"Valid","",Table64[[#This Row],[shipment date ]]-Table64[[#This Row],[Order date]])</f>
        <v>60</v>
      </c>
      <c r="P206" s="27" t="str">
        <f>TEXT(Table64[[#This Row],[Order date]],"mmm-yyyy")</f>
        <v>Feb-2024</v>
      </c>
      <c r="Q206" s="16" t="str">
        <f t="shared" si="3"/>
        <v>Delayed</v>
      </c>
    </row>
    <row r="207" spans="1:17" x14ac:dyDescent="0.3">
      <c r="A207" s="17">
        <v>10206</v>
      </c>
      <c r="B207" s="4">
        <v>5485</v>
      </c>
      <c r="C207" s="4" t="s">
        <v>16</v>
      </c>
      <c r="D207" s="5">
        <v>26980.97</v>
      </c>
      <c r="E207" s="4">
        <v>6</v>
      </c>
      <c r="F207" s="4" t="s">
        <v>13</v>
      </c>
      <c r="G207" s="6">
        <v>45306</v>
      </c>
      <c r="H207" s="5">
        <v>142516.35</v>
      </c>
      <c r="I207" s="18" t="s">
        <v>17</v>
      </c>
      <c r="J207" s="14" t="s">
        <v>19</v>
      </c>
      <c r="K207" s="14">
        <v>751</v>
      </c>
      <c r="L207" s="15">
        <v>45397</v>
      </c>
      <c r="M207" s="16">
        <v>12</v>
      </c>
      <c r="N2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7" s="31">
        <f>IF(Table64[[#This Row],[date validity flag]]&lt;&gt;"Valid","",Table64[[#This Row],[shipment date ]]-Table64[[#This Row],[Order date]])</f>
        <v>91</v>
      </c>
      <c r="P207" s="27" t="str">
        <f>TEXT(Table64[[#This Row],[Order date]],"mmm-yyyy")</f>
        <v>Jan-2024</v>
      </c>
      <c r="Q207" s="16" t="str">
        <f t="shared" si="3"/>
        <v>Delayed</v>
      </c>
    </row>
    <row r="208" spans="1:17" x14ac:dyDescent="0.3">
      <c r="A208" s="12">
        <v>10207</v>
      </c>
      <c r="B208" s="1">
        <v>6431</v>
      </c>
      <c r="C208" s="1" t="s">
        <v>12</v>
      </c>
      <c r="D208" s="2">
        <v>17556.240000000002</v>
      </c>
      <c r="E208" s="1">
        <v>39</v>
      </c>
      <c r="F208" s="1" t="s">
        <v>23</v>
      </c>
      <c r="G208" s="3">
        <v>45383</v>
      </c>
      <c r="H208" s="2">
        <v>165724.37</v>
      </c>
      <c r="I208" s="13" t="s">
        <v>20</v>
      </c>
      <c r="J208" s="14" t="s">
        <v>18</v>
      </c>
      <c r="K208" s="14">
        <v>991</v>
      </c>
      <c r="L208" s="15">
        <v>45361</v>
      </c>
      <c r="M208" s="16">
        <v>10</v>
      </c>
      <c r="N20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08" s="31" t="str">
        <f>IF(Table64[[#This Row],[date validity flag]]&lt;&gt;"Valid","",Table64[[#This Row],[shipment date ]]-Table64[[#This Row],[Order date]])</f>
        <v/>
      </c>
      <c r="P208" s="27" t="str">
        <f>TEXT(Table64[[#This Row],[Order date]],"mmm-yyyy")</f>
        <v>Apr-2024</v>
      </c>
      <c r="Q208" s="16" t="str">
        <f t="shared" si="3"/>
        <v/>
      </c>
    </row>
    <row r="209" spans="1:17" x14ac:dyDescent="0.3">
      <c r="A209" s="17">
        <v>10208</v>
      </c>
      <c r="B209" s="4">
        <v>5231</v>
      </c>
      <c r="C209" s="4" t="s">
        <v>16</v>
      </c>
      <c r="D209" s="5">
        <v>21081.58</v>
      </c>
      <c r="E209" s="4">
        <v>52</v>
      </c>
      <c r="F209" s="4" t="s">
        <v>22</v>
      </c>
      <c r="G209" s="6">
        <v>45361</v>
      </c>
      <c r="H209" s="5">
        <v>81779.360000000001</v>
      </c>
      <c r="I209" s="18" t="s">
        <v>14</v>
      </c>
      <c r="J209" s="14" t="s">
        <v>15</v>
      </c>
      <c r="K209" s="14">
        <v>201</v>
      </c>
      <c r="L209" s="15">
        <v>45397</v>
      </c>
      <c r="M209" s="16">
        <v>3</v>
      </c>
      <c r="N2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09" s="31">
        <f>IF(Table64[[#This Row],[date validity flag]]&lt;&gt;"Valid","",Table64[[#This Row],[shipment date ]]-Table64[[#This Row],[Order date]])</f>
        <v>36</v>
      </c>
      <c r="P209" s="27" t="str">
        <f>TEXT(Table64[[#This Row],[Order date]],"mmm-yyyy")</f>
        <v>Mar-2024</v>
      </c>
      <c r="Q209" s="16" t="str">
        <f t="shared" si="3"/>
        <v>Delayed</v>
      </c>
    </row>
    <row r="210" spans="1:17" x14ac:dyDescent="0.3">
      <c r="A210" s="12">
        <v>10209</v>
      </c>
      <c r="B210" s="1">
        <v>5749</v>
      </c>
      <c r="C210" s="1" t="s">
        <v>16</v>
      </c>
      <c r="D210" s="2">
        <v>77602.34</v>
      </c>
      <c r="E210" s="1">
        <v>23</v>
      </c>
      <c r="F210" s="1" t="s">
        <v>22</v>
      </c>
      <c r="G210" s="3">
        <v>45337</v>
      </c>
      <c r="H210" s="2">
        <v>140996.92000000001</v>
      </c>
      <c r="I210" s="13" t="s">
        <v>17</v>
      </c>
      <c r="J210" s="14" t="s">
        <v>18</v>
      </c>
      <c r="K210" s="14">
        <v>1375</v>
      </c>
      <c r="L210" s="15">
        <v>45332</v>
      </c>
      <c r="M210" s="16">
        <v>13</v>
      </c>
      <c r="N21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10" s="31" t="str">
        <f>IF(Table64[[#This Row],[date validity flag]]&lt;&gt;"Valid","",Table64[[#This Row],[shipment date ]]-Table64[[#This Row],[Order date]])</f>
        <v/>
      </c>
      <c r="P210" s="27" t="str">
        <f>TEXT(Table64[[#This Row],[Order date]],"mmm-yyyy")</f>
        <v>Feb-2024</v>
      </c>
      <c r="Q210" s="16" t="str">
        <f t="shared" si="3"/>
        <v/>
      </c>
    </row>
    <row r="211" spans="1:17" x14ac:dyDescent="0.3">
      <c r="A211" s="17">
        <v>10210</v>
      </c>
      <c r="B211" s="4">
        <v>6679</v>
      </c>
      <c r="C211" s="4" t="s">
        <v>12</v>
      </c>
      <c r="D211" s="5">
        <v>27148.92</v>
      </c>
      <c r="E211" s="4">
        <v>89</v>
      </c>
      <c r="F211" s="4" t="s">
        <v>23</v>
      </c>
      <c r="G211" s="6">
        <v>45383</v>
      </c>
      <c r="H211" s="5">
        <v>103310.96</v>
      </c>
      <c r="I211" s="18" t="s">
        <v>17</v>
      </c>
      <c r="J211" s="14" t="s">
        <v>19</v>
      </c>
      <c r="K211" s="14">
        <v>1351</v>
      </c>
      <c r="L211" s="15">
        <v>45397</v>
      </c>
      <c r="M211" s="16">
        <v>8</v>
      </c>
      <c r="N2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11" s="31">
        <f>IF(Table64[[#This Row],[date validity flag]]&lt;&gt;"Valid","",Table64[[#This Row],[shipment date ]]-Table64[[#This Row],[Order date]])</f>
        <v>14</v>
      </c>
      <c r="P211" s="27" t="str">
        <f>TEXT(Table64[[#This Row],[Order date]],"mmm-yyyy")</f>
        <v>Apr-2024</v>
      </c>
      <c r="Q211" s="16" t="str">
        <f t="shared" si="3"/>
        <v>Delayed</v>
      </c>
    </row>
    <row r="212" spans="1:17" x14ac:dyDescent="0.3">
      <c r="A212" s="12">
        <v>10211</v>
      </c>
      <c r="B212" s="1">
        <v>6195</v>
      </c>
      <c r="C212" s="1" t="s">
        <v>16</v>
      </c>
      <c r="D212" s="2">
        <v>68361.100000000006</v>
      </c>
      <c r="E212" s="1">
        <v>50</v>
      </c>
      <c r="F212" s="1" t="s">
        <v>21</v>
      </c>
      <c r="G212" s="3">
        <v>45361</v>
      </c>
      <c r="H212" s="2">
        <v>90132.57</v>
      </c>
      <c r="I212" s="13" t="s">
        <v>17</v>
      </c>
      <c r="J212" s="14" t="s">
        <v>18</v>
      </c>
      <c r="K212" s="14">
        <v>1081</v>
      </c>
      <c r="L212" s="15">
        <v>45332</v>
      </c>
      <c r="M212" s="16">
        <v>6</v>
      </c>
      <c r="N21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12" s="31" t="str">
        <f>IF(Table64[[#This Row],[date validity flag]]&lt;&gt;"Valid","",Table64[[#This Row],[shipment date ]]-Table64[[#This Row],[Order date]])</f>
        <v/>
      </c>
      <c r="P212" s="27" t="str">
        <f>TEXT(Table64[[#This Row],[Order date]],"mmm-yyyy")</f>
        <v>Mar-2024</v>
      </c>
      <c r="Q212" s="16" t="str">
        <f t="shared" si="3"/>
        <v/>
      </c>
    </row>
    <row r="213" spans="1:17" x14ac:dyDescent="0.3">
      <c r="A213" s="17">
        <v>10212</v>
      </c>
      <c r="B213" s="4">
        <v>5541</v>
      </c>
      <c r="C213" s="4" t="s">
        <v>16</v>
      </c>
      <c r="D213" s="5">
        <v>32646.74</v>
      </c>
      <c r="E213" s="4">
        <v>43</v>
      </c>
      <c r="F213" s="4" t="s">
        <v>13</v>
      </c>
      <c r="G213" s="6">
        <v>45383</v>
      </c>
      <c r="H213" s="5">
        <v>95828.55</v>
      </c>
      <c r="I213" s="18" t="s">
        <v>14</v>
      </c>
      <c r="J213" s="14" t="s">
        <v>19</v>
      </c>
      <c r="K213" s="14">
        <v>856</v>
      </c>
      <c r="L213" s="15">
        <v>45397</v>
      </c>
      <c r="M213" s="16">
        <v>2</v>
      </c>
      <c r="N2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13" s="31">
        <f>IF(Table64[[#This Row],[date validity flag]]&lt;&gt;"Valid","",Table64[[#This Row],[shipment date ]]-Table64[[#This Row],[Order date]])</f>
        <v>14</v>
      </c>
      <c r="P213" s="27" t="str">
        <f>TEXT(Table64[[#This Row],[Order date]],"mmm-yyyy")</f>
        <v>Apr-2024</v>
      </c>
      <c r="Q213" s="16" t="str">
        <f t="shared" si="3"/>
        <v>Delayed</v>
      </c>
    </row>
    <row r="214" spans="1:17" x14ac:dyDescent="0.3">
      <c r="A214" s="12">
        <v>10213</v>
      </c>
      <c r="B214" s="1">
        <v>6060</v>
      </c>
      <c r="C214" s="1" t="s">
        <v>16</v>
      </c>
      <c r="D214" s="2">
        <v>57407.24</v>
      </c>
      <c r="E214" s="1">
        <v>19</v>
      </c>
      <c r="F214" s="1" t="s">
        <v>13</v>
      </c>
      <c r="G214" s="3">
        <v>45361</v>
      </c>
      <c r="H214" s="2">
        <v>64189.79</v>
      </c>
      <c r="I214" s="13" t="s">
        <v>17</v>
      </c>
      <c r="J214" s="14" t="s">
        <v>19</v>
      </c>
      <c r="K214" s="14">
        <v>284</v>
      </c>
      <c r="L214" s="15">
        <v>45332</v>
      </c>
      <c r="M214" s="16">
        <v>2</v>
      </c>
      <c r="N21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14" s="31" t="str">
        <f>IF(Table64[[#This Row],[date validity flag]]&lt;&gt;"Valid","",Table64[[#This Row],[shipment date ]]-Table64[[#This Row],[Order date]])</f>
        <v/>
      </c>
      <c r="P214" s="27" t="str">
        <f>TEXT(Table64[[#This Row],[Order date]],"mmm-yyyy")</f>
        <v>Mar-2024</v>
      </c>
      <c r="Q214" s="16" t="str">
        <f t="shared" si="3"/>
        <v/>
      </c>
    </row>
    <row r="215" spans="1:17" x14ac:dyDescent="0.3">
      <c r="A215" s="17">
        <v>10214</v>
      </c>
      <c r="B215" s="4">
        <v>5525</v>
      </c>
      <c r="C215" s="4" t="s">
        <v>16</v>
      </c>
      <c r="D215" s="5">
        <v>9144.77</v>
      </c>
      <c r="E215" s="4">
        <v>69</v>
      </c>
      <c r="F215" s="4" t="s">
        <v>13</v>
      </c>
      <c r="G215" s="6">
        <v>45383</v>
      </c>
      <c r="H215" s="5">
        <v>57188.38</v>
      </c>
      <c r="I215" s="18" t="s">
        <v>17</v>
      </c>
      <c r="J215" s="14" t="s">
        <v>15</v>
      </c>
      <c r="K215" s="14">
        <v>724</v>
      </c>
      <c r="L215" s="15">
        <v>45332</v>
      </c>
      <c r="M215" s="16">
        <v>9</v>
      </c>
      <c r="N21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15" s="31" t="str">
        <f>IF(Table64[[#This Row],[date validity flag]]&lt;&gt;"Valid","",Table64[[#This Row],[shipment date ]]-Table64[[#This Row],[Order date]])</f>
        <v/>
      </c>
      <c r="P215" s="27" t="str">
        <f>TEXT(Table64[[#This Row],[Order date]],"mmm-yyyy")</f>
        <v>Apr-2024</v>
      </c>
      <c r="Q215" s="16" t="str">
        <f t="shared" si="3"/>
        <v/>
      </c>
    </row>
    <row r="216" spans="1:17" x14ac:dyDescent="0.3">
      <c r="A216" s="12">
        <v>10215</v>
      </c>
      <c r="B216" s="1">
        <v>6184</v>
      </c>
      <c r="C216" s="1" t="s">
        <v>16</v>
      </c>
      <c r="D216" s="2">
        <v>19647.22</v>
      </c>
      <c r="E216" s="1">
        <v>51</v>
      </c>
      <c r="F216" s="1" t="s">
        <v>21</v>
      </c>
      <c r="G216" s="3">
        <v>45337</v>
      </c>
      <c r="H216" s="2">
        <v>63944.49</v>
      </c>
      <c r="I216" s="13" t="s">
        <v>14</v>
      </c>
      <c r="J216" s="14" t="s">
        <v>15</v>
      </c>
      <c r="K216" s="14">
        <v>610</v>
      </c>
      <c r="L216" s="15">
        <v>45361</v>
      </c>
      <c r="M216" s="16">
        <v>13</v>
      </c>
      <c r="N2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16" s="31">
        <f>IF(Table64[[#This Row],[date validity flag]]&lt;&gt;"Valid","",Table64[[#This Row],[shipment date ]]-Table64[[#This Row],[Order date]])</f>
        <v>24</v>
      </c>
      <c r="P216" s="27" t="str">
        <f>TEXT(Table64[[#This Row],[Order date]],"mmm-yyyy")</f>
        <v>Feb-2024</v>
      </c>
      <c r="Q216" s="16" t="str">
        <f t="shared" si="3"/>
        <v>Delayed</v>
      </c>
    </row>
    <row r="217" spans="1:17" x14ac:dyDescent="0.3">
      <c r="A217" s="17">
        <v>10216</v>
      </c>
      <c r="B217" s="4">
        <v>6863</v>
      </c>
      <c r="C217" s="4" t="s">
        <v>12</v>
      </c>
      <c r="D217" s="5">
        <v>80684.77</v>
      </c>
      <c r="E217" s="4">
        <v>11</v>
      </c>
      <c r="F217" s="4" t="s">
        <v>13</v>
      </c>
      <c r="G217" s="6">
        <v>45337</v>
      </c>
      <c r="H217" s="5">
        <v>21488.15</v>
      </c>
      <c r="I217" s="18" t="s">
        <v>20</v>
      </c>
      <c r="J217" s="14" t="s">
        <v>15</v>
      </c>
      <c r="K217" s="14">
        <v>1375</v>
      </c>
      <c r="L217" s="15">
        <v>45332</v>
      </c>
      <c r="M217" s="16">
        <v>7</v>
      </c>
      <c r="N21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17" s="31" t="str">
        <f>IF(Table64[[#This Row],[date validity flag]]&lt;&gt;"Valid","",Table64[[#This Row],[shipment date ]]-Table64[[#This Row],[Order date]])</f>
        <v/>
      </c>
      <c r="P217" s="27" t="str">
        <f>TEXT(Table64[[#This Row],[Order date]],"mmm-yyyy")</f>
        <v>Feb-2024</v>
      </c>
      <c r="Q217" s="16" t="str">
        <f t="shared" si="3"/>
        <v/>
      </c>
    </row>
    <row r="218" spans="1:17" x14ac:dyDescent="0.3">
      <c r="A218" s="12">
        <v>10217</v>
      </c>
      <c r="B218" s="1">
        <v>6723</v>
      </c>
      <c r="C218" s="1" t="s">
        <v>16</v>
      </c>
      <c r="D218" s="2">
        <v>90640.78</v>
      </c>
      <c r="E218" s="1">
        <v>12</v>
      </c>
      <c r="F218" s="1" t="s">
        <v>13</v>
      </c>
      <c r="G218" s="3">
        <v>45306</v>
      </c>
      <c r="H218" s="2">
        <v>122412.98</v>
      </c>
      <c r="I218" s="13" t="s">
        <v>20</v>
      </c>
      <c r="J218" s="14" t="s">
        <v>19</v>
      </c>
      <c r="K218" s="14">
        <v>87</v>
      </c>
      <c r="L218" s="15">
        <v>45361</v>
      </c>
      <c r="M218" s="16">
        <v>10</v>
      </c>
      <c r="N2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18" s="31">
        <f>IF(Table64[[#This Row],[date validity flag]]&lt;&gt;"Valid","",Table64[[#This Row],[shipment date ]]-Table64[[#This Row],[Order date]])</f>
        <v>55</v>
      </c>
      <c r="P218" s="27" t="str">
        <f>TEXT(Table64[[#This Row],[Order date]],"mmm-yyyy")</f>
        <v>Jan-2024</v>
      </c>
      <c r="Q218" s="16" t="str">
        <f t="shared" si="3"/>
        <v>Delayed</v>
      </c>
    </row>
    <row r="219" spans="1:17" x14ac:dyDescent="0.3">
      <c r="A219" s="17">
        <v>10218</v>
      </c>
      <c r="B219" s="4">
        <v>6267</v>
      </c>
      <c r="C219" s="4" t="s">
        <v>16</v>
      </c>
      <c r="D219" s="5">
        <v>51994.68</v>
      </c>
      <c r="E219" s="4">
        <v>74</v>
      </c>
      <c r="F219" s="4" t="s">
        <v>23</v>
      </c>
      <c r="G219" s="6">
        <v>45383</v>
      </c>
      <c r="H219" s="5">
        <v>14504.2</v>
      </c>
      <c r="I219" s="18" t="s">
        <v>20</v>
      </c>
      <c r="J219" s="14" t="s">
        <v>18</v>
      </c>
      <c r="K219" s="14">
        <v>1209</v>
      </c>
      <c r="L219" s="15">
        <v>45397</v>
      </c>
      <c r="M219" s="16">
        <v>9</v>
      </c>
      <c r="N2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19" s="31">
        <f>IF(Table64[[#This Row],[date validity flag]]&lt;&gt;"Valid","",Table64[[#This Row],[shipment date ]]-Table64[[#This Row],[Order date]])</f>
        <v>14</v>
      </c>
      <c r="P219" s="27" t="str">
        <f>TEXT(Table64[[#This Row],[Order date]],"mmm-yyyy")</f>
        <v>Apr-2024</v>
      </c>
      <c r="Q219" s="16" t="str">
        <f t="shared" si="3"/>
        <v>Delayed</v>
      </c>
    </row>
    <row r="220" spans="1:17" x14ac:dyDescent="0.3">
      <c r="A220" s="12">
        <v>10219</v>
      </c>
      <c r="B220" s="1">
        <v>6110</v>
      </c>
      <c r="C220" s="1" t="s">
        <v>16</v>
      </c>
      <c r="D220" s="2">
        <v>25642.82</v>
      </c>
      <c r="E220" s="1">
        <v>8</v>
      </c>
      <c r="F220" s="1" t="s">
        <v>21</v>
      </c>
      <c r="G220" s="3">
        <v>45306</v>
      </c>
      <c r="H220" s="2">
        <v>41413.54</v>
      </c>
      <c r="I220" s="13" t="s">
        <v>17</v>
      </c>
      <c r="J220" s="14" t="s">
        <v>19</v>
      </c>
      <c r="K220" s="14">
        <v>871</v>
      </c>
      <c r="L220" s="15">
        <v>45397</v>
      </c>
      <c r="M220" s="16">
        <v>14</v>
      </c>
      <c r="N2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0" s="31">
        <f>IF(Table64[[#This Row],[date validity flag]]&lt;&gt;"Valid","",Table64[[#This Row],[shipment date ]]-Table64[[#This Row],[Order date]])</f>
        <v>91</v>
      </c>
      <c r="P220" s="27" t="str">
        <f>TEXT(Table64[[#This Row],[Order date]],"mmm-yyyy")</f>
        <v>Jan-2024</v>
      </c>
      <c r="Q220" s="16" t="str">
        <f t="shared" si="3"/>
        <v>Delayed</v>
      </c>
    </row>
    <row r="221" spans="1:17" x14ac:dyDescent="0.3">
      <c r="A221" s="17">
        <v>10220</v>
      </c>
      <c r="B221" s="4">
        <v>6820</v>
      </c>
      <c r="C221" s="4" t="s">
        <v>12</v>
      </c>
      <c r="D221" s="5">
        <v>13598.96</v>
      </c>
      <c r="E221" s="4">
        <v>24</v>
      </c>
      <c r="F221" s="4" t="s">
        <v>22</v>
      </c>
      <c r="G221" s="6">
        <v>45383</v>
      </c>
      <c r="H221" s="5">
        <v>118196.56</v>
      </c>
      <c r="I221" s="18" t="s">
        <v>14</v>
      </c>
      <c r="J221" s="14" t="s">
        <v>15</v>
      </c>
      <c r="K221" s="14">
        <v>470</v>
      </c>
      <c r="L221" s="15">
        <v>45397</v>
      </c>
      <c r="M221" s="16">
        <v>6</v>
      </c>
      <c r="N2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1" s="31">
        <f>IF(Table64[[#This Row],[date validity flag]]&lt;&gt;"Valid","",Table64[[#This Row],[shipment date ]]-Table64[[#This Row],[Order date]])</f>
        <v>14</v>
      </c>
      <c r="P221" s="27" t="str">
        <f>TEXT(Table64[[#This Row],[Order date]],"mmm-yyyy")</f>
        <v>Apr-2024</v>
      </c>
      <c r="Q221" s="16" t="str">
        <f t="shared" si="3"/>
        <v>Delayed</v>
      </c>
    </row>
    <row r="222" spans="1:17" x14ac:dyDescent="0.3">
      <c r="A222" s="12">
        <v>10221</v>
      </c>
      <c r="B222" s="1">
        <v>5578</v>
      </c>
      <c r="C222" s="1" t="s">
        <v>16</v>
      </c>
      <c r="D222" s="2">
        <v>93358.2</v>
      </c>
      <c r="E222" s="1">
        <v>92</v>
      </c>
      <c r="F222" s="1" t="s">
        <v>23</v>
      </c>
      <c r="G222" s="3">
        <v>45361</v>
      </c>
      <c r="H222" s="2">
        <v>146184.85</v>
      </c>
      <c r="I222" s="13" t="s">
        <v>14</v>
      </c>
      <c r="J222" s="14" t="s">
        <v>15</v>
      </c>
      <c r="K222" s="14">
        <v>1292</v>
      </c>
      <c r="L222" s="15">
        <v>45332</v>
      </c>
      <c r="M222" s="16">
        <v>5</v>
      </c>
      <c r="N22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22" s="31" t="str">
        <f>IF(Table64[[#This Row],[date validity flag]]&lt;&gt;"Valid","",Table64[[#This Row],[shipment date ]]-Table64[[#This Row],[Order date]])</f>
        <v/>
      </c>
      <c r="P222" s="27" t="str">
        <f>TEXT(Table64[[#This Row],[Order date]],"mmm-yyyy")</f>
        <v>Mar-2024</v>
      </c>
      <c r="Q222" s="16" t="str">
        <f t="shared" si="3"/>
        <v/>
      </c>
    </row>
    <row r="223" spans="1:17" x14ac:dyDescent="0.3">
      <c r="A223" s="17">
        <v>10222</v>
      </c>
      <c r="B223" s="4">
        <v>5682</v>
      </c>
      <c r="C223" s="4" t="s">
        <v>12</v>
      </c>
      <c r="D223" s="5">
        <v>70996.070000000007</v>
      </c>
      <c r="E223" s="4">
        <v>41</v>
      </c>
      <c r="F223" s="4" t="s">
        <v>23</v>
      </c>
      <c r="G223" s="6">
        <v>45361</v>
      </c>
      <c r="H223" s="5">
        <v>136508.85999999999</v>
      </c>
      <c r="I223" s="18" t="s">
        <v>17</v>
      </c>
      <c r="J223" s="14" t="s">
        <v>18</v>
      </c>
      <c r="K223" s="14">
        <v>397</v>
      </c>
      <c r="L223" s="15">
        <v>45397</v>
      </c>
      <c r="M223" s="16">
        <v>12</v>
      </c>
      <c r="N2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3" s="31">
        <f>IF(Table64[[#This Row],[date validity flag]]&lt;&gt;"Valid","",Table64[[#This Row],[shipment date ]]-Table64[[#This Row],[Order date]])</f>
        <v>36</v>
      </c>
      <c r="P223" s="27" t="str">
        <f>TEXT(Table64[[#This Row],[Order date]],"mmm-yyyy")</f>
        <v>Mar-2024</v>
      </c>
      <c r="Q223" s="16" t="str">
        <f t="shared" si="3"/>
        <v>Delayed</v>
      </c>
    </row>
    <row r="224" spans="1:17" x14ac:dyDescent="0.3">
      <c r="A224" s="12">
        <v>10223</v>
      </c>
      <c r="B224" s="1">
        <v>5557</v>
      </c>
      <c r="C224" s="1" t="s">
        <v>16</v>
      </c>
      <c r="D224" s="2">
        <v>71334.679999999993</v>
      </c>
      <c r="E224" s="1">
        <v>36</v>
      </c>
      <c r="F224" s="1" t="s">
        <v>22</v>
      </c>
      <c r="G224" s="3">
        <v>45306</v>
      </c>
      <c r="H224" s="2">
        <v>55805.62</v>
      </c>
      <c r="I224" s="13" t="s">
        <v>17</v>
      </c>
      <c r="J224" s="14" t="s">
        <v>15</v>
      </c>
      <c r="K224" s="14">
        <v>1152</v>
      </c>
      <c r="L224" s="15">
        <v>45397</v>
      </c>
      <c r="M224" s="16">
        <v>1</v>
      </c>
      <c r="N2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4" s="31">
        <f>IF(Table64[[#This Row],[date validity flag]]&lt;&gt;"Valid","",Table64[[#This Row],[shipment date ]]-Table64[[#This Row],[Order date]])</f>
        <v>91</v>
      </c>
      <c r="P224" s="27" t="str">
        <f>TEXT(Table64[[#This Row],[Order date]],"mmm-yyyy")</f>
        <v>Jan-2024</v>
      </c>
      <c r="Q224" s="16" t="str">
        <f t="shared" si="3"/>
        <v>Delayed</v>
      </c>
    </row>
    <row r="225" spans="1:17" x14ac:dyDescent="0.3">
      <c r="A225" s="17">
        <v>10224</v>
      </c>
      <c r="B225" s="4">
        <v>6598</v>
      </c>
      <c r="C225" s="4" t="s">
        <v>16</v>
      </c>
      <c r="D225" s="5">
        <v>88923.98</v>
      </c>
      <c r="E225" s="4">
        <v>85</v>
      </c>
      <c r="F225" s="4" t="s">
        <v>23</v>
      </c>
      <c r="G225" s="6">
        <v>45383</v>
      </c>
      <c r="H225" s="5">
        <v>14214.36</v>
      </c>
      <c r="I225" s="18" t="s">
        <v>17</v>
      </c>
      <c r="J225" s="14" t="s">
        <v>15</v>
      </c>
      <c r="K225" s="14">
        <v>797</v>
      </c>
      <c r="L225" s="15">
        <v>45361</v>
      </c>
      <c r="M225" s="16">
        <v>12</v>
      </c>
      <c r="N22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25" s="31" t="str">
        <f>IF(Table64[[#This Row],[date validity flag]]&lt;&gt;"Valid","",Table64[[#This Row],[shipment date ]]-Table64[[#This Row],[Order date]])</f>
        <v/>
      </c>
      <c r="P225" s="27" t="str">
        <f>TEXT(Table64[[#This Row],[Order date]],"mmm-yyyy")</f>
        <v>Apr-2024</v>
      </c>
      <c r="Q225" s="16" t="str">
        <f t="shared" si="3"/>
        <v/>
      </c>
    </row>
    <row r="226" spans="1:17" x14ac:dyDescent="0.3">
      <c r="A226" s="12">
        <v>10225</v>
      </c>
      <c r="B226" s="1">
        <v>6977</v>
      </c>
      <c r="C226" s="1" t="s">
        <v>16</v>
      </c>
      <c r="D226" s="2">
        <v>53117.62</v>
      </c>
      <c r="E226" s="1">
        <v>72</v>
      </c>
      <c r="F226" s="1" t="s">
        <v>21</v>
      </c>
      <c r="G226" s="3">
        <v>45306</v>
      </c>
      <c r="H226" s="2">
        <v>60436.6</v>
      </c>
      <c r="I226" s="13" t="s">
        <v>14</v>
      </c>
      <c r="J226" s="14" t="s">
        <v>15</v>
      </c>
      <c r="K226" s="14">
        <v>322</v>
      </c>
      <c r="L226" s="15">
        <v>45361</v>
      </c>
      <c r="M226" s="16">
        <v>6</v>
      </c>
      <c r="N2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6" s="31">
        <f>IF(Table64[[#This Row],[date validity flag]]&lt;&gt;"Valid","",Table64[[#This Row],[shipment date ]]-Table64[[#This Row],[Order date]])</f>
        <v>55</v>
      </c>
      <c r="P226" s="27" t="str">
        <f>TEXT(Table64[[#This Row],[Order date]],"mmm-yyyy")</f>
        <v>Jan-2024</v>
      </c>
      <c r="Q226" s="16" t="str">
        <f t="shared" si="3"/>
        <v>Delayed</v>
      </c>
    </row>
    <row r="227" spans="1:17" x14ac:dyDescent="0.3">
      <c r="A227" s="17">
        <v>10226</v>
      </c>
      <c r="B227" s="4">
        <v>6013</v>
      </c>
      <c r="C227" s="4" t="s">
        <v>16</v>
      </c>
      <c r="D227" s="5">
        <v>28633.759999999998</v>
      </c>
      <c r="E227" s="4">
        <v>55</v>
      </c>
      <c r="F227" s="4" t="s">
        <v>13</v>
      </c>
      <c r="G227" s="6">
        <v>45337</v>
      </c>
      <c r="H227" s="5">
        <v>84027.23</v>
      </c>
      <c r="I227" s="18" t="s">
        <v>17</v>
      </c>
      <c r="J227" s="14" t="s">
        <v>18</v>
      </c>
      <c r="K227" s="14">
        <v>1234</v>
      </c>
      <c r="L227" s="15">
        <v>45397</v>
      </c>
      <c r="M227" s="16">
        <v>6</v>
      </c>
      <c r="N2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7" s="31">
        <f>IF(Table64[[#This Row],[date validity flag]]&lt;&gt;"Valid","",Table64[[#This Row],[shipment date ]]-Table64[[#This Row],[Order date]])</f>
        <v>60</v>
      </c>
      <c r="P227" s="27" t="str">
        <f>TEXT(Table64[[#This Row],[Order date]],"mmm-yyyy")</f>
        <v>Feb-2024</v>
      </c>
      <c r="Q227" s="16" t="str">
        <f t="shared" si="3"/>
        <v>Delayed</v>
      </c>
    </row>
    <row r="228" spans="1:17" x14ac:dyDescent="0.3">
      <c r="A228" s="12">
        <v>10227</v>
      </c>
      <c r="B228" s="1">
        <v>5646</v>
      </c>
      <c r="C228" s="1" t="s">
        <v>16</v>
      </c>
      <c r="D228" s="2">
        <v>59846.61</v>
      </c>
      <c r="E228" s="1">
        <v>9</v>
      </c>
      <c r="F228" s="1" t="s">
        <v>21</v>
      </c>
      <c r="G228" s="3">
        <v>45306</v>
      </c>
      <c r="H228" s="2">
        <v>159307.81</v>
      </c>
      <c r="I228" s="13" t="s">
        <v>14</v>
      </c>
      <c r="J228" s="14" t="s">
        <v>19</v>
      </c>
      <c r="K228" s="14">
        <v>357</v>
      </c>
      <c r="L228" s="15">
        <v>45397</v>
      </c>
      <c r="M228" s="16">
        <v>3</v>
      </c>
      <c r="N2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8" s="31">
        <f>IF(Table64[[#This Row],[date validity flag]]&lt;&gt;"Valid","",Table64[[#This Row],[shipment date ]]-Table64[[#This Row],[Order date]])</f>
        <v>91</v>
      </c>
      <c r="P228" s="27" t="str">
        <f>TEXT(Table64[[#This Row],[Order date]],"mmm-yyyy")</f>
        <v>Jan-2024</v>
      </c>
      <c r="Q228" s="16" t="str">
        <f t="shared" si="3"/>
        <v>Delayed</v>
      </c>
    </row>
    <row r="229" spans="1:17" x14ac:dyDescent="0.3">
      <c r="A229" s="17">
        <v>10228</v>
      </c>
      <c r="B229" s="4">
        <v>5796</v>
      </c>
      <c r="C229" s="4" t="s">
        <v>12</v>
      </c>
      <c r="D229" s="5">
        <v>14957.19</v>
      </c>
      <c r="E229" s="4">
        <v>47</v>
      </c>
      <c r="F229" s="4" t="s">
        <v>22</v>
      </c>
      <c r="G229" s="6">
        <v>45306</v>
      </c>
      <c r="H229" s="5">
        <v>49851.81</v>
      </c>
      <c r="I229" s="18" t="s">
        <v>14</v>
      </c>
      <c r="J229" s="14" t="s">
        <v>15</v>
      </c>
      <c r="K229" s="14">
        <v>1447</v>
      </c>
      <c r="L229" s="15">
        <v>45332</v>
      </c>
      <c r="M229" s="16">
        <v>3</v>
      </c>
      <c r="N2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29" s="31">
        <f>IF(Table64[[#This Row],[date validity flag]]&lt;&gt;"Valid","",Table64[[#This Row],[shipment date ]]-Table64[[#This Row],[Order date]])</f>
        <v>26</v>
      </c>
      <c r="P229" s="27" t="str">
        <f>TEXT(Table64[[#This Row],[Order date]],"mmm-yyyy")</f>
        <v>Jan-2024</v>
      </c>
      <c r="Q229" s="16" t="str">
        <f t="shared" si="3"/>
        <v>Delayed</v>
      </c>
    </row>
    <row r="230" spans="1:17" x14ac:dyDescent="0.3">
      <c r="A230" s="12">
        <v>10229</v>
      </c>
      <c r="B230" s="1">
        <v>6052</v>
      </c>
      <c r="C230" s="1" t="s">
        <v>16</v>
      </c>
      <c r="D230" s="2">
        <v>35662.47</v>
      </c>
      <c r="E230" s="1">
        <v>15</v>
      </c>
      <c r="F230" s="1" t="s">
        <v>22</v>
      </c>
      <c r="G230" s="3">
        <v>45361</v>
      </c>
      <c r="H230" s="2">
        <v>87552.22</v>
      </c>
      <c r="I230" s="13" t="s">
        <v>20</v>
      </c>
      <c r="J230" s="14" t="s">
        <v>18</v>
      </c>
      <c r="K230" s="14">
        <v>1025</v>
      </c>
      <c r="L230" s="15">
        <v>45332</v>
      </c>
      <c r="M230" s="16">
        <v>3</v>
      </c>
      <c r="N23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30" s="31" t="str">
        <f>IF(Table64[[#This Row],[date validity flag]]&lt;&gt;"Valid","",Table64[[#This Row],[shipment date ]]-Table64[[#This Row],[Order date]])</f>
        <v/>
      </c>
      <c r="P230" s="27" t="str">
        <f>TEXT(Table64[[#This Row],[Order date]],"mmm-yyyy")</f>
        <v>Mar-2024</v>
      </c>
      <c r="Q230" s="16" t="str">
        <f t="shared" si="3"/>
        <v/>
      </c>
    </row>
    <row r="231" spans="1:17" x14ac:dyDescent="0.3">
      <c r="A231" s="17">
        <v>10230</v>
      </c>
      <c r="B231" s="4">
        <v>6644</v>
      </c>
      <c r="C231" s="4" t="s">
        <v>12</v>
      </c>
      <c r="D231" s="5">
        <v>39420.58</v>
      </c>
      <c r="E231" s="4">
        <v>48</v>
      </c>
      <c r="F231" s="4" t="s">
        <v>23</v>
      </c>
      <c r="G231" s="6">
        <v>45306</v>
      </c>
      <c r="H231" s="5">
        <v>140696.75</v>
      </c>
      <c r="I231" s="18" t="s">
        <v>17</v>
      </c>
      <c r="J231" s="14" t="s">
        <v>15</v>
      </c>
      <c r="K231" s="14">
        <v>782</v>
      </c>
      <c r="L231" s="15">
        <v>45397</v>
      </c>
      <c r="M231" s="16">
        <v>3</v>
      </c>
      <c r="N2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1" s="31">
        <f>IF(Table64[[#This Row],[date validity flag]]&lt;&gt;"Valid","",Table64[[#This Row],[shipment date ]]-Table64[[#This Row],[Order date]])</f>
        <v>91</v>
      </c>
      <c r="P231" s="27" t="str">
        <f>TEXT(Table64[[#This Row],[Order date]],"mmm-yyyy")</f>
        <v>Jan-2024</v>
      </c>
      <c r="Q231" s="16" t="str">
        <f t="shared" si="3"/>
        <v>Delayed</v>
      </c>
    </row>
    <row r="232" spans="1:17" x14ac:dyDescent="0.3">
      <c r="A232" s="12">
        <v>10231</v>
      </c>
      <c r="B232" s="1">
        <v>6580</v>
      </c>
      <c r="C232" s="1" t="s">
        <v>16</v>
      </c>
      <c r="D232" s="2">
        <v>72658.880000000005</v>
      </c>
      <c r="E232" s="1">
        <v>82</v>
      </c>
      <c r="F232" s="1" t="s">
        <v>21</v>
      </c>
      <c r="G232" s="3">
        <v>45383</v>
      </c>
      <c r="H232" s="2">
        <v>53726.49</v>
      </c>
      <c r="I232" s="13" t="s">
        <v>20</v>
      </c>
      <c r="J232" s="14" t="s">
        <v>18</v>
      </c>
      <c r="K232" s="14">
        <v>1082</v>
      </c>
      <c r="L232" s="15">
        <v>45361</v>
      </c>
      <c r="M232" s="16">
        <v>7</v>
      </c>
      <c r="N2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32" s="31" t="str">
        <f>IF(Table64[[#This Row],[date validity flag]]&lt;&gt;"Valid","",Table64[[#This Row],[shipment date ]]-Table64[[#This Row],[Order date]])</f>
        <v/>
      </c>
      <c r="P232" s="27" t="str">
        <f>TEXT(Table64[[#This Row],[Order date]],"mmm-yyyy")</f>
        <v>Apr-2024</v>
      </c>
      <c r="Q232" s="16" t="str">
        <f t="shared" si="3"/>
        <v/>
      </c>
    </row>
    <row r="233" spans="1:17" x14ac:dyDescent="0.3">
      <c r="A233" s="17">
        <v>10232</v>
      </c>
      <c r="B233" s="4">
        <v>6364</v>
      </c>
      <c r="C233" s="4" t="s">
        <v>12</v>
      </c>
      <c r="D233" s="5">
        <v>39656.57</v>
      </c>
      <c r="E233" s="4">
        <v>42</v>
      </c>
      <c r="F233" s="4" t="s">
        <v>21</v>
      </c>
      <c r="G233" s="6">
        <v>45361</v>
      </c>
      <c r="H233" s="5">
        <v>84637.86</v>
      </c>
      <c r="I233" s="18" t="s">
        <v>17</v>
      </c>
      <c r="J233" s="14" t="s">
        <v>15</v>
      </c>
      <c r="K233" s="14">
        <v>493</v>
      </c>
      <c r="L233" s="15">
        <v>45397</v>
      </c>
      <c r="M233" s="16">
        <v>10</v>
      </c>
      <c r="N23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3" s="31">
        <f>IF(Table64[[#This Row],[date validity flag]]&lt;&gt;"Valid","",Table64[[#This Row],[shipment date ]]-Table64[[#This Row],[Order date]])</f>
        <v>36</v>
      </c>
      <c r="P233" s="27" t="str">
        <f>TEXT(Table64[[#This Row],[Order date]],"mmm-yyyy")</f>
        <v>Mar-2024</v>
      </c>
      <c r="Q233" s="16" t="str">
        <f t="shared" si="3"/>
        <v>Delayed</v>
      </c>
    </row>
    <row r="234" spans="1:17" x14ac:dyDescent="0.3">
      <c r="A234" s="12">
        <v>10233</v>
      </c>
      <c r="B234" s="1">
        <v>6822</v>
      </c>
      <c r="C234" s="1" t="s">
        <v>16</v>
      </c>
      <c r="D234" s="2">
        <v>43456.36</v>
      </c>
      <c r="E234" s="1">
        <v>60</v>
      </c>
      <c r="F234" s="1" t="s">
        <v>22</v>
      </c>
      <c r="G234" s="3">
        <v>45306</v>
      </c>
      <c r="H234" s="2">
        <v>117895.19</v>
      </c>
      <c r="I234" s="13" t="s">
        <v>17</v>
      </c>
      <c r="J234" s="14" t="s">
        <v>18</v>
      </c>
      <c r="K234" s="14">
        <v>1186</v>
      </c>
      <c r="L234" s="15">
        <v>45332</v>
      </c>
      <c r="M234" s="16">
        <v>11</v>
      </c>
      <c r="N2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4" s="31">
        <f>IF(Table64[[#This Row],[date validity flag]]&lt;&gt;"Valid","",Table64[[#This Row],[shipment date ]]-Table64[[#This Row],[Order date]])</f>
        <v>26</v>
      </c>
      <c r="P234" s="27" t="str">
        <f>TEXT(Table64[[#This Row],[Order date]],"mmm-yyyy")</f>
        <v>Jan-2024</v>
      </c>
      <c r="Q234" s="16" t="str">
        <f t="shared" si="3"/>
        <v>Delayed</v>
      </c>
    </row>
    <row r="235" spans="1:17" x14ac:dyDescent="0.3">
      <c r="A235" s="17">
        <v>10234</v>
      </c>
      <c r="B235" s="4">
        <v>6982</v>
      </c>
      <c r="C235" s="4" t="s">
        <v>16</v>
      </c>
      <c r="D235" s="5">
        <v>31986.25</v>
      </c>
      <c r="E235" s="4">
        <v>84</v>
      </c>
      <c r="F235" s="4" t="s">
        <v>21</v>
      </c>
      <c r="G235" s="6">
        <v>45337</v>
      </c>
      <c r="H235" s="5">
        <v>80804.009999999995</v>
      </c>
      <c r="I235" s="18" t="s">
        <v>17</v>
      </c>
      <c r="J235" s="14" t="s">
        <v>15</v>
      </c>
      <c r="K235" s="14">
        <v>1278</v>
      </c>
      <c r="L235" s="15">
        <v>45361</v>
      </c>
      <c r="M235" s="16">
        <v>2</v>
      </c>
      <c r="N2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5" s="31">
        <f>IF(Table64[[#This Row],[date validity flag]]&lt;&gt;"Valid","",Table64[[#This Row],[shipment date ]]-Table64[[#This Row],[Order date]])</f>
        <v>24</v>
      </c>
      <c r="P235" s="27" t="str">
        <f>TEXT(Table64[[#This Row],[Order date]],"mmm-yyyy")</f>
        <v>Feb-2024</v>
      </c>
      <c r="Q235" s="16" t="str">
        <f t="shared" si="3"/>
        <v>Delayed</v>
      </c>
    </row>
    <row r="236" spans="1:17" x14ac:dyDescent="0.3">
      <c r="A236" s="12">
        <v>10235</v>
      </c>
      <c r="B236" s="1">
        <v>6355</v>
      </c>
      <c r="C236" s="1" t="s">
        <v>12</v>
      </c>
      <c r="D236" s="2">
        <v>46883.07</v>
      </c>
      <c r="E236" s="1">
        <v>70</v>
      </c>
      <c r="F236" s="1" t="s">
        <v>22</v>
      </c>
      <c r="G236" s="3">
        <v>45306</v>
      </c>
      <c r="H236" s="2">
        <v>103931.33</v>
      </c>
      <c r="I236" s="13" t="s">
        <v>14</v>
      </c>
      <c r="J236" s="14" t="s">
        <v>19</v>
      </c>
      <c r="K236" s="14">
        <v>454</v>
      </c>
      <c r="L236" s="15">
        <v>45361</v>
      </c>
      <c r="M236" s="16">
        <v>10</v>
      </c>
      <c r="N2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6" s="31">
        <f>IF(Table64[[#This Row],[date validity flag]]&lt;&gt;"Valid","",Table64[[#This Row],[shipment date ]]-Table64[[#This Row],[Order date]])</f>
        <v>55</v>
      </c>
      <c r="P236" s="27" t="str">
        <f>TEXT(Table64[[#This Row],[Order date]],"mmm-yyyy")</f>
        <v>Jan-2024</v>
      </c>
      <c r="Q236" s="16" t="str">
        <f t="shared" si="3"/>
        <v>Delayed</v>
      </c>
    </row>
    <row r="237" spans="1:17" x14ac:dyDescent="0.3">
      <c r="A237" s="17">
        <v>10236</v>
      </c>
      <c r="B237" s="4">
        <v>6664</v>
      </c>
      <c r="C237" s="4" t="s">
        <v>16</v>
      </c>
      <c r="D237" s="5">
        <v>60198.9</v>
      </c>
      <c r="E237" s="4">
        <v>12</v>
      </c>
      <c r="F237" s="4" t="s">
        <v>21</v>
      </c>
      <c r="G237" s="6">
        <v>45306</v>
      </c>
      <c r="H237" s="5">
        <v>170121.37</v>
      </c>
      <c r="I237" s="18" t="s">
        <v>14</v>
      </c>
      <c r="J237" s="14" t="s">
        <v>15</v>
      </c>
      <c r="K237" s="14">
        <v>902</v>
      </c>
      <c r="L237" s="15">
        <v>45332</v>
      </c>
      <c r="M237" s="16">
        <v>13</v>
      </c>
      <c r="N23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7" s="31">
        <f>IF(Table64[[#This Row],[date validity flag]]&lt;&gt;"Valid","",Table64[[#This Row],[shipment date ]]-Table64[[#This Row],[Order date]])</f>
        <v>26</v>
      </c>
      <c r="P237" s="27" t="str">
        <f>TEXT(Table64[[#This Row],[Order date]],"mmm-yyyy")</f>
        <v>Jan-2024</v>
      </c>
      <c r="Q237" s="16" t="str">
        <f t="shared" si="3"/>
        <v>Delayed</v>
      </c>
    </row>
    <row r="238" spans="1:17" x14ac:dyDescent="0.3">
      <c r="A238" s="12">
        <v>10237</v>
      </c>
      <c r="B238" s="1">
        <v>6530</v>
      </c>
      <c r="C238" s="1" t="s">
        <v>16</v>
      </c>
      <c r="D238" s="2">
        <v>65839.5</v>
      </c>
      <c r="E238" s="1">
        <v>2</v>
      </c>
      <c r="F238" s="1" t="s">
        <v>21</v>
      </c>
      <c r="G238" s="3">
        <v>45306</v>
      </c>
      <c r="H238" s="2">
        <v>126438.86</v>
      </c>
      <c r="I238" s="13" t="s">
        <v>14</v>
      </c>
      <c r="J238" s="14" t="s">
        <v>18</v>
      </c>
      <c r="K238" s="14">
        <v>1270</v>
      </c>
      <c r="L238" s="15">
        <v>45397</v>
      </c>
      <c r="M238" s="16">
        <v>10</v>
      </c>
      <c r="N23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8" s="31">
        <f>IF(Table64[[#This Row],[date validity flag]]&lt;&gt;"Valid","",Table64[[#This Row],[shipment date ]]-Table64[[#This Row],[Order date]])</f>
        <v>91</v>
      </c>
      <c r="P238" s="27" t="str">
        <f>TEXT(Table64[[#This Row],[Order date]],"mmm-yyyy")</f>
        <v>Jan-2024</v>
      </c>
      <c r="Q238" s="16" t="str">
        <f t="shared" si="3"/>
        <v>Delayed</v>
      </c>
    </row>
    <row r="239" spans="1:17" x14ac:dyDescent="0.3">
      <c r="A239" s="17">
        <v>10238</v>
      </c>
      <c r="B239" s="4">
        <v>6372</v>
      </c>
      <c r="C239" s="4" t="s">
        <v>16</v>
      </c>
      <c r="D239" s="5">
        <v>29707.01</v>
      </c>
      <c r="E239" s="4">
        <v>7</v>
      </c>
      <c r="F239" s="4" t="s">
        <v>21</v>
      </c>
      <c r="G239" s="6">
        <v>45361</v>
      </c>
      <c r="H239" s="5">
        <v>61838.49</v>
      </c>
      <c r="I239" s="18" t="s">
        <v>17</v>
      </c>
      <c r="J239" s="14" t="s">
        <v>15</v>
      </c>
      <c r="K239" s="14">
        <v>827</v>
      </c>
      <c r="L239" s="15">
        <v>45397</v>
      </c>
      <c r="M239" s="16">
        <v>2</v>
      </c>
      <c r="N23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39" s="31">
        <f>IF(Table64[[#This Row],[date validity flag]]&lt;&gt;"Valid","",Table64[[#This Row],[shipment date ]]-Table64[[#This Row],[Order date]])</f>
        <v>36</v>
      </c>
      <c r="P239" s="27" t="str">
        <f>TEXT(Table64[[#This Row],[Order date]],"mmm-yyyy")</f>
        <v>Mar-2024</v>
      </c>
      <c r="Q239" s="16" t="str">
        <f t="shared" si="3"/>
        <v>Delayed</v>
      </c>
    </row>
    <row r="240" spans="1:17" x14ac:dyDescent="0.3">
      <c r="A240" s="12">
        <v>10239</v>
      </c>
      <c r="B240" s="1">
        <v>6497</v>
      </c>
      <c r="C240" s="1" t="s">
        <v>16</v>
      </c>
      <c r="D240" s="2">
        <v>64444.54</v>
      </c>
      <c r="E240" s="1">
        <v>80</v>
      </c>
      <c r="F240" s="1" t="s">
        <v>22</v>
      </c>
      <c r="G240" s="3">
        <v>45383</v>
      </c>
      <c r="H240" s="2">
        <v>128465.96</v>
      </c>
      <c r="I240" s="13" t="s">
        <v>20</v>
      </c>
      <c r="J240" s="14" t="s">
        <v>19</v>
      </c>
      <c r="K240" s="14">
        <v>164</v>
      </c>
      <c r="L240" s="15">
        <v>45397</v>
      </c>
      <c r="M240" s="16">
        <v>3</v>
      </c>
      <c r="N2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40" s="31">
        <f>IF(Table64[[#This Row],[date validity flag]]&lt;&gt;"Valid","",Table64[[#This Row],[shipment date ]]-Table64[[#This Row],[Order date]])</f>
        <v>14</v>
      </c>
      <c r="P240" s="27" t="str">
        <f>TEXT(Table64[[#This Row],[Order date]],"mmm-yyyy")</f>
        <v>Apr-2024</v>
      </c>
      <c r="Q240" s="16" t="str">
        <f t="shared" si="3"/>
        <v>Delayed</v>
      </c>
    </row>
    <row r="241" spans="1:17" x14ac:dyDescent="0.3">
      <c r="A241" s="17">
        <v>10240</v>
      </c>
      <c r="B241" s="4">
        <v>6255</v>
      </c>
      <c r="C241" s="4" t="s">
        <v>16</v>
      </c>
      <c r="D241" s="5">
        <v>85451.05</v>
      </c>
      <c r="E241" s="4">
        <v>3</v>
      </c>
      <c r="F241" s="4" t="s">
        <v>23</v>
      </c>
      <c r="G241" s="6">
        <v>45337</v>
      </c>
      <c r="H241" s="5">
        <v>62200.87</v>
      </c>
      <c r="I241" s="18" t="s">
        <v>14</v>
      </c>
      <c r="J241" s="14" t="s">
        <v>15</v>
      </c>
      <c r="K241" s="14">
        <v>1194</v>
      </c>
      <c r="L241" s="15">
        <v>45332</v>
      </c>
      <c r="M241" s="16">
        <v>10</v>
      </c>
      <c r="N24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41" s="31" t="str">
        <f>IF(Table64[[#This Row],[date validity flag]]&lt;&gt;"Valid","",Table64[[#This Row],[shipment date ]]-Table64[[#This Row],[Order date]])</f>
        <v/>
      </c>
      <c r="P241" s="27" t="str">
        <f>TEXT(Table64[[#This Row],[Order date]],"mmm-yyyy")</f>
        <v>Feb-2024</v>
      </c>
      <c r="Q241" s="16" t="str">
        <f t="shared" si="3"/>
        <v/>
      </c>
    </row>
    <row r="242" spans="1:17" x14ac:dyDescent="0.3">
      <c r="A242" s="12">
        <v>10241</v>
      </c>
      <c r="B242" s="1">
        <v>5190</v>
      </c>
      <c r="C242" s="1" t="s">
        <v>16</v>
      </c>
      <c r="D242" s="2">
        <v>90138.09</v>
      </c>
      <c r="E242" s="1">
        <v>3</v>
      </c>
      <c r="F242" s="1" t="s">
        <v>21</v>
      </c>
      <c r="G242" s="3">
        <v>45306</v>
      </c>
      <c r="H242" s="2">
        <v>60922.38</v>
      </c>
      <c r="I242" s="13" t="s">
        <v>20</v>
      </c>
      <c r="J242" s="14" t="s">
        <v>18</v>
      </c>
      <c r="K242" s="14">
        <v>114</v>
      </c>
      <c r="L242" s="15">
        <v>45361</v>
      </c>
      <c r="M242" s="16">
        <v>12</v>
      </c>
      <c r="N2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42" s="31">
        <f>IF(Table64[[#This Row],[date validity flag]]&lt;&gt;"Valid","",Table64[[#This Row],[shipment date ]]-Table64[[#This Row],[Order date]])</f>
        <v>55</v>
      </c>
      <c r="P242" s="27" t="str">
        <f>TEXT(Table64[[#This Row],[Order date]],"mmm-yyyy")</f>
        <v>Jan-2024</v>
      </c>
      <c r="Q242" s="16" t="str">
        <f t="shared" si="3"/>
        <v>Delayed</v>
      </c>
    </row>
    <row r="243" spans="1:17" x14ac:dyDescent="0.3">
      <c r="A243" s="17">
        <v>10242</v>
      </c>
      <c r="B243" s="4">
        <v>6249</v>
      </c>
      <c r="C243" s="4" t="s">
        <v>16</v>
      </c>
      <c r="D243" s="5">
        <v>58093.760000000002</v>
      </c>
      <c r="E243" s="4">
        <v>27</v>
      </c>
      <c r="F243" s="4" t="s">
        <v>22</v>
      </c>
      <c r="G243" s="6">
        <v>45383</v>
      </c>
      <c r="H243" s="5">
        <v>26138.32</v>
      </c>
      <c r="I243" s="18" t="s">
        <v>20</v>
      </c>
      <c r="J243" s="14" t="s">
        <v>18</v>
      </c>
      <c r="K243" s="14">
        <v>1349</v>
      </c>
      <c r="L243" s="15">
        <v>45332</v>
      </c>
      <c r="M243" s="16">
        <v>7</v>
      </c>
      <c r="N24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43" s="31" t="str">
        <f>IF(Table64[[#This Row],[date validity flag]]&lt;&gt;"Valid","",Table64[[#This Row],[shipment date ]]-Table64[[#This Row],[Order date]])</f>
        <v/>
      </c>
      <c r="P243" s="27" t="str">
        <f>TEXT(Table64[[#This Row],[Order date]],"mmm-yyyy")</f>
        <v>Apr-2024</v>
      </c>
      <c r="Q243" s="16" t="str">
        <f t="shared" si="3"/>
        <v/>
      </c>
    </row>
    <row r="244" spans="1:17" x14ac:dyDescent="0.3">
      <c r="A244" s="12">
        <v>10243</v>
      </c>
      <c r="B244" s="1">
        <v>6409</v>
      </c>
      <c r="C244" s="1" t="s">
        <v>12</v>
      </c>
      <c r="D244" s="2">
        <v>65067.56</v>
      </c>
      <c r="E244" s="1">
        <v>40</v>
      </c>
      <c r="F244" s="1" t="s">
        <v>22</v>
      </c>
      <c r="G244" s="3">
        <v>45383</v>
      </c>
      <c r="H244" s="2">
        <v>62454.19</v>
      </c>
      <c r="I244" s="13" t="s">
        <v>20</v>
      </c>
      <c r="J244" s="14" t="s">
        <v>19</v>
      </c>
      <c r="K244" s="14">
        <v>874</v>
      </c>
      <c r="L244" s="15">
        <v>45397</v>
      </c>
      <c r="M244" s="16">
        <v>3</v>
      </c>
      <c r="N2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44" s="31">
        <f>IF(Table64[[#This Row],[date validity flag]]&lt;&gt;"Valid","",Table64[[#This Row],[shipment date ]]-Table64[[#This Row],[Order date]])</f>
        <v>14</v>
      </c>
      <c r="P244" s="27" t="str">
        <f>TEXT(Table64[[#This Row],[Order date]],"mmm-yyyy")</f>
        <v>Apr-2024</v>
      </c>
      <c r="Q244" s="16" t="str">
        <f t="shared" si="3"/>
        <v>Delayed</v>
      </c>
    </row>
    <row r="245" spans="1:17" x14ac:dyDescent="0.3">
      <c r="A245" s="17">
        <v>10244</v>
      </c>
      <c r="B245" s="4">
        <v>6401</v>
      </c>
      <c r="C245" s="4" t="s">
        <v>16</v>
      </c>
      <c r="D245" s="5">
        <v>32880.720000000001</v>
      </c>
      <c r="E245" s="4">
        <v>33</v>
      </c>
      <c r="F245" s="4" t="s">
        <v>21</v>
      </c>
      <c r="G245" s="6">
        <v>45361</v>
      </c>
      <c r="H245" s="5">
        <v>29596.46</v>
      </c>
      <c r="I245" s="18" t="s">
        <v>17</v>
      </c>
      <c r="J245" s="14" t="s">
        <v>18</v>
      </c>
      <c r="K245" s="14">
        <v>288</v>
      </c>
      <c r="L245" s="15">
        <v>45332</v>
      </c>
      <c r="M245" s="16">
        <v>7</v>
      </c>
      <c r="N24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45" s="31" t="str">
        <f>IF(Table64[[#This Row],[date validity flag]]&lt;&gt;"Valid","",Table64[[#This Row],[shipment date ]]-Table64[[#This Row],[Order date]])</f>
        <v/>
      </c>
      <c r="P245" s="27" t="str">
        <f>TEXT(Table64[[#This Row],[Order date]],"mmm-yyyy")</f>
        <v>Mar-2024</v>
      </c>
      <c r="Q245" s="16" t="str">
        <f t="shared" si="3"/>
        <v/>
      </c>
    </row>
    <row r="246" spans="1:17" x14ac:dyDescent="0.3">
      <c r="A246" s="12">
        <v>10245</v>
      </c>
      <c r="B246" s="1">
        <v>6307</v>
      </c>
      <c r="C246" s="1" t="s">
        <v>16</v>
      </c>
      <c r="D246" s="2">
        <v>91260.28</v>
      </c>
      <c r="E246" s="1">
        <v>92</v>
      </c>
      <c r="F246" s="1" t="s">
        <v>21</v>
      </c>
      <c r="G246" s="3">
        <v>45337</v>
      </c>
      <c r="H246" s="2">
        <v>87813.74</v>
      </c>
      <c r="I246" s="13" t="s">
        <v>17</v>
      </c>
      <c r="J246" s="14" t="s">
        <v>15</v>
      </c>
      <c r="K246" s="14">
        <v>351</v>
      </c>
      <c r="L246" s="15">
        <v>45361</v>
      </c>
      <c r="M246" s="16">
        <v>9</v>
      </c>
      <c r="N2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46" s="31">
        <f>IF(Table64[[#This Row],[date validity flag]]&lt;&gt;"Valid","",Table64[[#This Row],[shipment date ]]-Table64[[#This Row],[Order date]])</f>
        <v>24</v>
      </c>
      <c r="P246" s="27" t="str">
        <f>TEXT(Table64[[#This Row],[Order date]],"mmm-yyyy")</f>
        <v>Feb-2024</v>
      </c>
      <c r="Q246" s="16" t="str">
        <f t="shared" si="3"/>
        <v>Delayed</v>
      </c>
    </row>
    <row r="247" spans="1:17" x14ac:dyDescent="0.3">
      <c r="A247" s="17">
        <v>10246</v>
      </c>
      <c r="B247" s="4">
        <v>6982</v>
      </c>
      <c r="C247" s="4" t="s">
        <v>16</v>
      </c>
      <c r="D247" s="5">
        <v>46670.25</v>
      </c>
      <c r="E247" s="4">
        <v>1</v>
      </c>
      <c r="F247" s="4" t="s">
        <v>23</v>
      </c>
      <c r="G247" s="6">
        <v>45361</v>
      </c>
      <c r="H247" s="5">
        <v>42906.84</v>
      </c>
      <c r="I247" s="18" t="s">
        <v>17</v>
      </c>
      <c r="J247" s="14" t="s">
        <v>15</v>
      </c>
      <c r="K247" s="14">
        <v>1465</v>
      </c>
      <c r="L247" s="15">
        <v>45332</v>
      </c>
      <c r="M247" s="16">
        <v>11</v>
      </c>
      <c r="N24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47" s="31" t="str">
        <f>IF(Table64[[#This Row],[date validity flag]]&lt;&gt;"Valid","",Table64[[#This Row],[shipment date ]]-Table64[[#This Row],[Order date]])</f>
        <v/>
      </c>
      <c r="P247" s="27" t="str">
        <f>TEXT(Table64[[#This Row],[Order date]],"mmm-yyyy")</f>
        <v>Mar-2024</v>
      </c>
      <c r="Q247" s="16" t="str">
        <f t="shared" si="3"/>
        <v/>
      </c>
    </row>
    <row r="248" spans="1:17" x14ac:dyDescent="0.3">
      <c r="A248" s="12">
        <v>10247</v>
      </c>
      <c r="B248" s="1">
        <v>5633</v>
      </c>
      <c r="C248" s="1" t="s">
        <v>12</v>
      </c>
      <c r="D248" s="2">
        <v>14005.86</v>
      </c>
      <c r="E248" s="1">
        <v>8</v>
      </c>
      <c r="F248" s="1" t="s">
        <v>22</v>
      </c>
      <c r="G248" s="3">
        <v>45383</v>
      </c>
      <c r="H248" s="2">
        <v>79834.64</v>
      </c>
      <c r="I248" s="13" t="s">
        <v>17</v>
      </c>
      <c r="J248" s="14" t="s">
        <v>15</v>
      </c>
      <c r="K248" s="14">
        <v>1018</v>
      </c>
      <c r="L248" s="15">
        <v>45397</v>
      </c>
      <c r="M248" s="16">
        <v>10</v>
      </c>
      <c r="N2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48" s="31">
        <f>IF(Table64[[#This Row],[date validity flag]]&lt;&gt;"Valid","",Table64[[#This Row],[shipment date ]]-Table64[[#This Row],[Order date]])</f>
        <v>14</v>
      </c>
      <c r="P248" s="27" t="str">
        <f>TEXT(Table64[[#This Row],[Order date]],"mmm-yyyy")</f>
        <v>Apr-2024</v>
      </c>
      <c r="Q248" s="16" t="str">
        <f t="shared" si="3"/>
        <v>Delayed</v>
      </c>
    </row>
    <row r="249" spans="1:17" x14ac:dyDescent="0.3">
      <c r="A249" s="17">
        <v>10248</v>
      </c>
      <c r="B249" s="4">
        <v>5628</v>
      </c>
      <c r="C249" s="4" t="s">
        <v>12</v>
      </c>
      <c r="D249" s="5">
        <v>89827.9</v>
      </c>
      <c r="E249" s="4">
        <v>32</v>
      </c>
      <c r="F249" s="4" t="s">
        <v>22</v>
      </c>
      <c r="G249" s="6">
        <v>45383</v>
      </c>
      <c r="H249" s="5">
        <v>22007.83</v>
      </c>
      <c r="I249" s="18" t="s">
        <v>20</v>
      </c>
      <c r="J249" s="14" t="s">
        <v>18</v>
      </c>
      <c r="K249" s="14">
        <v>418</v>
      </c>
      <c r="L249" s="15">
        <v>45361</v>
      </c>
      <c r="M249" s="16">
        <v>12</v>
      </c>
      <c r="N24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49" s="31" t="str">
        <f>IF(Table64[[#This Row],[date validity flag]]&lt;&gt;"Valid","",Table64[[#This Row],[shipment date ]]-Table64[[#This Row],[Order date]])</f>
        <v/>
      </c>
      <c r="P249" s="27" t="str">
        <f>TEXT(Table64[[#This Row],[Order date]],"mmm-yyyy")</f>
        <v>Apr-2024</v>
      </c>
      <c r="Q249" s="16" t="str">
        <f t="shared" si="3"/>
        <v/>
      </c>
    </row>
    <row r="250" spans="1:17" x14ac:dyDescent="0.3">
      <c r="A250" s="12">
        <v>10249</v>
      </c>
      <c r="B250" s="1">
        <v>5973</v>
      </c>
      <c r="C250" s="1" t="s">
        <v>16</v>
      </c>
      <c r="D250" s="2">
        <v>71165.600000000006</v>
      </c>
      <c r="E250" s="1">
        <v>48</v>
      </c>
      <c r="F250" s="1" t="s">
        <v>13</v>
      </c>
      <c r="G250" s="3">
        <v>45383</v>
      </c>
      <c r="H250" s="2">
        <v>147171.1</v>
      </c>
      <c r="I250" s="13" t="s">
        <v>17</v>
      </c>
      <c r="J250" s="14" t="s">
        <v>15</v>
      </c>
      <c r="K250" s="14">
        <v>282</v>
      </c>
      <c r="L250" s="15">
        <v>45332</v>
      </c>
      <c r="M250" s="16">
        <v>11</v>
      </c>
      <c r="N25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50" s="31" t="str">
        <f>IF(Table64[[#This Row],[date validity flag]]&lt;&gt;"Valid","",Table64[[#This Row],[shipment date ]]-Table64[[#This Row],[Order date]])</f>
        <v/>
      </c>
      <c r="P250" s="27" t="str">
        <f>TEXT(Table64[[#This Row],[Order date]],"mmm-yyyy")</f>
        <v>Apr-2024</v>
      </c>
      <c r="Q250" s="16" t="str">
        <f t="shared" si="3"/>
        <v/>
      </c>
    </row>
    <row r="251" spans="1:17" x14ac:dyDescent="0.3">
      <c r="A251" s="17">
        <v>10250</v>
      </c>
      <c r="B251" s="4">
        <v>6769</v>
      </c>
      <c r="C251" s="4" t="s">
        <v>16</v>
      </c>
      <c r="D251" s="5">
        <v>26758.58</v>
      </c>
      <c r="E251" s="4">
        <v>4</v>
      </c>
      <c r="F251" s="4" t="s">
        <v>22</v>
      </c>
      <c r="G251" s="6">
        <v>45361</v>
      </c>
      <c r="H251" s="5">
        <v>51850.33</v>
      </c>
      <c r="I251" s="18" t="s">
        <v>20</v>
      </c>
      <c r="J251" s="14" t="s">
        <v>15</v>
      </c>
      <c r="K251" s="14">
        <v>244</v>
      </c>
      <c r="L251" s="15">
        <v>45332</v>
      </c>
      <c r="M251" s="16">
        <v>4</v>
      </c>
      <c r="N2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51" s="31" t="str">
        <f>IF(Table64[[#This Row],[date validity flag]]&lt;&gt;"Valid","",Table64[[#This Row],[shipment date ]]-Table64[[#This Row],[Order date]])</f>
        <v/>
      </c>
      <c r="P251" s="27" t="str">
        <f>TEXT(Table64[[#This Row],[Order date]],"mmm-yyyy")</f>
        <v>Mar-2024</v>
      </c>
      <c r="Q251" s="16" t="str">
        <f t="shared" si="3"/>
        <v/>
      </c>
    </row>
    <row r="252" spans="1:17" x14ac:dyDescent="0.3">
      <c r="A252" s="12">
        <v>10251</v>
      </c>
      <c r="B252" s="1">
        <v>6283</v>
      </c>
      <c r="C252" s="1" t="s">
        <v>16</v>
      </c>
      <c r="D252" s="2">
        <v>54803.360000000001</v>
      </c>
      <c r="E252" s="1">
        <v>94</v>
      </c>
      <c r="F252" s="1" t="s">
        <v>23</v>
      </c>
      <c r="G252" s="3">
        <v>45337</v>
      </c>
      <c r="H252" s="2">
        <v>83306.38</v>
      </c>
      <c r="I252" s="13" t="s">
        <v>17</v>
      </c>
      <c r="J252" s="14" t="s">
        <v>15</v>
      </c>
      <c r="K252" s="14">
        <v>956</v>
      </c>
      <c r="L252" s="15">
        <v>45361</v>
      </c>
      <c r="M252" s="16">
        <v>7</v>
      </c>
      <c r="N25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52" s="31">
        <f>IF(Table64[[#This Row],[date validity flag]]&lt;&gt;"Valid","",Table64[[#This Row],[shipment date ]]-Table64[[#This Row],[Order date]])</f>
        <v>24</v>
      </c>
      <c r="P252" s="27" t="str">
        <f>TEXT(Table64[[#This Row],[Order date]],"mmm-yyyy")</f>
        <v>Feb-2024</v>
      </c>
      <c r="Q252" s="16" t="str">
        <f t="shared" si="3"/>
        <v>Delayed</v>
      </c>
    </row>
    <row r="253" spans="1:17" x14ac:dyDescent="0.3">
      <c r="A253" s="17">
        <v>10252</v>
      </c>
      <c r="B253" s="4">
        <v>6383</v>
      </c>
      <c r="C253" s="4" t="s">
        <v>16</v>
      </c>
      <c r="D253" s="5">
        <v>24990.12</v>
      </c>
      <c r="E253" s="4">
        <v>70</v>
      </c>
      <c r="F253" s="4" t="s">
        <v>13</v>
      </c>
      <c r="G253" s="6">
        <v>45306</v>
      </c>
      <c r="H253" s="5">
        <v>85614.43</v>
      </c>
      <c r="I253" s="18" t="s">
        <v>17</v>
      </c>
      <c r="J253" s="14" t="s">
        <v>19</v>
      </c>
      <c r="K253" s="14">
        <v>1085</v>
      </c>
      <c r="L253" s="15">
        <v>45361</v>
      </c>
      <c r="M253" s="16">
        <v>9</v>
      </c>
      <c r="N2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53" s="31">
        <f>IF(Table64[[#This Row],[date validity flag]]&lt;&gt;"Valid","",Table64[[#This Row],[shipment date ]]-Table64[[#This Row],[Order date]])</f>
        <v>55</v>
      </c>
      <c r="P253" s="27" t="str">
        <f>TEXT(Table64[[#This Row],[Order date]],"mmm-yyyy")</f>
        <v>Jan-2024</v>
      </c>
      <c r="Q253" s="16" t="str">
        <f t="shared" si="3"/>
        <v>Delayed</v>
      </c>
    </row>
    <row r="254" spans="1:17" x14ac:dyDescent="0.3">
      <c r="A254" s="12">
        <v>10253</v>
      </c>
      <c r="B254" s="1">
        <v>5710</v>
      </c>
      <c r="C254" s="1" t="s">
        <v>16</v>
      </c>
      <c r="D254" s="2">
        <v>17296.29</v>
      </c>
      <c r="E254" s="1">
        <v>19</v>
      </c>
      <c r="F254" s="1" t="s">
        <v>13</v>
      </c>
      <c r="G254" s="3">
        <v>45361</v>
      </c>
      <c r="H254" s="2">
        <v>151512.57</v>
      </c>
      <c r="I254" s="13" t="s">
        <v>17</v>
      </c>
      <c r="J254" s="14" t="s">
        <v>18</v>
      </c>
      <c r="K254" s="14">
        <v>970</v>
      </c>
      <c r="L254" s="15">
        <v>45397</v>
      </c>
      <c r="M254" s="16">
        <v>14</v>
      </c>
      <c r="N25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54" s="31">
        <f>IF(Table64[[#This Row],[date validity flag]]&lt;&gt;"Valid","",Table64[[#This Row],[shipment date ]]-Table64[[#This Row],[Order date]])</f>
        <v>36</v>
      </c>
      <c r="P254" s="27" t="str">
        <f>TEXT(Table64[[#This Row],[Order date]],"mmm-yyyy")</f>
        <v>Mar-2024</v>
      </c>
      <c r="Q254" s="16" t="str">
        <f t="shared" si="3"/>
        <v>Delayed</v>
      </c>
    </row>
    <row r="255" spans="1:17" x14ac:dyDescent="0.3">
      <c r="A255" s="17">
        <v>10254</v>
      </c>
      <c r="B255" s="4">
        <v>6480</v>
      </c>
      <c r="C255" s="4" t="s">
        <v>16</v>
      </c>
      <c r="D255" s="5">
        <v>82532.350000000006</v>
      </c>
      <c r="E255" s="4">
        <v>32</v>
      </c>
      <c r="F255" s="4" t="s">
        <v>13</v>
      </c>
      <c r="G255" s="6">
        <v>45383</v>
      </c>
      <c r="H255" s="5">
        <v>176931.34</v>
      </c>
      <c r="I255" s="18" t="s">
        <v>14</v>
      </c>
      <c r="J255" s="14" t="s">
        <v>18</v>
      </c>
      <c r="K255" s="14">
        <v>738</v>
      </c>
      <c r="L255" s="15">
        <v>45361</v>
      </c>
      <c r="M255" s="16">
        <v>8</v>
      </c>
      <c r="N25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55" s="31" t="str">
        <f>IF(Table64[[#This Row],[date validity flag]]&lt;&gt;"Valid","",Table64[[#This Row],[shipment date ]]-Table64[[#This Row],[Order date]])</f>
        <v/>
      </c>
      <c r="P255" s="27" t="str">
        <f>TEXT(Table64[[#This Row],[Order date]],"mmm-yyyy")</f>
        <v>Apr-2024</v>
      </c>
      <c r="Q255" s="16" t="str">
        <f t="shared" si="3"/>
        <v/>
      </c>
    </row>
    <row r="256" spans="1:17" x14ac:dyDescent="0.3">
      <c r="A256" s="12">
        <v>10255</v>
      </c>
      <c r="B256" s="1">
        <v>6435</v>
      </c>
      <c r="C256" s="1" t="s">
        <v>16</v>
      </c>
      <c r="D256" s="2">
        <v>78717.8</v>
      </c>
      <c r="E256" s="1">
        <v>9</v>
      </c>
      <c r="F256" s="1" t="s">
        <v>21</v>
      </c>
      <c r="G256" s="3">
        <v>45361</v>
      </c>
      <c r="H256" s="2">
        <v>128870.44</v>
      </c>
      <c r="I256" s="13" t="s">
        <v>20</v>
      </c>
      <c r="J256" s="14" t="s">
        <v>18</v>
      </c>
      <c r="K256" s="14">
        <v>226</v>
      </c>
      <c r="L256" s="15">
        <v>45397</v>
      </c>
      <c r="M256" s="16">
        <v>8</v>
      </c>
      <c r="N2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56" s="31">
        <f>IF(Table64[[#This Row],[date validity flag]]&lt;&gt;"Valid","",Table64[[#This Row],[shipment date ]]-Table64[[#This Row],[Order date]])</f>
        <v>36</v>
      </c>
      <c r="P256" s="27" t="str">
        <f>TEXT(Table64[[#This Row],[Order date]],"mmm-yyyy")</f>
        <v>Mar-2024</v>
      </c>
      <c r="Q256" s="16" t="str">
        <f t="shared" si="3"/>
        <v>Delayed</v>
      </c>
    </row>
    <row r="257" spans="1:17" x14ac:dyDescent="0.3">
      <c r="A257" s="17">
        <v>10256</v>
      </c>
      <c r="B257" s="4">
        <v>5649</v>
      </c>
      <c r="C257" s="4" t="s">
        <v>12</v>
      </c>
      <c r="D257" s="5">
        <v>30828.799999999999</v>
      </c>
      <c r="E257" s="4">
        <v>12</v>
      </c>
      <c r="F257" s="4" t="s">
        <v>21</v>
      </c>
      <c r="G257" s="6">
        <v>45383</v>
      </c>
      <c r="H257" s="5">
        <v>105314.07</v>
      </c>
      <c r="I257" s="18" t="s">
        <v>17</v>
      </c>
      <c r="J257" s="14" t="s">
        <v>19</v>
      </c>
      <c r="K257" s="14">
        <v>266</v>
      </c>
      <c r="L257" s="15">
        <v>45332</v>
      </c>
      <c r="M257" s="16">
        <v>9</v>
      </c>
      <c r="N25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57" s="31" t="str">
        <f>IF(Table64[[#This Row],[date validity flag]]&lt;&gt;"Valid","",Table64[[#This Row],[shipment date ]]-Table64[[#This Row],[Order date]])</f>
        <v/>
      </c>
      <c r="P257" s="27" t="str">
        <f>TEXT(Table64[[#This Row],[Order date]],"mmm-yyyy")</f>
        <v>Apr-2024</v>
      </c>
      <c r="Q257" s="16" t="str">
        <f t="shared" si="3"/>
        <v/>
      </c>
    </row>
    <row r="258" spans="1:17" x14ac:dyDescent="0.3">
      <c r="A258" s="12">
        <v>10257</v>
      </c>
      <c r="B258" s="1">
        <v>5318</v>
      </c>
      <c r="C258" s="1" t="s">
        <v>16</v>
      </c>
      <c r="D258" s="2">
        <v>87726.8</v>
      </c>
      <c r="E258" s="1">
        <v>11</v>
      </c>
      <c r="F258" s="1" t="s">
        <v>22</v>
      </c>
      <c r="G258" s="3">
        <v>45306</v>
      </c>
      <c r="H258" s="2">
        <v>29312.23</v>
      </c>
      <c r="I258" s="13" t="s">
        <v>20</v>
      </c>
      <c r="J258" s="14" t="s">
        <v>18</v>
      </c>
      <c r="K258" s="14">
        <v>1084</v>
      </c>
      <c r="L258" s="15">
        <v>45397</v>
      </c>
      <c r="M258" s="16">
        <v>14</v>
      </c>
      <c r="N2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58" s="31">
        <f>IF(Table64[[#This Row],[date validity flag]]&lt;&gt;"Valid","",Table64[[#This Row],[shipment date ]]-Table64[[#This Row],[Order date]])</f>
        <v>91</v>
      </c>
      <c r="P258" s="27" t="str">
        <f>TEXT(Table64[[#This Row],[Order date]],"mmm-yyyy")</f>
        <v>Jan-2024</v>
      </c>
      <c r="Q258" s="16" t="str">
        <f t="shared" ref="Q258:Q321" si="4">IF(O258="","",IF(O258&gt;0,"Delayed","On Time"))</f>
        <v>Delayed</v>
      </c>
    </row>
    <row r="259" spans="1:17" x14ac:dyDescent="0.3">
      <c r="A259" s="17">
        <v>10258</v>
      </c>
      <c r="B259" s="4">
        <v>6701</v>
      </c>
      <c r="C259" s="4" t="s">
        <v>16</v>
      </c>
      <c r="D259" s="5">
        <v>50828.21</v>
      </c>
      <c r="E259" s="4">
        <v>46</v>
      </c>
      <c r="F259" s="4" t="s">
        <v>13</v>
      </c>
      <c r="G259" s="6">
        <v>45306</v>
      </c>
      <c r="H259" s="5">
        <v>85539.25</v>
      </c>
      <c r="I259" s="18" t="s">
        <v>17</v>
      </c>
      <c r="J259" s="14" t="s">
        <v>19</v>
      </c>
      <c r="K259" s="14">
        <v>679</v>
      </c>
      <c r="L259" s="15">
        <v>45332</v>
      </c>
      <c r="M259" s="16">
        <v>5</v>
      </c>
      <c r="N2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59" s="31">
        <f>IF(Table64[[#This Row],[date validity flag]]&lt;&gt;"Valid","",Table64[[#This Row],[shipment date ]]-Table64[[#This Row],[Order date]])</f>
        <v>26</v>
      </c>
      <c r="P259" s="27" t="str">
        <f>TEXT(Table64[[#This Row],[Order date]],"mmm-yyyy")</f>
        <v>Jan-2024</v>
      </c>
      <c r="Q259" s="16" t="str">
        <f t="shared" si="4"/>
        <v>Delayed</v>
      </c>
    </row>
    <row r="260" spans="1:17" x14ac:dyDescent="0.3">
      <c r="A260" s="12">
        <v>10259</v>
      </c>
      <c r="B260" s="1">
        <v>6249</v>
      </c>
      <c r="C260" s="1" t="s">
        <v>16</v>
      </c>
      <c r="D260" s="2">
        <v>48039.43</v>
      </c>
      <c r="E260" s="1">
        <v>16</v>
      </c>
      <c r="F260" s="1" t="s">
        <v>23</v>
      </c>
      <c r="G260" s="3">
        <v>45337</v>
      </c>
      <c r="H260" s="2">
        <v>127930.26</v>
      </c>
      <c r="I260" s="13" t="s">
        <v>17</v>
      </c>
      <c r="J260" s="14" t="s">
        <v>19</v>
      </c>
      <c r="K260" s="14">
        <v>213</v>
      </c>
      <c r="L260" s="15">
        <v>45361</v>
      </c>
      <c r="M260" s="16">
        <v>14</v>
      </c>
      <c r="N2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60" s="31">
        <f>IF(Table64[[#This Row],[date validity flag]]&lt;&gt;"Valid","",Table64[[#This Row],[shipment date ]]-Table64[[#This Row],[Order date]])</f>
        <v>24</v>
      </c>
      <c r="P260" s="27" t="str">
        <f>TEXT(Table64[[#This Row],[Order date]],"mmm-yyyy")</f>
        <v>Feb-2024</v>
      </c>
      <c r="Q260" s="16" t="str">
        <f t="shared" si="4"/>
        <v>Delayed</v>
      </c>
    </row>
    <row r="261" spans="1:17" x14ac:dyDescent="0.3">
      <c r="A261" s="17">
        <v>10260</v>
      </c>
      <c r="B261" s="4">
        <v>6843</v>
      </c>
      <c r="C261" s="4" t="s">
        <v>16</v>
      </c>
      <c r="D261" s="5">
        <v>89560.86</v>
      </c>
      <c r="E261" s="4">
        <v>1</v>
      </c>
      <c r="F261" s="4" t="s">
        <v>21</v>
      </c>
      <c r="G261" s="6">
        <v>45383</v>
      </c>
      <c r="H261" s="5">
        <v>52908.73</v>
      </c>
      <c r="I261" s="18" t="s">
        <v>17</v>
      </c>
      <c r="J261" s="14" t="s">
        <v>18</v>
      </c>
      <c r="K261" s="14">
        <v>102</v>
      </c>
      <c r="L261" s="15">
        <v>45332</v>
      </c>
      <c r="M261" s="16">
        <v>5</v>
      </c>
      <c r="N26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61" s="31" t="str">
        <f>IF(Table64[[#This Row],[date validity flag]]&lt;&gt;"Valid","",Table64[[#This Row],[shipment date ]]-Table64[[#This Row],[Order date]])</f>
        <v/>
      </c>
      <c r="P261" s="27" t="str">
        <f>TEXT(Table64[[#This Row],[Order date]],"mmm-yyyy")</f>
        <v>Apr-2024</v>
      </c>
      <c r="Q261" s="16" t="str">
        <f t="shared" si="4"/>
        <v/>
      </c>
    </row>
    <row r="262" spans="1:17" x14ac:dyDescent="0.3">
      <c r="A262" s="12">
        <v>10261</v>
      </c>
      <c r="B262" s="1">
        <v>6258</v>
      </c>
      <c r="C262" s="1" t="s">
        <v>16</v>
      </c>
      <c r="D262" s="2">
        <v>38985.86</v>
      </c>
      <c r="E262" s="1">
        <v>63</v>
      </c>
      <c r="F262" s="1" t="s">
        <v>23</v>
      </c>
      <c r="G262" s="3">
        <v>45337</v>
      </c>
      <c r="H262" s="2">
        <v>36882.89</v>
      </c>
      <c r="I262" s="13" t="s">
        <v>20</v>
      </c>
      <c r="J262" s="14" t="s">
        <v>15</v>
      </c>
      <c r="K262" s="14">
        <v>267</v>
      </c>
      <c r="L262" s="15">
        <v>45361</v>
      </c>
      <c r="M262" s="16">
        <v>3</v>
      </c>
      <c r="N2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62" s="31">
        <f>IF(Table64[[#This Row],[date validity flag]]&lt;&gt;"Valid","",Table64[[#This Row],[shipment date ]]-Table64[[#This Row],[Order date]])</f>
        <v>24</v>
      </c>
      <c r="P262" s="27" t="str">
        <f>TEXT(Table64[[#This Row],[Order date]],"mmm-yyyy")</f>
        <v>Feb-2024</v>
      </c>
      <c r="Q262" s="16" t="str">
        <f t="shared" si="4"/>
        <v>Delayed</v>
      </c>
    </row>
    <row r="263" spans="1:17" x14ac:dyDescent="0.3">
      <c r="A263" s="17">
        <v>10262</v>
      </c>
      <c r="B263" s="4">
        <v>5684</v>
      </c>
      <c r="C263" s="4" t="s">
        <v>16</v>
      </c>
      <c r="D263" s="5">
        <v>64579.54</v>
      </c>
      <c r="E263" s="4">
        <v>21</v>
      </c>
      <c r="F263" s="4" t="s">
        <v>23</v>
      </c>
      <c r="G263" s="6">
        <v>45337</v>
      </c>
      <c r="H263" s="5">
        <v>157603.16</v>
      </c>
      <c r="I263" s="18" t="s">
        <v>17</v>
      </c>
      <c r="J263" s="14" t="s">
        <v>15</v>
      </c>
      <c r="K263" s="14">
        <v>1048</v>
      </c>
      <c r="L263" s="15">
        <v>45332</v>
      </c>
      <c r="M263" s="16">
        <v>5</v>
      </c>
      <c r="N26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63" s="31" t="str">
        <f>IF(Table64[[#This Row],[date validity flag]]&lt;&gt;"Valid","",Table64[[#This Row],[shipment date ]]-Table64[[#This Row],[Order date]])</f>
        <v/>
      </c>
      <c r="P263" s="27" t="str">
        <f>TEXT(Table64[[#This Row],[Order date]],"mmm-yyyy")</f>
        <v>Feb-2024</v>
      </c>
      <c r="Q263" s="16" t="str">
        <f t="shared" si="4"/>
        <v/>
      </c>
    </row>
    <row r="264" spans="1:17" x14ac:dyDescent="0.3">
      <c r="A264" s="12">
        <v>10263</v>
      </c>
      <c r="B264" s="1">
        <v>5664</v>
      </c>
      <c r="C264" s="1" t="s">
        <v>16</v>
      </c>
      <c r="D264" s="2">
        <v>58634.86</v>
      </c>
      <c r="E264" s="1">
        <v>30</v>
      </c>
      <c r="F264" s="1" t="s">
        <v>21</v>
      </c>
      <c r="G264" s="3">
        <v>45306</v>
      </c>
      <c r="H264" s="2">
        <v>147209.69</v>
      </c>
      <c r="I264" s="13" t="s">
        <v>17</v>
      </c>
      <c r="J264" s="14" t="s">
        <v>18</v>
      </c>
      <c r="K264" s="14">
        <v>873</v>
      </c>
      <c r="L264" s="15">
        <v>45332</v>
      </c>
      <c r="M264" s="16">
        <v>8</v>
      </c>
      <c r="N2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64" s="31">
        <f>IF(Table64[[#This Row],[date validity flag]]&lt;&gt;"Valid","",Table64[[#This Row],[shipment date ]]-Table64[[#This Row],[Order date]])</f>
        <v>26</v>
      </c>
      <c r="P264" s="27" t="str">
        <f>TEXT(Table64[[#This Row],[Order date]],"mmm-yyyy")</f>
        <v>Jan-2024</v>
      </c>
      <c r="Q264" s="16" t="str">
        <f t="shared" si="4"/>
        <v>Delayed</v>
      </c>
    </row>
    <row r="265" spans="1:17" x14ac:dyDescent="0.3">
      <c r="A265" s="17">
        <v>10264</v>
      </c>
      <c r="B265" s="4">
        <v>6999</v>
      </c>
      <c r="C265" s="4" t="s">
        <v>16</v>
      </c>
      <c r="D265" s="5">
        <v>42947.78</v>
      </c>
      <c r="E265" s="4">
        <v>13</v>
      </c>
      <c r="F265" s="4" t="s">
        <v>21</v>
      </c>
      <c r="G265" s="6">
        <v>45361</v>
      </c>
      <c r="H265" s="5">
        <v>48270.44</v>
      </c>
      <c r="I265" s="18" t="s">
        <v>17</v>
      </c>
      <c r="J265" s="14" t="s">
        <v>18</v>
      </c>
      <c r="K265" s="14">
        <v>1433</v>
      </c>
      <c r="L265" s="15">
        <v>45332</v>
      </c>
      <c r="M265" s="16">
        <v>12</v>
      </c>
      <c r="N26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65" s="31" t="str">
        <f>IF(Table64[[#This Row],[date validity flag]]&lt;&gt;"Valid","",Table64[[#This Row],[shipment date ]]-Table64[[#This Row],[Order date]])</f>
        <v/>
      </c>
      <c r="P265" s="27" t="str">
        <f>TEXT(Table64[[#This Row],[Order date]],"mmm-yyyy")</f>
        <v>Mar-2024</v>
      </c>
      <c r="Q265" s="16" t="str">
        <f t="shared" si="4"/>
        <v/>
      </c>
    </row>
    <row r="266" spans="1:17" x14ac:dyDescent="0.3">
      <c r="A266" s="12">
        <v>10265</v>
      </c>
      <c r="B266" s="1">
        <v>6851</v>
      </c>
      <c r="C266" s="1" t="s">
        <v>16</v>
      </c>
      <c r="D266" s="2">
        <v>68952.460000000006</v>
      </c>
      <c r="E266" s="1">
        <v>34</v>
      </c>
      <c r="F266" s="1" t="s">
        <v>21</v>
      </c>
      <c r="G266" s="3">
        <v>45361</v>
      </c>
      <c r="H266" s="2">
        <v>43861.03</v>
      </c>
      <c r="I266" s="13" t="s">
        <v>20</v>
      </c>
      <c r="J266" s="14" t="s">
        <v>19</v>
      </c>
      <c r="K266" s="14">
        <v>434</v>
      </c>
      <c r="L266" s="15">
        <v>45332</v>
      </c>
      <c r="M266" s="16">
        <v>5</v>
      </c>
      <c r="N26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66" s="31" t="str">
        <f>IF(Table64[[#This Row],[date validity flag]]&lt;&gt;"Valid","",Table64[[#This Row],[shipment date ]]-Table64[[#This Row],[Order date]])</f>
        <v/>
      </c>
      <c r="P266" s="27" t="str">
        <f>TEXT(Table64[[#This Row],[Order date]],"mmm-yyyy")</f>
        <v>Mar-2024</v>
      </c>
      <c r="Q266" s="16" t="str">
        <f t="shared" si="4"/>
        <v/>
      </c>
    </row>
    <row r="267" spans="1:17" x14ac:dyDescent="0.3">
      <c r="A267" s="17">
        <v>10266</v>
      </c>
      <c r="B267" s="4">
        <v>6398</v>
      </c>
      <c r="C267" s="4" t="s">
        <v>16</v>
      </c>
      <c r="D267" s="5">
        <v>30995.22</v>
      </c>
      <c r="E267" s="4">
        <v>4</v>
      </c>
      <c r="F267" s="4" t="s">
        <v>21</v>
      </c>
      <c r="G267" s="6">
        <v>45337</v>
      </c>
      <c r="H267" s="5">
        <v>34081.58</v>
      </c>
      <c r="I267" s="18" t="s">
        <v>17</v>
      </c>
      <c r="J267" s="14" t="s">
        <v>18</v>
      </c>
      <c r="K267" s="14">
        <v>105</v>
      </c>
      <c r="L267" s="15">
        <v>45397</v>
      </c>
      <c r="M267" s="16">
        <v>4</v>
      </c>
      <c r="N2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67" s="31">
        <f>IF(Table64[[#This Row],[date validity flag]]&lt;&gt;"Valid","",Table64[[#This Row],[shipment date ]]-Table64[[#This Row],[Order date]])</f>
        <v>60</v>
      </c>
      <c r="P267" s="27" t="str">
        <f>TEXT(Table64[[#This Row],[Order date]],"mmm-yyyy")</f>
        <v>Feb-2024</v>
      </c>
      <c r="Q267" s="16" t="str">
        <f t="shared" si="4"/>
        <v>Delayed</v>
      </c>
    </row>
    <row r="268" spans="1:17" x14ac:dyDescent="0.3">
      <c r="A268" s="12">
        <v>10267</v>
      </c>
      <c r="B268" s="1">
        <v>6696</v>
      </c>
      <c r="C268" s="1" t="s">
        <v>12</v>
      </c>
      <c r="D268" s="2">
        <v>35765.269999999997</v>
      </c>
      <c r="E268" s="1">
        <v>28</v>
      </c>
      <c r="F268" s="1" t="s">
        <v>13</v>
      </c>
      <c r="G268" s="3">
        <v>45306</v>
      </c>
      <c r="H268" s="2">
        <v>142199.79</v>
      </c>
      <c r="I268" s="13" t="s">
        <v>14</v>
      </c>
      <c r="J268" s="14" t="s">
        <v>19</v>
      </c>
      <c r="K268" s="14">
        <v>167</v>
      </c>
      <c r="L268" s="15">
        <v>45332</v>
      </c>
      <c r="M268" s="16">
        <v>8</v>
      </c>
      <c r="N2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68" s="31">
        <f>IF(Table64[[#This Row],[date validity flag]]&lt;&gt;"Valid","",Table64[[#This Row],[shipment date ]]-Table64[[#This Row],[Order date]])</f>
        <v>26</v>
      </c>
      <c r="P268" s="27" t="str">
        <f>TEXT(Table64[[#This Row],[Order date]],"mmm-yyyy")</f>
        <v>Jan-2024</v>
      </c>
      <c r="Q268" s="16" t="str">
        <f t="shared" si="4"/>
        <v>Delayed</v>
      </c>
    </row>
    <row r="269" spans="1:17" x14ac:dyDescent="0.3">
      <c r="A269" s="17">
        <v>10268</v>
      </c>
      <c r="B269" s="4">
        <v>6632</v>
      </c>
      <c r="C269" s="4" t="s">
        <v>16</v>
      </c>
      <c r="D269" s="5">
        <v>21427.79</v>
      </c>
      <c r="E269" s="4">
        <v>95</v>
      </c>
      <c r="F269" s="4" t="s">
        <v>13</v>
      </c>
      <c r="G269" s="6">
        <v>45383</v>
      </c>
      <c r="H269" s="5">
        <v>99414.56</v>
      </c>
      <c r="I269" s="18" t="s">
        <v>17</v>
      </c>
      <c r="J269" s="14" t="s">
        <v>18</v>
      </c>
      <c r="K269" s="14">
        <v>949</v>
      </c>
      <c r="L269" s="15">
        <v>45397</v>
      </c>
      <c r="M269" s="16">
        <v>7</v>
      </c>
      <c r="N2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69" s="31">
        <f>IF(Table64[[#This Row],[date validity flag]]&lt;&gt;"Valid","",Table64[[#This Row],[shipment date ]]-Table64[[#This Row],[Order date]])</f>
        <v>14</v>
      </c>
      <c r="P269" s="27" t="str">
        <f>TEXT(Table64[[#This Row],[Order date]],"mmm-yyyy")</f>
        <v>Apr-2024</v>
      </c>
      <c r="Q269" s="16" t="str">
        <f t="shared" si="4"/>
        <v>Delayed</v>
      </c>
    </row>
    <row r="270" spans="1:17" x14ac:dyDescent="0.3">
      <c r="A270" s="12">
        <v>10269</v>
      </c>
      <c r="B270" s="1">
        <v>6496</v>
      </c>
      <c r="C270" s="1" t="s">
        <v>16</v>
      </c>
      <c r="D270" s="2">
        <v>67599.37</v>
      </c>
      <c r="E270" s="1">
        <v>59</v>
      </c>
      <c r="F270" s="1" t="s">
        <v>13</v>
      </c>
      <c r="G270" s="3">
        <v>45361</v>
      </c>
      <c r="H270" s="2">
        <v>167471.26999999999</v>
      </c>
      <c r="I270" s="13" t="s">
        <v>14</v>
      </c>
      <c r="J270" s="14" t="s">
        <v>15</v>
      </c>
      <c r="K270" s="14">
        <v>1326</v>
      </c>
      <c r="L270" s="15">
        <v>45361</v>
      </c>
      <c r="M270" s="16">
        <v>14</v>
      </c>
      <c r="N2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0" s="31">
        <f>IF(Table64[[#This Row],[date validity flag]]&lt;&gt;"Valid","",Table64[[#This Row],[shipment date ]]-Table64[[#This Row],[Order date]])</f>
        <v>0</v>
      </c>
      <c r="P270" s="27" t="str">
        <f>TEXT(Table64[[#This Row],[Order date]],"mmm-yyyy")</f>
        <v>Mar-2024</v>
      </c>
      <c r="Q270" s="16" t="str">
        <f t="shared" si="4"/>
        <v>On Time</v>
      </c>
    </row>
    <row r="271" spans="1:17" x14ac:dyDescent="0.3">
      <c r="A271" s="17">
        <v>10270</v>
      </c>
      <c r="B271" s="4">
        <v>6257</v>
      </c>
      <c r="C271" s="4" t="s">
        <v>16</v>
      </c>
      <c r="D271" s="5">
        <v>10098.719999999999</v>
      </c>
      <c r="E271" s="4">
        <v>27</v>
      </c>
      <c r="F271" s="4" t="s">
        <v>13</v>
      </c>
      <c r="G271" s="6">
        <v>45337</v>
      </c>
      <c r="H271" s="5">
        <v>75407.850000000006</v>
      </c>
      <c r="I271" s="18" t="s">
        <v>17</v>
      </c>
      <c r="J271" s="14" t="s">
        <v>15</v>
      </c>
      <c r="K271" s="14">
        <v>847</v>
      </c>
      <c r="L271" s="15">
        <v>45361</v>
      </c>
      <c r="M271" s="16">
        <v>14</v>
      </c>
      <c r="N2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1" s="31">
        <f>IF(Table64[[#This Row],[date validity flag]]&lt;&gt;"Valid","",Table64[[#This Row],[shipment date ]]-Table64[[#This Row],[Order date]])</f>
        <v>24</v>
      </c>
      <c r="P271" s="27" t="str">
        <f>TEXT(Table64[[#This Row],[Order date]],"mmm-yyyy")</f>
        <v>Feb-2024</v>
      </c>
      <c r="Q271" s="16" t="str">
        <f t="shared" si="4"/>
        <v>Delayed</v>
      </c>
    </row>
    <row r="272" spans="1:17" x14ac:dyDescent="0.3">
      <c r="A272" s="12">
        <v>10271</v>
      </c>
      <c r="B272" s="1">
        <v>6716</v>
      </c>
      <c r="C272" s="1" t="s">
        <v>16</v>
      </c>
      <c r="D272" s="2">
        <v>18587.52</v>
      </c>
      <c r="E272" s="1">
        <v>69</v>
      </c>
      <c r="F272" s="1" t="s">
        <v>22</v>
      </c>
      <c r="G272" s="3">
        <v>45361</v>
      </c>
      <c r="H272" s="2">
        <v>143985.35</v>
      </c>
      <c r="I272" s="13" t="s">
        <v>17</v>
      </c>
      <c r="J272" s="14" t="s">
        <v>18</v>
      </c>
      <c r="K272" s="14">
        <v>829</v>
      </c>
      <c r="L272" s="15">
        <v>45397</v>
      </c>
      <c r="M272" s="16">
        <v>6</v>
      </c>
      <c r="N2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2" s="31">
        <f>IF(Table64[[#This Row],[date validity flag]]&lt;&gt;"Valid","",Table64[[#This Row],[shipment date ]]-Table64[[#This Row],[Order date]])</f>
        <v>36</v>
      </c>
      <c r="P272" s="27" t="str">
        <f>TEXT(Table64[[#This Row],[Order date]],"mmm-yyyy")</f>
        <v>Mar-2024</v>
      </c>
      <c r="Q272" s="16" t="str">
        <f t="shared" si="4"/>
        <v>Delayed</v>
      </c>
    </row>
    <row r="273" spans="1:17" x14ac:dyDescent="0.3">
      <c r="A273" s="17">
        <v>10272</v>
      </c>
      <c r="B273" s="4">
        <v>6137</v>
      </c>
      <c r="C273" s="4" t="s">
        <v>16</v>
      </c>
      <c r="D273" s="5">
        <v>77508.710000000006</v>
      </c>
      <c r="E273" s="4">
        <v>25</v>
      </c>
      <c r="F273" s="4" t="s">
        <v>13</v>
      </c>
      <c r="G273" s="6">
        <v>45361</v>
      </c>
      <c r="H273" s="5">
        <v>18308.73</v>
      </c>
      <c r="I273" s="18" t="s">
        <v>20</v>
      </c>
      <c r="J273" s="14" t="s">
        <v>19</v>
      </c>
      <c r="K273" s="14">
        <v>1065</v>
      </c>
      <c r="L273" s="15">
        <v>45361</v>
      </c>
      <c r="M273" s="16">
        <v>5</v>
      </c>
      <c r="N2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3" s="31">
        <f>IF(Table64[[#This Row],[date validity flag]]&lt;&gt;"Valid","",Table64[[#This Row],[shipment date ]]-Table64[[#This Row],[Order date]])</f>
        <v>0</v>
      </c>
      <c r="P273" s="27" t="str">
        <f>TEXT(Table64[[#This Row],[Order date]],"mmm-yyyy")</f>
        <v>Mar-2024</v>
      </c>
      <c r="Q273" s="16" t="str">
        <f t="shared" si="4"/>
        <v>On Time</v>
      </c>
    </row>
    <row r="274" spans="1:17" x14ac:dyDescent="0.3">
      <c r="A274" s="12">
        <v>10273</v>
      </c>
      <c r="B274" s="1">
        <v>6854</v>
      </c>
      <c r="C274" s="1" t="s">
        <v>12</v>
      </c>
      <c r="D274" s="2">
        <v>62834.239999999998</v>
      </c>
      <c r="E274" s="1">
        <v>3</v>
      </c>
      <c r="F274" s="1" t="s">
        <v>21</v>
      </c>
      <c r="G274" s="3">
        <v>45383</v>
      </c>
      <c r="H274" s="2">
        <v>115166.52</v>
      </c>
      <c r="I274" s="13" t="s">
        <v>14</v>
      </c>
      <c r="J274" s="14" t="s">
        <v>15</v>
      </c>
      <c r="K274" s="14">
        <v>852</v>
      </c>
      <c r="L274" s="15">
        <v>45361</v>
      </c>
      <c r="M274" s="16">
        <v>14</v>
      </c>
      <c r="N27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74" s="31" t="str">
        <f>IF(Table64[[#This Row],[date validity flag]]&lt;&gt;"Valid","",Table64[[#This Row],[shipment date ]]-Table64[[#This Row],[Order date]])</f>
        <v/>
      </c>
      <c r="P274" s="27" t="str">
        <f>TEXT(Table64[[#This Row],[Order date]],"mmm-yyyy")</f>
        <v>Apr-2024</v>
      </c>
      <c r="Q274" s="16" t="str">
        <f t="shared" si="4"/>
        <v/>
      </c>
    </row>
    <row r="275" spans="1:17" x14ac:dyDescent="0.3">
      <c r="A275" s="17">
        <v>10274</v>
      </c>
      <c r="B275" s="4">
        <v>6521</v>
      </c>
      <c r="C275" s="4" t="s">
        <v>16</v>
      </c>
      <c r="D275" s="5">
        <v>81163.77</v>
      </c>
      <c r="E275" s="4">
        <v>97</v>
      </c>
      <c r="F275" s="4" t="s">
        <v>23</v>
      </c>
      <c r="G275" s="6">
        <v>45306</v>
      </c>
      <c r="H275" s="5">
        <v>170786.42</v>
      </c>
      <c r="I275" s="18" t="s">
        <v>17</v>
      </c>
      <c r="J275" s="14" t="s">
        <v>19</v>
      </c>
      <c r="K275" s="14">
        <v>894</v>
      </c>
      <c r="L275" s="15">
        <v>45332</v>
      </c>
      <c r="M275" s="16">
        <v>5</v>
      </c>
      <c r="N27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5" s="31">
        <f>IF(Table64[[#This Row],[date validity flag]]&lt;&gt;"Valid","",Table64[[#This Row],[shipment date ]]-Table64[[#This Row],[Order date]])</f>
        <v>26</v>
      </c>
      <c r="P275" s="27" t="str">
        <f>TEXT(Table64[[#This Row],[Order date]],"mmm-yyyy")</f>
        <v>Jan-2024</v>
      </c>
      <c r="Q275" s="16" t="str">
        <f t="shared" si="4"/>
        <v>Delayed</v>
      </c>
    </row>
    <row r="276" spans="1:17" x14ac:dyDescent="0.3">
      <c r="A276" s="12">
        <v>10275</v>
      </c>
      <c r="B276" s="1">
        <v>5442</v>
      </c>
      <c r="C276" s="1" t="s">
        <v>16</v>
      </c>
      <c r="D276" s="2">
        <v>38266.89</v>
      </c>
      <c r="E276" s="1">
        <v>68</v>
      </c>
      <c r="F276" s="1" t="s">
        <v>13</v>
      </c>
      <c r="G276" s="3">
        <v>45383</v>
      </c>
      <c r="H276" s="2">
        <v>175710</v>
      </c>
      <c r="I276" s="13" t="s">
        <v>14</v>
      </c>
      <c r="J276" s="14" t="s">
        <v>18</v>
      </c>
      <c r="K276" s="14">
        <v>1253</v>
      </c>
      <c r="L276" s="15">
        <v>45332</v>
      </c>
      <c r="M276" s="16">
        <v>13</v>
      </c>
      <c r="N27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76" s="31" t="str">
        <f>IF(Table64[[#This Row],[date validity flag]]&lt;&gt;"Valid","",Table64[[#This Row],[shipment date ]]-Table64[[#This Row],[Order date]])</f>
        <v/>
      </c>
      <c r="P276" s="27" t="str">
        <f>TEXT(Table64[[#This Row],[Order date]],"mmm-yyyy")</f>
        <v>Apr-2024</v>
      </c>
      <c r="Q276" s="16" t="str">
        <f t="shared" si="4"/>
        <v/>
      </c>
    </row>
    <row r="277" spans="1:17" x14ac:dyDescent="0.3">
      <c r="A277" s="17">
        <v>10276</v>
      </c>
      <c r="B277" s="4">
        <v>5564</v>
      </c>
      <c r="C277" s="4" t="s">
        <v>16</v>
      </c>
      <c r="D277" s="5">
        <v>17083.23</v>
      </c>
      <c r="E277" s="4">
        <v>25</v>
      </c>
      <c r="F277" s="4" t="s">
        <v>22</v>
      </c>
      <c r="G277" s="6">
        <v>45306</v>
      </c>
      <c r="H277" s="5">
        <v>102401.25</v>
      </c>
      <c r="I277" s="18" t="s">
        <v>17</v>
      </c>
      <c r="J277" s="14" t="s">
        <v>18</v>
      </c>
      <c r="K277" s="14">
        <v>1488</v>
      </c>
      <c r="L277" s="15">
        <v>45332</v>
      </c>
      <c r="M277" s="16">
        <v>10</v>
      </c>
      <c r="N2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7" s="31">
        <f>IF(Table64[[#This Row],[date validity flag]]&lt;&gt;"Valid","",Table64[[#This Row],[shipment date ]]-Table64[[#This Row],[Order date]])</f>
        <v>26</v>
      </c>
      <c r="P277" s="27" t="str">
        <f>TEXT(Table64[[#This Row],[Order date]],"mmm-yyyy")</f>
        <v>Jan-2024</v>
      </c>
      <c r="Q277" s="16" t="str">
        <f t="shared" si="4"/>
        <v>Delayed</v>
      </c>
    </row>
    <row r="278" spans="1:17" x14ac:dyDescent="0.3">
      <c r="A278" s="12">
        <v>10277</v>
      </c>
      <c r="B278" s="1">
        <v>6292</v>
      </c>
      <c r="C278" s="1" t="s">
        <v>16</v>
      </c>
      <c r="D278" s="2">
        <v>71629.710000000006</v>
      </c>
      <c r="E278" s="1">
        <v>20</v>
      </c>
      <c r="F278" s="1" t="s">
        <v>21</v>
      </c>
      <c r="G278" s="3">
        <v>45361</v>
      </c>
      <c r="H278" s="2">
        <v>121259.44</v>
      </c>
      <c r="I278" s="13" t="s">
        <v>17</v>
      </c>
      <c r="J278" s="14" t="s">
        <v>15</v>
      </c>
      <c r="K278" s="14">
        <v>1308</v>
      </c>
      <c r="L278" s="15">
        <v>45397</v>
      </c>
      <c r="M278" s="16">
        <v>2</v>
      </c>
      <c r="N2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8" s="31">
        <f>IF(Table64[[#This Row],[date validity flag]]&lt;&gt;"Valid","",Table64[[#This Row],[shipment date ]]-Table64[[#This Row],[Order date]])</f>
        <v>36</v>
      </c>
      <c r="P278" s="27" t="str">
        <f>TEXT(Table64[[#This Row],[Order date]],"mmm-yyyy")</f>
        <v>Mar-2024</v>
      </c>
      <c r="Q278" s="16" t="str">
        <f t="shared" si="4"/>
        <v>Delayed</v>
      </c>
    </row>
    <row r="279" spans="1:17" x14ac:dyDescent="0.3">
      <c r="A279" s="17">
        <v>10278</v>
      </c>
      <c r="B279" s="4">
        <v>6534</v>
      </c>
      <c r="C279" s="4" t="s">
        <v>16</v>
      </c>
      <c r="D279" s="5">
        <v>26794.69</v>
      </c>
      <c r="E279" s="4">
        <v>34</v>
      </c>
      <c r="F279" s="4" t="s">
        <v>23</v>
      </c>
      <c r="G279" s="6">
        <v>45337</v>
      </c>
      <c r="H279" s="5">
        <v>27334.07</v>
      </c>
      <c r="I279" s="18" t="s">
        <v>17</v>
      </c>
      <c r="J279" s="14" t="s">
        <v>18</v>
      </c>
      <c r="K279" s="14">
        <v>904</v>
      </c>
      <c r="L279" s="15">
        <v>45397</v>
      </c>
      <c r="M279" s="16">
        <v>13</v>
      </c>
      <c r="N2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79" s="31">
        <f>IF(Table64[[#This Row],[date validity flag]]&lt;&gt;"Valid","",Table64[[#This Row],[shipment date ]]-Table64[[#This Row],[Order date]])</f>
        <v>60</v>
      </c>
      <c r="P279" s="27" t="str">
        <f>TEXT(Table64[[#This Row],[Order date]],"mmm-yyyy")</f>
        <v>Feb-2024</v>
      </c>
      <c r="Q279" s="16" t="str">
        <f t="shared" si="4"/>
        <v>Delayed</v>
      </c>
    </row>
    <row r="280" spans="1:17" x14ac:dyDescent="0.3">
      <c r="A280" s="12">
        <v>10279</v>
      </c>
      <c r="B280" s="1">
        <v>6831</v>
      </c>
      <c r="C280" s="1" t="s">
        <v>12</v>
      </c>
      <c r="D280" s="2">
        <v>39504.1</v>
      </c>
      <c r="E280" s="1">
        <v>26</v>
      </c>
      <c r="F280" s="1" t="s">
        <v>23</v>
      </c>
      <c r="G280" s="3">
        <v>45383</v>
      </c>
      <c r="H280" s="2">
        <v>46035.21</v>
      </c>
      <c r="I280" s="13" t="s">
        <v>20</v>
      </c>
      <c r="J280" s="14" t="s">
        <v>15</v>
      </c>
      <c r="K280" s="14">
        <v>757</v>
      </c>
      <c r="L280" s="15">
        <v>45361</v>
      </c>
      <c r="M280" s="16">
        <v>4</v>
      </c>
      <c r="N28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80" s="31" t="str">
        <f>IF(Table64[[#This Row],[date validity flag]]&lt;&gt;"Valid","",Table64[[#This Row],[shipment date ]]-Table64[[#This Row],[Order date]])</f>
        <v/>
      </c>
      <c r="P280" s="27" t="str">
        <f>TEXT(Table64[[#This Row],[Order date]],"mmm-yyyy")</f>
        <v>Apr-2024</v>
      </c>
      <c r="Q280" s="16" t="str">
        <f t="shared" si="4"/>
        <v/>
      </c>
    </row>
    <row r="281" spans="1:17" x14ac:dyDescent="0.3">
      <c r="A281" s="17">
        <v>10280</v>
      </c>
      <c r="B281" s="4">
        <v>6410</v>
      </c>
      <c r="C281" s="4" t="s">
        <v>16</v>
      </c>
      <c r="D281" s="5">
        <v>41249.15</v>
      </c>
      <c r="E281" s="4">
        <v>5</v>
      </c>
      <c r="F281" s="4" t="s">
        <v>13</v>
      </c>
      <c r="G281" s="6">
        <v>45306</v>
      </c>
      <c r="H281" s="5">
        <v>142376.72</v>
      </c>
      <c r="I281" s="18" t="s">
        <v>17</v>
      </c>
      <c r="J281" s="14" t="s">
        <v>19</v>
      </c>
      <c r="K281" s="14">
        <v>1153</v>
      </c>
      <c r="L281" s="15">
        <v>45332</v>
      </c>
      <c r="M281" s="16">
        <v>8</v>
      </c>
      <c r="N2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1" s="31">
        <f>IF(Table64[[#This Row],[date validity flag]]&lt;&gt;"Valid","",Table64[[#This Row],[shipment date ]]-Table64[[#This Row],[Order date]])</f>
        <v>26</v>
      </c>
      <c r="P281" s="27" t="str">
        <f>TEXT(Table64[[#This Row],[Order date]],"mmm-yyyy")</f>
        <v>Jan-2024</v>
      </c>
      <c r="Q281" s="16" t="str">
        <f t="shared" si="4"/>
        <v>Delayed</v>
      </c>
    </row>
    <row r="282" spans="1:17" x14ac:dyDescent="0.3">
      <c r="A282" s="12">
        <v>10281</v>
      </c>
      <c r="B282" s="1">
        <v>6411</v>
      </c>
      <c r="C282" s="1" t="s">
        <v>16</v>
      </c>
      <c r="D282" s="2">
        <v>62819.99</v>
      </c>
      <c r="E282" s="1">
        <v>99</v>
      </c>
      <c r="F282" s="1" t="s">
        <v>23</v>
      </c>
      <c r="G282" s="3">
        <v>45361</v>
      </c>
      <c r="H282" s="2">
        <v>171467.5</v>
      </c>
      <c r="I282" s="13" t="s">
        <v>20</v>
      </c>
      <c r="J282" s="14" t="s">
        <v>15</v>
      </c>
      <c r="K282" s="14">
        <v>71</v>
      </c>
      <c r="L282" s="15">
        <v>45397</v>
      </c>
      <c r="M282" s="16">
        <v>8</v>
      </c>
      <c r="N2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2" s="31">
        <f>IF(Table64[[#This Row],[date validity flag]]&lt;&gt;"Valid","",Table64[[#This Row],[shipment date ]]-Table64[[#This Row],[Order date]])</f>
        <v>36</v>
      </c>
      <c r="P282" s="27" t="str">
        <f>TEXT(Table64[[#This Row],[Order date]],"mmm-yyyy")</f>
        <v>Mar-2024</v>
      </c>
      <c r="Q282" s="16" t="str">
        <f t="shared" si="4"/>
        <v>Delayed</v>
      </c>
    </row>
    <row r="283" spans="1:17" x14ac:dyDescent="0.3">
      <c r="A283" s="17">
        <v>10282</v>
      </c>
      <c r="B283" s="4">
        <v>6137</v>
      </c>
      <c r="C283" s="4" t="s">
        <v>16</v>
      </c>
      <c r="D283" s="5">
        <v>80285.02</v>
      </c>
      <c r="E283" s="4">
        <v>61</v>
      </c>
      <c r="F283" s="4" t="s">
        <v>13</v>
      </c>
      <c r="G283" s="6">
        <v>45306</v>
      </c>
      <c r="H283" s="5">
        <v>133343.32</v>
      </c>
      <c r="I283" s="18" t="s">
        <v>17</v>
      </c>
      <c r="J283" s="14" t="s">
        <v>15</v>
      </c>
      <c r="K283" s="14">
        <v>892</v>
      </c>
      <c r="L283" s="15">
        <v>45397</v>
      </c>
      <c r="M283" s="16">
        <v>11</v>
      </c>
      <c r="N2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3" s="31">
        <f>IF(Table64[[#This Row],[date validity flag]]&lt;&gt;"Valid","",Table64[[#This Row],[shipment date ]]-Table64[[#This Row],[Order date]])</f>
        <v>91</v>
      </c>
      <c r="P283" s="27" t="str">
        <f>TEXT(Table64[[#This Row],[Order date]],"mmm-yyyy")</f>
        <v>Jan-2024</v>
      </c>
      <c r="Q283" s="16" t="str">
        <f t="shared" si="4"/>
        <v>Delayed</v>
      </c>
    </row>
    <row r="284" spans="1:17" x14ac:dyDescent="0.3">
      <c r="A284" s="12">
        <v>10283</v>
      </c>
      <c r="B284" s="1">
        <v>6637</v>
      </c>
      <c r="C284" s="1" t="s">
        <v>16</v>
      </c>
      <c r="D284" s="2">
        <v>52615.53</v>
      </c>
      <c r="E284" s="1">
        <v>92</v>
      </c>
      <c r="F284" s="1" t="s">
        <v>13</v>
      </c>
      <c r="G284" s="3">
        <v>45306</v>
      </c>
      <c r="H284" s="2">
        <v>87949.18</v>
      </c>
      <c r="I284" s="13" t="s">
        <v>14</v>
      </c>
      <c r="J284" s="14" t="s">
        <v>19</v>
      </c>
      <c r="K284" s="14">
        <v>1166</v>
      </c>
      <c r="L284" s="15">
        <v>45332</v>
      </c>
      <c r="M284" s="16">
        <v>1</v>
      </c>
      <c r="N2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4" s="31">
        <f>IF(Table64[[#This Row],[date validity flag]]&lt;&gt;"Valid","",Table64[[#This Row],[shipment date ]]-Table64[[#This Row],[Order date]])</f>
        <v>26</v>
      </c>
      <c r="P284" s="27" t="str">
        <f>TEXT(Table64[[#This Row],[Order date]],"mmm-yyyy")</f>
        <v>Jan-2024</v>
      </c>
      <c r="Q284" s="16" t="str">
        <f t="shared" si="4"/>
        <v>Delayed</v>
      </c>
    </row>
    <row r="285" spans="1:17" x14ac:dyDescent="0.3">
      <c r="A285" s="17">
        <v>10284</v>
      </c>
      <c r="B285" s="4">
        <v>6649</v>
      </c>
      <c r="C285" s="4" t="s">
        <v>16</v>
      </c>
      <c r="D285" s="5">
        <v>76978.240000000005</v>
      </c>
      <c r="E285" s="4">
        <v>93</v>
      </c>
      <c r="F285" s="4" t="s">
        <v>21</v>
      </c>
      <c r="G285" s="6">
        <v>45306</v>
      </c>
      <c r="H285" s="5">
        <v>96814.66</v>
      </c>
      <c r="I285" s="18" t="s">
        <v>20</v>
      </c>
      <c r="J285" s="14" t="s">
        <v>15</v>
      </c>
      <c r="K285" s="14">
        <v>241</v>
      </c>
      <c r="L285" s="15">
        <v>45397</v>
      </c>
      <c r="M285" s="16">
        <v>2</v>
      </c>
      <c r="N2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5" s="31">
        <f>IF(Table64[[#This Row],[date validity flag]]&lt;&gt;"Valid","",Table64[[#This Row],[shipment date ]]-Table64[[#This Row],[Order date]])</f>
        <v>91</v>
      </c>
      <c r="P285" s="27" t="str">
        <f>TEXT(Table64[[#This Row],[Order date]],"mmm-yyyy")</f>
        <v>Jan-2024</v>
      </c>
      <c r="Q285" s="16" t="str">
        <f t="shared" si="4"/>
        <v>Delayed</v>
      </c>
    </row>
    <row r="286" spans="1:17" x14ac:dyDescent="0.3">
      <c r="A286" s="12">
        <v>10285</v>
      </c>
      <c r="B286" s="1">
        <v>5952</v>
      </c>
      <c r="C286" s="1" t="s">
        <v>16</v>
      </c>
      <c r="D286" s="2">
        <v>42477.18</v>
      </c>
      <c r="E286" s="1">
        <v>9</v>
      </c>
      <c r="F286" s="1" t="s">
        <v>21</v>
      </c>
      <c r="G286" s="3">
        <v>45361</v>
      </c>
      <c r="H286" s="2">
        <v>85095.18</v>
      </c>
      <c r="I286" s="13" t="s">
        <v>17</v>
      </c>
      <c r="J286" s="14" t="s">
        <v>15</v>
      </c>
      <c r="K286" s="14">
        <v>1068</v>
      </c>
      <c r="L286" s="15">
        <v>45332</v>
      </c>
      <c r="M286" s="16">
        <v>5</v>
      </c>
      <c r="N2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86" s="31" t="str">
        <f>IF(Table64[[#This Row],[date validity flag]]&lt;&gt;"Valid","",Table64[[#This Row],[shipment date ]]-Table64[[#This Row],[Order date]])</f>
        <v/>
      </c>
      <c r="P286" s="27" t="str">
        <f>TEXT(Table64[[#This Row],[Order date]],"mmm-yyyy")</f>
        <v>Mar-2024</v>
      </c>
      <c r="Q286" s="16" t="str">
        <f t="shared" si="4"/>
        <v/>
      </c>
    </row>
    <row r="287" spans="1:17" x14ac:dyDescent="0.3">
      <c r="A287" s="17">
        <v>10286</v>
      </c>
      <c r="B287" s="4">
        <v>6105</v>
      </c>
      <c r="C287" s="4" t="s">
        <v>12</v>
      </c>
      <c r="D287" s="5">
        <v>43034.74</v>
      </c>
      <c r="E287" s="4">
        <v>50</v>
      </c>
      <c r="F287" s="4" t="s">
        <v>22</v>
      </c>
      <c r="G287" s="6">
        <v>45337</v>
      </c>
      <c r="H287" s="5">
        <v>136694.32</v>
      </c>
      <c r="I287" s="18" t="s">
        <v>14</v>
      </c>
      <c r="J287" s="14" t="s">
        <v>18</v>
      </c>
      <c r="K287" s="14">
        <v>1176</v>
      </c>
      <c r="L287" s="15">
        <v>45361</v>
      </c>
      <c r="M287" s="16">
        <v>9</v>
      </c>
      <c r="N2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7" s="31">
        <f>IF(Table64[[#This Row],[date validity flag]]&lt;&gt;"Valid","",Table64[[#This Row],[shipment date ]]-Table64[[#This Row],[Order date]])</f>
        <v>24</v>
      </c>
      <c r="P287" s="27" t="str">
        <f>TEXT(Table64[[#This Row],[Order date]],"mmm-yyyy")</f>
        <v>Feb-2024</v>
      </c>
      <c r="Q287" s="16" t="str">
        <f t="shared" si="4"/>
        <v>Delayed</v>
      </c>
    </row>
    <row r="288" spans="1:17" x14ac:dyDescent="0.3">
      <c r="A288" s="12">
        <v>10287</v>
      </c>
      <c r="B288" s="1">
        <v>5699</v>
      </c>
      <c r="C288" s="1" t="s">
        <v>16</v>
      </c>
      <c r="D288" s="2">
        <v>82102.240000000005</v>
      </c>
      <c r="E288" s="1">
        <v>6</v>
      </c>
      <c r="F288" s="1" t="s">
        <v>21</v>
      </c>
      <c r="G288" s="3">
        <v>45337</v>
      </c>
      <c r="H288" s="2">
        <v>108610.56</v>
      </c>
      <c r="I288" s="13" t="s">
        <v>17</v>
      </c>
      <c r="J288" s="14" t="s">
        <v>19</v>
      </c>
      <c r="K288" s="14">
        <v>445</v>
      </c>
      <c r="L288" s="15">
        <v>45361</v>
      </c>
      <c r="M288" s="16">
        <v>10</v>
      </c>
      <c r="N2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8" s="31">
        <f>IF(Table64[[#This Row],[date validity flag]]&lt;&gt;"Valid","",Table64[[#This Row],[shipment date ]]-Table64[[#This Row],[Order date]])</f>
        <v>24</v>
      </c>
      <c r="P288" s="27" t="str">
        <f>TEXT(Table64[[#This Row],[Order date]],"mmm-yyyy")</f>
        <v>Feb-2024</v>
      </c>
      <c r="Q288" s="16" t="str">
        <f t="shared" si="4"/>
        <v>Delayed</v>
      </c>
    </row>
    <row r="289" spans="1:17" x14ac:dyDescent="0.3">
      <c r="A289" s="17">
        <v>10288</v>
      </c>
      <c r="B289" s="4">
        <v>5113</v>
      </c>
      <c r="C289" s="4" t="s">
        <v>16</v>
      </c>
      <c r="D289" s="5">
        <v>76303.66</v>
      </c>
      <c r="E289" s="4">
        <v>83</v>
      </c>
      <c r="F289" s="4" t="s">
        <v>21</v>
      </c>
      <c r="G289" s="6">
        <v>45337</v>
      </c>
      <c r="H289" s="5">
        <v>107415.38</v>
      </c>
      <c r="I289" s="18" t="s">
        <v>17</v>
      </c>
      <c r="J289" s="14" t="s">
        <v>15</v>
      </c>
      <c r="K289" s="14">
        <v>1080</v>
      </c>
      <c r="L289" s="15">
        <v>45361</v>
      </c>
      <c r="M289" s="16">
        <v>11</v>
      </c>
      <c r="N2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89" s="31">
        <f>IF(Table64[[#This Row],[date validity flag]]&lt;&gt;"Valid","",Table64[[#This Row],[shipment date ]]-Table64[[#This Row],[Order date]])</f>
        <v>24</v>
      </c>
      <c r="P289" s="27" t="str">
        <f>TEXT(Table64[[#This Row],[Order date]],"mmm-yyyy")</f>
        <v>Feb-2024</v>
      </c>
      <c r="Q289" s="16" t="str">
        <f t="shared" si="4"/>
        <v>Delayed</v>
      </c>
    </row>
    <row r="290" spans="1:17" x14ac:dyDescent="0.3">
      <c r="A290" s="12">
        <v>10289</v>
      </c>
      <c r="B290" s="1">
        <v>5002</v>
      </c>
      <c r="C290" s="1" t="s">
        <v>16</v>
      </c>
      <c r="D290" s="2">
        <v>79232.100000000006</v>
      </c>
      <c r="E290" s="1">
        <v>60</v>
      </c>
      <c r="F290" s="1" t="s">
        <v>13</v>
      </c>
      <c r="G290" s="3">
        <v>45306</v>
      </c>
      <c r="H290" s="2">
        <v>116977.98</v>
      </c>
      <c r="I290" s="13" t="s">
        <v>17</v>
      </c>
      <c r="J290" s="14" t="s">
        <v>19</v>
      </c>
      <c r="K290" s="14">
        <v>689</v>
      </c>
      <c r="L290" s="15">
        <v>45332</v>
      </c>
      <c r="M290" s="16">
        <v>12</v>
      </c>
      <c r="N2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0" s="31">
        <f>IF(Table64[[#This Row],[date validity flag]]&lt;&gt;"Valid","",Table64[[#This Row],[shipment date ]]-Table64[[#This Row],[Order date]])</f>
        <v>26</v>
      </c>
      <c r="P290" s="27" t="str">
        <f>TEXT(Table64[[#This Row],[Order date]],"mmm-yyyy")</f>
        <v>Jan-2024</v>
      </c>
      <c r="Q290" s="16" t="str">
        <f t="shared" si="4"/>
        <v>Delayed</v>
      </c>
    </row>
    <row r="291" spans="1:17" x14ac:dyDescent="0.3">
      <c r="A291" s="17">
        <v>10290</v>
      </c>
      <c r="B291" s="4">
        <v>5642</v>
      </c>
      <c r="C291" s="4" t="s">
        <v>16</v>
      </c>
      <c r="D291" s="5">
        <v>78562.559999999998</v>
      </c>
      <c r="E291" s="4">
        <v>44</v>
      </c>
      <c r="F291" s="4" t="s">
        <v>21</v>
      </c>
      <c r="G291" s="6">
        <v>45361</v>
      </c>
      <c r="H291" s="5">
        <v>149122.18</v>
      </c>
      <c r="I291" s="18" t="s">
        <v>17</v>
      </c>
      <c r="J291" s="14" t="s">
        <v>19</v>
      </c>
      <c r="K291" s="14">
        <v>1068</v>
      </c>
      <c r="L291" s="15">
        <v>45397</v>
      </c>
      <c r="M291" s="16">
        <v>13</v>
      </c>
      <c r="N2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1" s="31">
        <f>IF(Table64[[#This Row],[date validity flag]]&lt;&gt;"Valid","",Table64[[#This Row],[shipment date ]]-Table64[[#This Row],[Order date]])</f>
        <v>36</v>
      </c>
      <c r="P291" s="27" t="str">
        <f>TEXT(Table64[[#This Row],[Order date]],"mmm-yyyy")</f>
        <v>Mar-2024</v>
      </c>
      <c r="Q291" s="16" t="str">
        <f t="shared" si="4"/>
        <v>Delayed</v>
      </c>
    </row>
    <row r="292" spans="1:17" x14ac:dyDescent="0.3">
      <c r="A292" s="12">
        <v>10291</v>
      </c>
      <c r="B292" s="1">
        <v>5220</v>
      </c>
      <c r="C292" s="1" t="s">
        <v>16</v>
      </c>
      <c r="D292" s="2">
        <v>72161.86</v>
      </c>
      <c r="E292" s="1">
        <v>11</v>
      </c>
      <c r="F292" s="1" t="s">
        <v>13</v>
      </c>
      <c r="G292" s="3">
        <v>45306</v>
      </c>
      <c r="H292" s="2">
        <v>52873.68</v>
      </c>
      <c r="I292" s="13" t="s">
        <v>17</v>
      </c>
      <c r="J292" s="14" t="s">
        <v>15</v>
      </c>
      <c r="K292" s="14">
        <v>616</v>
      </c>
      <c r="L292" s="15">
        <v>45361</v>
      </c>
      <c r="M292" s="16">
        <v>11</v>
      </c>
      <c r="N2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2" s="31">
        <f>IF(Table64[[#This Row],[date validity flag]]&lt;&gt;"Valid","",Table64[[#This Row],[shipment date ]]-Table64[[#This Row],[Order date]])</f>
        <v>55</v>
      </c>
      <c r="P292" s="27" t="str">
        <f>TEXT(Table64[[#This Row],[Order date]],"mmm-yyyy")</f>
        <v>Jan-2024</v>
      </c>
      <c r="Q292" s="16" t="str">
        <f t="shared" si="4"/>
        <v>Delayed</v>
      </c>
    </row>
    <row r="293" spans="1:17" x14ac:dyDescent="0.3">
      <c r="A293" s="17">
        <v>10292</v>
      </c>
      <c r="B293" s="4">
        <v>6590</v>
      </c>
      <c r="C293" s="4" t="s">
        <v>16</v>
      </c>
      <c r="D293" s="5">
        <v>34299.31</v>
      </c>
      <c r="E293" s="4">
        <v>66</v>
      </c>
      <c r="F293" s="4" t="s">
        <v>13</v>
      </c>
      <c r="G293" s="6">
        <v>45337</v>
      </c>
      <c r="H293" s="5">
        <v>87781.32</v>
      </c>
      <c r="I293" s="18" t="s">
        <v>14</v>
      </c>
      <c r="J293" s="14" t="s">
        <v>18</v>
      </c>
      <c r="K293" s="14">
        <v>280</v>
      </c>
      <c r="L293" s="15">
        <v>45361</v>
      </c>
      <c r="M293" s="16">
        <v>7</v>
      </c>
      <c r="N2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3" s="31">
        <f>IF(Table64[[#This Row],[date validity flag]]&lt;&gt;"Valid","",Table64[[#This Row],[shipment date ]]-Table64[[#This Row],[Order date]])</f>
        <v>24</v>
      </c>
      <c r="P293" s="27" t="str">
        <f>TEXT(Table64[[#This Row],[Order date]],"mmm-yyyy")</f>
        <v>Feb-2024</v>
      </c>
      <c r="Q293" s="16" t="str">
        <f t="shared" si="4"/>
        <v>Delayed</v>
      </c>
    </row>
    <row r="294" spans="1:17" x14ac:dyDescent="0.3">
      <c r="A294" s="12">
        <v>10293</v>
      </c>
      <c r="B294" s="1">
        <v>5855</v>
      </c>
      <c r="C294" s="1" t="s">
        <v>12</v>
      </c>
      <c r="D294" s="2">
        <v>60875.82</v>
      </c>
      <c r="E294" s="1">
        <v>47</v>
      </c>
      <c r="F294" s="1" t="s">
        <v>21</v>
      </c>
      <c r="G294" s="3">
        <v>45337</v>
      </c>
      <c r="H294" s="2">
        <v>75945.149999999994</v>
      </c>
      <c r="I294" s="13" t="s">
        <v>17</v>
      </c>
      <c r="J294" s="14" t="s">
        <v>19</v>
      </c>
      <c r="K294" s="14">
        <v>923</v>
      </c>
      <c r="L294" s="15">
        <v>45361</v>
      </c>
      <c r="M294" s="16">
        <v>10</v>
      </c>
      <c r="N2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4" s="31">
        <f>IF(Table64[[#This Row],[date validity flag]]&lt;&gt;"Valid","",Table64[[#This Row],[shipment date ]]-Table64[[#This Row],[Order date]])</f>
        <v>24</v>
      </c>
      <c r="P294" s="27" t="str">
        <f>TEXT(Table64[[#This Row],[Order date]],"mmm-yyyy")</f>
        <v>Feb-2024</v>
      </c>
      <c r="Q294" s="16" t="str">
        <f t="shared" si="4"/>
        <v>Delayed</v>
      </c>
    </row>
    <row r="295" spans="1:17" x14ac:dyDescent="0.3">
      <c r="A295" s="17">
        <v>10294</v>
      </c>
      <c r="B295" s="4">
        <v>6760</v>
      </c>
      <c r="C295" s="4" t="s">
        <v>16</v>
      </c>
      <c r="D295" s="5">
        <v>27417.279999999999</v>
      </c>
      <c r="E295" s="4">
        <v>73</v>
      </c>
      <c r="F295" s="4" t="s">
        <v>22</v>
      </c>
      <c r="G295" s="6">
        <v>45361</v>
      </c>
      <c r="H295" s="5">
        <v>129952.19</v>
      </c>
      <c r="I295" s="18" t="s">
        <v>20</v>
      </c>
      <c r="J295" s="14" t="s">
        <v>15</v>
      </c>
      <c r="K295" s="14">
        <v>623</v>
      </c>
      <c r="L295" s="15">
        <v>45397</v>
      </c>
      <c r="M295" s="16">
        <v>5</v>
      </c>
      <c r="N2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5" s="31">
        <f>IF(Table64[[#This Row],[date validity flag]]&lt;&gt;"Valid","",Table64[[#This Row],[shipment date ]]-Table64[[#This Row],[Order date]])</f>
        <v>36</v>
      </c>
      <c r="P295" s="27" t="str">
        <f>TEXT(Table64[[#This Row],[Order date]],"mmm-yyyy")</f>
        <v>Mar-2024</v>
      </c>
      <c r="Q295" s="16" t="str">
        <f t="shared" si="4"/>
        <v>Delayed</v>
      </c>
    </row>
    <row r="296" spans="1:17" x14ac:dyDescent="0.3">
      <c r="A296" s="12">
        <v>10295</v>
      </c>
      <c r="B296" s="1">
        <v>6249</v>
      </c>
      <c r="C296" s="1" t="s">
        <v>16</v>
      </c>
      <c r="D296" s="2">
        <v>31303.35</v>
      </c>
      <c r="E296" s="1">
        <v>85</v>
      </c>
      <c r="F296" s="1" t="s">
        <v>22</v>
      </c>
      <c r="G296" s="3">
        <v>45306</v>
      </c>
      <c r="H296" s="2">
        <v>126872.18</v>
      </c>
      <c r="I296" s="13" t="s">
        <v>20</v>
      </c>
      <c r="J296" s="14" t="s">
        <v>19</v>
      </c>
      <c r="K296" s="14">
        <v>289</v>
      </c>
      <c r="L296" s="15">
        <v>45397</v>
      </c>
      <c r="M296" s="16">
        <v>1</v>
      </c>
      <c r="N2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6" s="31">
        <f>IF(Table64[[#This Row],[date validity flag]]&lt;&gt;"Valid","",Table64[[#This Row],[shipment date ]]-Table64[[#This Row],[Order date]])</f>
        <v>91</v>
      </c>
      <c r="P296" s="27" t="str">
        <f>TEXT(Table64[[#This Row],[Order date]],"mmm-yyyy")</f>
        <v>Jan-2024</v>
      </c>
      <c r="Q296" s="16" t="str">
        <f t="shared" si="4"/>
        <v>Delayed</v>
      </c>
    </row>
    <row r="297" spans="1:17" x14ac:dyDescent="0.3">
      <c r="A297" s="17">
        <v>10296</v>
      </c>
      <c r="B297" s="4">
        <v>5385</v>
      </c>
      <c r="C297" s="4" t="s">
        <v>16</v>
      </c>
      <c r="D297" s="5">
        <v>32972.15</v>
      </c>
      <c r="E297" s="4">
        <v>88</v>
      </c>
      <c r="F297" s="4" t="s">
        <v>23</v>
      </c>
      <c r="G297" s="6">
        <v>45383</v>
      </c>
      <c r="H297" s="5">
        <v>42711.85</v>
      </c>
      <c r="I297" s="18" t="s">
        <v>17</v>
      </c>
      <c r="J297" s="14" t="s">
        <v>18</v>
      </c>
      <c r="K297" s="14">
        <v>139</v>
      </c>
      <c r="L297" s="15">
        <v>45332</v>
      </c>
      <c r="M297" s="16">
        <v>6</v>
      </c>
      <c r="N29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97" s="31" t="str">
        <f>IF(Table64[[#This Row],[date validity flag]]&lt;&gt;"Valid","",Table64[[#This Row],[shipment date ]]-Table64[[#This Row],[Order date]])</f>
        <v/>
      </c>
      <c r="P297" s="27" t="str">
        <f>TEXT(Table64[[#This Row],[Order date]],"mmm-yyyy")</f>
        <v>Apr-2024</v>
      </c>
      <c r="Q297" s="16" t="str">
        <f t="shared" si="4"/>
        <v/>
      </c>
    </row>
    <row r="298" spans="1:17" x14ac:dyDescent="0.3">
      <c r="A298" s="12">
        <v>10297</v>
      </c>
      <c r="B298" s="1">
        <v>6427</v>
      </c>
      <c r="C298" s="1" t="s">
        <v>16</v>
      </c>
      <c r="D298" s="2">
        <v>15595.08</v>
      </c>
      <c r="E298" s="1">
        <v>98</v>
      </c>
      <c r="F298" s="1" t="s">
        <v>23</v>
      </c>
      <c r="G298" s="3">
        <v>45383</v>
      </c>
      <c r="H298" s="2">
        <v>78484.92</v>
      </c>
      <c r="I298" s="13" t="s">
        <v>20</v>
      </c>
      <c r="J298" s="14" t="s">
        <v>18</v>
      </c>
      <c r="K298" s="14">
        <v>281</v>
      </c>
      <c r="L298" s="15">
        <v>45361</v>
      </c>
      <c r="M298" s="16">
        <v>12</v>
      </c>
      <c r="N29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298" s="31" t="str">
        <f>IF(Table64[[#This Row],[date validity flag]]&lt;&gt;"Valid","",Table64[[#This Row],[shipment date ]]-Table64[[#This Row],[Order date]])</f>
        <v/>
      </c>
      <c r="P298" s="27" t="str">
        <f>TEXT(Table64[[#This Row],[Order date]],"mmm-yyyy")</f>
        <v>Apr-2024</v>
      </c>
      <c r="Q298" s="16" t="str">
        <f t="shared" si="4"/>
        <v/>
      </c>
    </row>
    <row r="299" spans="1:17" x14ac:dyDescent="0.3">
      <c r="A299" s="17">
        <v>10298</v>
      </c>
      <c r="B299" s="4">
        <v>6662</v>
      </c>
      <c r="C299" s="4" t="s">
        <v>12</v>
      </c>
      <c r="D299" s="5">
        <v>25109.62</v>
      </c>
      <c r="E299" s="4">
        <v>86</v>
      </c>
      <c r="F299" s="4" t="s">
        <v>21</v>
      </c>
      <c r="G299" s="6">
        <v>45337</v>
      </c>
      <c r="H299" s="5">
        <v>42969</v>
      </c>
      <c r="I299" s="18" t="s">
        <v>17</v>
      </c>
      <c r="J299" s="14" t="s">
        <v>18</v>
      </c>
      <c r="K299" s="14">
        <v>506</v>
      </c>
      <c r="L299" s="15">
        <v>45397</v>
      </c>
      <c r="M299" s="16">
        <v>8</v>
      </c>
      <c r="N2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299" s="31">
        <f>IF(Table64[[#This Row],[date validity flag]]&lt;&gt;"Valid","",Table64[[#This Row],[shipment date ]]-Table64[[#This Row],[Order date]])</f>
        <v>60</v>
      </c>
      <c r="P299" s="27" t="str">
        <f>TEXT(Table64[[#This Row],[Order date]],"mmm-yyyy")</f>
        <v>Feb-2024</v>
      </c>
      <c r="Q299" s="16" t="str">
        <f t="shared" si="4"/>
        <v>Delayed</v>
      </c>
    </row>
    <row r="300" spans="1:17" x14ac:dyDescent="0.3">
      <c r="A300" s="12">
        <v>10299</v>
      </c>
      <c r="B300" s="1">
        <v>6154</v>
      </c>
      <c r="C300" s="1" t="s">
        <v>16</v>
      </c>
      <c r="D300" s="2">
        <v>59249.66</v>
      </c>
      <c r="E300" s="1">
        <v>3</v>
      </c>
      <c r="F300" s="1" t="s">
        <v>22</v>
      </c>
      <c r="G300" s="3">
        <v>45361</v>
      </c>
      <c r="H300" s="2">
        <v>77404.78</v>
      </c>
      <c r="I300" s="13" t="s">
        <v>14</v>
      </c>
      <c r="J300" s="14" t="s">
        <v>15</v>
      </c>
      <c r="K300" s="14">
        <v>282</v>
      </c>
      <c r="L300" s="15">
        <v>45332</v>
      </c>
      <c r="M300" s="16">
        <v>7</v>
      </c>
      <c r="N30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00" s="31" t="str">
        <f>IF(Table64[[#This Row],[date validity flag]]&lt;&gt;"Valid","",Table64[[#This Row],[shipment date ]]-Table64[[#This Row],[Order date]])</f>
        <v/>
      </c>
      <c r="P300" s="27" t="str">
        <f>TEXT(Table64[[#This Row],[Order date]],"mmm-yyyy")</f>
        <v>Mar-2024</v>
      </c>
      <c r="Q300" s="16" t="str">
        <f t="shared" si="4"/>
        <v/>
      </c>
    </row>
    <row r="301" spans="1:17" x14ac:dyDescent="0.3">
      <c r="A301" s="17">
        <v>10300</v>
      </c>
      <c r="B301" s="4">
        <v>6077</v>
      </c>
      <c r="C301" s="4" t="s">
        <v>16</v>
      </c>
      <c r="D301" s="5">
        <v>92891.34</v>
      </c>
      <c r="E301" s="4">
        <v>76</v>
      </c>
      <c r="F301" s="4" t="s">
        <v>13</v>
      </c>
      <c r="G301" s="6">
        <v>45306</v>
      </c>
      <c r="H301" s="5">
        <v>137181.70000000001</v>
      </c>
      <c r="I301" s="18" t="s">
        <v>20</v>
      </c>
      <c r="J301" s="14" t="s">
        <v>15</v>
      </c>
      <c r="K301" s="14">
        <v>403</v>
      </c>
      <c r="L301" s="15">
        <v>45361</v>
      </c>
      <c r="M301" s="16">
        <v>2</v>
      </c>
      <c r="N3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1" s="31">
        <f>IF(Table64[[#This Row],[date validity flag]]&lt;&gt;"Valid","",Table64[[#This Row],[shipment date ]]-Table64[[#This Row],[Order date]])</f>
        <v>55</v>
      </c>
      <c r="P301" s="27" t="str">
        <f>TEXT(Table64[[#This Row],[Order date]],"mmm-yyyy")</f>
        <v>Jan-2024</v>
      </c>
      <c r="Q301" s="16" t="str">
        <f t="shared" si="4"/>
        <v>Delayed</v>
      </c>
    </row>
    <row r="302" spans="1:17" x14ac:dyDescent="0.3">
      <c r="A302" s="12">
        <v>10301</v>
      </c>
      <c r="B302" s="1">
        <v>6708</v>
      </c>
      <c r="C302" s="1" t="s">
        <v>16</v>
      </c>
      <c r="D302" s="2">
        <v>67372.740000000005</v>
      </c>
      <c r="E302" s="1">
        <v>92</v>
      </c>
      <c r="F302" s="1" t="s">
        <v>23</v>
      </c>
      <c r="G302" s="3">
        <v>45306</v>
      </c>
      <c r="H302" s="2">
        <v>121255.18</v>
      </c>
      <c r="I302" s="13" t="s">
        <v>20</v>
      </c>
      <c r="J302" s="14" t="s">
        <v>18</v>
      </c>
      <c r="K302" s="14">
        <v>1054</v>
      </c>
      <c r="L302" s="15">
        <v>45397</v>
      </c>
      <c r="M302" s="16">
        <v>12</v>
      </c>
      <c r="N3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2" s="31">
        <f>IF(Table64[[#This Row],[date validity flag]]&lt;&gt;"Valid","",Table64[[#This Row],[shipment date ]]-Table64[[#This Row],[Order date]])</f>
        <v>91</v>
      </c>
      <c r="P302" s="27" t="str">
        <f>TEXT(Table64[[#This Row],[Order date]],"mmm-yyyy")</f>
        <v>Jan-2024</v>
      </c>
      <c r="Q302" s="16" t="str">
        <f t="shared" si="4"/>
        <v>Delayed</v>
      </c>
    </row>
    <row r="303" spans="1:17" x14ac:dyDescent="0.3">
      <c r="A303" s="17">
        <v>10302</v>
      </c>
      <c r="B303" s="4">
        <v>5730</v>
      </c>
      <c r="C303" s="4" t="s">
        <v>16</v>
      </c>
      <c r="D303" s="5">
        <v>13866.76</v>
      </c>
      <c r="E303" s="4">
        <v>30</v>
      </c>
      <c r="F303" s="4" t="s">
        <v>13</v>
      </c>
      <c r="G303" s="6">
        <v>45337</v>
      </c>
      <c r="H303" s="5">
        <v>174239.91</v>
      </c>
      <c r="I303" s="18" t="s">
        <v>17</v>
      </c>
      <c r="J303" s="14" t="s">
        <v>15</v>
      </c>
      <c r="K303" s="14">
        <v>1406</v>
      </c>
      <c r="L303" s="15">
        <v>45397</v>
      </c>
      <c r="M303" s="16">
        <v>5</v>
      </c>
      <c r="N3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3" s="31">
        <f>IF(Table64[[#This Row],[date validity flag]]&lt;&gt;"Valid","",Table64[[#This Row],[shipment date ]]-Table64[[#This Row],[Order date]])</f>
        <v>60</v>
      </c>
      <c r="P303" s="27" t="str">
        <f>TEXT(Table64[[#This Row],[Order date]],"mmm-yyyy")</f>
        <v>Feb-2024</v>
      </c>
      <c r="Q303" s="16" t="str">
        <f t="shared" si="4"/>
        <v>Delayed</v>
      </c>
    </row>
    <row r="304" spans="1:17" x14ac:dyDescent="0.3">
      <c r="A304" s="12">
        <v>10303</v>
      </c>
      <c r="B304" s="1">
        <v>6696</v>
      </c>
      <c r="C304" s="1" t="s">
        <v>16</v>
      </c>
      <c r="D304" s="2">
        <v>42639.06</v>
      </c>
      <c r="E304" s="1">
        <v>90</v>
      </c>
      <c r="F304" s="1" t="s">
        <v>23</v>
      </c>
      <c r="G304" s="3">
        <v>45337</v>
      </c>
      <c r="H304" s="2">
        <v>38725.269999999997</v>
      </c>
      <c r="I304" s="13" t="s">
        <v>20</v>
      </c>
      <c r="J304" s="14" t="s">
        <v>18</v>
      </c>
      <c r="K304" s="14">
        <v>488</v>
      </c>
      <c r="L304" s="15">
        <v>45332</v>
      </c>
      <c r="M304" s="16">
        <v>14</v>
      </c>
      <c r="N30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04" s="31" t="str">
        <f>IF(Table64[[#This Row],[date validity flag]]&lt;&gt;"Valid","",Table64[[#This Row],[shipment date ]]-Table64[[#This Row],[Order date]])</f>
        <v/>
      </c>
      <c r="P304" s="27" t="str">
        <f>TEXT(Table64[[#This Row],[Order date]],"mmm-yyyy")</f>
        <v>Feb-2024</v>
      </c>
      <c r="Q304" s="16" t="str">
        <f t="shared" si="4"/>
        <v/>
      </c>
    </row>
    <row r="305" spans="1:17" x14ac:dyDescent="0.3">
      <c r="A305" s="17">
        <v>10304</v>
      </c>
      <c r="B305" s="4">
        <v>6734</v>
      </c>
      <c r="C305" s="4" t="s">
        <v>16</v>
      </c>
      <c r="D305" s="5">
        <v>42664.75</v>
      </c>
      <c r="E305" s="4">
        <v>21</v>
      </c>
      <c r="F305" s="4" t="s">
        <v>21</v>
      </c>
      <c r="G305" s="6">
        <v>45306</v>
      </c>
      <c r="H305" s="5">
        <v>140510.37</v>
      </c>
      <c r="I305" s="18" t="s">
        <v>17</v>
      </c>
      <c r="J305" s="14" t="s">
        <v>15</v>
      </c>
      <c r="K305" s="14">
        <v>1448</v>
      </c>
      <c r="L305" s="15">
        <v>45361</v>
      </c>
      <c r="M305" s="16">
        <v>11</v>
      </c>
      <c r="N3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5" s="31">
        <f>IF(Table64[[#This Row],[date validity flag]]&lt;&gt;"Valid","",Table64[[#This Row],[shipment date ]]-Table64[[#This Row],[Order date]])</f>
        <v>55</v>
      </c>
      <c r="P305" s="27" t="str">
        <f>TEXT(Table64[[#This Row],[Order date]],"mmm-yyyy")</f>
        <v>Jan-2024</v>
      </c>
      <c r="Q305" s="16" t="str">
        <f t="shared" si="4"/>
        <v>Delayed</v>
      </c>
    </row>
    <row r="306" spans="1:17" x14ac:dyDescent="0.3">
      <c r="A306" s="12">
        <v>10305</v>
      </c>
      <c r="B306" s="1">
        <v>6440</v>
      </c>
      <c r="C306" s="1" t="s">
        <v>12</v>
      </c>
      <c r="D306" s="2">
        <v>88124.98</v>
      </c>
      <c r="E306" s="1">
        <v>28</v>
      </c>
      <c r="F306" s="1" t="s">
        <v>22</v>
      </c>
      <c r="G306" s="3">
        <v>45306</v>
      </c>
      <c r="H306" s="2">
        <v>71689.95</v>
      </c>
      <c r="I306" s="13" t="s">
        <v>14</v>
      </c>
      <c r="J306" s="14" t="s">
        <v>18</v>
      </c>
      <c r="K306" s="14">
        <v>1365</v>
      </c>
      <c r="L306" s="15">
        <v>45361</v>
      </c>
      <c r="M306" s="16">
        <v>4</v>
      </c>
      <c r="N3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6" s="31">
        <f>IF(Table64[[#This Row],[date validity flag]]&lt;&gt;"Valid","",Table64[[#This Row],[shipment date ]]-Table64[[#This Row],[Order date]])</f>
        <v>55</v>
      </c>
      <c r="P306" s="27" t="str">
        <f>TEXT(Table64[[#This Row],[Order date]],"mmm-yyyy")</f>
        <v>Jan-2024</v>
      </c>
      <c r="Q306" s="16" t="str">
        <f t="shared" si="4"/>
        <v>Delayed</v>
      </c>
    </row>
    <row r="307" spans="1:17" x14ac:dyDescent="0.3">
      <c r="A307" s="17">
        <v>10306</v>
      </c>
      <c r="B307" s="4">
        <v>5247</v>
      </c>
      <c r="C307" s="4" t="s">
        <v>16</v>
      </c>
      <c r="D307" s="5">
        <v>35289.120000000003</v>
      </c>
      <c r="E307" s="4">
        <v>90</v>
      </c>
      <c r="F307" s="4" t="s">
        <v>23</v>
      </c>
      <c r="G307" s="6">
        <v>45337</v>
      </c>
      <c r="H307" s="5">
        <v>149523.06</v>
      </c>
      <c r="I307" s="18" t="s">
        <v>14</v>
      </c>
      <c r="J307" s="14" t="s">
        <v>19</v>
      </c>
      <c r="K307" s="14">
        <v>394</v>
      </c>
      <c r="L307" s="15">
        <v>45397</v>
      </c>
      <c r="M307" s="16">
        <v>9</v>
      </c>
      <c r="N3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7" s="31">
        <f>IF(Table64[[#This Row],[date validity flag]]&lt;&gt;"Valid","",Table64[[#This Row],[shipment date ]]-Table64[[#This Row],[Order date]])</f>
        <v>60</v>
      </c>
      <c r="P307" s="27" t="str">
        <f>TEXT(Table64[[#This Row],[Order date]],"mmm-yyyy")</f>
        <v>Feb-2024</v>
      </c>
      <c r="Q307" s="16" t="str">
        <f t="shared" si="4"/>
        <v>Delayed</v>
      </c>
    </row>
    <row r="308" spans="1:17" x14ac:dyDescent="0.3">
      <c r="A308" s="12">
        <v>10307</v>
      </c>
      <c r="B308" s="1">
        <v>5836</v>
      </c>
      <c r="C308" s="1" t="s">
        <v>12</v>
      </c>
      <c r="D308" s="2">
        <v>49738.559999999998</v>
      </c>
      <c r="E308" s="1">
        <v>62</v>
      </c>
      <c r="F308" s="1" t="s">
        <v>22</v>
      </c>
      <c r="G308" s="3">
        <v>45306</v>
      </c>
      <c r="H308" s="2">
        <v>106900.34</v>
      </c>
      <c r="I308" s="13" t="s">
        <v>20</v>
      </c>
      <c r="J308" s="14" t="s">
        <v>18</v>
      </c>
      <c r="K308" s="14">
        <v>713</v>
      </c>
      <c r="L308" s="15">
        <v>45361</v>
      </c>
      <c r="M308" s="16">
        <v>10</v>
      </c>
      <c r="N30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08" s="31">
        <f>IF(Table64[[#This Row],[date validity flag]]&lt;&gt;"Valid","",Table64[[#This Row],[shipment date ]]-Table64[[#This Row],[Order date]])</f>
        <v>55</v>
      </c>
      <c r="P308" s="27" t="str">
        <f>TEXT(Table64[[#This Row],[Order date]],"mmm-yyyy")</f>
        <v>Jan-2024</v>
      </c>
      <c r="Q308" s="16" t="str">
        <f t="shared" si="4"/>
        <v>Delayed</v>
      </c>
    </row>
    <row r="309" spans="1:17" x14ac:dyDescent="0.3">
      <c r="A309" s="17">
        <v>10308</v>
      </c>
      <c r="B309" s="4">
        <v>6463</v>
      </c>
      <c r="C309" s="4" t="s">
        <v>16</v>
      </c>
      <c r="D309" s="5">
        <v>12014.68</v>
      </c>
      <c r="E309" s="4">
        <v>33</v>
      </c>
      <c r="F309" s="4" t="s">
        <v>13</v>
      </c>
      <c r="G309" s="6">
        <v>45383</v>
      </c>
      <c r="H309" s="5">
        <v>137067.57</v>
      </c>
      <c r="I309" s="18" t="s">
        <v>20</v>
      </c>
      <c r="J309" s="14" t="s">
        <v>18</v>
      </c>
      <c r="K309" s="14">
        <v>706</v>
      </c>
      <c r="L309" s="15">
        <v>45332</v>
      </c>
      <c r="M309" s="16">
        <v>1</v>
      </c>
      <c r="N30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09" s="31" t="str">
        <f>IF(Table64[[#This Row],[date validity flag]]&lt;&gt;"Valid","",Table64[[#This Row],[shipment date ]]-Table64[[#This Row],[Order date]])</f>
        <v/>
      </c>
      <c r="P309" s="27" t="str">
        <f>TEXT(Table64[[#This Row],[Order date]],"mmm-yyyy")</f>
        <v>Apr-2024</v>
      </c>
      <c r="Q309" s="16" t="str">
        <f t="shared" si="4"/>
        <v/>
      </c>
    </row>
    <row r="310" spans="1:17" x14ac:dyDescent="0.3">
      <c r="A310" s="12">
        <v>10309</v>
      </c>
      <c r="B310" s="1">
        <v>5203</v>
      </c>
      <c r="C310" s="1" t="s">
        <v>16</v>
      </c>
      <c r="D310" s="2">
        <v>54182.32</v>
      </c>
      <c r="E310" s="1">
        <v>85</v>
      </c>
      <c r="F310" s="1" t="s">
        <v>21</v>
      </c>
      <c r="G310" s="3">
        <v>45337</v>
      </c>
      <c r="H310" s="2">
        <v>98464.67</v>
      </c>
      <c r="I310" s="13" t="s">
        <v>17</v>
      </c>
      <c r="J310" s="14" t="s">
        <v>15</v>
      </c>
      <c r="K310" s="14">
        <v>179</v>
      </c>
      <c r="L310" s="15">
        <v>45397</v>
      </c>
      <c r="M310" s="16">
        <v>12</v>
      </c>
      <c r="N3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0" s="31">
        <f>IF(Table64[[#This Row],[date validity flag]]&lt;&gt;"Valid","",Table64[[#This Row],[shipment date ]]-Table64[[#This Row],[Order date]])</f>
        <v>60</v>
      </c>
      <c r="P310" s="27" t="str">
        <f>TEXT(Table64[[#This Row],[Order date]],"mmm-yyyy")</f>
        <v>Feb-2024</v>
      </c>
      <c r="Q310" s="16" t="str">
        <f t="shared" si="4"/>
        <v>Delayed</v>
      </c>
    </row>
    <row r="311" spans="1:17" x14ac:dyDescent="0.3">
      <c r="A311" s="17">
        <v>10310</v>
      </c>
      <c r="B311" s="4">
        <v>6208</v>
      </c>
      <c r="C311" s="4" t="s">
        <v>16</v>
      </c>
      <c r="D311" s="5">
        <v>32215</v>
      </c>
      <c r="E311" s="4">
        <v>35</v>
      </c>
      <c r="F311" s="4" t="s">
        <v>22</v>
      </c>
      <c r="G311" s="6">
        <v>45306</v>
      </c>
      <c r="H311" s="5">
        <v>62367.05</v>
      </c>
      <c r="I311" s="18" t="s">
        <v>17</v>
      </c>
      <c r="J311" s="14" t="s">
        <v>15</v>
      </c>
      <c r="K311" s="14">
        <v>190</v>
      </c>
      <c r="L311" s="15">
        <v>45397</v>
      </c>
      <c r="M311" s="16">
        <v>6</v>
      </c>
      <c r="N3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1" s="31">
        <f>IF(Table64[[#This Row],[date validity flag]]&lt;&gt;"Valid","",Table64[[#This Row],[shipment date ]]-Table64[[#This Row],[Order date]])</f>
        <v>91</v>
      </c>
      <c r="P311" s="27" t="str">
        <f>TEXT(Table64[[#This Row],[Order date]],"mmm-yyyy")</f>
        <v>Jan-2024</v>
      </c>
      <c r="Q311" s="16" t="str">
        <f t="shared" si="4"/>
        <v>Delayed</v>
      </c>
    </row>
    <row r="312" spans="1:17" x14ac:dyDescent="0.3">
      <c r="A312" s="12">
        <v>10311</v>
      </c>
      <c r="B312" s="1">
        <v>5123</v>
      </c>
      <c r="C312" s="1" t="s">
        <v>16</v>
      </c>
      <c r="D312" s="2">
        <v>82377.62</v>
      </c>
      <c r="E312" s="1">
        <v>52</v>
      </c>
      <c r="F312" s="1" t="s">
        <v>21</v>
      </c>
      <c r="G312" s="3">
        <v>45337</v>
      </c>
      <c r="H312" s="2">
        <v>129634.79</v>
      </c>
      <c r="I312" s="13" t="s">
        <v>20</v>
      </c>
      <c r="J312" s="14" t="s">
        <v>15</v>
      </c>
      <c r="K312" s="14">
        <v>464</v>
      </c>
      <c r="L312" s="15">
        <v>45332</v>
      </c>
      <c r="M312" s="16">
        <v>3</v>
      </c>
      <c r="N31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12" s="31" t="str">
        <f>IF(Table64[[#This Row],[date validity flag]]&lt;&gt;"Valid","",Table64[[#This Row],[shipment date ]]-Table64[[#This Row],[Order date]])</f>
        <v/>
      </c>
      <c r="P312" s="27" t="str">
        <f>TEXT(Table64[[#This Row],[Order date]],"mmm-yyyy")</f>
        <v>Feb-2024</v>
      </c>
      <c r="Q312" s="16" t="str">
        <f t="shared" si="4"/>
        <v/>
      </c>
    </row>
    <row r="313" spans="1:17" x14ac:dyDescent="0.3">
      <c r="A313" s="17">
        <v>10312</v>
      </c>
      <c r="B313" s="4">
        <v>5401</v>
      </c>
      <c r="C313" s="4" t="s">
        <v>16</v>
      </c>
      <c r="D313" s="5">
        <v>24081.119999999999</v>
      </c>
      <c r="E313" s="4">
        <v>34</v>
      </c>
      <c r="F313" s="4" t="s">
        <v>22</v>
      </c>
      <c r="G313" s="6">
        <v>45361</v>
      </c>
      <c r="H313" s="5">
        <v>11611.39</v>
      </c>
      <c r="I313" s="18" t="s">
        <v>20</v>
      </c>
      <c r="J313" s="14" t="s">
        <v>15</v>
      </c>
      <c r="K313" s="14">
        <v>1166</v>
      </c>
      <c r="L313" s="15">
        <v>45397</v>
      </c>
      <c r="M313" s="16">
        <v>11</v>
      </c>
      <c r="N3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3" s="31">
        <f>IF(Table64[[#This Row],[date validity flag]]&lt;&gt;"Valid","",Table64[[#This Row],[shipment date ]]-Table64[[#This Row],[Order date]])</f>
        <v>36</v>
      </c>
      <c r="P313" s="27" t="str">
        <f>TEXT(Table64[[#This Row],[Order date]],"mmm-yyyy")</f>
        <v>Mar-2024</v>
      </c>
      <c r="Q313" s="16" t="str">
        <f t="shared" si="4"/>
        <v>Delayed</v>
      </c>
    </row>
    <row r="314" spans="1:17" x14ac:dyDescent="0.3">
      <c r="A314" s="12">
        <v>10313</v>
      </c>
      <c r="B314" s="1">
        <v>5767</v>
      </c>
      <c r="C314" s="1" t="s">
        <v>16</v>
      </c>
      <c r="D314" s="2">
        <v>77437.850000000006</v>
      </c>
      <c r="E314" s="1">
        <v>41</v>
      </c>
      <c r="F314" s="1" t="s">
        <v>13</v>
      </c>
      <c r="G314" s="3">
        <v>45337</v>
      </c>
      <c r="H314" s="2">
        <v>103867.25</v>
      </c>
      <c r="I314" s="13" t="s">
        <v>17</v>
      </c>
      <c r="J314" s="14" t="s">
        <v>15</v>
      </c>
      <c r="K314" s="14">
        <v>675</v>
      </c>
      <c r="L314" s="15">
        <v>45361</v>
      </c>
      <c r="M314" s="16">
        <v>9</v>
      </c>
      <c r="N3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4" s="31">
        <f>IF(Table64[[#This Row],[date validity flag]]&lt;&gt;"Valid","",Table64[[#This Row],[shipment date ]]-Table64[[#This Row],[Order date]])</f>
        <v>24</v>
      </c>
      <c r="P314" s="27" t="str">
        <f>TEXT(Table64[[#This Row],[Order date]],"mmm-yyyy")</f>
        <v>Feb-2024</v>
      </c>
      <c r="Q314" s="16" t="str">
        <f t="shared" si="4"/>
        <v>Delayed</v>
      </c>
    </row>
    <row r="315" spans="1:17" x14ac:dyDescent="0.3">
      <c r="A315" s="17">
        <v>10314</v>
      </c>
      <c r="B315" s="4">
        <v>5294</v>
      </c>
      <c r="C315" s="4" t="s">
        <v>16</v>
      </c>
      <c r="D315" s="5">
        <v>17674.849999999999</v>
      </c>
      <c r="E315" s="4">
        <v>51</v>
      </c>
      <c r="F315" s="4" t="s">
        <v>13</v>
      </c>
      <c r="G315" s="6">
        <v>45337</v>
      </c>
      <c r="H315" s="5">
        <v>98736.63</v>
      </c>
      <c r="I315" s="18" t="s">
        <v>17</v>
      </c>
      <c r="J315" s="14" t="s">
        <v>15</v>
      </c>
      <c r="K315" s="14">
        <v>333</v>
      </c>
      <c r="L315" s="15">
        <v>45361</v>
      </c>
      <c r="M315" s="16">
        <v>5</v>
      </c>
      <c r="N3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5" s="31">
        <f>IF(Table64[[#This Row],[date validity flag]]&lt;&gt;"Valid","",Table64[[#This Row],[shipment date ]]-Table64[[#This Row],[Order date]])</f>
        <v>24</v>
      </c>
      <c r="P315" s="27" t="str">
        <f>TEXT(Table64[[#This Row],[Order date]],"mmm-yyyy")</f>
        <v>Feb-2024</v>
      </c>
      <c r="Q315" s="16" t="str">
        <f t="shared" si="4"/>
        <v>Delayed</v>
      </c>
    </row>
    <row r="316" spans="1:17" x14ac:dyDescent="0.3">
      <c r="A316" s="12">
        <v>10315</v>
      </c>
      <c r="B316" s="1">
        <v>5280</v>
      </c>
      <c r="C316" s="1" t="s">
        <v>12</v>
      </c>
      <c r="D316" s="2">
        <v>74527.61</v>
      </c>
      <c r="E316" s="1">
        <v>47</v>
      </c>
      <c r="F316" s="1" t="s">
        <v>21</v>
      </c>
      <c r="G316" s="3">
        <v>45361</v>
      </c>
      <c r="H316" s="2">
        <v>90786.7</v>
      </c>
      <c r="I316" s="13" t="s">
        <v>17</v>
      </c>
      <c r="J316" s="14" t="s">
        <v>19</v>
      </c>
      <c r="K316" s="14">
        <v>272</v>
      </c>
      <c r="L316" s="15">
        <v>45397</v>
      </c>
      <c r="M316" s="16">
        <v>13</v>
      </c>
      <c r="N3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6" s="31">
        <f>IF(Table64[[#This Row],[date validity flag]]&lt;&gt;"Valid","",Table64[[#This Row],[shipment date ]]-Table64[[#This Row],[Order date]])</f>
        <v>36</v>
      </c>
      <c r="P316" s="27" t="str">
        <f>TEXT(Table64[[#This Row],[Order date]],"mmm-yyyy")</f>
        <v>Mar-2024</v>
      </c>
      <c r="Q316" s="16" t="str">
        <f t="shared" si="4"/>
        <v>Delayed</v>
      </c>
    </row>
    <row r="317" spans="1:17" x14ac:dyDescent="0.3">
      <c r="A317" s="17">
        <v>10316</v>
      </c>
      <c r="B317" s="4">
        <v>6861</v>
      </c>
      <c r="C317" s="4" t="s">
        <v>16</v>
      </c>
      <c r="D317" s="5">
        <v>53463.47</v>
      </c>
      <c r="E317" s="4">
        <v>82</v>
      </c>
      <c r="F317" s="4" t="s">
        <v>13</v>
      </c>
      <c r="G317" s="6">
        <v>45383</v>
      </c>
      <c r="H317" s="5">
        <v>135276.70000000001</v>
      </c>
      <c r="I317" s="18" t="s">
        <v>17</v>
      </c>
      <c r="J317" s="14" t="s">
        <v>18</v>
      </c>
      <c r="K317" s="14">
        <v>793</v>
      </c>
      <c r="L317" s="15">
        <v>45332</v>
      </c>
      <c r="M317" s="16">
        <v>6</v>
      </c>
      <c r="N31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17" s="31" t="str">
        <f>IF(Table64[[#This Row],[date validity flag]]&lt;&gt;"Valid","",Table64[[#This Row],[shipment date ]]-Table64[[#This Row],[Order date]])</f>
        <v/>
      </c>
      <c r="P317" s="27" t="str">
        <f>TEXT(Table64[[#This Row],[Order date]],"mmm-yyyy")</f>
        <v>Apr-2024</v>
      </c>
      <c r="Q317" s="16" t="str">
        <f t="shared" si="4"/>
        <v/>
      </c>
    </row>
    <row r="318" spans="1:17" x14ac:dyDescent="0.3">
      <c r="A318" s="12">
        <v>10317</v>
      </c>
      <c r="B318" s="1">
        <v>5884</v>
      </c>
      <c r="C318" s="1" t="s">
        <v>16</v>
      </c>
      <c r="D318" s="2">
        <v>55308.36</v>
      </c>
      <c r="E318" s="1">
        <v>58</v>
      </c>
      <c r="F318" s="1" t="s">
        <v>23</v>
      </c>
      <c r="G318" s="3">
        <v>45306</v>
      </c>
      <c r="H318" s="2">
        <v>115425.59</v>
      </c>
      <c r="I318" s="13" t="s">
        <v>14</v>
      </c>
      <c r="J318" s="14" t="s">
        <v>18</v>
      </c>
      <c r="K318" s="14">
        <v>512</v>
      </c>
      <c r="L318" s="15">
        <v>45332</v>
      </c>
      <c r="M318" s="16">
        <v>11</v>
      </c>
      <c r="N3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8" s="31">
        <f>IF(Table64[[#This Row],[date validity flag]]&lt;&gt;"Valid","",Table64[[#This Row],[shipment date ]]-Table64[[#This Row],[Order date]])</f>
        <v>26</v>
      </c>
      <c r="P318" s="27" t="str">
        <f>TEXT(Table64[[#This Row],[Order date]],"mmm-yyyy")</f>
        <v>Jan-2024</v>
      </c>
      <c r="Q318" s="16" t="str">
        <f t="shared" si="4"/>
        <v>Delayed</v>
      </c>
    </row>
    <row r="319" spans="1:17" x14ac:dyDescent="0.3">
      <c r="A319" s="17">
        <v>10318</v>
      </c>
      <c r="B319" s="4">
        <v>6634</v>
      </c>
      <c r="C319" s="4" t="s">
        <v>16</v>
      </c>
      <c r="D319" s="5">
        <v>63100.09</v>
      </c>
      <c r="E319" s="4">
        <v>75</v>
      </c>
      <c r="F319" s="4" t="s">
        <v>22</v>
      </c>
      <c r="G319" s="6">
        <v>45361</v>
      </c>
      <c r="H319" s="5">
        <v>33501</v>
      </c>
      <c r="I319" s="18" t="s">
        <v>14</v>
      </c>
      <c r="J319" s="14" t="s">
        <v>18</v>
      </c>
      <c r="K319" s="14">
        <v>1349</v>
      </c>
      <c r="L319" s="15">
        <v>45361</v>
      </c>
      <c r="M319" s="16">
        <v>9</v>
      </c>
      <c r="N3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19" s="31">
        <f>IF(Table64[[#This Row],[date validity flag]]&lt;&gt;"Valid","",Table64[[#This Row],[shipment date ]]-Table64[[#This Row],[Order date]])</f>
        <v>0</v>
      </c>
      <c r="P319" s="27" t="str">
        <f>TEXT(Table64[[#This Row],[Order date]],"mmm-yyyy")</f>
        <v>Mar-2024</v>
      </c>
      <c r="Q319" s="16" t="str">
        <f t="shared" si="4"/>
        <v>On Time</v>
      </c>
    </row>
    <row r="320" spans="1:17" x14ac:dyDescent="0.3">
      <c r="A320" s="12">
        <v>10319</v>
      </c>
      <c r="B320" s="1">
        <v>5198</v>
      </c>
      <c r="C320" s="1" t="s">
        <v>16</v>
      </c>
      <c r="D320" s="2">
        <v>55694.23</v>
      </c>
      <c r="E320" s="1">
        <v>57</v>
      </c>
      <c r="F320" s="1" t="s">
        <v>13</v>
      </c>
      <c r="G320" s="3">
        <v>45337</v>
      </c>
      <c r="H320" s="2">
        <v>16168.75</v>
      </c>
      <c r="I320" s="13" t="s">
        <v>17</v>
      </c>
      <c r="J320" s="14" t="s">
        <v>19</v>
      </c>
      <c r="K320" s="14">
        <v>1213</v>
      </c>
      <c r="L320" s="15">
        <v>45332</v>
      </c>
      <c r="M320" s="16">
        <v>9</v>
      </c>
      <c r="N32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20" s="31" t="str">
        <f>IF(Table64[[#This Row],[date validity flag]]&lt;&gt;"Valid","",Table64[[#This Row],[shipment date ]]-Table64[[#This Row],[Order date]])</f>
        <v/>
      </c>
      <c r="P320" s="27" t="str">
        <f>TEXT(Table64[[#This Row],[Order date]],"mmm-yyyy")</f>
        <v>Feb-2024</v>
      </c>
      <c r="Q320" s="16" t="str">
        <f t="shared" si="4"/>
        <v/>
      </c>
    </row>
    <row r="321" spans="1:17" x14ac:dyDescent="0.3">
      <c r="A321" s="17">
        <v>10320</v>
      </c>
      <c r="B321" s="4">
        <v>5982</v>
      </c>
      <c r="C321" s="4" t="s">
        <v>12</v>
      </c>
      <c r="D321" s="5">
        <v>55011.58</v>
      </c>
      <c r="E321" s="4">
        <v>23</v>
      </c>
      <c r="F321" s="4" t="s">
        <v>23</v>
      </c>
      <c r="G321" s="6">
        <v>45306</v>
      </c>
      <c r="H321" s="5">
        <v>143652.95000000001</v>
      </c>
      <c r="I321" s="18" t="s">
        <v>17</v>
      </c>
      <c r="J321" s="14" t="s">
        <v>18</v>
      </c>
      <c r="K321" s="14">
        <v>406</v>
      </c>
      <c r="L321" s="15">
        <v>45397</v>
      </c>
      <c r="M321" s="16">
        <v>8</v>
      </c>
      <c r="N3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1" s="31">
        <f>IF(Table64[[#This Row],[date validity flag]]&lt;&gt;"Valid","",Table64[[#This Row],[shipment date ]]-Table64[[#This Row],[Order date]])</f>
        <v>91</v>
      </c>
      <c r="P321" s="27" t="str">
        <f>TEXT(Table64[[#This Row],[Order date]],"mmm-yyyy")</f>
        <v>Jan-2024</v>
      </c>
      <c r="Q321" s="16" t="str">
        <f t="shared" si="4"/>
        <v>Delayed</v>
      </c>
    </row>
    <row r="322" spans="1:17" x14ac:dyDescent="0.3">
      <c r="A322" s="12">
        <v>10321</v>
      </c>
      <c r="B322" s="1">
        <v>6931</v>
      </c>
      <c r="C322" s="1" t="s">
        <v>16</v>
      </c>
      <c r="D322" s="2">
        <v>73325.08</v>
      </c>
      <c r="E322" s="1">
        <v>48</v>
      </c>
      <c r="F322" s="1" t="s">
        <v>21</v>
      </c>
      <c r="G322" s="3">
        <v>45361</v>
      </c>
      <c r="H322" s="2">
        <v>19708.48</v>
      </c>
      <c r="I322" s="13" t="s">
        <v>17</v>
      </c>
      <c r="J322" s="14" t="s">
        <v>19</v>
      </c>
      <c r="K322" s="14">
        <v>1096</v>
      </c>
      <c r="L322" s="15">
        <v>45397</v>
      </c>
      <c r="M322" s="16">
        <v>9</v>
      </c>
      <c r="N3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2" s="31">
        <f>IF(Table64[[#This Row],[date validity flag]]&lt;&gt;"Valid","",Table64[[#This Row],[shipment date ]]-Table64[[#This Row],[Order date]])</f>
        <v>36</v>
      </c>
      <c r="P322" s="27" t="str">
        <f>TEXT(Table64[[#This Row],[Order date]],"mmm-yyyy")</f>
        <v>Mar-2024</v>
      </c>
      <c r="Q322" s="16" t="str">
        <f t="shared" ref="Q322:Q385" si="5">IF(O322="","",IF(O322&gt;0,"Delayed","On Time"))</f>
        <v>Delayed</v>
      </c>
    </row>
    <row r="323" spans="1:17" x14ac:dyDescent="0.3">
      <c r="A323" s="17">
        <v>10322</v>
      </c>
      <c r="B323" s="4">
        <v>6535</v>
      </c>
      <c r="C323" s="4" t="s">
        <v>12</v>
      </c>
      <c r="D323" s="5">
        <v>38038.910000000003</v>
      </c>
      <c r="E323" s="4">
        <v>22</v>
      </c>
      <c r="F323" s="4" t="s">
        <v>23</v>
      </c>
      <c r="G323" s="6">
        <v>45306</v>
      </c>
      <c r="H323" s="5">
        <v>59284.45</v>
      </c>
      <c r="I323" s="18" t="s">
        <v>17</v>
      </c>
      <c r="J323" s="14" t="s">
        <v>19</v>
      </c>
      <c r="K323" s="14">
        <v>1343</v>
      </c>
      <c r="L323" s="15">
        <v>45361</v>
      </c>
      <c r="M323" s="16">
        <v>4</v>
      </c>
      <c r="N3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3" s="31">
        <f>IF(Table64[[#This Row],[date validity flag]]&lt;&gt;"Valid","",Table64[[#This Row],[shipment date ]]-Table64[[#This Row],[Order date]])</f>
        <v>55</v>
      </c>
      <c r="P323" s="27" t="str">
        <f>TEXT(Table64[[#This Row],[Order date]],"mmm-yyyy")</f>
        <v>Jan-2024</v>
      </c>
      <c r="Q323" s="16" t="str">
        <f t="shared" si="5"/>
        <v>Delayed</v>
      </c>
    </row>
    <row r="324" spans="1:17" x14ac:dyDescent="0.3">
      <c r="A324" s="12">
        <v>10323</v>
      </c>
      <c r="B324" s="1">
        <v>5752</v>
      </c>
      <c r="C324" s="1" t="s">
        <v>16</v>
      </c>
      <c r="D324" s="2">
        <v>58372.71</v>
      </c>
      <c r="E324" s="1">
        <v>17</v>
      </c>
      <c r="F324" s="1" t="s">
        <v>21</v>
      </c>
      <c r="G324" s="3">
        <v>45306</v>
      </c>
      <c r="H324" s="2">
        <v>93929.29</v>
      </c>
      <c r="I324" s="13" t="s">
        <v>17</v>
      </c>
      <c r="J324" s="14" t="s">
        <v>19</v>
      </c>
      <c r="K324" s="14">
        <v>908</v>
      </c>
      <c r="L324" s="15">
        <v>45361</v>
      </c>
      <c r="M324" s="16">
        <v>6</v>
      </c>
      <c r="N3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4" s="31">
        <f>IF(Table64[[#This Row],[date validity flag]]&lt;&gt;"Valid","",Table64[[#This Row],[shipment date ]]-Table64[[#This Row],[Order date]])</f>
        <v>55</v>
      </c>
      <c r="P324" s="27" t="str">
        <f>TEXT(Table64[[#This Row],[Order date]],"mmm-yyyy")</f>
        <v>Jan-2024</v>
      </c>
      <c r="Q324" s="16" t="str">
        <f t="shared" si="5"/>
        <v>Delayed</v>
      </c>
    </row>
    <row r="325" spans="1:17" x14ac:dyDescent="0.3">
      <c r="A325" s="17">
        <v>10324</v>
      </c>
      <c r="B325" s="4">
        <v>5144</v>
      </c>
      <c r="C325" s="4" t="s">
        <v>16</v>
      </c>
      <c r="D325" s="5">
        <v>13648.03</v>
      </c>
      <c r="E325" s="4">
        <v>69</v>
      </c>
      <c r="F325" s="4" t="s">
        <v>21</v>
      </c>
      <c r="G325" s="6">
        <v>45361</v>
      </c>
      <c r="H325" s="5">
        <v>22941.86</v>
      </c>
      <c r="I325" s="18" t="s">
        <v>17</v>
      </c>
      <c r="J325" s="14" t="s">
        <v>18</v>
      </c>
      <c r="K325" s="14">
        <v>714</v>
      </c>
      <c r="L325" s="15">
        <v>45361</v>
      </c>
      <c r="M325" s="16">
        <v>5</v>
      </c>
      <c r="N3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5" s="31">
        <f>IF(Table64[[#This Row],[date validity flag]]&lt;&gt;"Valid","",Table64[[#This Row],[shipment date ]]-Table64[[#This Row],[Order date]])</f>
        <v>0</v>
      </c>
      <c r="P325" s="27" t="str">
        <f>TEXT(Table64[[#This Row],[Order date]],"mmm-yyyy")</f>
        <v>Mar-2024</v>
      </c>
      <c r="Q325" s="16" t="str">
        <f t="shared" si="5"/>
        <v>On Time</v>
      </c>
    </row>
    <row r="326" spans="1:17" x14ac:dyDescent="0.3">
      <c r="A326" s="12">
        <v>10325</v>
      </c>
      <c r="B326" s="1">
        <v>5609</v>
      </c>
      <c r="C326" s="1" t="s">
        <v>16</v>
      </c>
      <c r="D326" s="2">
        <v>69632.95</v>
      </c>
      <c r="E326" s="1">
        <v>11</v>
      </c>
      <c r="F326" s="1" t="s">
        <v>22</v>
      </c>
      <c r="G326" s="3">
        <v>45306</v>
      </c>
      <c r="H326" s="2">
        <v>13743.65</v>
      </c>
      <c r="I326" s="13" t="s">
        <v>14</v>
      </c>
      <c r="J326" s="14" t="s">
        <v>19</v>
      </c>
      <c r="K326" s="14">
        <v>1406</v>
      </c>
      <c r="L326" s="15">
        <v>45332</v>
      </c>
      <c r="M326" s="16">
        <v>5</v>
      </c>
      <c r="N3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6" s="31">
        <f>IF(Table64[[#This Row],[date validity flag]]&lt;&gt;"Valid","",Table64[[#This Row],[shipment date ]]-Table64[[#This Row],[Order date]])</f>
        <v>26</v>
      </c>
      <c r="P326" s="27" t="str">
        <f>TEXT(Table64[[#This Row],[Order date]],"mmm-yyyy")</f>
        <v>Jan-2024</v>
      </c>
      <c r="Q326" s="16" t="str">
        <f t="shared" si="5"/>
        <v>Delayed</v>
      </c>
    </row>
    <row r="327" spans="1:17" x14ac:dyDescent="0.3">
      <c r="A327" s="17">
        <v>10326</v>
      </c>
      <c r="B327" s="4">
        <v>6225</v>
      </c>
      <c r="C327" s="4" t="s">
        <v>16</v>
      </c>
      <c r="D327" s="5">
        <v>46590.62</v>
      </c>
      <c r="E327" s="4">
        <v>94</v>
      </c>
      <c r="F327" s="4" t="s">
        <v>22</v>
      </c>
      <c r="G327" s="6">
        <v>45383</v>
      </c>
      <c r="H327" s="5">
        <v>104941.55</v>
      </c>
      <c r="I327" s="18" t="s">
        <v>20</v>
      </c>
      <c r="J327" s="14" t="s">
        <v>18</v>
      </c>
      <c r="K327" s="14">
        <v>1064</v>
      </c>
      <c r="L327" s="15">
        <v>45397</v>
      </c>
      <c r="M327" s="16">
        <v>4</v>
      </c>
      <c r="N3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7" s="31">
        <f>IF(Table64[[#This Row],[date validity flag]]&lt;&gt;"Valid","",Table64[[#This Row],[shipment date ]]-Table64[[#This Row],[Order date]])</f>
        <v>14</v>
      </c>
      <c r="P327" s="27" t="str">
        <f>TEXT(Table64[[#This Row],[Order date]],"mmm-yyyy")</f>
        <v>Apr-2024</v>
      </c>
      <c r="Q327" s="16" t="str">
        <f t="shared" si="5"/>
        <v>Delayed</v>
      </c>
    </row>
    <row r="328" spans="1:17" x14ac:dyDescent="0.3">
      <c r="A328" s="12">
        <v>10327</v>
      </c>
      <c r="B328" s="1">
        <v>6148</v>
      </c>
      <c r="C328" s="1" t="s">
        <v>12</v>
      </c>
      <c r="D328" s="2">
        <v>76366.06</v>
      </c>
      <c r="E328" s="1">
        <v>15</v>
      </c>
      <c r="F328" s="1" t="s">
        <v>23</v>
      </c>
      <c r="G328" s="3">
        <v>45361</v>
      </c>
      <c r="H328" s="2">
        <v>171036.48</v>
      </c>
      <c r="I328" s="13" t="s">
        <v>20</v>
      </c>
      <c r="J328" s="14" t="s">
        <v>18</v>
      </c>
      <c r="K328" s="14">
        <v>134</v>
      </c>
      <c r="L328" s="15">
        <v>45397</v>
      </c>
      <c r="M328" s="16">
        <v>2</v>
      </c>
      <c r="N3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8" s="31">
        <f>IF(Table64[[#This Row],[date validity flag]]&lt;&gt;"Valid","",Table64[[#This Row],[shipment date ]]-Table64[[#This Row],[Order date]])</f>
        <v>36</v>
      </c>
      <c r="P328" s="27" t="str">
        <f>TEXT(Table64[[#This Row],[Order date]],"mmm-yyyy")</f>
        <v>Mar-2024</v>
      </c>
      <c r="Q328" s="16" t="str">
        <f t="shared" si="5"/>
        <v>Delayed</v>
      </c>
    </row>
    <row r="329" spans="1:17" x14ac:dyDescent="0.3">
      <c r="A329" s="17">
        <v>10328</v>
      </c>
      <c r="B329" s="4">
        <v>5187</v>
      </c>
      <c r="C329" s="4" t="s">
        <v>16</v>
      </c>
      <c r="D329" s="5">
        <v>12274.32</v>
      </c>
      <c r="E329" s="4">
        <v>91</v>
      </c>
      <c r="F329" s="4" t="s">
        <v>22</v>
      </c>
      <c r="G329" s="6">
        <v>45383</v>
      </c>
      <c r="H329" s="5">
        <v>41709.96</v>
      </c>
      <c r="I329" s="18" t="s">
        <v>17</v>
      </c>
      <c r="J329" s="14" t="s">
        <v>15</v>
      </c>
      <c r="K329" s="14">
        <v>670</v>
      </c>
      <c r="L329" s="15">
        <v>45397</v>
      </c>
      <c r="M329" s="16">
        <v>12</v>
      </c>
      <c r="N3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29" s="31">
        <f>IF(Table64[[#This Row],[date validity flag]]&lt;&gt;"Valid","",Table64[[#This Row],[shipment date ]]-Table64[[#This Row],[Order date]])</f>
        <v>14</v>
      </c>
      <c r="P329" s="27" t="str">
        <f>TEXT(Table64[[#This Row],[Order date]],"mmm-yyyy")</f>
        <v>Apr-2024</v>
      </c>
      <c r="Q329" s="16" t="str">
        <f t="shared" si="5"/>
        <v>Delayed</v>
      </c>
    </row>
    <row r="330" spans="1:17" x14ac:dyDescent="0.3">
      <c r="A330" s="12">
        <v>10329</v>
      </c>
      <c r="B330" s="1">
        <v>6350</v>
      </c>
      <c r="C330" s="1" t="s">
        <v>16</v>
      </c>
      <c r="D330" s="2">
        <v>72082.100000000006</v>
      </c>
      <c r="E330" s="1">
        <v>35</v>
      </c>
      <c r="F330" s="1" t="s">
        <v>22</v>
      </c>
      <c r="G330" s="3">
        <v>45337</v>
      </c>
      <c r="H330" s="2">
        <v>148828.59</v>
      </c>
      <c r="I330" s="13" t="s">
        <v>17</v>
      </c>
      <c r="J330" s="14" t="s">
        <v>15</v>
      </c>
      <c r="K330" s="14">
        <v>1104</v>
      </c>
      <c r="L330" s="15">
        <v>45361</v>
      </c>
      <c r="M330" s="16">
        <v>6</v>
      </c>
      <c r="N3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30" s="31">
        <f>IF(Table64[[#This Row],[date validity flag]]&lt;&gt;"Valid","",Table64[[#This Row],[shipment date ]]-Table64[[#This Row],[Order date]])</f>
        <v>24</v>
      </c>
      <c r="P330" s="27" t="str">
        <f>TEXT(Table64[[#This Row],[Order date]],"mmm-yyyy")</f>
        <v>Feb-2024</v>
      </c>
      <c r="Q330" s="16" t="str">
        <f t="shared" si="5"/>
        <v>Delayed</v>
      </c>
    </row>
    <row r="331" spans="1:17" x14ac:dyDescent="0.3">
      <c r="A331" s="17">
        <v>10330</v>
      </c>
      <c r="B331" s="4">
        <v>5464</v>
      </c>
      <c r="C331" s="4" t="s">
        <v>16</v>
      </c>
      <c r="D331" s="5">
        <v>67737.75</v>
      </c>
      <c r="E331" s="4">
        <v>33</v>
      </c>
      <c r="F331" s="4" t="s">
        <v>22</v>
      </c>
      <c r="G331" s="6">
        <v>45306</v>
      </c>
      <c r="H331" s="5">
        <v>111721.28</v>
      </c>
      <c r="I331" s="18" t="s">
        <v>17</v>
      </c>
      <c r="J331" s="14" t="s">
        <v>19</v>
      </c>
      <c r="K331" s="14">
        <v>289</v>
      </c>
      <c r="L331" s="15">
        <v>45397</v>
      </c>
      <c r="M331" s="16">
        <v>9</v>
      </c>
      <c r="N3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31" s="31">
        <f>IF(Table64[[#This Row],[date validity flag]]&lt;&gt;"Valid","",Table64[[#This Row],[shipment date ]]-Table64[[#This Row],[Order date]])</f>
        <v>91</v>
      </c>
      <c r="P331" s="27" t="str">
        <f>TEXT(Table64[[#This Row],[Order date]],"mmm-yyyy")</f>
        <v>Jan-2024</v>
      </c>
      <c r="Q331" s="16" t="str">
        <f t="shared" si="5"/>
        <v>Delayed</v>
      </c>
    </row>
    <row r="332" spans="1:17" x14ac:dyDescent="0.3">
      <c r="A332" s="12">
        <v>10331</v>
      </c>
      <c r="B332" s="1">
        <v>6373</v>
      </c>
      <c r="C332" s="1" t="s">
        <v>16</v>
      </c>
      <c r="D332" s="2">
        <v>38613.67</v>
      </c>
      <c r="E332" s="1">
        <v>84</v>
      </c>
      <c r="F332" s="1" t="s">
        <v>23</v>
      </c>
      <c r="G332" s="3">
        <v>45337</v>
      </c>
      <c r="H332" s="2">
        <v>73191.22</v>
      </c>
      <c r="I332" s="13" t="s">
        <v>14</v>
      </c>
      <c r="J332" s="14" t="s">
        <v>19</v>
      </c>
      <c r="K332" s="14">
        <v>412</v>
      </c>
      <c r="L332" s="15">
        <v>45332</v>
      </c>
      <c r="M332" s="16">
        <v>12</v>
      </c>
      <c r="N3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32" s="31" t="str">
        <f>IF(Table64[[#This Row],[date validity flag]]&lt;&gt;"Valid","",Table64[[#This Row],[shipment date ]]-Table64[[#This Row],[Order date]])</f>
        <v/>
      </c>
      <c r="P332" s="27" t="str">
        <f>TEXT(Table64[[#This Row],[Order date]],"mmm-yyyy")</f>
        <v>Feb-2024</v>
      </c>
      <c r="Q332" s="16" t="str">
        <f t="shared" si="5"/>
        <v/>
      </c>
    </row>
    <row r="333" spans="1:17" x14ac:dyDescent="0.3">
      <c r="A333" s="17">
        <v>10332</v>
      </c>
      <c r="B333" s="4">
        <v>6795</v>
      </c>
      <c r="C333" s="4" t="s">
        <v>16</v>
      </c>
      <c r="D333" s="5">
        <v>13743.99</v>
      </c>
      <c r="E333" s="4">
        <v>16</v>
      </c>
      <c r="F333" s="4" t="s">
        <v>13</v>
      </c>
      <c r="G333" s="6">
        <v>45337</v>
      </c>
      <c r="H333" s="5">
        <v>149994.72</v>
      </c>
      <c r="I333" s="18" t="s">
        <v>17</v>
      </c>
      <c r="J333" s="14" t="s">
        <v>18</v>
      </c>
      <c r="K333" s="14">
        <v>871</v>
      </c>
      <c r="L333" s="15">
        <v>45332</v>
      </c>
      <c r="M333" s="16">
        <v>1</v>
      </c>
      <c r="N3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33" s="31" t="str">
        <f>IF(Table64[[#This Row],[date validity flag]]&lt;&gt;"Valid","",Table64[[#This Row],[shipment date ]]-Table64[[#This Row],[Order date]])</f>
        <v/>
      </c>
      <c r="P333" s="27" t="str">
        <f>TEXT(Table64[[#This Row],[Order date]],"mmm-yyyy")</f>
        <v>Feb-2024</v>
      </c>
      <c r="Q333" s="16" t="str">
        <f t="shared" si="5"/>
        <v/>
      </c>
    </row>
    <row r="334" spans="1:17" x14ac:dyDescent="0.3">
      <c r="A334" s="12">
        <v>10333</v>
      </c>
      <c r="B334" s="1">
        <v>5660</v>
      </c>
      <c r="C334" s="1" t="s">
        <v>16</v>
      </c>
      <c r="D334" s="2">
        <v>40313.49</v>
      </c>
      <c r="E334" s="1">
        <v>34</v>
      </c>
      <c r="F334" s="1" t="s">
        <v>22</v>
      </c>
      <c r="G334" s="3">
        <v>45306</v>
      </c>
      <c r="H334" s="2">
        <v>79052.63</v>
      </c>
      <c r="I334" s="13" t="s">
        <v>17</v>
      </c>
      <c r="J334" s="14" t="s">
        <v>19</v>
      </c>
      <c r="K334" s="14">
        <v>1462</v>
      </c>
      <c r="L334" s="15">
        <v>45397</v>
      </c>
      <c r="M334" s="16">
        <v>14</v>
      </c>
      <c r="N3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34" s="31">
        <f>IF(Table64[[#This Row],[date validity flag]]&lt;&gt;"Valid","",Table64[[#This Row],[shipment date ]]-Table64[[#This Row],[Order date]])</f>
        <v>91</v>
      </c>
      <c r="P334" s="27" t="str">
        <f>TEXT(Table64[[#This Row],[Order date]],"mmm-yyyy")</f>
        <v>Jan-2024</v>
      </c>
      <c r="Q334" s="16" t="str">
        <f t="shared" si="5"/>
        <v>Delayed</v>
      </c>
    </row>
    <row r="335" spans="1:17" x14ac:dyDescent="0.3">
      <c r="A335" s="17">
        <v>10334</v>
      </c>
      <c r="B335" s="4">
        <v>5764</v>
      </c>
      <c r="C335" s="4" t="s">
        <v>16</v>
      </c>
      <c r="D335" s="5">
        <v>87120.8</v>
      </c>
      <c r="E335" s="4">
        <v>66</v>
      </c>
      <c r="F335" s="4" t="s">
        <v>22</v>
      </c>
      <c r="G335" s="6">
        <v>45361</v>
      </c>
      <c r="H335" s="5">
        <v>134402.19</v>
      </c>
      <c r="I335" s="18" t="s">
        <v>14</v>
      </c>
      <c r="J335" s="14" t="s">
        <v>19</v>
      </c>
      <c r="K335" s="14">
        <v>717</v>
      </c>
      <c r="L335" s="15">
        <v>45361</v>
      </c>
      <c r="M335" s="16">
        <v>7</v>
      </c>
      <c r="N3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35" s="31">
        <f>IF(Table64[[#This Row],[date validity flag]]&lt;&gt;"Valid","",Table64[[#This Row],[shipment date ]]-Table64[[#This Row],[Order date]])</f>
        <v>0</v>
      </c>
      <c r="P335" s="27" t="str">
        <f>TEXT(Table64[[#This Row],[Order date]],"mmm-yyyy")</f>
        <v>Mar-2024</v>
      </c>
      <c r="Q335" s="16" t="str">
        <f t="shared" si="5"/>
        <v>On Time</v>
      </c>
    </row>
    <row r="336" spans="1:17" x14ac:dyDescent="0.3">
      <c r="A336" s="12">
        <v>10335</v>
      </c>
      <c r="B336" s="1">
        <v>5955</v>
      </c>
      <c r="C336" s="1" t="s">
        <v>16</v>
      </c>
      <c r="D336" s="2">
        <v>19715.11</v>
      </c>
      <c r="E336" s="1">
        <v>99</v>
      </c>
      <c r="F336" s="1" t="s">
        <v>23</v>
      </c>
      <c r="G336" s="3">
        <v>45306</v>
      </c>
      <c r="H336" s="2">
        <v>76326.740000000005</v>
      </c>
      <c r="I336" s="13" t="s">
        <v>17</v>
      </c>
      <c r="J336" s="14" t="s">
        <v>18</v>
      </c>
      <c r="K336" s="14">
        <v>1372</v>
      </c>
      <c r="L336" s="15">
        <v>45397</v>
      </c>
      <c r="M336" s="16">
        <v>6</v>
      </c>
      <c r="N3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36" s="31">
        <f>IF(Table64[[#This Row],[date validity flag]]&lt;&gt;"Valid","",Table64[[#This Row],[shipment date ]]-Table64[[#This Row],[Order date]])</f>
        <v>91</v>
      </c>
      <c r="P336" s="27" t="str">
        <f>TEXT(Table64[[#This Row],[Order date]],"mmm-yyyy")</f>
        <v>Jan-2024</v>
      </c>
      <c r="Q336" s="16" t="str">
        <f t="shared" si="5"/>
        <v>Delayed</v>
      </c>
    </row>
    <row r="337" spans="1:17" x14ac:dyDescent="0.3">
      <c r="A337" s="17">
        <v>10336</v>
      </c>
      <c r="B337" s="4">
        <v>6956</v>
      </c>
      <c r="C337" s="4" t="s">
        <v>16</v>
      </c>
      <c r="D337" s="5">
        <v>43579.74</v>
      </c>
      <c r="E337" s="4">
        <v>40</v>
      </c>
      <c r="F337" s="4" t="s">
        <v>13</v>
      </c>
      <c r="G337" s="6">
        <v>45337</v>
      </c>
      <c r="H337" s="5">
        <v>76672.55</v>
      </c>
      <c r="I337" s="18" t="s">
        <v>20</v>
      </c>
      <c r="J337" s="14" t="s">
        <v>19</v>
      </c>
      <c r="K337" s="14">
        <v>1444</v>
      </c>
      <c r="L337" s="15">
        <v>45332</v>
      </c>
      <c r="M337" s="16">
        <v>3</v>
      </c>
      <c r="N3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37" s="31" t="str">
        <f>IF(Table64[[#This Row],[date validity flag]]&lt;&gt;"Valid","",Table64[[#This Row],[shipment date ]]-Table64[[#This Row],[Order date]])</f>
        <v/>
      </c>
      <c r="P337" s="27" t="str">
        <f>TEXT(Table64[[#This Row],[Order date]],"mmm-yyyy")</f>
        <v>Feb-2024</v>
      </c>
      <c r="Q337" s="16" t="str">
        <f t="shared" si="5"/>
        <v/>
      </c>
    </row>
    <row r="338" spans="1:17" x14ac:dyDescent="0.3">
      <c r="A338" s="12">
        <v>10337</v>
      </c>
      <c r="B338" s="1">
        <v>5403</v>
      </c>
      <c r="C338" s="1" t="s">
        <v>16</v>
      </c>
      <c r="D338" s="2">
        <v>8234.51</v>
      </c>
      <c r="E338" s="1">
        <v>28</v>
      </c>
      <c r="F338" s="1" t="s">
        <v>22</v>
      </c>
      <c r="G338" s="3">
        <v>45337</v>
      </c>
      <c r="H338" s="2">
        <v>73094.69</v>
      </c>
      <c r="I338" s="13" t="s">
        <v>14</v>
      </c>
      <c r="J338" s="14" t="s">
        <v>19</v>
      </c>
      <c r="K338" s="14">
        <v>148</v>
      </c>
      <c r="L338" s="15">
        <v>45332</v>
      </c>
      <c r="M338" s="16">
        <v>1</v>
      </c>
      <c r="N3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38" s="31" t="str">
        <f>IF(Table64[[#This Row],[date validity flag]]&lt;&gt;"Valid","",Table64[[#This Row],[shipment date ]]-Table64[[#This Row],[Order date]])</f>
        <v/>
      </c>
      <c r="P338" s="27" t="str">
        <f>TEXT(Table64[[#This Row],[Order date]],"mmm-yyyy")</f>
        <v>Feb-2024</v>
      </c>
      <c r="Q338" s="16" t="str">
        <f t="shared" si="5"/>
        <v/>
      </c>
    </row>
    <row r="339" spans="1:17" x14ac:dyDescent="0.3">
      <c r="A339" s="17">
        <v>10338</v>
      </c>
      <c r="B339" s="4">
        <v>6370</v>
      </c>
      <c r="C339" s="4" t="s">
        <v>12</v>
      </c>
      <c r="D339" s="5">
        <v>85357.4</v>
      </c>
      <c r="E339" s="4">
        <v>47</v>
      </c>
      <c r="F339" s="4" t="s">
        <v>21</v>
      </c>
      <c r="G339" s="6">
        <v>45361</v>
      </c>
      <c r="H339" s="5">
        <v>135846.01999999999</v>
      </c>
      <c r="I339" s="18" t="s">
        <v>17</v>
      </c>
      <c r="J339" s="14" t="s">
        <v>18</v>
      </c>
      <c r="K339" s="14">
        <v>96</v>
      </c>
      <c r="L339" s="15">
        <v>45332</v>
      </c>
      <c r="M339" s="16">
        <v>13</v>
      </c>
      <c r="N3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39" s="31" t="str">
        <f>IF(Table64[[#This Row],[date validity flag]]&lt;&gt;"Valid","",Table64[[#This Row],[shipment date ]]-Table64[[#This Row],[Order date]])</f>
        <v/>
      </c>
      <c r="P339" s="27" t="str">
        <f>TEXT(Table64[[#This Row],[Order date]],"mmm-yyyy")</f>
        <v>Mar-2024</v>
      </c>
      <c r="Q339" s="16" t="str">
        <f t="shared" si="5"/>
        <v/>
      </c>
    </row>
    <row r="340" spans="1:17" x14ac:dyDescent="0.3">
      <c r="A340" s="12">
        <v>10339</v>
      </c>
      <c r="B340" s="1">
        <v>6987</v>
      </c>
      <c r="C340" s="1" t="s">
        <v>16</v>
      </c>
      <c r="D340" s="2">
        <v>49269.59</v>
      </c>
      <c r="E340" s="1">
        <v>39</v>
      </c>
      <c r="F340" s="1" t="s">
        <v>23</v>
      </c>
      <c r="G340" s="3">
        <v>45306</v>
      </c>
      <c r="H340" s="2">
        <v>19690.57</v>
      </c>
      <c r="I340" s="13" t="s">
        <v>14</v>
      </c>
      <c r="J340" s="14" t="s">
        <v>18</v>
      </c>
      <c r="K340" s="14">
        <v>888</v>
      </c>
      <c r="L340" s="15">
        <v>45397</v>
      </c>
      <c r="M340" s="16">
        <v>4</v>
      </c>
      <c r="N3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40" s="31">
        <f>IF(Table64[[#This Row],[date validity flag]]&lt;&gt;"Valid","",Table64[[#This Row],[shipment date ]]-Table64[[#This Row],[Order date]])</f>
        <v>91</v>
      </c>
      <c r="P340" s="27" t="str">
        <f>TEXT(Table64[[#This Row],[Order date]],"mmm-yyyy")</f>
        <v>Jan-2024</v>
      </c>
      <c r="Q340" s="16" t="str">
        <f t="shared" si="5"/>
        <v>Delayed</v>
      </c>
    </row>
    <row r="341" spans="1:17" x14ac:dyDescent="0.3">
      <c r="A341" s="17">
        <v>10340</v>
      </c>
      <c r="B341" s="4">
        <v>6535</v>
      </c>
      <c r="C341" s="4" t="s">
        <v>16</v>
      </c>
      <c r="D341" s="5">
        <v>75050.16</v>
      </c>
      <c r="E341" s="4">
        <v>70</v>
      </c>
      <c r="F341" s="4" t="s">
        <v>22</v>
      </c>
      <c r="G341" s="6">
        <v>45337</v>
      </c>
      <c r="H341" s="5">
        <v>177260.55</v>
      </c>
      <c r="I341" s="18" t="s">
        <v>17</v>
      </c>
      <c r="J341" s="14" t="s">
        <v>15</v>
      </c>
      <c r="K341" s="14">
        <v>471</v>
      </c>
      <c r="L341" s="15">
        <v>45332</v>
      </c>
      <c r="M341" s="16">
        <v>14</v>
      </c>
      <c r="N34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41" s="31" t="str">
        <f>IF(Table64[[#This Row],[date validity flag]]&lt;&gt;"Valid","",Table64[[#This Row],[shipment date ]]-Table64[[#This Row],[Order date]])</f>
        <v/>
      </c>
      <c r="P341" s="27" t="str">
        <f>TEXT(Table64[[#This Row],[Order date]],"mmm-yyyy")</f>
        <v>Feb-2024</v>
      </c>
      <c r="Q341" s="16" t="str">
        <f t="shared" si="5"/>
        <v/>
      </c>
    </row>
    <row r="342" spans="1:17" x14ac:dyDescent="0.3">
      <c r="A342" s="12">
        <v>10341</v>
      </c>
      <c r="B342" s="1">
        <v>5147</v>
      </c>
      <c r="C342" s="1" t="s">
        <v>12</v>
      </c>
      <c r="D342" s="2">
        <v>60916.95</v>
      </c>
      <c r="E342" s="1">
        <v>73</v>
      </c>
      <c r="F342" s="1" t="s">
        <v>22</v>
      </c>
      <c r="G342" s="3">
        <v>45383</v>
      </c>
      <c r="H342" s="2">
        <v>75233.75</v>
      </c>
      <c r="I342" s="13" t="s">
        <v>14</v>
      </c>
      <c r="J342" s="14" t="s">
        <v>18</v>
      </c>
      <c r="K342" s="14">
        <v>111</v>
      </c>
      <c r="L342" s="15">
        <v>45361</v>
      </c>
      <c r="M342" s="16">
        <v>9</v>
      </c>
      <c r="N34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42" s="31" t="str">
        <f>IF(Table64[[#This Row],[date validity flag]]&lt;&gt;"Valid","",Table64[[#This Row],[shipment date ]]-Table64[[#This Row],[Order date]])</f>
        <v/>
      </c>
      <c r="P342" s="27" t="str">
        <f>TEXT(Table64[[#This Row],[Order date]],"mmm-yyyy")</f>
        <v>Apr-2024</v>
      </c>
      <c r="Q342" s="16" t="str">
        <f t="shared" si="5"/>
        <v/>
      </c>
    </row>
    <row r="343" spans="1:17" x14ac:dyDescent="0.3">
      <c r="A343" s="17">
        <v>10342</v>
      </c>
      <c r="B343" s="4">
        <v>6172</v>
      </c>
      <c r="C343" s="4" t="s">
        <v>16</v>
      </c>
      <c r="D343" s="5">
        <v>93189.09</v>
      </c>
      <c r="E343" s="4">
        <v>20</v>
      </c>
      <c r="F343" s="4" t="s">
        <v>21</v>
      </c>
      <c r="G343" s="6">
        <v>45337</v>
      </c>
      <c r="H343" s="5">
        <v>96148.98</v>
      </c>
      <c r="I343" s="18" t="s">
        <v>17</v>
      </c>
      <c r="J343" s="14" t="s">
        <v>15</v>
      </c>
      <c r="K343" s="14">
        <v>1182</v>
      </c>
      <c r="L343" s="15">
        <v>45397</v>
      </c>
      <c r="M343" s="16">
        <v>2</v>
      </c>
      <c r="N3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43" s="31">
        <f>IF(Table64[[#This Row],[date validity flag]]&lt;&gt;"Valid","",Table64[[#This Row],[shipment date ]]-Table64[[#This Row],[Order date]])</f>
        <v>60</v>
      </c>
      <c r="P343" s="27" t="str">
        <f>TEXT(Table64[[#This Row],[Order date]],"mmm-yyyy")</f>
        <v>Feb-2024</v>
      </c>
      <c r="Q343" s="16" t="str">
        <f t="shared" si="5"/>
        <v>Delayed</v>
      </c>
    </row>
    <row r="344" spans="1:17" x14ac:dyDescent="0.3">
      <c r="A344" s="12">
        <v>10343</v>
      </c>
      <c r="B344" s="1">
        <v>5864</v>
      </c>
      <c r="C344" s="1" t="s">
        <v>16</v>
      </c>
      <c r="D344" s="2">
        <v>67070.240000000005</v>
      </c>
      <c r="E344" s="1">
        <v>1</v>
      </c>
      <c r="F344" s="1" t="s">
        <v>21</v>
      </c>
      <c r="G344" s="3">
        <v>45337</v>
      </c>
      <c r="H344" s="2">
        <v>15834.24</v>
      </c>
      <c r="I344" s="13" t="s">
        <v>14</v>
      </c>
      <c r="J344" s="14" t="s">
        <v>19</v>
      </c>
      <c r="K344" s="14">
        <v>1192</v>
      </c>
      <c r="L344" s="15">
        <v>45397</v>
      </c>
      <c r="M344" s="16">
        <v>3</v>
      </c>
      <c r="N3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44" s="31">
        <f>IF(Table64[[#This Row],[date validity flag]]&lt;&gt;"Valid","",Table64[[#This Row],[shipment date ]]-Table64[[#This Row],[Order date]])</f>
        <v>60</v>
      </c>
      <c r="P344" s="27" t="str">
        <f>TEXT(Table64[[#This Row],[Order date]],"mmm-yyyy")</f>
        <v>Feb-2024</v>
      </c>
      <c r="Q344" s="16" t="str">
        <f t="shared" si="5"/>
        <v>Delayed</v>
      </c>
    </row>
    <row r="345" spans="1:17" x14ac:dyDescent="0.3">
      <c r="A345" s="17">
        <v>10344</v>
      </c>
      <c r="B345" s="4">
        <v>6735</v>
      </c>
      <c r="C345" s="4" t="s">
        <v>16</v>
      </c>
      <c r="D345" s="5">
        <v>32662.99</v>
      </c>
      <c r="E345" s="4">
        <v>72</v>
      </c>
      <c r="F345" s="4" t="s">
        <v>23</v>
      </c>
      <c r="G345" s="6">
        <v>45361</v>
      </c>
      <c r="H345" s="5">
        <v>83334.52</v>
      </c>
      <c r="I345" s="18" t="s">
        <v>17</v>
      </c>
      <c r="J345" s="14" t="s">
        <v>18</v>
      </c>
      <c r="K345" s="14">
        <v>1059</v>
      </c>
      <c r="L345" s="15">
        <v>45332</v>
      </c>
      <c r="M345" s="16">
        <v>2</v>
      </c>
      <c r="N34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45" s="31" t="str">
        <f>IF(Table64[[#This Row],[date validity flag]]&lt;&gt;"Valid","",Table64[[#This Row],[shipment date ]]-Table64[[#This Row],[Order date]])</f>
        <v/>
      </c>
      <c r="P345" s="27" t="str">
        <f>TEXT(Table64[[#This Row],[Order date]],"mmm-yyyy")</f>
        <v>Mar-2024</v>
      </c>
      <c r="Q345" s="16" t="str">
        <f t="shared" si="5"/>
        <v/>
      </c>
    </row>
    <row r="346" spans="1:17" x14ac:dyDescent="0.3">
      <c r="A346" s="12">
        <v>10345</v>
      </c>
      <c r="B346" s="1">
        <v>6844</v>
      </c>
      <c r="C346" s="1" t="s">
        <v>16</v>
      </c>
      <c r="D346" s="2">
        <v>69699.600000000006</v>
      </c>
      <c r="E346" s="1">
        <v>87</v>
      </c>
      <c r="F346" s="1" t="s">
        <v>23</v>
      </c>
      <c r="G346" s="3">
        <v>45383</v>
      </c>
      <c r="H346" s="2">
        <v>137618.47</v>
      </c>
      <c r="I346" s="13" t="s">
        <v>14</v>
      </c>
      <c r="J346" s="14" t="s">
        <v>18</v>
      </c>
      <c r="K346" s="14">
        <v>647</v>
      </c>
      <c r="L346" s="15">
        <v>45332</v>
      </c>
      <c r="M346" s="16">
        <v>14</v>
      </c>
      <c r="N34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46" s="31" t="str">
        <f>IF(Table64[[#This Row],[date validity flag]]&lt;&gt;"Valid","",Table64[[#This Row],[shipment date ]]-Table64[[#This Row],[Order date]])</f>
        <v/>
      </c>
      <c r="P346" s="27" t="str">
        <f>TEXT(Table64[[#This Row],[Order date]],"mmm-yyyy")</f>
        <v>Apr-2024</v>
      </c>
      <c r="Q346" s="16" t="str">
        <f t="shared" si="5"/>
        <v/>
      </c>
    </row>
    <row r="347" spans="1:17" x14ac:dyDescent="0.3">
      <c r="A347" s="17">
        <v>10346</v>
      </c>
      <c r="B347" s="4">
        <v>5489</v>
      </c>
      <c r="C347" s="4" t="s">
        <v>16</v>
      </c>
      <c r="D347" s="5">
        <v>15758.1</v>
      </c>
      <c r="E347" s="4">
        <v>63</v>
      </c>
      <c r="F347" s="4" t="s">
        <v>21</v>
      </c>
      <c r="G347" s="6">
        <v>45337</v>
      </c>
      <c r="H347" s="5">
        <v>23566.47</v>
      </c>
      <c r="I347" s="18" t="s">
        <v>20</v>
      </c>
      <c r="J347" s="14" t="s">
        <v>18</v>
      </c>
      <c r="K347" s="14">
        <v>1455</v>
      </c>
      <c r="L347" s="15">
        <v>45361</v>
      </c>
      <c r="M347" s="16">
        <v>2</v>
      </c>
      <c r="N3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47" s="31">
        <f>IF(Table64[[#This Row],[date validity flag]]&lt;&gt;"Valid","",Table64[[#This Row],[shipment date ]]-Table64[[#This Row],[Order date]])</f>
        <v>24</v>
      </c>
      <c r="P347" s="27" t="str">
        <f>TEXT(Table64[[#This Row],[Order date]],"mmm-yyyy")</f>
        <v>Feb-2024</v>
      </c>
      <c r="Q347" s="16" t="str">
        <f t="shared" si="5"/>
        <v>Delayed</v>
      </c>
    </row>
    <row r="348" spans="1:17" x14ac:dyDescent="0.3">
      <c r="A348" s="12">
        <v>10347</v>
      </c>
      <c r="B348" s="1">
        <v>5929</v>
      </c>
      <c r="C348" s="1" t="s">
        <v>12</v>
      </c>
      <c r="D348" s="2">
        <v>64352.38</v>
      </c>
      <c r="E348" s="1">
        <v>67</v>
      </c>
      <c r="F348" s="1" t="s">
        <v>23</v>
      </c>
      <c r="G348" s="3">
        <v>45337</v>
      </c>
      <c r="H348" s="2">
        <v>65993.47</v>
      </c>
      <c r="I348" s="13" t="s">
        <v>20</v>
      </c>
      <c r="J348" s="14" t="s">
        <v>19</v>
      </c>
      <c r="K348" s="14">
        <v>441</v>
      </c>
      <c r="L348" s="15">
        <v>45397</v>
      </c>
      <c r="M348" s="16">
        <v>10</v>
      </c>
      <c r="N3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48" s="31">
        <f>IF(Table64[[#This Row],[date validity flag]]&lt;&gt;"Valid","",Table64[[#This Row],[shipment date ]]-Table64[[#This Row],[Order date]])</f>
        <v>60</v>
      </c>
      <c r="P348" s="27" t="str">
        <f>TEXT(Table64[[#This Row],[Order date]],"mmm-yyyy")</f>
        <v>Feb-2024</v>
      </c>
      <c r="Q348" s="16" t="str">
        <f t="shared" si="5"/>
        <v>Delayed</v>
      </c>
    </row>
    <row r="349" spans="1:17" x14ac:dyDescent="0.3">
      <c r="A349" s="17">
        <v>10348</v>
      </c>
      <c r="B349" s="4">
        <v>6960</v>
      </c>
      <c r="C349" s="4" t="s">
        <v>16</v>
      </c>
      <c r="D349" s="5">
        <v>48330.53</v>
      </c>
      <c r="E349" s="4">
        <v>4</v>
      </c>
      <c r="F349" s="4" t="s">
        <v>21</v>
      </c>
      <c r="G349" s="6">
        <v>45383</v>
      </c>
      <c r="H349" s="5">
        <v>124090.11</v>
      </c>
      <c r="I349" s="18" t="s">
        <v>17</v>
      </c>
      <c r="J349" s="14" t="s">
        <v>15</v>
      </c>
      <c r="K349" s="14">
        <v>1026</v>
      </c>
      <c r="L349" s="15">
        <v>45332</v>
      </c>
      <c r="M349" s="16">
        <v>11</v>
      </c>
      <c r="N34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49" s="31" t="str">
        <f>IF(Table64[[#This Row],[date validity flag]]&lt;&gt;"Valid","",Table64[[#This Row],[shipment date ]]-Table64[[#This Row],[Order date]])</f>
        <v/>
      </c>
      <c r="P349" s="27" t="str">
        <f>TEXT(Table64[[#This Row],[Order date]],"mmm-yyyy")</f>
        <v>Apr-2024</v>
      </c>
      <c r="Q349" s="16" t="str">
        <f t="shared" si="5"/>
        <v/>
      </c>
    </row>
    <row r="350" spans="1:17" x14ac:dyDescent="0.3">
      <c r="A350" s="12">
        <v>10349</v>
      </c>
      <c r="B350" s="1">
        <v>6664</v>
      </c>
      <c r="C350" s="1" t="s">
        <v>12</v>
      </c>
      <c r="D350" s="2">
        <v>39665.33</v>
      </c>
      <c r="E350" s="1">
        <v>58</v>
      </c>
      <c r="F350" s="1" t="s">
        <v>22</v>
      </c>
      <c r="G350" s="3">
        <v>45306</v>
      </c>
      <c r="H350" s="2">
        <v>77662.06</v>
      </c>
      <c r="I350" s="13" t="s">
        <v>17</v>
      </c>
      <c r="J350" s="14" t="s">
        <v>19</v>
      </c>
      <c r="K350" s="14">
        <v>1125</v>
      </c>
      <c r="L350" s="15">
        <v>45361</v>
      </c>
      <c r="M350" s="16">
        <v>11</v>
      </c>
      <c r="N3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0" s="31">
        <f>IF(Table64[[#This Row],[date validity flag]]&lt;&gt;"Valid","",Table64[[#This Row],[shipment date ]]-Table64[[#This Row],[Order date]])</f>
        <v>55</v>
      </c>
      <c r="P350" s="27" t="str">
        <f>TEXT(Table64[[#This Row],[Order date]],"mmm-yyyy")</f>
        <v>Jan-2024</v>
      </c>
      <c r="Q350" s="16" t="str">
        <f t="shared" si="5"/>
        <v>Delayed</v>
      </c>
    </row>
    <row r="351" spans="1:17" x14ac:dyDescent="0.3">
      <c r="A351" s="17">
        <v>10350</v>
      </c>
      <c r="B351" s="4">
        <v>5551</v>
      </c>
      <c r="C351" s="4" t="s">
        <v>16</v>
      </c>
      <c r="D351" s="5">
        <v>15436.01</v>
      </c>
      <c r="E351" s="4">
        <v>25</v>
      </c>
      <c r="F351" s="4" t="s">
        <v>21</v>
      </c>
      <c r="G351" s="6">
        <v>45306</v>
      </c>
      <c r="H351" s="5">
        <v>81429.62</v>
      </c>
      <c r="I351" s="18" t="s">
        <v>14</v>
      </c>
      <c r="J351" s="14" t="s">
        <v>19</v>
      </c>
      <c r="K351" s="14">
        <v>652</v>
      </c>
      <c r="L351" s="15">
        <v>45332</v>
      </c>
      <c r="M351" s="16">
        <v>8</v>
      </c>
      <c r="N35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1" s="31">
        <f>IF(Table64[[#This Row],[date validity flag]]&lt;&gt;"Valid","",Table64[[#This Row],[shipment date ]]-Table64[[#This Row],[Order date]])</f>
        <v>26</v>
      </c>
      <c r="P351" s="27" t="str">
        <f>TEXT(Table64[[#This Row],[Order date]],"mmm-yyyy")</f>
        <v>Jan-2024</v>
      </c>
      <c r="Q351" s="16" t="str">
        <f t="shared" si="5"/>
        <v>Delayed</v>
      </c>
    </row>
    <row r="352" spans="1:17" x14ac:dyDescent="0.3">
      <c r="A352" s="12">
        <v>10351</v>
      </c>
      <c r="B352" s="1">
        <v>5338</v>
      </c>
      <c r="C352" s="1" t="s">
        <v>16</v>
      </c>
      <c r="D352" s="2">
        <v>35943.65</v>
      </c>
      <c r="E352" s="1">
        <v>47</v>
      </c>
      <c r="F352" s="1" t="s">
        <v>21</v>
      </c>
      <c r="G352" s="3">
        <v>45337</v>
      </c>
      <c r="H352" s="2">
        <v>136125.76999999999</v>
      </c>
      <c r="I352" s="13" t="s">
        <v>17</v>
      </c>
      <c r="J352" s="14" t="s">
        <v>18</v>
      </c>
      <c r="K352" s="14">
        <v>1362</v>
      </c>
      <c r="L352" s="15">
        <v>45397</v>
      </c>
      <c r="M352" s="16">
        <v>3</v>
      </c>
      <c r="N35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2" s="31">
        <f>IF(Table64[[#This Row],[date validity flag]]&lt;&gt;"Valid","",Table64[[#This Row],[shipment date ]]-Table64[[#This Row],[Order date]])</f>
        <v>60</v>
      </c>
      <c r="P352" s="27" t="str">
        <f>TEXT(Table64[[#This Row],[Order date]],"mmm-yyyy")</f>
        <v>Feb-2024</v>
      </c>
      <c r="Q352" s="16" t="str">
        <f t="shared" si="5"/>
        <v>Delayed</v>
      </c>
    </row>
    <row r="353" spans="1:17" x14ac:dyDescent="0.3">
      <c r="A353" s="17">
        <v>10352</v>
      </c>
      <c r="B353" s="4">
        <v>5872</v>
      </c>
      <c r="C353" s="4" t="s">
        <v>12</v>
      </c>
      <c r="D353" s="5">
        <v>87766.76</v>
      </c>
      <c r="E353" s="4">
        <v>38</v>
      </c>
      <c r="F353" s="4" t="s">
        <v>13</v>
      </c>
      <c r="G353" s="6">
        <v>45337</v>
      </c>
      <c r="H353" s="5">
        <v>150540.49</v>
      </c>
      <c r="I353" s="18" t="s">
        <v>20</v>
      </c>
      <c r="J353" s="14" t="s">
        <v>15</v>
      </c>
      <c r="K353" s="14">
        <v>386</v>
      </c>
      <c r="L353" s="15">
        <v>45332</v>
      </c>
      <c r="M353" s="16">
        <v>7</v>
      </c>
      <c r="N35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53" s="31" t="str">
        <f>IF(Table64[[#This Row],[date validity flag]]&lt;&gt;"Valid","",Table64[[#This Row],[shipment date ]]-Table64[[#This Row],[Order date]])</f>
        <v/>
      </c>
      <c r="P353" s="27" t="str">
        <f>TEXT(Table64[[#This Row],[Order date]],"mmm-yyyy")</f>
        <v>Feb-2024</v>
      </c>
      <c r="Q353" s="16" t="str">
        <f t="shared" si="5"/>
        <v/>
      </c>
    </row>
    <row r="354" spans="1:17" x14ac:dyDescent="0.3">
      <c r="A354" s="12">
        <v>10353</v>
      </c>
      <c r="B354" s="1">
        <v>5641</v>
      </c>
      <c r="C354" s="1" t="s">
        <v>16</v>
      </c>
      <c r="D354" s="2">
        <v>76115.72</v>
      </c>
      <c r="E354" s="1">
        <v>15</v>
      </c>
      <c r="F354" s="1" t="s">
        <v>21</v>
      </c>
      <c r="G354" s="3">
        <v>45306</v>
      </c>
      <c r="H354" s="2">
        <v>29466.43</v>
      </c>
      <c r="I354" s="13" t="s">
        <v>17</v>
      </c>
      <c r="J354" s="14" t="s">
        <v>19</v>
      </c>
      <c r="K354" s="14">
        <v>859</v>
      </c>
      <c r="L354" s="15">
        <v>45397</v>
      </c>
      <c r="M354" s="16">
        <v>8</v>
      </c>
      <c r="N35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4" s="31">
        <f>IF(Table64[[#This Row],[date validity flag]]&lt;&gt;"Valid","",Table64[[#This Row],[shipment date ]]-Table64[[#This Row],[Order date]])</f>
        <v>91</v>
      </c>
      <c r="P354" s="27" t="str">
        <f>TEXT(Table64[[#This Row],[Order date]],"mmm-yyyy")</f>
        <v>Jan-2024</v>
      </c>
      <c r="Q354" s="16" t="str">
        <f t="shared" si="5"/>
        <v>Delayed</v>
      </c>
    </row>
    <row r="355" spans="1:17" x14ac:dyDescent="0.3">
      <c r="A355" s="17">
        <v>10354</v>
      </c>
      <c r="B355" s="4">
        <v>6803</v>
      </c>
      <c r="C355" s="4" t="s">
        <v>16</v>
      </c>
      <c r="D355" s="5">
        <v>83827.28</v>
      </c>
      <c r="E355" s="4">
        <v>63</v>
      </c>
      <c r="F355" s="4" t="s">
        <v>21</v>
      </c>
      <c r="G355" s="6">
        <v>45361</v>
      </c>
      <c r="H355" s="5">
        <v>122022.81</v>
      </c>
      <c r="I355" s="18" t="s">
        <v>14</v>
      </c>
      <c r="J355" s="14" t="s">
        <v>18</v>
      </c>
      <c r="K355" s="14">
        <v>1277</v>
      </c>
      <c r="L355" s="15">
        <v>45332</v>
      </c>
      <c r="M355" s="16">
        <v>3</v>
      </c>
      <c r="N35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55" s="31" t="str">
        <f>IF(Table64[[#This Row],[date validity flag]]&lt;&gt;"Valid","",Table64[[#This Row],[shipment date ]]-Table64[[#This Row],[Order date]])</f>
        <v/>
      </c>
      <c r="P355" s="27" t="str">
        <f>TEXT(Table64[[#This Row],[Order date]],"mmm-yyyy")</f>
        <v>Mar-2024</v>
      </c>
      <c r="Q355" s="16" t="str">
        <f t="shared" si="5"/>
        <v/>
      </c>
    </row>
    <row r="356" spans="1:17" x14ac:dyDescent="0.3">
      <c r="A356" s="12">
        <v>10355</v>
      </c>
      <c r="B356" s="1">
        <v>6977</v>
      </c>
      <c r="C356" s="1" t="s">
        <v>16</v>
      </c>
      <c r="D356" s="2">
        <v>69436.789999999994</v>
      </c>
      <c r="E356" s="1">
        <v>21</v>
      </c>
      <c r="F356" s="1" t="s">
        <v>13</v>
      </c>
      <c r="G356" s="3">
        <v>45383</v>
      </c>
      <c r="H356" s="2">
        <v>80512.42</v>
      </c>
      <c r="I356" s="13" t="s">
        <v>17</v>
      </c>
      <c r="J356" s="14" t="s">
        <v>19</v>
      </c>
      <c r="K356" s="14">
        <v>1311</v>
      </c>
      <c r="L356" s="15">
        <v>45397</v>
      </c>
      <c r="M356" s="16">
        <v>2</v>
      </c>
      <c r="N3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6" s="31">
        <f>IF(Table64[[#This Row],[date validity flag]]&lt;&gt;"Valid","",Table64[[#This Row],[shipment date ]]-Table64[[#This Row],[Order date]])</f>
        <v>14</v>
      </c>
      <c r="P356" s="27" t="str">
        <f>TEXT(Table64[[#This Row],[Order date]],"mmm-yyyy")</f>
        <v>Apr-2024</v>
      </c>
      <c r="Q356" s="16" t="str">
        <f t="shared" si="5"/>
        <v>Delayed</v>
      </c>
    </row>
    <row r="357" spans="1:17" x14ac:dyDescent="0.3">
      <c r="A357" s="17">
        <v>10356</v>
      </c>
      <c r="B357" s="4">
        <v>5473</v>
      </c>
      <c r="C357" s="4" t="s">
        <v>16</v>
      </c>
      <c r="D357" s="5">
        <v>58237.760000000002</v>
      </c>
      <c r="E357" s="4">
        <v>99</v>
      </c>
      <c r="F357" s="4" t="s">
        <v>23</v>
      </c>
      <c r="G357" s="6">
        <v>45383</v>
      </c>
      <c r="H357" s="5">
        <v>149808.13</v>
      </c>
      <c r="I357" s="18" t="s">
        <v>14</v>
      </c>
      <c r="J357" s="14" t="s">
        <v>19</v>
      </c>
      <c r="K357" s="14">
        <v>1455</v>
      </c>
      <c r="L357" s="15">
        <v>45361</v>
      </c>
      <c r="M357" s="16">
        <v>13</v>
      </c>
      <c r="N35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57" s="31" t="str">
        <f>IF(Table64[[#This Row],[date validity flag]]&lt;&gt;"Valid","",Table64[[#This Row],[shipment date ]]-Table64[[#This Row],[Order date]])</f>
        <v/>
      </c>
      <c r="P357" s="27" t="str">
        <f>TEXT(Table64[[#This Row],[Order date]],"mmm-yyyy")</f>
        <v>Apr-2024</v>
      </c>
      <c r="Q357" s="16" t="str">
        <f t="shared" si="5"/>
        <v/>
      </c>
    </row>
    <row r="358" spans="1:17" x14ac:dyDescent="0.3">
      <c r="A358" s="12">
        <v>10357</v>
      </c>
      <c r="B358" s="1">
        <v>6970</v>
      </c>
      <c r="C358" s="1" t="s">
        <v>16</v>
      </c>
      <c r="D358" s="2">
        <v>86823.12</v>
      </c>
      <c r="E358" s="1">
        <v>57</v>
      </c>
      <c r="F358" s="1" t="s">
        <v>13</v>
      </c>
      <c r="G358" s="3">
        <v>45361</v>
      </c>
      <c r="H358" s="2">
        <v>69701.990000000005</v>
      </c>
      <c r="I358" s="13" t="s">
        <v>20</v>
      </c>
      <c r="J358" s="14" t="s">
        <v>18</v>
      </c>
      <c r="K358" s="14">
        <v>801</v>
      </c>
      <c r="L358" s="15">
        <v>45397</v>
      </c>
      <c r="M358" s="16">
        <v>13</v>
      </c>
      <c r="N3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8" s="31">
        <f>IF(Table64[[#This Row],[date validity flag]]&lt;&gt;"Valid","",Table64[[#This Row],[shipment date ]]-Table64[[#This Row],[Order date]])</f>
        <v>36</v>
      </c>
      <c r="P358" s="27" t="str">
        <f>TEXT(Table64[[#This Row],[Order date]],"mmm-yyyy")</f>
        <v>Mar-2024</v>
      </c>
      <c r="Q358" s="16" t="str">
        <f t="shared" si="5"/>
        <v>Delayed</v>
      </c>
    </row>
    <row r="359" spans="1:17" x14ac:dyDescent="0.3">
      <c r="A359" s="17">
        <v>10358</v>
      </c>
      <c r="B359" s="4">
        <v>5151</v>
      </c>
      <c r="C359" s="4" t="s">
        <v>16</v>
      </c>
      <c r="D359" s="5">
        <v>55359.74</v>
      </c>
      <c r="E359" s="4">
        <v>53</v>
      </c>
      <c r="F359" s="4" t="s">
        <v>22</v>
      </c>
      <c r="G359" s="6">
        <v>45361</v>
      </c>
      <c r="H359" s="5">
        <v>95450.11</v>
      </c>
      <c r="I359" s="18" t="s">
        <v>20</v>
      </c>
      <c r="J359" s="14" t="s">
        <v>18</v>
      </c>
      <c r="K359" s="14">
        <v>1209</v>
      </c>
      <c r="L359" s="15">
        <v>45361</v>
      </c>
      <c r="M359" s="16">
        <v>8</v>
      </c>
      <c r="N3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59" s="31">
        <f>IF(Table64[[#This Row],[date validity flag]]&lt;&gt;"Valid","",Table64[[#This Row],[shipment date ]]-Table64[[#This Row],[Order date]])</f>
        <v>0</v>
      </c>
      <c r="P359" s="27" t="str">
        <f>TEXT(Table64[[#This Row],[Order date]],"mmm-yyyy")</f>
        <v>Mar-2024</v>
      </c>
      <c r="Q359" s="16" t="str">
        <f t="shared" si="5"/>
        <v>On Time</v>
      </c>
    </row>
    <row r="360" spans="1:17" x14ac:dyDescent="0.3">
      <c r="A360" s="12">
        <v>10359</v>
      </c>
      <c r="B360" s="1">
        <v>6439</v>
      </c>
      <c r="C360" s="1" t="s">
        <v>16</v>
      </c>
      <c r="D360" s="2">
        <v>80858.06</v>
      </c>
      <c r="E360" s="1">
        <v>46</v>
      </c>
      <c r="F360" s="1" t="s">
        <v>13</v>
      </c>
      <c r="G360" s="3">
        <v>45361</v>
      </c>
      <c r="H360" s="2">
        <v>18515.88</v>
      </c>
      <c r="I360" s="13" t="s">
        <v>20</v>
      </c>
      <c r="J360" s="14" t="s">
        <v>15</v>
      </c>
      <c r="K360" s="14">
        <v>1480</v>
      </c>
      <c r="L360" s="15">
        <v>45397</v>
      </c>
      <c r="M360" s="16">
        <v>3</v>
      </c>
      <c r="N3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0" s="31">
        <f>IF(Table64[[#This Row],[date validity flag]]&lt;&gt;"Valid","",Table64[[#This Row],[shipment date ]]-Table64[[#This Row],[Order date]])</f>
        <v>36</v>
      </c>
      <c r="P360" s="27" t="str">
        <f>TEXT(Table64[[#This Row],[Order date]],"mmm-yyyy")</f>
        <v>Mar-2024</v>
      </c>
      <c r="Q360" s="16" t="str">
        <f t="shared" si="5"/>
        <v>Delayed</v>
      </c>
    </row>
    <row r="361" spans="1:17" x14ac:dyDescent="0.3">
      <c r="A361" s="17">
        <v>10360</v>
      </c>
      <c r="B361" s="4">
        <v>6322</v>
      </c>
      <c r="C361" s="4" t="s">
        <v>12</v>
      </c>
      <c r="D361" s="5">
        <v>93588.35</v>
      </c>
      <c r="E361" s="4">
        <v>14</v>
      </c>
      <c r="F361" s="4" t="s">
        <v>22</v>
      </c>
      <c r="G361" s="6">
        <v>45361</v>
      </c>
      <c r="H361" s="5">
        <v>102328.25</v>
      </c>
      <c r="I361" s="18" t="s">
        <v>17</v>
      </c>
      <c r="J361" s="14" t="s">
        <v>19</v>
      </c>
      <c r="K361" s="14">
        <v>1435</v>
      </c>
      <c r="L361" s="15">
        <v>45361</v>
      </c>
      <c r="M361" s="16">
        <v>7</v>
      </c>
      <c r="N3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1" s="31">
        <f>IF(Table64[[#This Row],[date validity flag]]&lt;&gt;"Valid","",Table64[[#This Row],[shipment date ]]-Table64[[#This Row],[Order date]])</f>
        <v>0</v>
      </c>
      <c r="P361" s="27" t="str">
        <f>TEXT(Table64[[#This Row],[Order date]],"mmm-yyyy")</f>
        <v>Mar-2024</v>
      </c>
      <c r="Q361" s="16" t="str">
        <f t="shared" si="5"/>
        <v>On Time</v>
      </c>
    </row>
    <row r="362" spans="1:17" x14ac:dyDescent="0.3">
      <c r="A362" s="12">
        <v>10361</v>
      </c>
      <c r="B362" s="1">
        <v>6635</v>
      </c>
      <c r="C362" s="1" t="s">
        <v>12</v>
      </c>
      <c r="D362" s="2">
        <v>63083.4</v>
      </c>
      <c r="E362" s="1">
        <v>76</v>
      </c>
      <c r="F362" s="1" t="s">
        <v>23</v>
      </c>
      <c r="G362" s="3">
        <v>45361</v>
      </c>
      <c r="H362" s="2">
        <v>25065.06</v>
      </c>
      <c r="I362" s="13" t="s">
        <v>20</v>
      </c>
      <c r="J362" s="14" t="s">
        <v>18</v>
      </c>
      <c r="K362" s="14">
        <v>1454</v>
      </c>
      <c r="L362" s="15">
        <v>45332</v>
      </c>
      <c r="M362" s="16">
        <v>12</v>
      </c>
      <c r="N36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62" s="31" t="str">
        <f>IF(Table64[[#This Row],[date validity flag]]&lt;&gt;"Valid","",Table64[[#This Row],[shipment date ]]-Table64[[#This Row],[Order date]])</f>
        <v/>
      </c>
      <c r="P362" s="27" t="str">
        <f>TEXT(Table64[[#This Row],[Order date]],"mmm-yyyy")</f>
        <v>Mar-2024</v>
      </c>
      <c r="Q362" s="16" t="str">
        <f t="shared" si="5"/>
        <v/>
      </c>
    </row>
    <row r="363" spans="1:17" x14ac:dyDescent="0.3">
      <c r="A363" s="17">
        <v>10362</v>
      </c>
      <c r="B363" s="4">
        <v>5263</v>
      </c>
      <c r="C363" s="4" t="s">
        <v>16</v>
      </c>
      <c r="D363" s="5">
        <v>40260.03</v>
      </c>
      <c r="E363" s="4">
        <v>17</v>
      </c>
      <c r="F363" s="4" t="s">
        <v>13</v>
      </c>
      <c r="G363" s="6">
        <v>45361</v>
      </c>
      <c r="H363" s="5">
        <v>41625.599999999999</v>
      </c>
      <c r="I363" s="18" t="s">
        <v>17</v>
      </c>
      <c r="J363" s="14" t="s">
        <v>18</v>
      </c>
      <c r="K363" s="14">
        <v>930</v>
      </c>
      <c r="L363" s="15">
        <v>45397</v>
      </c>
      <c r="M363" s="16">
        <v>1</v>
      </c>
      <c r="N3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3" s="31">
        <f>IF(Table64[[#This Row],[date validity flag]]&lt;&gt;"Valid","",Table64[[#This Row],[shipment date ]]-Table64[[#This Row],[Order date]])</f>
        <v>36</v>
      </c>
      <c r="P363" s="27" t="str">
        <f>TEXT(Table64[[#This Row],[Order date]],"mmm-yyyy")</f>
        <v>Mar-2024</v>
      </c>
      <c r="Q363" s="16" t="str">
        <f t="shared" si="5"/>
        <v>Delayed</v>
      </c>
    </row>
    <row r="364" spans="1:17" x14ac:dyDescent="0.3">
      <c r="A364" s="12">
        <v>10363</v>
      </c>
      <c r="B364" s="1">
        <v>6788</v>
      </c>
      <c r="C364" s="1" t="s">
        <v>16</v>
      </c>
      <c r="D364" s="2">
        <v>82754.929999999993</v>
      </c>
      <c r="E364" s="1">
        <v>39</v>
      </c>
      <c r="F364" s="1" t="s">
        <v>13</v>
      </c>
      <c r="G364" s="3">
        <v>45383</v>
      </c>
      <c r="H364" s="2">
        <v>41094.07</v>
      </c>
      <c r="I364" s="13" t="s">
        <v>17</v>
      </c>
      <c r="J364" s="14" t="s">
        <v>15</v>
      </c>
      <c r="K364" s="14">
        <v>684</v>
      </c>
      <c r="L364" s="15">
        <v>45332</v>
      </c>
      <c r="M364" s="16">
        <v>14</v>
      </c>
      <c r="N36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64" s="31" t="str">
        <f>IF(Table64[[#This Row],[date validity flag]]&lt;&gt;"Valid","",Table64[[#This Row],[shipment date ]]-Table64[[#This Row],[Order date]])</f>
        <v/>
      </c>
      <c r="P364" s="27" t="str">
        <f>TEXT(Table64[[#This Row],[Order date]],"mmm-yyyy")</f>
        <v>Apr-2024</v>
      </c>
      <c r="Q364" s="16" t="str">
        <f t="shared" si="5"/>
        <v/>
      </c>
    </row>
    <row r="365" spans="1:17" x14ac:dyDescent="0.3">
      <c r="A365" s="17">
        <v>10364</v>
      </c>
      <c r="B365" s="4">
        <v>5144</v>
      </c>
      <c r="C365" s="4" t="s">
        <v>16</v>
      </c>
      <c r="D365" s="5">
        <v>70092.61</v>
      </c>
      <c r="E365" s="4">
        <v>9</v>
      </c>
      <c r="F365" s="4" t="s">
        <v>23</v>
      </c>
      <c r="G365" s="6">
        <v>45361</v>
      </c>
      <c r="H365" s="5">
        <v>115241.67</v>
      </c>
      <c r="I365" s="18" t="s">
        <v>20</v>
      </c>
      <c r="J365" s="14" t="s">
        <v>15</v>
      </c>
      <c r="K365" s="14">
        <v>303</v>
      </c>
      <c r="L365" s="15">
        <v>45361</v>
      </c>
      <c r="M365" s="16">
        <v>12</v>
      </c>
      <c r="N3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5" s="31">
        <f>IF(Table64[[#This Row],[date validity flag]]&lt;&gt;"Valid","",Table64[[#This Row],[shipment date ]]-Table64[[#This Row],[Order date]])</f>
        <v>0</v>
      </c>
      <c r="P365" s="27" t="str">
        <f>TEXT(Table64[[#This Row],[Order date]],"mmm-yyyy")</f>
        <v>Mar-2024</v>
      </c>
      <c r="Q365" s="16" t="str">
        <f t="shared" si="5"/>
        <v>On Time</v>
      </c>
    </row>
    <row r="366" spans="1:17" x14ac:dyDescent="0.3">
      <c r="A366" s="12">
        <v>10365</v>
      </c>
      <c r="B366" s="1">
        <v>5346</v>
      </c>
      <c r="C366" s="1" t="s">
        <v>16</v>
      </c>
      <c r="D366" s="2">
        <v>46536.72</v>
      </c>
      <c r="E366" s="1">
        <v>99</v>
      </c>
      <c r="F366" s="1" t="s">
        <v>22</v>
      </c>
      <c r="G366" s="3">
        <v>45306</v>
      </c>
      <c r="H366" s="2">
        <v>41579.24</v>
      </c>
      <c r="I366" s="13" t="s">
        <v>17</v>
      </c>
      <c r="J366" s="14" t="s">
        <v>18</v>
      </c>
      <c r="K366" s="14">
        <v>1187</v>
      </c>
      <c r="L366" s="15">
        <v>45397</v>
      </c>
      <c r="M366" s="16">
        <v>6</v>
      </c>
      <c r="N3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6" s="31">
        <f>IF(Table64[[#This Row],[date validity flag]]&lt;&gt;"Valid","",Table64[[#This Row],[shipment date ]]-Table64[[#This Row],[Order date]])</f>
        <v>91</v>
      </c>
      <c r="P366" s="27" t="str">
        <f>TEXT(Table64[[#This Row],[Order date]],"mmm-yyyy")</f>
        <v>Jan-2024</v>
      </c>
      <c r="Q366" s="16" t="str">
        <f t="shared" si="5"/>
        <v>Delayed</v>
      </c>
    </row>
    <row r="367" spans="1:17" x14ac:dyDescent="0.3">
      <c r="A367" s="17">
        <v>10366</v>
      </c>
      <c r="B367" s="4">
        <v>5624</v>
      </c>
      <c r="C367" s="4" t="s">
        <v>12</v>
      </c>
      <c r="D367" s="5">
        <v>37286.07</v>
      </c>
      <c r="E367" s="4">
        <v>77</v>
      </c>
      <c r="F367" s="4" t="s">
        <v>13</v>
      </c>
      <c r="G367" s="6">
        <v>45361</v>
      </c>
      <c r="H367" s="5">
        <v>13270.17</v>
      </c>
      <c r="I367" s="18" t="s">
        <v>17</v>
      </c>
      <c r="J367" s="14" t="s">
        <v>15</v>
      </c>
      <c r="K367" s="14">
        <v>69</v>
      </c>
      <c r="L367" s="15">
        <v>45397</v>
      </c>
      <c r="M367" s="16">
        <v>12</v>
      </c>
      <c r="N3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7" s="31">
        <f>IF(Table64[[#This Row],[date validity flag]]&lt;&gt;"Valid","",Table64[[#This Row],[shipment date ]]-Table64[[#This Row],[Order date]])</f>
        <v>36</v>
      </c>
      <c r="P367" s="27" t="str">
        <f>TEXT(Table64[[#This Row],[Order date]],"mmm-yyyy")</f>
        <v>Mar-2024</v>
      </c>
      <c r="Q367" s="16" t="str">
        <f t="shared" si="5"/>
        <v>Delayed</v>
      </c>
    </row>
    <row r="368" spans="1:17" x14ac:dyDescent="0.3">
      <c r="A368" s="12">
        <v>10367</v>
      </c>
      <c r="B368" s="1">
        <v>6017</v>
      </c>
      <c r="C368" s="1" t="s">
        <v>16</v>
      </c>
      <c r="D368" s="2">
        <v>54327.040000000001</v>
      </c>
      <c r="E368" s="1">
        <v>79</v>
      </c>
      <c r="F368" s="1" t="s">
        <v>22</v>
      </c>
      <c r="G368" s="3">
        <v>45361</v>
      </c>
      <c r="H368" s="2">
        <v>128754.61</v>
      </c>
      <c r="I368" s="13" t="s">
        <v>17</v>
      </c>
      <c r="J368" s="14" t="s">
        <v>18</v>
      </c>
      <c r="K368" s="14">
        <v>577</v>
      </c>
      <c r="L368" s="15">
        <v>45332</v>
      </c>
      <c r="M368" s="16">
        <v>12</v>
      </c>
      <c r="N36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68" s="31" t="str">
        <f>IF(Table64[[#This Row],[date validity flag]]&lt;&gt;"Valid","",Table64[[#This Row],[shipment date ]]-Table64[[#This Row],[Order date]])</f>
        <v/>
      </c>
      <c r="P368" s="27" t="str">
        <f>TEXT(Table64[[#This Row],[Order date]],"mmm-yyyy")</f>
        <v>Mar-2024</v>
      </c>
      <c r="Q368" s="16" t="str">
        <f t="shared" si="5"/>
        <v/>
      </c>
    </row>
    <row r="369" spans="1:17" x14ac:dyDescent="0.3">
      <c r="A369" s="17">
        <v>10368</v>
      </c>
      <c r="B369" s="4">
        <v>6596</v>
      </c>
      <c r="C369" s="4" t="s">
        <v>12</v>
      </c>
      <c r="D369" s="5">
        <v>87845.29</v>
      </c>
      <c r="E369" s="4">
        <v>82</v>
      </c>
      <c r="F369" s="4" t="s">
        <v>13</v>
      </c>
      <c r="G369" s="6">
        <v>45383</v>
      </c>
      <c r="H369" s="5">
        <v>51754.239999999998</v>
      </c>
      <c r="I369" s="18" t="s">
        <v>14</v>
      </c>
      <c r="J369" s="14" t="s">
        <v>19</v>
      </c>
      <c r="K369" s="14">
        <v>1218</v>
      </c>
      <c r="L369" s="15">
        <v>45397</v>
      </c>
      <c r="M369" s="16">
        <v>13</v>
      </c>
      <c r="N3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69" s="31">
        <f>IF(Table64[[#This Row],[date validity flag]]&lt;&gt;"Valid","",Table64[[#This Row],[shipment date ]]-Table64[[#This Row],[Order date]])</f>
        <v>14</v>
      </c>
      <c r="P369" s="27" t="str">
        <f>TEXT(Table64[[#This Row],[Order date]],"mmm-yyyy")</f>
        <v>Apr-2024</v>
      </c>
      <c r="Q369" s="16" t="str">
        <f t="shared" si="5"/>
        <v>Delayed</v>
      </c>
    </row>
    <row r="370" spans="1:17" x14ac:dyDescent="0.3">
      <c r="A370" s="12">
        <v>10369</v>
      </c>
      <c r="B370" s="1">
        <v>5881</v>
      </c>
      <c r="C370" s="1" t="s">
        <v>12</v>
      </c>
      <c r="D370" s="2">
        <v>33500.54</v>
      </c>
      <c r="E370" s="1">
        <v>97</v>
      </c>
      <c r="F370" s="1" t="s">
        <v>21</v>
      </c>
      <c r="G370" s="3">
        <v>45383</v>
      </c>
      <c r="H370" s="2">
        <v>22931.77</v>
      </c>
      <c r="I370" s="13" t="s">
        <v>17</v>
      </c>
      <c r="J370" s="14" t="s">
        <v>15</v>
      </c>
      <c r="K370" s="14">
        <v>1281</v>
      </c>
      <c r="L370" s="15">
        <v>45397</v>
      </c>
      <c r="M370" s="16">
        <v>9</v>
      </c>
      <c r="N3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70" s="31">
        <f>IF(Table64[[#This Row],[date validity flag]]&lt;&gt;"Valid","",Table64[[#This Row],[shipment date ]]-Table64[[#This Row],[Order date]])</f>
        <v>14</v>
      </c>
      <c r="P370" s="27" t="str">
        <f>TEXT(Table64[[#This Row],[Order date]],"mmm-yyyy")</f>
        <v>Apr-2024</v>
      </c>
      <c r="Q370" s="16" t="str">
        <f t="shared" si="5"/>
        <v>Delayed</v>
      </c>
    </row>
    <row r="371" spans="1:17" x14ac:dyDescent="0.3">
      <c r="A371" s="17">
        <v>10370</v>
      </c>
      <c r="B371" s="4">
        <v>5002</v>
      </c>
      <c r="C371" s="4" t="s">
        <v>16</v>
      </c>
      <c r="D371" s="5">
        <v>31715.87</v>
      </c>
      <c r="E371" s="4">
        <v>6</v>
      </c>
      <c r="F371" s="4" t="s">
        <v>13</v>
      </c>
      <c r="G371" s="6">
        <v>45361</v>
      </c>
      <c r="H371" s="5">
        <v>26110.82</v>
      </c>
      <c r="I371" s="18" t="s">
        <v>17</v>
      </c>
      <c r="J371" s="14" t="s">
        <v>19</v>
      </c>
      <c r="K371" s="14">
        <v>425</v>
      </c>
      <c r="L371" s="15">
        <v>45332</v>
      </c>
      <c r="M371" s="16">
        <v>12</v>
      </c>
      <c r="N37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71" s="31" t="str">
        <f>IF(Table64[[#This Row],[date validity flag]]&lt;&gt;"Valid","",Table64[[#This Row],[shipment date ]]-Table64[[#This Row],[Order date]])</f>
        <v/>
      </c>
      <c r="P371" s="27" t="str">
        <f>TEXT(Table64[[#This Row],[Order date]],"mmm-yyyy")</f>
        <v>Mar-2024</v>
      </c>
      <c r="Q371" s="16" t="str">
        <f t="shared" si="5"/>
        <v/>
      </c>
    </row>
    <row r="372" spans="1:17" x14ac:dyDescent="0.3">
      <c r="A372" s="12">
        <v>10371</v>
      </c>
      <c r="B372" s="1">
        <v>5897</v>
      </c>
      <c r="C372" s="1" t="s">
        <v>16</v>
      </c>
      <c r="D372" s="2">
        <v>42479.29</v>
      </c>
      <c r="E372" s="1">
        <v>91</v>
      </c>
      <c r="F372" s="1" t="s">
        <v>23</v>
      </c>
      <c r="G372" s="3">
        <v>45383</v>
      </c>
      <c r="H372" s="2">
        <v>19346.8</v>
      </c>
      <c r="I372" s="13" t="s">
        <v>14</v>
      </c>
      <c r="J372" s="14" t="s">
        <v>19</v>
      </c>
      <c r="K372" s="14">
        <v>215</v>
      </c>
      <c r="L372" s="15">
        <v>45397</v>
      </c>
      <c r="M372" s="16">
        <v>3</v>
      </c>
      <c r="N3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72" s="31">
        <f>IF(Table64[[#This Row],[date validity flag]]&lt;&gt;"Valid","",Table64[[#This Row],[shipment date ]]-Table64[[#This Row],[Order date]])</f>
        <v>14</v>
      </c>
      <c r="P372" s="27" t="str">
        <f>TEXT(Table64[[#This Row],[Order date]],"mmm-yyyy")</f>
        <v>Apr-2024</v>
      </c>
      <c r="Q372" s="16" t="str">
        <f t="shared" si="5"/>
        <v>Delayed</v>
      </c>
    </row>
    <row r="373" spans="1:17" x14ac:dyDescent="0.3">
      <c r="A373" s="17">
        <v>10372</v>
      </c>
      <c r="B373" s="4">
        <v>6328</v>
      </c>
      <c r="C373" s="4" t="s">
        <v>16</v>
      </c>
      <c r="D373" s="5">
        <v>31902.53</v>
      </c>
      <c r="E373" s="4">
        <v>23</v>
      </c>
      <c r="F373" s="4" t="s">
        <v>23</v>
      </c>
      <c r="G373" s="6">
        <v>45337</v>
      </c>
      <c r="H373" s="5">
        <v>134710.85</v>
      </c>
      <c r="I373" s="18" t="s">
        <v>20</v>
      </c>
      <c r="J373" s="14" t="s">
        <v>19</v>
      </c>
      <c r="K373" s="14">
        <v>1254</v>
      </c>
      <c r="L373" s="15">
        <v>45332</v>
      </c>
      <c r="M373" s="16">
        <v>14</v>
      </c>
      <c r="N37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73" s="31" t="str">
        <f>IF(Table64[[#This Row],[date validity flag]]&lt;&gt;"Valid","",Table64[[#This Row],[shipment date ]]-Table64[[#This Row],[Order date]])</f>
        <v/>
      </c>
      <c r="P373" s="27" t="str">
        <f>TEXT(Table64[[#This Row],[Order date]],"mmm-yyyy")</f>
        <v>Feb-2024</v>
      </c>
      <c r="Q373" s="16" t="str">
        <f t="shared" si="5"/>
        <v/>
      </c>
    </row>
    <row r="374" spans="1:17" x14ac:dyDescent="0.3">
      <c r="A374" s="12">
        <v>10373</v>
      </c>
      <c r="B374" s="1">
        <v>5254</v>
      </c>
      <c r="C374" s="1" t="s">
        <v>16</v>
      </c>
      <c r="D374" s="2">
        <v>73884.39</v>
      </c>
      <c r="E374" s="1">
        <v>59</v>
      </c>
      <c r="F374" s="1" t="s">
        <v>22</v>
      </c>
      <c r="G374" s="3">
        <v>45383</v>
      </c>
      <c r="H374" s="2">
        <v>99533.64</v>
      </c>
      <c r="I374" s="13" t="s">
        <v>17</v>
      </c>
      <c r="J374" s="14" t="s">
        <v>18</v>
      </c>
      <c r="K374" s="14">
        <v>910</v>
      </c>
      <c r="L374" s="15">
        <v>45332</v>
      </c>
      <c r="M374" s="16">
        <v>7</v>
      </c>
      <c r="N37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74" s="31" t="str">
        <f>IF(Table64[[#This Row],[date validity flag]]&lt;&gt;"Valid","",Table64[[#This Row],[shipment date ]]-Table64[[#This Row],[Order date]])</f>
        <v/>
      </c>
      <c r="P374" s="27" t="str">
        <f>TEXT(Table64[[#This Row],[Order date]],"mmm-yyyy")</f>
        <v>Apr-2024</v>
      </c>
      <c r="Q374" s="16" t="str">
        <f t="shared" si="5"/>
        <v/>
      </c>
    </row>
    <row r="375" spans="1:17" x14ac:dyDescent="0.3">
      <c r="A375" s="17">
        <v>10374</v>
      </c>
      <c r="B375" s="4">
        <v>6676</v>
      </c>
      <c r="C375" s="4" t="s">
        <v>16</v>
      </c>
      <c r="D375" s="5">
        <v>19805.830000000002</v>
      </c>
      <c r="E375" s="4">
        <v>91</v>
      </c>
      <c r="F375" s="4" t="s">
        <v>13</v>
      </c>
      <c r="G375" s="6">
        <v>45383</v>
      </c>
      <c r="H375" s="5">
        <v>122259.51</v>
      </c>
      <c r="I375" s="18" t="s">
        <v>14</v>
      </c>
      <c r="J375" s="14" t="s">
        <v>19</v>
      </c>
      <c r="K375" s="14">
        <v>666</v>
      </c>
      <c r="L375" s="15">
        <v>45332</v>
      </c>
      <c r="M375" s="16">
        <v>13</v>
      </c>
      <c r="N3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75" s="31" t="str">
        <f>IF(Table64[[#This Row],[date validity flag]]&lt;&gt;"Valid","",Table64[[#This Row],[shipment date ]]-Table64[[#This Row],[Order date]])</f>
        <v/>
      </c>
      <c r="P375" s="27" t="str">
        <f>TEXT(Table64[[#This Row],[Order date]],"mmm-yyyy")</f>
        <v>Apr-2024</v>
      </c>
      <c r="Q375" s="16" t="str">
        <f t="shared" si="5"/>
        <v/>
      </c>
    </row>
    <row r="376" spans="1:17" x14ac:dyDescent="0.3">
      <c r="A376" s="12">
        <v>10375</v>
      </c>
      <c r="B376" s="1">
        <v>5453</v>
      </c>
      <c r="C376" s="1" t="s">
        <v>16</v>
      </c>
      <c r="D376" s="2">
        <v>75389.61</v>
      </c>
      <c r="E376" s="1">
        <v>98</v>
      </c>
      <c r="F376" s="1" t="s">
        <v>22</v>
      </c>
      <c r="G376" s="3">
        <v>45383</v>
      </c>
      <c r="H376" s="2">
        <v>148593.94</v>
      </c>
      <c r="I376" s="13" t="s">
        <v>17</v>
      </c>
      <c r="J376" s="14" t="s">
        <v>19</v>
      </c>
      <c r="K376" s="14">
        <v>661</v>
      </c>
      <c r="L376" s="15">
        <v>45332</v>
      </c>
      <c r="M376" s="16">
        <v>6</v>
      </c>
      <c r="N37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76" s="31" t="str">
        <f>IF(Table64[[#This Row],[date validity flag]]&lt;&gt;"Valid","",Table64[[#This Row],[shipment date ]]-Table64[[#This Row],[Order date]])</f>
        <v/>
      </c>
      <c r="P376" s="27" t="str">
        <f>TEXT(Table64[[#This Row],[Order date]],"mmm-yyyy")</f>
        <v>Apr-2024</v>
      </c>
      <c r="Q376" s="16" t="str">
        <f t="shared" si="5"/>
        <v/>
      </c>
    </row>
    <row r="377" spans="1:17" x14ac:dyDescent="0.3">
      <c r="A377" s="17">
        <v>10376</v>
      </c>
      <c r="B377" s="4">
        <v>6061</v>
      </c>
      <c r="C377" s="4" t="s">
        <v>16</v>
      </c>
      <c r="D377" s="5">
        <v>46836.1</v>
      </c>
      <c r="E377" s="4">
        <v>46</v>
      </c>
      <c r="F377" s="4" t="s">
        <v>22</v>
      </c>
      <c r="G377" s="6">
        <v>45383</v>
      </c>
      <c r="H377" s="5">
        <v>48117.120000000003</v>
      </c>
      <c r="I377" s="18" t="s">
        <v>17</v>
      </c>
      <c r="J377" s="14" t="s">
        <v>19</v>
      </c>
      <c r="K377" s="14">
        <v>1405</v>
      </c>
      <c r="L377" s="15">
        <v>45332</v>
      </c>
      <c r="M377" s="16">
        <v>8</v>
      </c>
      <c r="N37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77" s="31" t="str">
        <f>IF(Table64[[#This Row],[date validity flag]]&lt;&gt;"Valid","",Table64[[#This Row],[shipment date ]]-Table64[[#This Row],[Order date]])</f>
        <v/>
      </c>
      <c r="P377" s="27" t="str">
        <f>TEXT(Table64[[#This Row],[Order date]],"mmm-yyyy")</f>
        <v>Apr-2024</v>
      </c>
      <c r="Q377" s="16" t="str">
        <f t="shared" si="5"/>
        <v/>
      </c>
    </row>
    <row r="378" spans="1:17" x14ac:dyDescent="0.3">
      <c r="A378" s="12">
        <v>10377</v>
      </c>
      <c r="B378" s="1">
        <v>6184</v>
      </c>
      <c r="C378" s="1" t="s">
        <v>12</v>
      </c>
      <c r="D378" s="2">
        <v>46447.62</v>
      </c>
      <c r="E378" s="1">
        <v>38</v>
      </c>
      <c r="F378" s="1" t="s">
        <v>21</v>
      </c>
      <c r="G378" s="3">
        <v>45306</v>
      </c>
      <c r="H378" s="2">
        <v>147549.09</v>
      </c>
      <c r="I378" s="13" t="s">
        <v>17</v>
      </c>
      <c r="J378" s="14" t="s">
        <v>18</v>
      </c>
      <c r="K378" s="14">
        <v>552</v>
      </c>
      <c r="L378" s="15">
        <v>45361</v>
      </c>
      <c r="M378" s="16">
        <v>3</v>
      </c>
      <c r="N3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78" s="31">
        <f>IF(Table64[[#This Row],[date validity flag]]&lt;&gt;"Valid","",Table64[[#This Row],[shipment date ]]-Table64[[#This Row],[Order date]])</f>
        <v>55</v>
      </c>
      <c r="P378" s="27" t="str">
        <f>TEXT(Table64[[#This Row],[Order date]],"mmm-yyyy")</f>
        <v>Jan-2024</v>
      </c>
      <c r="Q378" s="16" t="str">
        <f t="shared" si="5"/>
        <v>Delayed</v>
      </c>
    </row>
    <row r="379" spans="1:17" x14ac:dyDescent="0.3">
      <c r="A379" s="17">
        <v>10378</v>
      </c>
      <c r="B379" s="4">
        <v>6015</v>
      </c>
      <c r="C379" s="4" t="s">
        <v>16</v>
      </c>
      <c r="D379" s="5">
        <v>53530.55</v>
      </c>
      <c r="E379" s="4">
        <v>14</v>
      </c>
      <c r="F379" s="4" t="s">
        <v>21</v>
      </c>
      <c r="G379" s="6">
        <v>45306</v>
      </c>
      <c r="H379" s="5">
        <v>98096.97</v>
      </c>
      <c r="I379" s="18" t="s">
        <v>20</v>
      </c>
      <c r="J379" s="14" t="s">
        <v>19</v>
      </c>
      <c r="K379" s="14">
        <v>962</v>
      </c>
      <c r="L379" s="15">
        <v>45361</v>
      </c>
      <c r="M379" s="16">
        <v>3</v>
      </c>
      <c r="N3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79" s="31">
        <f>IF(Table64[[#This Row],[date validity flag]]&lt;&gt;"Valid","",Table64[[#This Row],[shipment date ]]-Table64[[#This Row],[Order date]])</f>
        <v>55</v>
      </c>
      <c r="P379" s="27" t="str">
        <f>TEXT(Table64[[#This Row],[Order date]],"mmm-yyyy")</f>
        <v>Jan-2024</v>
      </c>
      <c r="Q379" s="16" t="str">
        <f t="shared" si="5"/>
        <v>Delayed</v>
      </c>
    </row>
    <row r="380" spans="1:17" x14ac:dyDescent="0.3">
      <c r="A380" s="12">
        <v>10379</v>
      </c>
      <c r="B380" s="1">
        <v>5009</v>
      </c>
      <c r="C380" s="1" t="s">
        <v>16</v>
      </c>
      <c r="D380" s="2">
        <v>56134.69</v>
      </c>
      <c r="E380" s="1">
        <v>72</v>
      </c>
      <c r="F380" s="1" t="s">
        <v>23</v>
      </c>
      <c r="G380" s="3">
        <v>45306</v>
      </c>
      <c r="H380" s="2">
        <v>32185.43</v>
      </c>
      <c r="I380" s="13" t="s">
        <v>17</v>
      </c>
      <c r="J380" s="14" t="s">
        <v>19</v>
      </c>
      <c r="K380" s="14">
        <v>128</v>
      </c>
      <c r="L380" s="15">
        <v>45332</v>
      </c>
      <c r="M380" s="16">
        <v>4</v>
      </c>
      <c r="N3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0" s="31">
        <f>IF(Table64[[#This Row],[date validity flag]]&lt;&gt;"Valid","",Table64[[#This Row],[shipment date ]]-Table64[[#This Row],[Order date]])</f>
        <v>26</v>
      </c>
      <c r="P380" s="27" t="str">
        <f>TEXT(Table64[[#This Row],[Order date]],"mmm-yyyy")</f>
        <v>Jan-2024</v>
      </c>
      <c r="Q380" s="16" t="str">
        <f t="shared" si="5"/>
        <v>Delayed</v>
      </c>
    </row>
    <row r="381" spans="1:17" x14ac:dyDescent="0.3">
      <c r="A381" s="17">
        <v>10380</v>
      </c>
      <c r="B381" s="4">
        <v>6257</v>
      </c>
      <c r="C381" s="4" t="s">
        <v>16</v>
      </c>
      <c r="D381" s="5">
        <v>99496.15</v>
      </c>
      <c r="E381" s="4">
        <v>62</v>
      </c>
      <c r="F381" s="4" t="s">
        <v>22</v>
      </c>
      <c r="G381" s="6">
        <v>45361</v>
      </c>
      <c r="H381" s="5">
        <v>110328.68</v>
      </c>
      <c r="I381" s="18" t="s">
        <v>14</v>
      </c>
      <c r="J381" s="14" t="s">
        <v>15</v>
      </c>
      <c r="K381" s="14">
        <v>634</v>
      </c>
      <c r="L381" s="15">
        <v>45361</v>
      </c>
      <c r="M381" s="16">
        <v>3</v>
      </c>
      <c r="N3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1" s="31">
        <f>IF(Table64[[#This Row],[date validity flag]]&lt;&gt;"Valid","",Table64[[#This Row],[shipment date ]]-Table64[[#This Row],[Order date]])</f>
        <v>0</v>
      </c>
      <c r="P381" s="27" t="str">
        <f>TEXT(Table64[[#This Row],[Order date]],"mmm-yyyy")</f>
        <v>Mar-2024</v>
      </c>
      <c r="Q381" s="16" t="str">
        <f t="shared" si="5"/>
        <v>On Time</v>
      </c>
    </row>
    <row r="382" spans="1:17" x14ac:dyDescent="0.3">
      <c r="A382" s="12">
        <v>10381</v>
      </c>
      <c r="B382" s="1">
        <v>6123</v>
      </c>
      <c r="C382" s="1" t="s">
        <v>12</v>
      </c>
      <c r="D382" s="2">
        <v>25385.61</v>
      </c>
      <c r="E382" s="1">
        <v>35</v>
      </c>
      <c r="F382" s="1" t="s">
        <v>23</v>
      </c>
      <c r="G382" s="3">
        <v>45361</v>
      </c>
      <c r="H382" s="2">
        <v>115031.5</v>
      </c>
      <c r="I382" s="13" t="s">
        <v>20</v>
      </c>
      <c r="J382" s="14" t="s">
        <v>18</v>
      </c>
      <c r="K382" s="14">
        <v>737</v>
      </c>
      <c r="L382" s="15">
        <v>45361</v>
      </c>
      <c r="M382" s="16">
        <v>9</v>
      </c>
      <c r="N3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2" s="31">
        <f>IF(Table64[[#This Row],[date validity flag]]&lt;&gt;"Valid","",Table64[[#This Row],[shipment date ]]-Table64[[#This Row],[Order date]])</f>
        <v>0</v>
      </c>
      <c r="P382" s="27" t="str">
        <f>TEXT(Table64[[#This Row],[Order date]],"mmm-yyyy")</f>
        <v>Mar-2024</v>
      </c>
      <c r="Q382" s="16" t="str">
        <f t="shared" si="5"/>
        <v>On Time</v>
      </c>
    </row>
    <row r="383" spans="1:17" x14ac:dyDescent="0.3">
      <c r="A383" s="17">
        <v>10382</v>
      </c>
      <c r="B383" s="4">
        <v>6683</v>
      </c>
      <c r="C383" s="4" t="s">
        <v>16</v>
      </c>
      <c r="D383" s="5">
        <v>36884.9</v>
      </c>
      <c r="E383" s="4">
        <v>19</v>
      </c>
      <c r="F383" s="4" t="s">
        <v>13</v>
      </c>
      <c r="G383" s="6">
        <v>45337</v>
      </c>
      <c r="H383" s="5">
        <v>79140.69</v>
      </c>
      <c r="I383" s="18" t="s">
        <v>17</v>
      </c>
      <c r="J383" s="14" t="s">
        <v>19</v>
      </c>
      <c r="K383" s="14">
        <v>445</v>
      </c>
      <c r="L383" s="15">
        <v>45397</v>
      </c>
      <c r="M383" s="16">
        <v>11</v>
      </c>
      <c r="N3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3" s="31">
        <f>IF(Table64[[#This Row],[date validity flag]]&lt;&gt;"Valid","",Table64[[#This Row],[shipment date ]]-Table64[[#This Row],[Order date]])</f>
        <v>60</v>
      </c>
      <c r="P383" s="27" t="str">
        <f>TEXT(Table64[[#This Row],[Order date]],"mmm-yyyy")</f>
        <v>Feb-2024</v>
      </c>
      <c r="Q383" s="16" t="str">
        <f t="shared" si="5"/>
        <v>Delayed</v>
      </c>
    </row>
    <row r="384" spans="1:17" x14ac:dyDescent="0.3">
      <c r="A384" s="12">
        <v>10383</v>
      </c>
      <c r="B384" s="1">
        <v>5816</v>
      </c>
      <c r="C384" s="1" t="s">
        <v>16</v>
      </c>
      <c r="D384" s="2">
        <v>82503.86</v>
      </c>
      <c r="E384" s="1">
        <v>30</v>
      </c>
      <c r="F384" s="1" t="s">
        <v>22</v>
      </c>
      <c r="G384" s="3">
        <v>45306</v>
      </c>
      <c r="H384" s="2">
        <v>148274.92000000001</v>
      </c>
      <c r="I384" s="13" t="s">
        <v>20</v>
      </c>
      <c r="J384" s="14" t="s">
        <v>15</v>
      </c>
      <c r="K384" s="14">
        <v>1176</v>
      </c>
      <c r="L384" s="15">
        <v>45332</v>
      </c>
      <c r="M384" s="16">
        <v>4</v>
      </c>
      <c r="N3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4" s="31">
        <f>IF(Table64[[#This Row],[date validity flag]]&lt;&gt;"Valid","",Table64[[#This Row],[shipment date ]]-Table64[[#This Row],[Order date]])</f>
        <v>26</v>
      </c>
      <c r="P384" s="27" t="str">
        <f>TEXT(Table64[[#This Row],[Order date]],"mmm-yyyy")</f>
        <v>Jan-2024</v>
      </c>
      <c r="Q384" s="16" t="str">
        <f t="shared" si="5"/>
        <v>Delayed</v>
      </c>
    </row>
    <row r="385" spans="1:17" x14ac:dyDescent="0.3">
      <c r="A385" s="17">
        <v>10384</v>
      </c>
      <c r="B385" s="4">
        <v>5208</v>
      </c>
      <c r="C385" s="4" t="s">
        <v>16</v>
      </c>
      <c r="D385" s="5">
        <v>75345.509999999995</v>
      </c>
      <c r="E385" s="4">
        <v>78</v>
      </c>
      <c r="F385" s="4" t="s">
        <v>22</v>
      </c>
      <c r="G385" s="6">
        <v>45361</v>
      </c>
      <c r="H385" s="5">
        <v>120489.06</v>
      </c>
      <c r="I385" s="18" t="s">
        <v>14</v>
      </c>
      <c r="J385" s="14" t="s">
        <v>18</v>
      </c>
      <c r="K385" s="14">
        <v>451</v>
      </c>
      <c r="L385" s="15">
        <v>45361</v>
      </c>
      <c r="M385" s="16">
        <v>6</v>
      </c>
      <c r="N3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5" s="31">
        <f>IF(Table64[[#This Row],[date validity flag]]&lt;&gt;"Valid","",Table64[[#This Row],[shipment date ]]-Table64[[#This Row],[Order date]])</f>
        <v>0</v>
      </c>
      <c r="P385" s="27" t="str">
        <f>TEXT(Table64[[#This Row],[Order date]],"mmm-yyyy")</f>
        <v>Mar-2024</v>
      </c>
      <c r="Q385" s="16" t="str">
        <f t="shared" si="5"/>
        <v>On Time</v>
      </c>
    </row>
    <row r="386" spans="1:17" x14ac:dyDescent="0.3">
      <c r="A386" s="12">
        <v>10385</v>
      </c>
      <c r="B386" s="1">
        <v>6155</v>
      </c>
      <c r="C386" s="1" t="s">
        <v>12</v>
      </c>
      <c r="D386" s="2">
        <v>73829.13</v>
      </c>
      <c r="E386" s="1">
        <v>84</v>
      </c>
      <c r="F386" s="1" t="s">
        <v>13</v>
      </c>
      <c r="G386" s="3">
        <v>45383</v>
      </c>
      <c r="H386" s="2">
        <v>122309.72</v>
      </c>
      <c r="I386" s="13" t="s">
        <v>20</v>
      </c>
      <c r="J386" s="14" t="s">
        <v>18</v>
      </c>
      <c r="K386" s="14">
        <v>1024</v>
      </c>
      <c r="L386" s="15">
        <v>45397</v>
      </c>
      <c r="M386" s="16">
        <v>8</v>
      </c>
      <c r="N38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6" s="31">
        <f>IF(Table64[[#This Row],[date validity flag]]&lt;&gt;"Valid","",Table64[[#This Row],[shipment date ]]-Table64[[#This Row],[Order date]])</f>
        <v>14</v>
      </c>
      <c r="P386" s="27" t="str">
        <f>TEXT(Table64[[#This Row],[Order date]],"mmm-yyyy")</f>
        <v>Apr-2024</v>
      </c>
      <c r="Q386" s="16" t="str">
        <f t="shared" ref="Q386:Q449" si="6">IF(O386="","",IF(O386&gt;0,"Delayed","On Time"))</f>
        <v>Delayed</v>
      </c>
    </row>
    <row r="387" spans="1:17" x14ac:dyDescent="0.3">
      <c r="A387" s="17">
        <v>10386</v>
      </c>
      <c r="B387" s="4">
        <v>5404</v>
      </c>
      <c r="C387" s="4" t="s">
        <v>16</v>
      </c>
      <c r="D387" s="5">
        <v>81586.09</v>
      </c>
      <c r="E387" s="4">
        <v>25</v>
      </c>
      <c r="F387" s="4" t="s">
        <v>13</v>
      </c>
      <c r="G387" s="6">
        <v>45383</v>
      </c>
      <c r="H387" s="5">
        <v>94092.71</v>
      </c>
      <c r="I387" s="18" t="s">
        <v>20</v>
      </c>
      <c r="J387" s="14" t="s">
        <v>18</v>
      </c>
      <c r="K387" s="14">
        <v>273</v>
      </c>
      <c r="L387" s="15">
        <v>45397</v>
      </c>
      <c r="M387" s="16">
        <v>11</v>
      </c>
      <c r="N3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7" s="31">
        <f>IF(Table64[[#This Row],[date validity flag]]&lt;&gt;"Valid","",Table64[[#This Row],[shipment date ]]-Table64[[#This Row],[Order date]])</f>
        <v>14</v>
      </c>
      <c r="P387" s="27" t="str">
        <f>TEXT(Table64[[#This Row],[Order date]],"mmm-yyyy")</f>
        <v>Apr-2024</v>
      </c>
      <c r="Q387" s="16" t="str">
        <f t="shared" si="6"/>
        <v>Delayed</v>
      </c>
    </row>
    <row r="388" spans="1:17" x14ac:dyDescent="0.3">
      <c r="A388" s="12">
        <v>10387</v>
      </c>
      <c r="B388" s="1">
        <v>5152</v>
      </c>
      <c r="C388" s="1" t="s">
        <v>16</v>
      </c>
      <c r="D388" s="2">
        <v>64946.82</v>
      </c>
      <c r="E388" s="1">
        <v>40</v>
      </c>
      <c r="F388" s="1" t="s">
        <v>23</v>
      </c>
      <c r="G388" s="3">
        <v>45306</v>
      </c>
      <c r="H388" s="2">
        <v>93351.34</v>
      </c>
      <c r="I388" s="13" t="s">
        <v>20</v>
      </c>
      <c r="J388" s="14" t="s">
        <v>18</v>
      </c>
      <c r="K388" s="14">
        <v>567</v>
      </c>
      <c r="L388" s="15">
        <v>45332</v>
      </c>
      <c r="M388" s="16">
        <v>13</v>
      </c>
      <c r="N3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88" s="31">
        <f>IF(Table64[[#This Row],[date validity flag]]&lt;&gt;"Valid","",Table64[[#This Row],[shipment date ]]-Table64[[#This Row],[Order date]])</f>
        <v>26</v>
      </c>
      <c r="P388" s="27" t="str">
        <f>TEXT(Table64[[#This Row],[Order date]],"mmm-yyyy")</f>
        <v>Jan-2024</v>
      </c>
      <c r="Q388" s="16" t="str">
        <f t="shared" si="6"/>
        <v>Delayed</v>
      </c>
    </row>
    <row r="389" spans="1:17" x14ac:dyDescent="0.3">
      <c r="A389" s="17">
        <v>10388</v>
      </c>
      <c r="B389" s="4">
        <v>5054</v>
      </c>
      <c r="C389" s="4" t="s">
        <v>12</v>
      </c>
      <c r="D389" s="5">
        <v>25548.06</v>
      </c>
      <c r="E389" s="4">
        <v>88</v>
      </c>
      <c r="F389" s="4" t="s">
        <v>23</v>
      </c>
      <c r="G389" s="6">
        <v>45337</v>
      </c>
      <c r="H389" s="5">
        <v>71817.41</v>
      </c>
      <c r="I389" s="18" t="s">
        <v>17</v>
      </c>
      <c r="J389" s="14" t="s">
        <v>18</v>
      </c>
      <c r="K389" s="14">
        <v>683</v>
      </c>
      <c r="L389" s="15">
        <v>45332</v>
      </c>
      <c r="M389" s="16">
        <v>8</v>
      </c>
      <c r="N38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89" s="31" t="str">
        <f>IF(Table64[[#This Row],[date validity flag]]&lt;&gt;"Valid","",Table64[[#This Row],[shipment date ]]-Table64[[#This Row],[Order date]])</f>
        <v/>
      </c>
      <c r="P389" s="27" t="str">
        <f>TEXT(Table64[[#This Row],[Order date]],"mmm-yyyy")</f>
        <v>Feb-2024</v>
      </c>
      <c r="Q389" s="16" t="str">
        <f t="shared" si="6"/>
        <v/>
      </c>
    </row>
    <row r="390" spans="1:17" x14ac:dyDescent="0.3">
      <c r="A390" s="12">
        <v>10389</v>
      </c>
      <c r="B390" s="1">
        <v>6144</v>
      </c>
      <c r="C390" s="1" t="s">
        <v>16</v>
      </c>
      <c r="D390" s="2">
        <v>68264.58</v>
      </c>
      <c r="E390" s="1">
        <v>14</v>
      </c>
      <c r="F390" s="1" t="s">
        <v>13</v>
      </c>
      <c r="G390" s="3">
        <v>45337</v>
      </c>
      <c r="H390" s="2">
        <v>142385.65</v>
      </c>
      <c r="I390" s="13" t="s">
        <v>14</v>
      </c>
      <c r="J390" s="14" t="s">
        <v>18</v>
      </c>
      <c r="K390" s="14">
        <v>285</v>
      </c>
      <c r="L390" s="15">
        <v>45397</v>
      </c>
      <c r="M390" s="16">
        <v>5</v>
      </c>
      <c r="N3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90" s="31">
        <f>IF(Table64[[#This Row],[date validity flag]]&lt;&gt;"Valid","",Table64[[#This Row],[shipment date ]]-Table64[[#This Row],[Order date]])</f>
        <v>60</v>
      </c>
      <c r="P390" s="27" t="str">
        <f>TEXT(Table64[[#This Row],[Order date]],"mmm-yyyy")</f>
        <v>Feb-2024</v>
      </c>
      <c r="Q390" s="16" t="str">
        <f t="shared" si="6"/>
        <v>Delayed</v>
      </c>
    </row>
    <row r="391" spans="1:17" x14ac:dyDescent="0.3">
      <c r="A391" s="17">
        <v>10390</v>
      </c>
      <c r="B391" s="4">
        <v>6697</v>
      </c>
      <c r="C391" s="4" t="s">
        <v>16</v>
      </c>
      <c r="D391" s="5">
        <v>62250.33</v>
      </c>
      <c r="E391" s="4">
        <v>26</v>
      </c>
      <c r="F391" s="4" t="s">
        <v>23</v>
      </c>
      <c r="G391" s="6">
        <v>45383</v>
      </c>
      <c r="H391" s="5">
        <v>139067.57999999999</v>
      </c>
      <c r="I391" s="18" t="s">
        <v>17</v>
      </c>
      <c r="J391" s="14" t="s">
        <v>19</v>
      </c>
      <c r="K391" s="14">
        <v>165</v>
      </c>
      <c r="L391" s="15">
        <v>45332</v>
      </c>
      <c r="M391" s="16">
        <v>5</v>
      </c>
      <c r="N39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91" s="31" t="str">
        <f>IF(Table64[[#This Row],[date validity flag]]&lt;&gt;"Valid","",Table64[[#This Row],[shipment date ]]-Table64[[#This Row],[Order date]])</f>
        <v/>
      </c>
      <c r="P391" s="27" t="str">
        <f>TEXT(Table64[[#This Row],[Order date]],"mmm-yyyy")</f>
        <v>Apr-2024</v>
      </c>
      <c r="Q391" s="16" t="str">
        <f t="shared" si="6"/>
        <v/>
      </c>
    </row>
    <row r="392" spans="1:17" x14ac:dyDescent="0.3">
      <c r="A392" s="12">
        <v>10391</v>
      </c>
      <c r="B392" s="1">
        <v>6944</v>
      </c>
      <c r="C392" s="1" t="s">
        <v>16</v>
      </c>
      <c r="D392" s="2">
        <v>68308.86</v>
      </c>
      <c r="E392" s="1">
        <v>87</v>
      </c>
      <c r="F392" s="1" t="s">
        <v>13</v>
      </c>
      <c r="G392" s="3">
        <v>45337</v>
      </c>
      <c r="H392" s="2">
        <v>51810.2</v>
      </c>
      <c r="I392" s="13" t="s">
        <v>17</v>
      </c>
      <c r="J392" s="14" t="s">
        <v>19</v>
      </c>
      <c r="K392" s="14">
        <v>1236</v>
      </c>
      <c r="L392" s="15">
        <v>45332</v>
      </c>
      <c r="M392" s="16">
        <v>6</v>
      </c>
      <c r="N39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92" s="31" t="str">
        <f>IF(Table64[[#This Row],[date validity flag]]&lt;&gt;"Valid","",Table64[[#This Row],[shipment date ]]-Table64[[#This Row],[Order date]])</f>
        <v/>
      </c>
      <c r="P392" s="27" t="str">
        <f>TEXT(Table64[[#This Row],[Order date]],"mmm-yyyy")</f>
        <v>Feb-2024</v>
      </c>
      <c r="Q392" s="16" t="str">
        <f t="shared" si="6"/>
        <v/>
      </c>
    </row>
    <row r="393" spans="1:17" x14ac:dyDescent="0.3">
      <c r="A393" s="17">
        <v>10392</v>
      </c>
      <c r="B393" s="4">
        <v>5628</v>
      </c>
      <c r="C393" s="4" t="s">
        <v>16</v>
      </c>
      <c r="D393" s="5">
        <v>21891.62</v>
      </c>
      <c r="E393" s="4">
        <v>22</v>
      </c>
      <c r="F393" s="4" t="s">
        <v>22</v>
      </c>
      <c r="G393" s="6">
        <v>45306</v>
      </c>
      <c r="H393" s="5">
        <v>131437.16</v>
      </c>
      <c r="I393" s="18" t="s">
        <v>17</v>
      </c>
      <c r="J393" s="14" t="s">
        <v>19</v>
      </c>
      <c r="K393" s="14">
        <v>275</v>
      </c>
      <c r="L393" s="15">
        <v>45397</v>
      </c>
      <c r="M393" s="16">
        <v>10</v>
      </c>
      <c r="N3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93" s="31">
        <f>IF(Table64[[#This Row],[date validity flag]]&lt;&gt;"Valid","",Table64[[#This Row],[shipment date ]]-Table64[[#This Row],[Order date]])</f>
        <v>91</v>
      </c>
      <c r="P393" s="27" t="str">
        <f>TEXT(Table64[[#This Row],[Order date]],"mmm-yyyy")</f>
        <v>Jan-2024</v>
      </c>
      <c r="Q393" s="16" t="str">
        <f t="shared" si="6"/>
        <v>Delayed</v>
      </c>
    </row>
    <row r="394" spans="1:17" x14ac:dyDescent="0.3">
      <c r="A394" s="12">
        <v>10393</v>
      </c>
      <c r="B394" s="1">
        <v>5587</v>
      </c>
      <c r="C394" s="1" t="s">
        <v>16</v>
      </c>
      <c r="D394" s="2">
        <v>9013.67</v>
      </c>
      <c r="E394" s="1">
        <v>48</v>
      </c>
      <c r="F394" s="1" t="s">
        <v>22</v>
      </c>
      <c r="G394" s="3">
        <v>45383</v>
      </c>
      <c r="H394" s="2">
        <v>37555.17</v>
      </c>
      <c r="I394" s="13" t="s">
        <v>17</v>
      </c>
      <c r="J394" s="14" t="s">
        <v>19</v>
      </c>
      <c r="K394" s="14">
        <v>279</v>
      </c>
      <c r="L394" s="15">
        <v>45397</v>
      </c>
      <c r="M394" s="16">
        <v>7</v>
      </c>
      <c r="N3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94" s="31">
        <f>IF(Table64[[#This Row],[date validity flag]]&lt;&gt;"Valid","",Table64[[#This Row],[shipment date ]]-Table64[[#This Row],[Order date]])</f>
        <v>14</v>
      </c>
      <c r="P394" s="27" t="str">
        <f>TEXT(Table64[[#This Row],[Order date]],"mmm-yyyy")</f>
        <v>Apr-2024</v>
      </c>
      <c r="Q394" s="16" t="str">
        <f t="shared" si="6"/>
        <v>Delayed</v>
      </c>
    </row>
    <row r="395" spans="1:17" x14ac:dyDescent="0.3">
      <c r="A395" s="17">
        <v>10394</v>
      </c>
      <c r="B395" s="4">
        <v>6649</v>
      </c>
      <c r="C395" s="4" t="s">
        <v>16</v>
      </c>
      <c r="D395" s="5">
        <v>87891.79</v>
      </c>
      <c r="E395" s="4">
        <v>83</v>
      </c>
      <c r="F395" s="4" t="s">
        <v>21</v>
      </c>
      <c r="G395" s="6">
        <v>45361</v>
      </c>
      <c r="H395" s="5">
        <v>24732.44</v>
      </c>
      <c r="I395" s="18" t="s">
        <v>17</v>
      </c>
      <c r="J395" s="14" t="s">
        <v>15</v>
      </c>
      <c r="K395" s="14">
        <v>231</v>
      </c>
      <c r="L395" s="15">
        <v>45332</v>
      </c>
      <c r="M395" s="16">
        <v>13</v>
      </c>
      <c r="N39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95" s="31" t="str">
        <f>IF(Table64[[#This Row],[date validity flag]]&lt;&gt;"Valid","",Table64[[#This Row],[shipment date ]]-Table64[[#This Row],[Order date]])</f>
        <v/>
      </c>
      <c r="P395" s="27" t="str">
        <f>TEXT(Table64[[#This Row],[Order date]],"mmm-yyyy")</f>
        <v>Mar-2024</v>
      </c>
      <c r="Q395" s="16" t="str">
        <f t="shared" si="6"/>
        <v/>
      </c>
    </row>
    <row r="396" spans="1:17" x14ac:dyDescent="0.3">
      <c r="A396" s="12">
        <v>10395</v>
      </c>
      <c r="B396" s="1">
        <v>6992</v>
      </c>
      <c r="C396" s="1" t="s">
        <v>16</v>
      </c>
      <c r="D396" s="2">
        <v>55124.1</v>
      </c>
      <c r="E396" s="1">
        <v>51</v>
      </c>
      <c r="F396" s="1" t="s">
        <v>22</v>
      </c>
      <c r="G396" s="3">
        <v>45361</v>
      </c>
      <c r="H396" s="2">
        <v>46861.73</v>
      </c>
      <c r="I396" s="13" t="s">
        <v>17</v>
      </c>
      <c r="J396" s="14" t="s">
        <v>19</v>
      </c>
      <c r="K396" s="14">
        <v>1322</v>
      </c>
      <c r="L396" s="15">
        <v>45361</v>
      </c>
      <c r="M396" s="16">
        <v>13</v>
      </c>
      <c r="N3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96" s="31">
        <f>IF(Table64[[#This Row],[date validity flag]]&lt;&gt;"Valid","",Table64[[#This Row],[shipment date ]]-Table64[[#This Row],[Order date]])</f>
        <v>0</v>
      </c>
      <c r="P396" s="27" t="str">
        <f>TEXT(Table64[[#This Row],[Order date]],"mmm-yyyy")</f>
        <v>Mar-2024</v>
      </c>
      <c r="Q396" s="16" t="str">
        <f t="shared" si="6"/>
        <v>On Time</v>
      </c>
    </row>
    <row r="397" spans="1:17" x14ac:dyDescent="0.3">
      <c r="A397" s="17">
        <v>10396</v>
      </c>
      <c r="B397" s="4">
        <v>6444</v>
      </c>
      <c r="C397" s="4" t="s">
        <v>12</v>
      </c>
      <c r="D397" s="5">
        <v>42741.52</v>
      </c>
      <c r="E397" s="4">
        <v>3</v>
      </c>
      <c r="F397" s="4" t="s">
        <v>13</v>
      </c>
      <c r="G397" s="6">
        <v>45337</v>
      </c>
      <c r="H397" s="5">
        <v>97297.79</v>
      </c>
      <c r="I397" s="18" t="s">
        <v>14</v>
      </c>
      <c r="J397" s="14" t="s">
        <v>18</v>
      </c>
      <c r="K397" s="14">
        <v>1391</v>
      </c>
      <c r="L397" s="15">
        <v>45332</v>
      </c>
      <c r="M397" s="16">
        <v>10</v>
      </c>
      <c r="N39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97" s="31" t="str">
        <f>IF(Table64[[#This Row],[date validity flag]]&lt;&gt;"Valid","",Table64[[#This Row],[shipment date ]]-Table64[[#This Row],[Order date]])</f>
        <v/>
      </c>
      <c r="P397" s="27" t="str">
        <f>TEXT(Table64[[#This Row],[Order date]],"mmm-yyyy")</f>
        <v>Feb-2024</v>
      </c>
      <c r="Q397" s="16" t="str">
        <f t="shared" si="6"/>
        <v/>
      </c>
    </row>
    <row r="398" spans="1:17" x14ac:dyDescent="0.3">
      <c r="A398" s="12">
        <v>10397</v>
      </c>
      <c r="B398" s="1">
        <v>6446</v>
      </c>
      <c r="C398" s="1" t="s">
        <v>12</v>
      </c>
      <c r="D398" s="2">
        <v>80956.89</v>
      </c>
      <c r="E398" s="1">
        <v>42</v>
      </c>
      <c r="F398" s="1" t="s">
        <v>23</v>
      </c>
      <c r="G398" s="3">
        <v>45383</v>
      </c>
      <c r="H398" s="2">
        <v>79882.679999999993</v>
      </c>
      <c r="I398" s="13" t="s">
        <v>14</v>
      </c>
      <c r="J398" s="14" t="s">
        <v>19</v>
      </c>
      <c r="K398" s="14">
        <v>259</v>
      </c>
      <c r="L398" s="15">
        <v>45361</v>
      </c>
      <c r="M398" s="16">
        <v>14</v>
      </c>
      <c r="N39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398" s="31" t="str">
        <f>IF(Table64[[#This Row],[date validity flag]]&lt;&gt;"Valid","",Table64[[#This Row],[shipment date ]]-Table64[[#This Row],[Order date]])</f>
        <v/>
      </c>
      <c r="P398" s="27" t="str">
        <f>TEXT(Table64[[#This Row],[Order date]],"mmm-yyyy")</f>
        <v>Apr-2024</v>
      </c>
      <c r="Q398" s="16" t="str">
        <f t="shared" si="6"/>
        <v/>
      </c>
    </row>
    <row r="399" spans="1:17" x14ac:dyDescent="0.3">
      <c r="A399" s="17">
        <v>10398</v>
      </c>
      <c r="B399" s="4">
        <v>5104</v>
      </c>
      <c r="C399" s="4" t="s">
        <v>12</v>
      </c>
      <c r="D399" s="5">
        <v>25008.18</v>
      </c>
      <c r="E399" s="4">
        <v>19</v>
      </c>
      <c r="F399" s="4" t="s">
        <v>21</v>
      </c>
      <c r="G399" s="6">
        <v>45383</v>
      </c>
      <c r="H399" s="5">
        <v>114719.81</v>
      </c>
      <c r="I399" s="18" t="s">
        <v>20</v>
      </c>
      <c r="J399" s="14" t="s">
        <v>19</v>
      </c>
      <c r="K399" s="14">
        <v>1465</v>
      </c>
      <c r="L399" s="15">
        <v>45397</v>
      </c>
      <c r="M399" s="16">
        <v>7</v>
      </c>
      <c r="N3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399" s="31">
        <f>IF(Table64[[#This Row],[date validity flag]]&lt;&gt;"Valid","",Table64[[#This Row],[shipment date ]]-Table64[[#This Row],[Order date]])</f>
        <v>14</v>
      </c>
      <c r="P399" s="27" t="str">
        <f>TEXT(Table64[[#This Row],[Order date]],"mmm-yyyy")</f>
        <v>Apr-2024</v>
      </c>
      <c r="Q399" s="16" t="str">
        <f t="shared" si="6"/>
        <v>Delayed</v>
      </c>
    </row>
    <row r="400" spans="1:17" x14ac:dyDescent="0.3">
      <c r="A400" s="12">
        <v>10399</v>
      </c>
      <c r="B400" s="1">
        <v>6876</v>
      </c>
      <c r="C400" s="1" t="s">
        <v>16</v>
      </c>
      <c r="D400" s="2">
        <v>90655.96</v>
      </c>
      <c r="E400" s="1">
        <v>73</v>
      </c>
      <c r="F400" s="1" t="s">
        <v>23</v>
      </c>
      <c r="G400" s="3">
        <v>45361</v>
      </c>
      <c r="H400" s="2">
        <v>46178.97</v>
      </c>
      <c r="I400" s="13" t="s">
        <v>17</v>
      </c>
      <c r="J400" s="14" t="s">
        <v>18</v>
      </c>
      <c r="K400" s="14">
        <v>145</v>
      </c>
      <c r="L400" s="15">
        <v>45361</v>
      </c>
      <c r="M400" s="16">
        <v>13</v>
      </c>
      <c r="N4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00" s="31">
        <f>IF(Table64[[#This Row],[date validity flag]]&lt;&gt;"Valid","",Table64[[#This Row],[shipment date ]]-Table64[[#This Row],[Order date]])</f>
        <v>0</v>
      </c>
      <c r="P400" s="27" t="str">
        <f>TEXT(Table64[[#This Row],[Order date]],"mmm-yyyy")</f>
        <v>Mar-2024</v>
      </c>
      <c r="Q400" s="16" t="str">
        <f t="shared" si="6"/>
        <v>On Time</v>
      </c>
    </row>
    <row r="401" spans="1:17" x14ac:dyDescent="0.3">
      <c r="A401" s="17">
        <v>10400</v>
      </c>
      <c r="B401" s="4">
        <v>5254</v>
      </c>
      <c r="C401" s="4" t="s">
        <v>16</v>
      </c>
      <c r="D401" s="5">
        <v>33505.49</v>
      </c>
      <c r="E401" s="4">
        <v>28</v>
      </c>
      <c r="F401" s="4" t="s">
        <v>13</v>
      </c>
      <c r="G401" s="6">
        <v>45383</v>
      </c>
      <c r="H401" s="5">
        <v>74743.81</v>
      </c>
      <c r="I401" s="18" t="s">
        <v>14</v>
      </c>
      <c r="J401" s="14" t="s">
        <v>19</v>
      </c>
      <c r="K401" s="14">
        <v>943</v>
      </c>
      <c r="L401" s="15">
        <v>45397</v>
      </c>
      <c r="M401" s="16">
        <v>4</v>
      </c>
      <c r="N4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01" s="31">
        <f>IF(Table64[[#This Row],[date validity flag]]&lt;&gt;"Valid","",Table64[[#This Row],[shipment date ]]-Table64[[#This Row],[Order date]])</f>
        <v>14</v>
      </c>
      <c r="P401" s="27" t="str">
        <f>TEXT(Table64[[#This Row],[Order date]],"mmm-yyyy")</f>
        <v>Apr-2024</v>
      </c>
      <c r="Q401" s="16" t="str">
        <f t="shared" si="6"/>
        <v>Delayed</v>
      </c>
    </row>
    <row r="402" spans="1:17" x14ac:dyDescent="0.3">
      <c r="A402" s="12">
        <v>10401</v>
      </c>
      <c r="B402" s="1">
        <v>6251</v>
      </c>
      <c r="C402" s="1" t="s">
        <v>16</v>
      </c>
      <c r="D402" s="2">
        <v>75581.36</v>
      </c>
      <c r="E402" s="1">
        <v>84</v>
      </c>
      <c r="F402" s="1" t="s">
        <v>22</v>
      </c>
      <c r="G402" s="3">
        <v>45383</v>
      </c>
      <c r="H402" s="2">
        <v>75033.69</v>
      </c>
      <c r="I402" s="13" t="s">
        <v>20</v>
      </c>
      <c r="J402" s="14" t="s">
        <v>19</v>
      </c>
      <c r="K402" s="14">
        <v>805</v>
      </c>
      <c r="L402" s="15">
        <v>45332</v>
      </c>
      <c r="M402" s="16">
        <v>6</v>
      </c>
      <c r="N40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02" s="31" t="str">
        <f>IF(Table64[[#This Row],[date validity flag]]&lt;&gt;"Valid","",Table64[[#This Row],[shipment date ]]-Table64[[#This Row],[Order date]])</f>
        <v/>
      </c>
      <c r="P402" s="27" t="str">
        <f>TEXT(Table64[[#This Row],[Order date]],"mmm-yyyy")</f>
        <v>Apr-2024</v>
      </c>
      <c r="Q402" s="16" t="str">
        <f t="shared" si="6"/>
        <v/>
      </c>
    </row>
    <row r="403" spans="1:17" x14ac:dyDescent="0.3">
      <c r="A403" s="17">
        <v>10402</v>
      </c>
      <c r="B403" s="4">
        <v>6136</v>
      </c>
      <c r="C403" s="4" t="s">
        <v>12</v>
      </c>
      <c r="D403" s="5">
        <v>19442.59</v>
      </c>
      <c r="E403" s="4">
        <v>45</v>
      </c>
      <c r="F403" s="4" t="s">
        <v>21</v>
      </c>
      <c r="G403" s="6">
        <v>45383</v>
      </c>
      <c r="H403" s="5">
        <v>120428.8</v>
      </c>
      <c r="I403" s="18" t="s">
        <v>14</v>
      </c>
      <c r="J403" s="14" t="s">
        <v>19</v>
      </c>
      <c r="K403" s="14">
        <v>1159</v>
      </c>
      <c r="L403" s="15">
        <v>45332</v>
      </c>
      <c r="M403" s="16">
        <v>7</v>
      </c>
      <c r="N40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03" s="31" t="str">
        <f>IF(Table64[[#This Row],[date validity flag]]&lt;&gt;"Valid","",Table64[[#This Row],[shipment date ]]-Table64[[#This Row],[Order date]])</f>
        <v/>
      </c>
      <c r="P403" s="27" t="str">
        <f>TEXT(Table64[[#This Row],[Order date]],"mmm-yyyy")</f>
        <v>Apr-2024</v>
      </c>
      <c r="Q403" s="16" t="str">
        <f t="shared" si="6"/>
        <v/>
      </c>
    </row>
    <row r="404" spans="1:17" x14ac:dyDescent="0.3">
      <c r="A404" s="12">
        <v>10403</v>
      </c>
      <c r="B404" s="1">
        <v>5510</v>
      </c>
      <c r="C404" s="1" t="s">
        <v>16</v>
      </c>
      <c r="D404" s="2">
        <v>22204.46</v>
      </c>
      <c r="E404" s="1">
        <v>71</v>
      </c>
      <c r="F404" s="1" t="s">
        <v>13</v>
      </c>
      <c r="G404" s="3">
        <v>45337</v>
      </c>
      <c r="H404" s="2">
        <v>142401.57</v>
      </c>
      <c r="I404" s="13" t="s">
        <v>17</v>
      </c>
      <c r="J404" s="14" t="s">
        <v>15</v>
      </c>
      <c r="K404" s="14">
        <v>464</v>
      </c>
      <c r="L404" s="15">
        <v>45397</v>
      </c>
      <c r="M404" s="16">
        <v>5</v>
      </c>
      <c r="N4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04" s="31">
        <f>IF(Table64[[#This Row],[date validity flag]]&lt;&gt;"Valid","",Table64[[#This Row],[shipment date ]]-Table64[[#This Row],[Order date]])</f>
        <v>60</v>
      </c>
      <c r="P404" s="27" t="str">
        <f>TEXT(Table64[[#This Row],[Order date]],"mmm-yyyy")</f>
        <v>Feb-2024</v>
      </c>
      <c r="Q404" s="16" t="str">
        <f t="shared" si="6"/>
        <v>Delayed</v>
      </c>
    </row>
    <row r="405" spans="1:17" x14ac:dyDescent="0.3">
      <c r="A405" s="17">
        <v>10404</v>
      </c>
      <c r="B405" s="4">
        <v>6497</v>
      </c>
      <c r="C405" s="4" t="s">
        <v>16</v>
      </c>
      <c r="D405" s="5">
        <v>85602.71</v>
      </c>
      <c r="E405" s="4">
        <v>78</v>
      </c>
      <c r="F405" s="4" t="s">
        <v>21</v>
      </c>
      <c r="G405" s="6">
        <v>45383</v>
      </c>
      <c r="H405" s="5">
        <v>139284.9</v>
      </c>
      <c r="I405" s="18" t="s">
        <v>14</v>
      </c>
      <c r="J405" s="14" t="s">
        <v>19</v>
      </c>
      <c r="K405" s="14">
        <v>443</v>
      </c>
      <c r="L405" s="15">
        <v>45397</v>
      </c>
      <c r="M405" s="16">
        <v>5</v>
      </c>
      <c r="N4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05" s="31">
        <f>IF(Table64[[#This Row],[date validity flag]]&lt;&gt;"Valid","",Table64[[#This Row],[shipment date ]]-Table64[[#This Row],[Order date]])</f>
        <v>14</v>
      </c>
      <c r="P405" s="27" t="str">
        <f>TEXT(Table64[[#This Row],[Order date]],"mmm-yyyy")</f>
        <v>Apr-2024</v>
      </c>
      <c r="Q405" s="16" t="str">
        <f t="shared" si="6"/>
        <v>Delayed</v>
      </c>
    </row>
    <row r="406" spans="1:17" x14ac:dyDescent="0.3">
      <c r="A406" s="12">
        <v>10405</v>
      </c>
      <c r="B406" s="1">
        <v>5099</v>
      </c>
      <c r="C406" s="1" t="s">
        <v>16</v>
      </c>
      <c r="D406" s="2">
        <v>89644.81</v>
      </c>
      <c r="E406" s="1">
        <v>63</v>
      </c>
      <c r="F406" s="1" t="s">
        <v>21</v>
      </c>
      <c r="G406" s="3">
        <v>45306</v>
      </c>
      <c r="H406" s="2">
        <v>134211.34</v>
      </c>
      <c r="I406" s="13" t="s">
        <v>17</v>
      </c>
      <c r="J406" s="14" t="s">
        <v>18</v>
      </c>
      <c r="K406" s="14">
        <v>745</v>
      </c>
      <c r="L406" s="15">
        <v>45397</v>
      </c>
      <c r="M406" s="16">
        <v>2</v>
      </c>
      <c r="N4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06" s="31">
        <f>IF(Table64[[#This Row],[date validity flag]]&lt;&gt;"Valid","",Table64[[#This Row],[shipment date ]]-Table64[[#This Row],[Order date]])</f>
        <v>91</v>
      </c>
      <c r="P406" s="27" t="str">
        <f>TEXT(Table64[[#This Row],[Order date]],"mmm-yyyy")</f>
        <v>Jan-2024</v>
      </c>
      <c r="Q406" s="16" t="str">
        <f t="shared" si="6"/>
        <v>Delayed</v>
      </c>
    </row>
    <row r="407" spans="1:17" x14ac:dyDescent="0.3">
      <c r="A407" s="17">
        <v>10406</v>
      </c>
      <c r="B407" s="4">
        <v>5153</v>
      </c>
      <c r="C407" s="4" t="s">
        <v>16</v>
      </c>
      <c r="D407" s="5">
        <v>74065.16</v>
      </c>
      <c r="E407" s="4">
        <v>73</v>
      </c>
      <c r="F407" s="4" t="s">
        <v>22</v>
      </c>
      <c r="G407" s="6">
        <v>45337</v>
      </c>
      <c r="H407" s="5">
        <v>58487.62</v>
      </c>
      <c r="I407" s="18" t="s">
        <v>14</v>
      </c>
      <c r="J407" s="14" t="s">
        <v>18</v>
      </c>
      <c r="K407" s="14">
        <v>893</v>
      </c>
      <c r="L407" s="15">
        <v>45332</v>
      </c>
      <c r="M407" s="16">
        <v>7</v>
      </c>
      <c r="N40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07" s="31" t="str">
        <f>IF(Table64[[#This Row],[date validity flag]]&lt;&gt;"Valid","",Table64[[#This Row],[shipment date ]]-Table64[[#This Row],[Order date]])</f>
        <v/>
      </c>
      <c r="P407" s="27" t="str">
        <f>TEXT(Table64[[#This Row],[Order date]],"mmm-yyyy")</f>
        <v>Feb-2024</v>
      </c>
      <c r="Q407" s="16" t="str">
        <f t="shared" si="6"/>
        <v/>
      </c>
    </row>
    <row r="408" spans="1:17" x14ac:dyDescent="0.3">
      <c r="A408" s="12">
        <v>10407</v>
      </c>
      <c r="B408" s="1">
        <v>6885</v>
      </c>
      <c r="C408" s="1" t="s">
        <v>16</v>
      </c>
      <c r="D408" s="2">
        <v>12752.44</v>
      </c>
      <c r="E408" s="1">
        <v>19</v>
      </c>
      <c r="F408" s="1" t="s">
        <v>13</v>
      </c>
      <c r="G408" s="3">
        <v>45383</v>
      </c>
      <c r="H408" s="2">
        <v>91240.52</v>
      </c>
      <c r="I408" s="13" t="s">
        <v>17</v>
      </c>
      <c r="J408" s="14" t="s">
        <v>19</v>
      </c>
      <c r="K408" s="14">
        <v>653</v>
      </c>
      <c r="L408" s="15">
        <v>45332</v>
      </c>
      <c r="M408" s="16">
        <v>12</v>
      </c>
      <c r="N40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08" s="31" t="str">
        <f>IF(Table64[[#This Row],[date validity flag]]&lt;&gt;"Valid","",Table64[[#This Row],[shipment date ]]-Table64[[#This Row],[Order date]])</f>
        <v/>
      </c>
      <c r="P408" s="27" t="str">
        <f>TEXT(Table64[[#This Row],[Order date]],"mmm-yyyy")</f>
        <v>Apr-2024</v>
      </c>
      <c r="Q408" s="16" t="str">
        <f t="shared" si="6"/>
        <v/>
      </c>
    </row>
    <row r="409" spans="1:17" x14ac:dyDescent="0.3">
      <c r="A409" s="17">
        <v>10408</v>
      </c>
      <c r="B409" s="4">
        <v>5914</v>
      </c>
      <c r="C409" s="4" t="s">
        <v>16</v>
      </c>
      <c r="D409" s="5">
        <v>16971.75</v>
      </c>
      <c r="E409" s="4">
        <v>47</v>
      </c>
      <c r="F409" s="4" t="s">
        <v>23</v>
      </c>
      <c r="G409" s="6">
        <v>45383</v>
      </c>
      <c r="H409" s="5">
        <v>93007.26</v>
      </c>
      <c r="I409" s="18" t="s">
        <v>17</v>
      </c>
      <c r="J409" s="14" t="s">
        <v>19</v>
      </c>
      <c r="K409" s="14">
        <v>631</v>
      </c>
      <c r="L409" s="15">
        <v>45361</v>
      </c>
      <c r="M409" s="16">
        <v>6</v>
      </c>
      <c r="N40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09" s="31" t="str">
        <f>IF(Table64[[#This Row],[date validity flag]]&lt;&gt;"Valid","",Table64[[#This Row],[shipment date ]]-Table64[[#This Row],[Order date]])</f>
        <v/>
      </c>
      <c r="P409" s="27" t="str">
        <f>TEXT(Table64[[#This Row],[Order date]],"mmm-yyyy")</f>
        <v>Apr-2024</v>
      </c>
      <c r="Q409" s="16" t="str">
        <f t="shared" si="6"/>
        <v/>
      </c>
    </row>
    <row r="410" spans="1:17" x14ac:dyDescent="0.3">
      <c r="A410" s="12">
        <v>10409</v>
      </c>
      <c r="B410" s="1">
        <v>6920</v>
      </c>
      <c r="C410" s="1" t="s">
        <v>12</v>
      </c>
      <c r="D410" s="2">
        <v>95920.12</v>
      </c>
      <c r="E410" s="1">
        <v>14</v>
      </c>
      <c r="F410" s="1" t="s">
        <v>21</v>
      </c>
      <c r="G410" s="3">
        <v>45306</v>
      </c>
      <c r="H410" s="2">
        <v>111009.86</v>
      </c>
      <c r="I410" s="13" t="s">
        <v>17</v>
      </c>
      <c r="J410" s="14" t="s">
        <v>19</v>
      </c>
      <c r="K410" s="14">
        <v>182</v>
      </c>
      <c r="L410" s="15">
        <v>45397</v>
      </c>
      <c r="M410" s="16">
        <v>11</v>
      </c>
      <c r="N4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10" s="31">
        <f>IF(Table64[[#This Row],[date validity flag]]&lt;&gt;"Valid","",Table64[[#This Row],[shipment date ]]-Table64[[#This Row],[Order date]])</f>
        <v>91</v>
      </c>
      <c r="P410" s="27" t="str">
        <f>TEXT(Table64[[#This Row],[Order date]],"mmm-yyyy")</f>
        <v>Jan-2024</v>
      </c>
      <c r="Q410" s="16" t="str">
        <f t="shared" si="6"/>
        <v>Delayed</v>
      </c>
    </row>
    <row r="411" spans="1:17" x14ac:dyDescent="0.3">
      <c r="A411" s="17">
        <v>10410</v>
      </c>
      <c r="B411" s="4">
        <v>5878</v>
      </c>
      <c r="C411" s="4" t="s">
        <v>12</v>
      </c>
      <c r="D411" s="5">
        <v>46879.73</v>
      </c>
      <c r="E411" s="4">
        <v>38</v>
      </c>
      <c r="F411" s="4" t="s">
        <v>21</v>
      </c>
      <c r="G411" s="6">
        <v>45337</v>
      </c>
      <c r="H411" s="5">
        <v>43900.58</v>
      </c>
      <c r="I411" s="18" t="s">
        <v>14</v>
      </c>
      <c r="J411" s="14" t="s">
        <v>18</v>
      </c>
      <c r="K411" s="14">
        <v>840</v>
      </c>
      <c r="L411" s="15">
        <v>45361</v>
      </c>
      <c r="M411" s="16">
        <v>1</v>
      </c>
      <c r="N4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11" s="31">
        <f>IF(Table64[[#This Row],[date validity flag]]&lt;&gt;"Valid","",Table64[[#This Row],[shipment date ]]-Table64[[#This Row],[Order date]])</f>
        <v>24</v>
      </c>
      <c r="P411" s="27" t="str">
        <f>TEXT(Table64[[#This Row],[Order date]],"mmm-yyyy")</f>
        <v>Feb-2024</v>
      </c>
      <c r="Q411" s="16" t="str">
        <f t="shared" si="6"/>
        <v>Delayed</v>
      </c>
    </row>
    <row r="412" spans="1:17" x14ac:dyDescent="0.3">
      <c r="A412" s="12">
        <v>10411</v>
      </c>
      <c r="B412" s="1">
        <v>5338</v>
      </c>
      <c r="C412" s="1" t="s">
        <v>16</v>
      </c>
      <c r="D412" s="2">
        <v>98369.82</v>
      </c>
      <c r="E412" s="1">
        <v>53</v>
      </c>
      <c r="F412" s="1" t="s">
        <v>23</v>
      </c>
      <c r="G412" s="3">
        <v>45361</v>
      </c>
      <c r="H412" s="2">
        <v>119196.01</v>
      </c>
      <c r="I412" s="13" t="s">
        <v>20</v>
      </c>
      <c r="J412" s="14" t="s">
        <v>18</v>
      </c>
      <c r="K412" s="14">
        <v>698</v>
      </c>
      <c r="L412" s="15">
        <v>45332</v>
      </c>
      <c r="M412" s="16">
        <v>4</v>
      </c>
      <c r="N41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12" s="31" t="str">
        <f>IF(Table64[[#This Row],[date validity flag]]&lt;&gt;"Valid","",Table64[[#This Row],[shipment date ]]-Table64[[#This Row],[Order date]])</f>
        <v/>
      </c>
      <c r="P412" s="27" t="str">
        <f>TEXT(Table64[[#This Row],[Order date]],"mmm-yyyy")</f>
        <v>Mar-2024</v>
      </c>
      <c r="Q412" s="16" t="str">
        <f t="shared" si="6"/>
        <v/>
      </c>
    </row>
    <row r="413" spans="1:17" x14ac:dyDescent="0.3">
      <c r="A413" s="17">
        <v>10412</v>
      </c>
      <c r="B413" s="4">
        <v>6730</v>
      </c>
      <c r="C413" s="4" t="s">
        <v>12</v>
      </c>
      <c r="D413" s="5">
        <v>55641.65</v>
      </c>
      <c r="E413" s="4">
        <v>61</v>
      </c>
      <c r="F413" s="4" t="s">
        <v>13</v>
      </c>
      <c r="G413" s="6">
        <v>45361</v>
      </c>
      <c r="H413" s="5">
        <v>31518.37</v>
      </c>
      <c r="I413" s="18" t="s">
        <v>17</v>
      </c>
      <c r="J413" s="14" t="s">
        <v>15</v>
      </c>
      <c r="K413" s="14">
        <v>1387</v>
      </c>
      <c r="L413" s="15">
        <v>45361</v>
      </c>
      <c r="M413" s="16">
        <v>3</v>
      </c>
      <c r="N4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13" s="31">
        <f>IF(Table64[[#This Row],[date validity flag]]&lt;&gt;"Valid","",Table64[[#This Row],[shipment date ]]-Table64[[#This Row],[Order date]])</f>
        <v>0</v>
      </c>
      <c r="P413" s="27" t="str">
        <f>TEXT(Table64[[#This Row],[Order date]],"mmm-yyyy")</f>
        <v>Mar-2024</v>
      </c>
      <c r="Q413" s="16" t="str">
        <f t="shared" si="6"/>
        <v>On Time</v>
      </c>
    </row>
    <row r="414" spans="1:17" x14ac:dyDescent="0.3">
      <c r="A414" s="12">
        <v>10413</v>
      </c>
      <c r="B414" s="1">
        <v>5822</v>
      </c>
      <c r="C414" s="1" t="s">
        <v>16</v>
      </c>
      <c r="D414" s="2">
        <v>72182.33</v>
      </c>
      <c r="E414" s="1">
        <v>36</v>
      </c>
      <c r="F414" s="1" t="s">
        <v>21</v>
      </c>
      <c r="G414" s="3">
        <v>45337</v>
      </c>
      <c r="H414" s="2">
        <v>64789.14</v>
      </c>
      <c r="I414" s="13" t="s">
        <v>14</v>
      </c>
      <c r="J414" s="14" t="s">
        <v>15</v>
      </c>
      <c r="K414" s="14">
        <v>270</v>
      </c>
      <c r="L414" s="15">
        <v>45361</v>
      </c>
      <c r="M414" s="16">
        <v>12</v>
      </c>
      <c r="N4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14" s="31">
        <f>IF(Table64[[#This Row],[date validity flag]]&lt;&gt;"Valid","",Table64[[#This Row],[shipment date ]]-Table64[[#This Row],[Order date]])</f>
        <v>24</v>
      </c>
      <c r="P414" s="27" t="str">
        <f>TEXT(Table64[[#This Row],[Order date]],"mmm-yyyy")</f>
        <v>Feb-2024</v>
      </c>
      <c r="Q414" s="16" t="str">
        <f t="shared" si="6"/>
        <v>Delayed</v>
      </c>
    </row>
    <row r="415" spans="1:17" x14ac:dyDescent="0.3">
      <c r="A415" s="17">
        <v>10414</v>
      </c>
      <c r="B415" s="4">
        <v>6187</v>
      </c>
      <c r="C415" s="4" t="s">
        <v>16</v>
      </c>
      <c r="D415" s="5">
        <v>47319.360000000001</v>
      </c>
      <c r="E415" s="4">
        <v>40</v>
      </c>
      <c r="F415" s="4" t="s">
        <v>21</v>
      </c>
      <c r="G415" s="6">
        <v>45383</v>
      </c>
      <c r="H415" s="5">
        <v>130562.8</v>
      </c>
      <c r="I415" s="18" t="s">
        <v>17</v>
      </c>
      <c r="J415" s="14" t="s">
        <v>15</v>
      </c>
      <c r="K415" s="14">
        <v>1025</v>
      </c>
      <c r="L415" s="15">
        <v>45332</v>
      </c>
      <c r="M415" s="16">
        <v>3</v>
      </c>
      <c r="N41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15" s="31" t="str">
        <f>IF(Table64[[#This Row],[date validity flag]]&lt;&gt;"Valid","",Table64[[#This Row],[shipment date ]]-Table64[[#This Row],[Order date]])</f>
        <v/>
      </c>
      <c r="P415" s="27" t="str">
        <f>TEXT(Table64[[#This Row],[Order date]],"mmm-yyyy")</f>
        <v>Apr-2024</v>
      </c>
      <c r="Q415" s="16" t="str">
        <f t="shared" si="6"/>
        <v/>
      </c>
    </row>
    <row r="416" spans="1:17" x14ac:dyDescent="0.3">
      <c r="A416" s="12">
        <v>10415</v>
      </c>
      <c r="B416" s="1">
        <v>6744</v>
      </c>
      <c r="C416" s="1" t="s">
        <v>16</v>
      </c>
      <c r="D416" s="2">
        <v>95507.13</v>
      </c>
      <c r="E416" s="1">
        <v>81</v>
      </c>
      <c r="F416" s="1" t="s">
        <v>21</v>
      </c>
      <c r="G416" s="3">
        <v>45383</v>
      </c>
      <c r="H416" s="2">
        <v>60318.35</v>
      </c>
      <c r="I416" s="13" t="s">
        <v>17</v>
      </c>
      <c r="J416" s="14" t="s">
        <v>18</v>
      </c>
      <c r="K416" s="14">
        <v>1119</v>
      </c>
      <c r="L416" s="15">
        <v>45332</v>
      </c>
      <c r="M416" s="16">
        <v>7</v>
      </c>
      <c r="N41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16" s="31" t="str">
        <f>IF(Table64[[#This Row],[date validity flag]]&lt;&gt;"Valid","",Table64[[#This Row],[shipment date ]]-Table64[[#This Row],[Order date]])</f>
        <v/>
      </c>
      <c r="P416" s="27" t="str">
        <f>TEXT(Table64[[#This Row],[Order date]],"mmm-yyyy")</f>
        <v>Apr-2024</v>
      </c>
      <c r="Q416" s="16" t="str">
        <f t="shared" si="6"/>
        <v/>
      </c>
    </row>
    <row r="417" spans="1:17" x14ac:dyDescent="0.3">
      <c r="A417" s="17">
        <v>10416</v>
      </c>
      <c r="B417" s="4">
        <v>5957</v>
      </c>
      <c r="C417" s="4" t="s">
        <v>16</v>
      </c>
      <c r="D417" s="5">
        <v>13442.35</v>
      </c>
      <c r="E417" s="4">
        <v>30</v>
      </c>
      <c r="F417" s="4" t="s">
        <v>13</v>
      </c>
      <c r="G417" s="6">
        <v>45361</v>
      </c>
      <c r="H417" s="5">
        <v>107856.06</v>
      </c>
      <c r="I417" s="18" t="s">
        <v>14</v>
      </c>
      <c r="J417" s="14" t="s">
        <v>15</v>
      </c>
      <c r="K417" s="14">
        <v>1265</v>
      </c>
      <c r="L417" s="15">
        <v>45397</v>
      </c>
      <c r="M417" s="16">
        <v>11</v>
      </c>
      <c r="N4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17" s="31">
        <f>IF(Table64[[#This Row],[date validity flag]]&lt;&gt;"Valid","",Table64[[#This Row],[shipment date ]]-Table64[[#This Row],[Order date]])</f>
        <v>36</v>
      </c>
      <c r="P417" s="27" t="str">
        <f>TEXT(Table64[[#This Row],[Order date]],"mmm-yyyy")</f>
        <v>Mar-2024</v>
      </c>
      <c r="Q417" s="16" t="str">
        <f t="shared" si="6"/>
        <v>Delayed</v>
      </c>
    </row>
    <row r="418" spans="1:17" x14ac:dyDescent="0.3">
      <c r="A418" s="12">
        <v>10417</v>
      </c>
      <c r="B418" s="1">
        <v>6705</v>
      </c>
      <c r="C418" s="1" t="s">
        <v>16</v>
      </c>
      <c r="D418" s="2">
        <v>14866.8</v>
      </c>
      <c r="E418" s="1">
        <v>9</v>
      </c>
      <c r="F418" s="1" t="s">
        <v>13</v>
      </c>
      <c r="G418" s="3">
        <v>45361</v>
      </c>
      <c r="H418" s="2">
        <v>35463.06</v>
      </c>
      <c r="I418" s="13" t="s">
        <v>14</v>
      </c>
      <c r="J418" s="14" t="s">
        <v>19</v>
      </c>
      <c r="K418" s="14">
        <v>1452</v>
      </c>
      <c r="L418" s="15">
        <v>45361</v>
      </c>
      <c r="M418" s="16">
        <v>12</v>
      </c>
      <c r="N4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18" s="31">
        <f>IF(Table64[[#This Row],[date validity flag]]&lt;&gt;"Valid","",Table64[[#This Row],[shipment date ]]-Table64[[#This Row],[Order date]])</f>
        <v>0</v>
      </c>
      <c r="P418" s="27" t="str">
        <f>TEXT(Table64[[#This Row],[Order date]],"mmm-yyyy")</f>
        <v>Mar-2024</v>
      </c>
      <c r="Q418" s="16" t="str">
        <f t="shared" si="6"/>
        <v>On Time</v>
      </c>
    </row>
    <row r="419" spans="1:17" x14ac:dyDescent="0.3">
      <c r="A419" s="17">
        <v>10418</v>
      </c>
      <c r="B419" s="4">
        <v>5161</v>
      </c>
      <c r="C419" s="4" t="s">
        <v>16</v>
      </c>
      <c r="D419" s="5">
        <v>11423.37</v>
      </c>
      <c r="E419" s="4">
        <v>64</v>
      </c>
      <c r="F419" s="4" t="s">
        <v>23</v>
      </c>
      <c r="G419" s="6">
        <v>45361</v>
      </c>
      <c r="H419" s="5">
        <v>111218.96</v>
      </c>
      <c r="I419" s="18" t="s">
        <v>20</v>
      </c>
      <c r="J419" s="14" t="s">
        <v>19</v>
      </c>
      <c r="K419" s="14">
        <v>837</v>
      </c>
      <c r="L419" s="15">
        <v>45332</v>
      </c>
      <c r="M419" s="16">
        <v>10</v>
      </c>
      <c r="N41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19" s="31" t="str">
        <f>IF(Table64[[#This Row],[date validity flag]]&lt;&gt;"Valid","",Table64[[#This Row],[shipment date ]]-Table64[[#This Row],[Order date]])</f>
        <v/>
      </c>
      <c r="P419" s="27" t="str">
        <f>TEXT(Table64[[#This Row],[Order date]],"mmm-yyyy")</f>
        <v>Mar-2024</v>
      </c>
      <c r="Q419" s="16" t="str">
        <f t="shared" si="6"/>
        <v/>
      </c>
    </row>
    <row r="420" spans="1:17" x14ac:dyDescent="0.3">
      <c r="A420" s="12">
        <v>10419</v>
      </c>
      <c r="B420" s="1">
        <v>6604</v>
      </c>
      <c r="C420" s="1" t="s">
        <v>16</v>
      </c>
      <c r="D420" s="2">
        <v>38515.83</v>
      </c>
      <c r="E420" s="1">
        <v>33</v>
      </c>
      <c r="F420" s="1" t="s">
        <v>13</v>
      </c>
      <c r="G420" s="3">
        <v>45306</v>
      </c>
      <c r="H420" s="2">
        <v>58025.06</v>
      </c>
      <c r="I420" s="13" t="s">
        <v>17</v>
      </c>
      <c r="J420" s="14" t="s">
        <v>18</v>
      </c>
      <c r="K420" s="14">
        <v>740</v>
      </c>
      <c r="L420" s="15">
        <v>45332</v>
      </c>
      <c r="M420" s="16">
        <v>4</v>
      </c>
      <c r="N4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0" s="31">
        <f>IF(Table64[[#This Row],[date validity flag]]&lt;&gt;"Valid","",Table64[[#This Row],[shipment date ]]-Table64[[#This Row],[Order date]])</f>
        <v>26</v>
      </c>
      <c r="P420" s="27" t="str">
        <f>TEXT(Table64[[#This Row],[Order date]],"mmm-yyyy")</f>
        <v>Jan-2024</v>
      </c>
      <c r="Q420" s="16" t="str">
        <f t="shared" si="6"/>
        <v>Delayed</v>
      </c>
    </row>
    <row r="421" spans="1:17" x14ac:dyDescent="0.3">
      <c r="A421" s="17">
        <v>10420</v>
      </c>
      <c r="B421" s="4">
        <v>5801</v>
      </c>
      <c r="C421" s="4" t="s">
        <v>16</v>
      </c>
      <c r="D421" s="5">
        <v>32440.53</v>
      </c>
      <c r="E421" s="4">
        <v>52</v>
      </c>
      <c r="F421" s="4" t="s">
        <v>13</v>
      </c>
      <c r="G421" s="6">
        <v>45361</v>
      </c>
      <c r="H421" s="5">
        <v>43508.31</v>
      </c>
      <c r="I421" s="18" t="s">
        <v>17</v>
      </c>
      <c r="J421" s="14" t="s">
        <v>15</v>
      </c>
      <c r="K421" s="14">
        <v>1407</v>
      </c>
      <c r="L421" s="15">
        <v>45361</v>
      </c>
      <c r="M421" s="16">
        <v>12</v>
      </c>
      <c r="N4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1" s="31">
        <f>IF(Table64[[#This Row],[date validity flag]]&lt;&gt;"Valid","",Table64[[#This Row],[shipment date ]]-Table64[[#This Row],[Order date]])</f>
        <v>0</v>
      </c>
      <c r="P421" s="27" t="str">
        <f>TEXT(Table64[[#This Row],[Order date]],"mmm-yyyy")</f>
        <v>Mar-2024</v>
      </c>
      <c r="Q421" s="16" t="str">
        <f t="shared" si="6"/>
        <v>On Time</v>
      </c>
    </row>
    <row r="422" spans="1:17" x14ac:dyDescent="0.3">
      <c r="A422" s="12">
        <v>10421</v>
      </c>
      <c r="B422" s="1">
        <v>5398</v>
      </c>
      <c r="C422" s="1" t="s">
        <v>16</v>
      </c>
      <c r="D422" s="2">
        <v>89432.38</v>
      </c>
      <c r="E422" s="1">
        <v>89</v>
      </c>
      <c r="F422" s="1" t="s">
        <v>22</v>
      </c>
      <c r="G422" s="3">
        <v>45306</v>
      </c>
      <c r="H422" s="2">
        <v>17865.54</v>
      </c>
      <c r="I422" s="13" t="s">
        <v>14</v>
      </c>
      <c r="J422" s="14" t="s">
        <v>19</v>
      </c>
      <c r="K422" s="14">
        <v>88</v>
      </c>
      <c r="L422" s="15">
        <v>45332</v>
      </c>
      <c r="M422" s="16">
        <v>8</v>
      </c>
      <c r="N4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2" s="31">
        <f>IF(Table64[[#This Row],[date validity flag]]&lt;&gt;"Valid","",Table64[[#This Row],[shipment date ]]-Table64[[#This Row],[Order date]])</f>
        <v>26</v>
      </c>
      <c r="P422" s="27" t="str">
        <f>TEXT(Table64[[#This Row],[Order date]],"mmm-yyyy")</f>
        <v>Jan-2024</v>
      </c>
      <c r="Q422" s="16" t="str">
        <f t="shared" si="6"/>
        <v>Delayed</v>
      </c>
    </row>
    <row r="423" spans="1:17" x14ac:dyDescent="0.3">
      <c r="A423" s="17">
        <v>10422</v>
      </c>
      <c r="B423" s="4">
        <v>6301</v>
      </c>
      <c r="C423" s="4" t="s">
        <v>12</v>
      </c>
      <c r="D423" s="5">
        <v>32185.45</v>
      </c>
      <c r="E423" s="4">
        <v>14</v>
      </c>
      <c r="F423" s="4" t="s">
        <v>23</v>
      </c>
      <c r="G423" s="6">
        <v>45337</v>
      </c>
      <c r="H423" s="5">
        <v>132183.43</v>
      </c>
      <c r="I423" s="18" t="s">
        <v>17</v>
      </c>
      <c r="J423" s="14" t="s">
        <v>18</v>
      </c>
      <c r="K423" s="14">
        <v>1366</v>
      </c>
      <c r="L423" s="15">
        <v>45397</v>
      </c>
      <c r="M423" s="16">
        <v>11</v>
      </c>
      <c r="N4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3" s="31">
        <f>IF(Table64[[#This Row],[date validity flag]]&lt;&gt;"Valid","",Table64[[#This Row],[shipment date ]]-Table64[[#This Row],[Order date]])</f>
        <v>60</v>
      </c>
      <c r="P423" s="27" t="str">
        <f>TEXT(Table64[[#This Row],[Order date]],"mmm-yyyy")</f>
        <v>Feb-2024</v>
      </c>
      <c r="Q423" s="16" t="str">
        <f t="shared" si="6"/>
        <v>Delayed</v>
      </c>
    </row>
    <row r="424" spans="1:17" x14ac:dyDescent="0.3">
      <c r="A424" s="12">
        <v>10423</v>
      </c>
      <c r="B424" s="1">
        <v>5816</v>
      </c>
      <c r="C424" s="1" t="s">
        <v>12</v>
      </c>
      <c r="D424" s="2">
        <v>33211.64</v>
      </c>
      <c r="E424" s="1">
        <v>75</v>
      </c>
      <c r="F424" s="1" t="s">
        <v>21</v>
      </c>
      <c r="G424" s="3">
        <v>45383</v>
      </c>
      <c r="H424" s="2">
        <v>137850.48000000001</v>
      </c>
      <c r="I424" s="13" t="s">
        <v>14</v>
      </c>
      <c r="J424" s="14" t="s">
        <v>15</v>
      </c>
      <c r="K424" s="14">
        <v>739</v>
      </c>
      <c r="L424" s="15">
        <v>45397</v>
      </c>
      <c r="M424" s="16">
        <v>9</v>
      </c>
      <c r="N4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4" s="31">
        <f>IF(Table64[[#This Row],[date validity flag]]&lt;&gt;"Valid","",Table64[[#This Row],[shipment date ]]-Table64[[#This Row],[Order date]])</f>
        <v>14</v>
      </c>
      <c r="P424" s="27" t="str">
        <f>TEXT(Table64[[#This Row],[Order date]],"mmm-yyyy")</f>
        <v>Apr-2024</v>
      </c>
      <c r="Q424" s="16" t="str">
        <f t="shared" si="6"/>
        <v>Delayed</v>
      </c>
    </row>
    <row r="425" spans="1:17" x14ac:dyDescent="0.3">
      <c r="A425" s="17">
        <v>10424</v>
      </c>
      <c r="B425" s="4">
        <v>6940</v>
      </c>
      <c r="C425" s="4" t="s">
        <v>16</v>
      </c>
      <c r="D425" s="5">
        <v>83076.75</v>
      </c>
      <c r="E425" s="4">
        <v>53</v>
      </c>
      <c r="F425" s="4" t="s">
        <v>13</v>
      </c>
      <c r="G425" s="6">
        <v>45361</v>
      </c>
      <c r="H425" s="5">
        <v>34878.199999999997</v>
      </c>
      <c r="I425" s="18" t="s">
        <v>17</v>
      </c>
      <c r="J425" s="14" t="s">
        <v>19</v>
      </c>
      <c r="K425" s="14">
        <v>211</v>
      </c>
      <c r="L425" s="15">
        <v>45361</v>
      </c>
      <c r="M425" s="16">
        <v>3</v>
      </c>
      <c r="N4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5" s="31">
        <f>IF(Table64[[#This Row],[date validity flag]]&lt;&gt;"Valid","",Table64[[#This Row],[shipment date ]]-Table64[[#This Row],[Order date]])</f>
        <v>0</v>
      </c>
      <c r="P425" s="27" t="str">
        <f>TEXT(Table64[[#This Row],[Order date]],"mmm-yyyy")</f>
        <v>Mar-2024</v>
      </c>
      <c r="Q425" s="16" t="str">
        <f t="shared" si="6"/>
        <v>On Time</v>
      </c>
    </row>
    <row r="426" spans="1:17" x14ac:dyDescent="0.3">
      <c r="A426" s="12">
        <v>10425</v>
      </c>
      <c r="B426" s="1">
        <v>6528</v>
      </c>
      <c r="C426" s="1" t="s">
        <v>16</v>
      </c>
      <c r="D426" s="2">
        <v>45209.7</v>
      </c>
      <c r="E426" s="1">
        <v>99</v>
      </c>
      <c r="F426" s="1" t="s">
        <v>21</v>
      </c>
      <c r="G426" s="3">
        <v>45383</v>
      </c>
      <c r="H426" s="2">
        <v>103563</v>
      </c>
      <c r="I426" s="13" t="s">
        <v>14</v>
      </c>
      <c r="J426" s="14" t="s">
        <v>15</v>
      </c>
      <c r="K426" s="14">
        <v>1404</v>
      </c>
      <c r="L426" s="15">
        <v>45397</v>
      </c>
      <c r="M426" s="16">
        <v>5</v>
      </c>
      <c r="N4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26" s="31">
        <f>IF(Table64[[#This Row],[date validity flag]]&lt;&gt;"Valid","",Table64[[#This Row],[shipment date ]]-Table64[[#This Row],[Order date]])</f>
        <v>14</v>
      </c>
      <c r="P426" s="27" t="str">
        <f>TEXT(Table64[[#This Row],[Order date]],"mmm-yyyy")</f>
        <v>Apr-2024</v>
      </c>
      <c r="Q426" s="16" t="str">
        <f t="shared" si="6"/>
        <v>Delayed</v>
      </c>
    </row>
    <row r="427" spans="1:17" x14ac:dyDescent="0.3">
      <c r="A427" s="17">
        <v>10426</v>
      </c>
      <c r="B427" s="4">
        <v>6920</v>
      </c>
      <c r="C427" s="4" t="s">
        <v>16</v>
      </c>
      <c r="D427" s="5">
        <v>50190.6</v>
      </c>
      <c r="E427" s="4">
        <v>59</v>
      </c>
      <c r="F427" s="4" t="s">
        <v>21</v>
      </c>
      <c r="G427" s="6">
        <v>45383</v>
      </c>
      <c r="H427" s="5">
        <v>48719.54</v>
      </c>
      <c r="I427" s="18" t="s">
        <v>20</v>
      </c>
      <c r="J427" s="14" t="s">
        <v>18</v>
      </c>
      <c r="K427" s="14">
        <v>1177</v>
      </c>
      <c r="L427" s="15">
        <v>45332</v>
      </c>
      <c r="M427" s="16">
        <v>4</v>
      </c>
      <c r="N42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27" s="31" t="str">
        <f>IF(Table64[[#This Row],[date validity flag]]&lt;&gt;"Valid","",Table64[[#This Row],[shipment date ]]-Table64[[#This Row],[Order date]])</f>
        <v/>
      </c>
      <c r="P427" s="27" t="str">
        <f>TEXT(Table64[[#This Row],[Order date]],"mmm-yyyy")</f>
        <v>Apr-2024</v>
      </c>
      <c r="Q427" s="16" t="str">
        <f t="shared" si="6"/>
        <v/>
      </c>
    </row>
    <row r="428" spans="1:17" x14ac:dyDescent="0.3">
      <c r="A428" s="12">
        <v>10427</v>
      </c>
      <c r="B428" s="1">
        <v>6416</v>
      </c>
      <c r="C428" s="1" t="s">
        <v>16</v>
      </c>
      <c r="D428" s="2">
        <v>26915.4</v>
      </c>
      <c r="E428" s="1">
        <v>78</v>
      </c>
      <c r="F428" s="1" t="s">
        <v>22</v>
      </c>
      <c r="G428" s="3">
        <v>45361</v>
      </c>
      <c r="H428" s="2">
        <v>170136.4</v>
      </c>
      <c r="I428" s="13" t="s">
        <v>17</v>
      </c>
      <c r="J428" s="14" t="s">
        <v>15</v>
      </c>
      <c r="K428" s="14">
        <v>210</v>
      </c>
      <c r="L428" s="15">
        <v>45332</v>
      </c>
      <c r="M428" s="16">
        <v>14</v>
      </c>
      <c r="N42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28" s="31" t="str">
        <f>IF(Table64[[#This Row],[date validity flag]]&lt;&gt;"Valid","",Table64[[#This Row],[shipment date ]]-Table64[[#This Row],[Order date]])</f>
        <v/>
      </c>
      <c r="P428" s="27" t="str">
        <f>TEXT(Table64[[#This Row],[Order date]],"mmm-yyyy")</f>
        <v>Mar-2024</v>
      </c>
      <c r="Q428" s="16" t="str">
        <f t="shared" si="6"/>
        <v/>
      </c>
    </row>
    <row r="429" spans="1:17" x14ac:dyDescent="0.3">
      <c r="A429" s="17">
        <v>10428</v>
      </c>
      <c r="B429" s="4">
        <v>6159</v>
      </c>
      <c r="C429" s="4" t="s">
        <v>16</v>
      </c>
      <c r="D429" s="5">
        <v>35727.660000000003</v>
      </c>
      <c r="E429" s="4">
        <v>94</v>
      </c>
      <c r="F429" s="4" t="s">
        <v>13</v>
      </c>
      <c r="G429" s="6">
        <v>45361</v>
      </c>
      <c r="H429" s="5">
        <v>76031.25</v>
      </c>
      <c r="I429" s="18" t="s">
        <v>14</v>
      </c>
      <c r="J429" s="14" t="s">
        <v>18</v>
      </c>
      <c r="K429" s="14">
        <v>1127</v>
      </c>
      <c r="L429" s="15">
        <v>45332</v>
      </c>
      <c r="M429" s="16">
        <v>12</v>
      </c>
      <c r="N42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29" s="31" t="str">
        <f>IF(Table64[[#This Row],[date validity flag]]&lt;&gt;"Valid","",Table64[[#This Row],[shipment date ]]-Table64[[#This Row],[Order date]])</f>
        <v/>
      </c>
      <c r="P429" s="27" t="str">
        <f>TEXT(Table64[[#This Row],[Order date]],"mmm-yyyy")</f>
        <v>Mar-2024</v>
      </c>
      <c r="Q429" s="16" t="str">
        <f t="shared" si="6"/>
        <v/>
      </c>
    </row>
    <row r="430" spans="1:17" x14ac:dyDescent="0.3">
      <c r="A430" s="12">
        <v>10429</v>
      </c>
      <c r="B430" s="1">
        <v>6219</v>
      </c>
      <c r="C430" s="1" t="s">
        <v>16</v>
      </c>
      <c r="D430" s="2">
        <v>27364.97</v>
      </c>
      <c r="E430" s="1">
        <v>41</v>
      </c>
      <c r="F430" s="1" t="s">
        <v>23</v>
      </c>
      <c r="G430" s="3">
        <v>45337</v>
      </c>
      <c r="H430" s="2">
        <v>18461.47</v>
      </c>
      <c r="I430" s="13" t="s">
        <v>20</v>
      </c>
      <c r="J430" s="14" t="s">
        <v>15</v>
      </c>
      <c r="K430" s="14">
        <v>1107</v>
      </c>
      <c r="L430" s="15">
        <v>45332</v>
      </c>
      <c r="M430" s="16">
        <v>10</v>
      </c>
      <c r="N43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30" s="31" t="str">
        <f>IF(Table64[[#This Row],[date validity flag]]&lt;&gt;"Valid","",Table64[[#This Row],[shipment date ]]-Table64[[#This Row],[Order date]])</f>
        <v/>
      </c>
      <c r="P430" s="27" t="str">
        <f>TEXT(Table64[[#This Row],[Order date]],"mmm-yyyy")</f>
        <v>Feb-2024</v>
      </c>
      <c r="Q430" s="16" t="str">
        <f t="shared" si="6"/>
        <v/>
      </c>
    </row>
    <row r="431" spans="1:17" x14ac:dyDescent="0.3">
      <c r="A431" s="17">
        <v>10430</v>
      </c>
      <c r="B431" s="4">
        <v>5401</v>
      </c>
      <c r="C431" s="4" t="s">
        <v>12</v>
      </c>
      <c r="D431" s="5">
        <v>61207.4</v>
      </c>
      <c r="E431" s="4">
        <v>68</v>
      </c>
      <c r="F431" s="4" t="s">
        <v>13</v>
      </c>
      <c r="G431" s="6">
        <v>45306</v>
      </c>
      <c r="H431" s="5">
        <v>149415.37</v>
      </c>
      <c r="I431" s="18" t="s">
        <v>17</v>
      </c>
      <c r="J431" s="14" t="s">
        <v>19</v>
      </c>
      <c r="K431" s="14">
        <v>291</v>
      </c>
      <c r="L431" s="15">
        <v>45361</v>
      </c>
      <c r="M431" s="16">
        <v>6</v>
      </c>
      <c r="N4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31" s="31">
        <f>IF(Table64[[#This Row],[date validity flag]]&lt;&gt;"Valid","",Table64[[#This Row],[shipment date ]]-Table64[[#This Row],[Order date]])</f>
        <v>55</v>
      </c>
      <c r="P431" s="27" t="str">
        <f>TEXT(Table64[[#This Row],[Order date]],"mmm-yyyy")</f>
        <v>Jan-2024</v>
      </c>
      <c r="Q431" s="16" t="str">
        <f t="shared" si="6"/>
        <v>Delayed</v>
      </c>
    </row>
    <row r="432" spans="1:17" x14ac:dyDescent="0.3">
      <c r="A432" s="12">
        <v>10431</v>
      </c>
      <c r="B432" s="1">
        <v>5640</v>
      </c>
      <c r="C432" s="1" t="s">
        <v>16</v>
      </c>
      <c r="D432" s="2">
        <v>54500.57</v>
      </c>
      <c r="E432" s="1">
        <v>68</v>
      </c>
      <c r="F432" s="1" t="s">
        <v>21</v>
      </c>
      <c r="G432" s="3">
        <v>45306</v>
      </c>
      <c r="H432" s="2">
        <v>33643.56</v>
      </c>
      <c r="I432" s="13" t="s">
        <v>14</v>
      </c>
      <c r="J432" s="14" t="s">
        <v>18</v>
      </c>
      <c r="K432" s="14">
        <v>1016</v>
      </c>
      <c r="L432" s="15">
        <v>45397</v>
      </c>
      <c r="M432" s="16">
        <v>11</v>
      </c>
      <c r="N43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32" s="31">
        <f>IF(Table64[[#This Row],[date validity flag]]&lt;&gt;"Valid","",Table64[[#This Row],[shipment date ]]-Table64[[#This Row],[Order date]])</f>
        <v>91</v>
      </c>
      <c r="P432" s="27" t="str">
        <f>TEXT(Table64[[#This Row],[Order date]],"mmm-yyyy")</f>
        <v>Jan-2024</v>
      </c>
      <c r="Q432" s="16" t="str">
        <f t="shared" si="6"/>
        <v>Delayed</v>
      </c>
    </row>
    <row r="433" spans="1:17" x14ac:dyDescent="0.3">
      <c r="A433" s="17">
        <v>10432</v>
      </c>
      <c r="B433" s="4">
        <v>6057</v>
      </c>
      <c r="C433" s="4" t="s">
        <v>16</v>
      </c>
      <c r="D433" s="5">
        <v>54322.080000000002</v>
      </c>
      <c r="E433" s="4">
        <v>92</v>
      </c>
      <c r="F433" s="4" t="s">
        <v>23</v>
      </c>
      <c r="G433" s="6">
        <v>45383</v>
      </c>
      <c r="H433" s="5">
        <v>156290.73000000001</v>
      </c>
      <c r="I433" s="18" t="s">
        <v>17</v>
      </c>
      <c r="J433" s="14" t="s">
        <v>18</v>
      </c>
      <c r="K433" s="14">
        <v>939</v>
      </c>
      <c r="L433" s="15">
        <v>45397</v>
      </c>
      <c r="M433" s="16">
        <v>10</v>
      </c>
      <c r="N43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33" s="31">
        <f>IF(Table64[[#This Row],[date validity flag]]&lt;&gt;"Valid","",Table64[[#This Row],[shipment date ]]-Table64[[#This Row],[Order date]])</f>
        <v>14</v>
      </c>
      <c r="P433" s="27" t="str">
        <f>TEXT(Table64[[#This Row],[Order date]],"mmm-yyyy")</f>
        <v>Apr-2024</v>
      </c>
      <c r="Q433" s="16" t="str">
        <f t="shared" si="6"/>
        <v>Delayed</v>
      </c>
    </row>
    <row r="434" spans="1:17" x14ac:dyDescent="0.3">
      <c r="A434" s="12">
        <v>10433</v>
      </c>
      <c r="B434" s="1">
        <v>5688</v>
      </c>
      <c r="C434" s="1" t="s">
        <v>16</v>
      </c>
      <c r="D434" s="2">
        <v>68850.75</v>
      </c>
      <c r="E434" s="1">
        <v>8</v>
      </c>
      <c r="F434" s="1" t="s">
        <v>13</v>
      </c>
      <c r="G434" s="3">
        <v>45361</v>
      </c>
      <c r="H434" s="2">
        <v>38202.92</v>
      </c>
      <c r="I434" s="13" t="s">
        <v>20</v>
      </c>
      <c r="J434" s="14" t="s">
        <v>18</v>
      </c>
      <c r="K434" s="14">
        <v>162</v>
      </c>
      <c r="L434" s="15">
        <v>45332</v>
      </c>
      <c r="M434" s="16">
        <v>4</v>
      </c>
      <c r="N43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34" s="31" t="str">
        <f>IF(Table64[[#This Row],[date validity flag]]&lt;&gt;"Valid","",Table64[[#This Row],[shipment date ]]-Table64[[#This Row],[Order date]])</f>
        <v/>
      </c>
      <c r="P434" s="27" t="str">
        <f>TEXT(Table64[[#This Row],[Order date]],"mmm-yyyy")</f>
        <v>Mar-2024</v>
      </c>
      <c r="Q434" s="16" t="str">
        <f t="shared" si="6"/>
        <v/>
      </c>
    </row>
    <row r="435" spans="1:17" x14ac:dyDescent="0.3">
      <c r="A435" s="17">
        <v>10434</v>
      </c>
      <c r="B435" s="4">
        <v>5460</v>
      </c>
      <c r="C435" s="4" t="s">
        <v>16</v>
      </c>
      <c r="D435" s="5">
        <v>52813.2</v>
      </c>
      <c r="E435" s="4">
        <v>2</v>
      </c>
      <c r="F435" s="4" t="s">
        <v>21</v>
      </c>
      <c r="G435" s="6">
        <v>45337</v>
      </c>
      <c r="H435" s="5">
        <v>107277.35</v>
      </c>
      <c r="I435" s="18" t="s">
        <v>17</v>
      </c>
      <c r="J435" s="14" t="s">
        <v>15</v>
      </c>
      <c r="K435" s="14">
        <v>1063</v>
      </c>
      <c r="L435" s="15">
        <v>45361</v>
      </c>
      <c r="M435" s="16">
        <v>8</v>
      </c>
      <c r="N4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35" s="31">
        <f>IF(Table64[[#This Row],[date validity flag]]&lt;&gt;"Valid","",Table64[[#This Row],[shipment date ]]-Table64[[#This Row],[Order date]])</f>
        <v>24</v>
      </c>
      <c r="P435" s="27" t="str">
        <f>TEXT(Table64[[#This Row],[Order date]],"mmm-yyyy")</f>
        <v>Feb-2024</v>
      </c>
      <c r="Q435" s="16" t="str">
        <f t="shared" si="6"/>
        <v>Delayed</v>
      </c>
    </row>
    <row r="436" spans="1:17" x14ac:dyDescent="0.3">
      <c r="A436" s="12">
        <v>10435</v>
      </c>
      <c r="B436" s="1">
        <v>5955</v>
      </c>
      <c r="C436" s="1" t="s">
        <v>16</v>
      </c>
      <c r="D436" s="2">
        <v>87583.01</v>
      </c>
      <c r="E436" s="1">
        <v>86</v>
      </c>
      <c r="F436" s="1" t="s">
        <v>21</v>
      </c>
      <c r="G436" s="3">
        <v>45337</v>
      </c>
      <c r="H436" s="2">
        <v>142557</v>
      </c>
      <c r="I436" s="13" t="s">
        <v>20</v>
      </c>
      <c r="J436" s="14" t="s">
        <v>15</v>
      </c>
      <c r="K436" s="14">
        <v>367</v>
      </c>
      <c r="L436" s="15">
        <v>45332</v>
      </c>
      <c r="M436" s="16">
        <v>3</v>
      </c>
      <c r="N43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36" s="31" t="str">
        <f>IF(Table64[[#This Row],[date validity flag]]&lt;&gt;"Valid","",Table64[[#This Row],[shipment date ]]-Table64[[#This Row],[Order date]])</f>
        <v/>
      </c>
      <c r="P436" s="27" t="str">
        <f>TEXT(Table64[[#This Row],[Order date]],"mmm-yyyy")</f>
        <v>Feb-2024</v>
      </c>
      <c r="Q436" s="16" t="str">
        <f t="shared" si="6"/>
        <v/>
      </c>
    </row>
    <row r="437" spans="1:17" x14ac:dyDescent="0.3">
      <c r="A437" s="17">
        <v>10436</v>
      </c>
      <c r="B437" s="4">
        <v>6907</v>
      </c>
      <c r="C437" s="4" t="s">
        <v>16</v>
      </c>
      <c r="D437" s="5">
        <v>93563.08</v>
      </c>
      <c r="E437" s="4">
        <v>41</v>
      </c>
      <c r="F437" s="4" t="s">
        <v>22</v>
      </c>
      <c r="G437" s="6">
        <v>45337</v>
      </c>
      <c r="H437" s="5">
        <v>164594.53</v>
      </c>
      <c r="I437" s="18" t="s">
        <v>20</v>
      </c>
      <c r="J437" s="14" t="s">
        <v>19</v>
      </c>
      <c r="K437" s="14">
        <v>72</v>
      </c>
      <c r="L437" s="15">
        <v>45332</v>
      </c>
      <c r="M437" s="16">
        <v>11</v>
      </c>
      <c r="N4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37" s="31" t="str">
        <f>IF(Table64[[#This Row],[date validity flag]]&lt;&gt;"Valid","",Table64[[#This Row],[shipment date ]]-Table64[[#This Row],[Order date]])</f>
        <v/>
      </c>
      <c r="P437" s="27" t="str">
        <f>TEXT(Table64[[#This Row],[Order date]],"mmm-yyyy")</f>
        <v>Feb-2024</v>
      </c>
      <c r="Q437" s="16" t="str">
        <f t="shared" si="6"/>
        <v/>
      </c>
    </row>
    <row r="438" spans="1:17" x14ac:dyDescent="0.3">
      <c r="A438" s="12">
        <v>10437</v>
      </c>
      <c r="B438" s="1">
        <v>5470</v>
      </c>
      <c r="C438" s="1" t="s">
        <v>16</v>
      </c>
      <c r="D438" s="2">
        <v>88846.45</v>
      </c>
      <c r="E438" s="1">
        <v>55</v>
      </c>
      <c r="F438" s="1" t="s">
        <v>22</v>
      </c>
      <c r="G438" s="3">
        <v>45337</v>
      </c>
      <c r="H438" s="2">
        <v>129481.69</v>
      </c>
      <c r="I438" s="13" t="s">
        <v>20</v>
      </c>
      <c r="J438" s="14" t="s">
        <v>18</v>
      </c>
      <c r="K438" s="14">
        <v>873</v>
      </c>
      <c r="L438" s="15">
        <v>45361</v>
      </c>
      <c r="M438" s="16">
        <v>5</v>
      </c>
      <c r="N43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38" s="31">
        <f>IF(Table64[[#This Row],[date validity flag]]&lt;&gt;"Valid","",Table64[[#This Row],[shipment date ]]-Table64[[#This Row],[Order date]])</f>
        <v>24</v>
      </c>
      <c r="P438" s="27" t="str">
        <f>TEXT(Table64[[#This Row],[Order date]],"mmm-yyyy")</f>
        <v>Feb-2024</v>
      </c>
      <c r="Q438" s="16" t="str">
        <f t="shared" si="6"/>
        <v>Delayed</v>
      </c>
    </row>
    <row r="439" spans="1:17" x14ac:dyDescent="0.3">
      <c r="A439" s="17">
        <v>10438</v>
      </c>
      <c r="B439" s="4">
        <v>6399</v>
      </c>
      <c r="C439" s="4" t="s">
        <v>16</v>
      </c>
      <c r="D439" s="5">
        <v>52559.08</v>
      </c>
      <c r="E439" s="4">
        <v>16</v>
      </c>
      <c r="F439" s="4" t="s">
        <v>22</v>
      </c>
      <c r="G439" s="6">
        <v>45337</v>
      </c>
      <c r="H439" s="5">
        <v>93034.68</v>
      </c>
      <c r="I439" s="18" t="s">
        <v>14</v>
      </c>
      <c r="J439" s="14" t="s">
        <v>18</v>
      </c>
      <c r="K439" s="14">
        <v>1191</v>
      </c>
      <c r="L439" s="15">
        <v>45361</v>
      </c>
      <c r="M439" s="16">
        <v>13</v>
      </c>
      <c r="N43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39" s="31">
        <f>IF(Table64[[#This Row],[date validity flag]]&lt;&gt;"Valid","",Table64[[#This Row],[shipment date ]]-Table64[[#This Row],[Order date]])</f>
        <v>24</v>
      </c>
      <c r="P439" s="27" t="str">
        <f>TEXT(Table64[[#This Row],[Order date]],"mmm-yyyy")</f>
        <v>Feb-2024</v>
      </c>
      <c r="Q439" s="16" t="str">
        <f t="shared" si="6"/>
        <v>Delayed</v>
      </c>
    </row>
    <row r="440" spans="1:17" x14ac:dyDescent="0.3">
      <c r="A440" s="12">
        <v>10439</v>
      </c>
      <c r="B440" s="1">
        <v>6046</v>
      </c>
      <c r="C440" s="1" t="s">
        <v>12</v>
      </c>
      <c r="D440" s="2">
        <v>32839.25</v>
      </c>
      <c r="E440" s="1">
        <v>93</v>
      </c>
      <c r="F440" s="1" t="s">
        <v>21</v>
      </c>
      <c r="G440" s="3">
        <v>45306</v>
      </c>
      <c r="H440" s="2">
        <v>113604.05</v>
      </c>
      <c r="I440" s="13" t="s">
        <v>17</v>
      </c>
      <c r="J440" s="14" t="s">
        <v>15</v>
      </c>
      <c r="K440" s="14">
        <v>750</v>
      </c>
      <c r="L440" s="15">
        <v>45332</v>
      </c>
      <c r="M440" s="16">
        <v>1</v>
      </c>
      <c r="N4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0" s="31">
        <f>IF(Table64[[#This Row],[date validity flag]]&lt;&gt;"Valid","",Table64[[#This Row],[shipment date ]]-Table64[[#This Row],[Order date]])</f>
        <v>26</v>
      </c>
      <c r="P440" s="27" t="str">
        <f>TEXT(Table64[[#This Row],[Order date]],"mmm-yyyy")</f>
        <v>Jan-2024</v>
      </c>
      <c r="Q440" s="16" t="str">
        <f t="shared" si="6"/>
        <v>Delayed</v>
      </c>
    </row>
    <row r="441" spans="1:17" x14ac:dyDescent="0.3">
      <c r="A441" s="17">
        <v>10440</v>
      </c>
      <c r="B441" s="4">
        <v>5750</v>
      </c>
      <c r="C441" s="4" t="s">
        <v>12</v>
      </c>
      <c r="D441" s="5">
        <v>62890.32</v>
      </c>
      <c r="E441" s="4">
        <v>62</v>
      </c>
      <c r="F441" s="4" t="s">
        <v>13</v>
      </c>
      <c r="G441" s="6">
        <v>45306</v>
      </c>
      <c r="H441" s="5">
        <v>55145.29</v>
      </c>
      <c r="I441" s="18" t="s">
        <v>17</v>
      </c>
      <c r="J441" s="14" t="s">
        <v>15</v>
      </c>
      <c r="K441" s="14">
        <v>1068</v>
      </c>
      <c r="L441" s="15">
        <v>45397</v>
      </c>
      <c r="M441" s="16">
        <v>13</v>
      </c>
      <c r="N4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1" s="31">
        <f>IF(Table64[[#This Row],[date validity flag]]&lt;&gt;"Valid","",Table64[[#This Row],[shipment date ]]-Table64[[#This Row],[Order date]])</f>
        <v>91</v>
      </c>
      <c r="P441" s="27" t="str">
        <f>TEXT(Table64[[#This Row],[Order date]],"mmm-yyyy")</f>
        <v>Jan-2024</v>
      </c>
      <c r="Q441" s="16" t="str">
        <f t="shared" si="6"/>
        <v>Delayed</v>
      </c>
    </row>
    <row r="442" spans="1:17" x14ac:dyDescent="0.3">
      <c r="A442" s="12">
        <v>10441</v>
      </c>
      <c r="B442" s="1">
        <v>6694</v>
      </c>
      <c r="C442" s="1" t="s">
        <v>16</v>
      </c>
      <c r="D442" s="2">
        <v>49078.92</v>
      </c>
      <c r="E442" s="1">
        <v>48</v>
      </c>
      <c r="F442" s="1" t="s">
        <v>22</v>
      </c>
      <c r="G442" s="3">
        <v>45306</v>
      </c>
      <c r="H442" s="2">
        <v>147853.94</v>
      </c>
      <c r="I442" s="13" t="s">
        <v>17</v>
      </c>
      <c r="J442" s="14" t="s">
        <v>19</v>
      </c>
      <c r="K442" s="14">
        <v>1285</v>
      </c>
      <c r="L442" s="15">
        <v>45332</v>
      </c>
      <c r="M442" s="16">
        <v>6</v>
      </c>
      <c r="N4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2" s="31">
        <f>IF(Table64[[#This Row],[date validity flag]]&lt;&gt;"Valid","",Table64[[#This Row],[shipment date ]]-Table64[[#This Row],[Order date]])</f>
        <v>26</v>
      </c>
      <c r="P442" s="27" t="str">
        <f>TEXT(Table64[[#This Row],[Order date]],"mmm-yyyy")</f>
        <v>Jan-2024</v>
      </c>
      <c r="Q442" s="16" t="str">
        <f t="shared" si="6"/>
        <v>Delayed</v>
      </c>
    </row>
    <row r="443" spans="1:17" x14ac:dyDescent="0.3">
      <c r="A443" s="17">
        <v>10442</v>
      </c>
      <c r="B443" s="4">
        <v>5038</v>
      </c>
      <c r="C443" s="4" t="s">
        <v>16</v>
      </c>
      <c r="D443" s="5">
        <v>49568.04</v>
      </c>
      <c r="E443" s="4">
        <v>30</v>
      </c>
      <c r="F443" s="4" t="s">
        <v>13</v>
      </c>
      <c r="G443" s="6">
        <v>45361</v>
      </c>
      <c r="H443" s="5">
        <v>29600.97</v>
      </c>
      <c r="I443" s="18" t="s">
        <v>17</v>
      </c>
      <c r="J443" s="14" t="s">
        <v>19</v>
      </c>
      <c r="K443" s="14">
        <v>1491</v>
      </c>
      <c r="L443" s="15">
        <v>45397</v>
      </c>
      <c r="M443" s="16">
        <v>11</v>
      </c>
      <c r="N4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3" s="31">
        <f>IF(Table64[[#This Row],[date validity flag]]&lt;&gt;"Valid","",Table64[[#This Row],[shipment date ]]-Table64[[#This Row],[Order date]])</f>
        <v>36</v>
      </c>
      <c r="P443" s="27" t="str">
        <f>TEXT(Table64[[#This Row],[Order date]],"mmm-yyyy")</f>
        <v>Mar-2024</v>
      </c>
      <c r="Q443" s="16" t="str">
        <f t="shared" si="6"/>
        <v>Delayed</v>
      </c>
    </row>
    <row r="444" spans="1:17" x14ac:dyDescent="0.3">
      <c r="A444" s="12">
        <v>10443</v>
      </c>
      <c r="B444" s="1">
        <v>5230</v>
      </c>
      <c r="C444" s="1" t="s">
        <v>16</v>
      </c>
      <c r="D444" s="2">
        <v>64974.81</v>
      </c>
      <c r="E444" s="1">
        <v>12</v>
      </c>
      <c r="F444" s="1" t="s">
        <v>22</v>
      </c>
      <c r="G444" s="3">
        <v>45383</v>
      </c>
      <c r="H444" s="2">
        <v>88700.98</v>
      </c>
      <c r="I444" s="13" t="s">
        <v>17</v>
      </c>
      <c r="J444" s="14" t="s">
        <v>15</v>
      </c>
      <c r="K444" s="14">
        <v>1186</v>
      </c>
      <c r="L444" s="15">
        <v>45397</v>
      </c>
      <c r="M444" s="16">
        <v>5</v>
      </c>
      <c r="N4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4" s="31">
        <f>IF(Table64[[#This Row],[date validity flag]]&lt;&gt;"Valid","",Table64[[#This Row],[shipment date ]]-Table64[[#This Row],[Order date]])</f>
        <v>14</v>
      </c>
      <c r="P444" s="27" t="str">
        <f>TEXT(Table64[[#This Row],[Order date]],"mmm-yyyy")</f>
        <v>Apr-2024</v>
      </c>
      <c r="Q444" s="16" t="str">
        <f t="shared" si="6"/>
        <v>Delayed</v>
      </c>
    </row>
    <row r="445" spans="1:17" x14ac:dyDescent="0.3">
      <c r="A445" s="17">
        <v>10444</v>
      </c>
      <c r="B445" s="4">
        <v>6389</v>
      </c>
      <c r="C445" s="4" t="s">
        <v>12</v>
      </c>
      <c r="D445" s="5">
        <v>80810.600000000006</v>
      </c>
      <c r="E445" s="4">
        <v>35</v>
      </c>
      <c r="F445" s="4" t="s">
        <v>23</v>
      </c>
      <c r="G445" s="6">
        <v>45337</v>
      </c>
      <c r="H445" s="5">
        <v>82604</v>
      </c>
      <c r="I445" s="18" t="s">
        <v>17</v>
      </c>
      <c r="J445" s="14" t="s">
        <v>18</v>
      </c>
      <c r="K445" s="14">
        <v>1117</v>
      </c>
      <c r="L445" s="15">
        <v>45361</v>
      </c>
      <c r="M445" s="16">
        <v>8</v>
      </c>
      <c r="N4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5" s="31">
        <f>IF(Table64[[#This Row],[date validity flag]]&lt;&gt;"Valid","",Table64[[#This Row],[shipment date ]]-Table64[[#This Row],[Order date]])</f>
        <v>24</v>
      </c>
      <c r="P445" s="27" t="str">
        <f>TEXT(Table64[[#This Row],[Order date]],"mmm-yyyy")</f>
        <v>Feb-2024</v>
      </c>
      <c r="Q445" s="16" t="str">
        <f t="shared" si="6"/>
        <v>Delayed</v>
      </c>
    </row>
    <row r="446" spans="1:17" x14ac:dyDescent="0.3">
      <c r="A446" s="12">
        <v>10445</v>
      </c>
      <c r="B446" s="1">
        <v>5563</v>
      </c>
      <c r="C446" s="1" t="s">
        <v>16</v>
      </c>
      <c r="D446" s="2">
        <v>16328.31</v>
      </c>
      <c r="E446" s="1">
        <v>11</v>
      </c>
      <c r="F446" s="1" t="s">
        <v>23</v>
      </c>
      <c r="G446" s="3">
        <v>45361</v>
      </c>
      <c r="H446" s="2">
        <v>40141.769999999997</v>
      </c>
      <c r="I446" s="13" t="s">
        <v>17</v>
      </c>
      <c r="J446" s="14" t="s">
        <v>19</v>
      </c>
      <c r="K446" s="14">
        <v>177</v>
      </c>
      <c r="L446" s="15">
        <v>45361</v>
      </c>
      <c r="M446" s="16">
        <v>9</v>
      </c>
      <c r="N4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6" s="31">
        <f>IF(Table64[[#This Row],[date validity flag]]&lt;&gt;"Valid","",Table64[[#This Row],[shipment date ]]-Table64[[#This Row],[Order date]])</f>
        <v>0</v>
      </c>
      <c r="P446" s="27" t="str">
        <f>TEXT(Table64[[#This Row],[Order date]],"mmm-yyyy")</f>
        <v>Mar-2024</v>
      </c>
      <c r="Q446" s="16" t="str">
        <f t="shared" si="6"/>
        <v>On Time</v>
      </c>
    </row>
    <row r="447" spans="1:17" x14ac:dyDescent="0.3">
      <c r="A447" s="17">
        <v>10446</v>
      </c>
      <c r="B447" s="4">
        <v>5438</v>
      </c>
      <c r="C447" s="4" t="s">
        <v>16</v>
      </c>
      <c r="D447" s="5">
        <v>19509.490000000002</v>
      </c>
      <c r="E447" s="4">
        <v>64</v>
      </c>
      <c r="F447" s="4" t="s">
        <v>22</v>
      </c>
      <c r="G447" s="6">
        <v>45337</v>
      </c>
      <c r="H447" s="5">
        <v>143998.20000000001</v>
      </c>
      <c r="I447" s="18" t="s">
        <v>20</v>
      </c>
      <c r="J447" s="14" t="s">
        <v>15</v>
      </c>
      <c r="K447" s="14">
        <v>925</v>
      </c>
      <c r="L447" s="15">
        <v>45332</v>
      </c>
      <c r="M447" s="16">
        <v>8</v>
      </c>
      <c r="N44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47" s="31" t="str">
        <f>IF(Table64[[#This Row],[date validity flag]]&lt;&gt;"Valid","",Table64[[#This Row],[shipment date ]]-Table64[[#This Row],[Order date]])</f>
        <v/>
      </c>
      <c r="P447" s="27" t="str">
        <f>TEXT(Table64[[#This Row],[Order date]],"mmm-yyyy")</f>
        <v>Feb-2024</v>
      </c>
      <c r="Q447" s="16" t="str">
        <f t="shared" si="6"/>
        <v/>
      </c>
    </row>
    <row r="448" spans="1:17" x14ac:dyDescent="0.3">
      <c r="A448" s="12">
        <v>10447</v>
      </c>
      <c r="B448" s="1">
        <v>6800</v>
      </c>
      <c r="C448" s="1" t="s">
        <v>16</v>
      </c>
      <c r="D448" s="2">
        <v>63568.61</v>
      </c>
      <c r="E448" s="1">
        <v>50</v>
      </c>
      <c r="F448" s="1" t="s">
        <v>21</v>
      </c>
      <c r="G448" s="3">
        <v>45306</v>
      </c>
      <c r="H448" s="2">
        <v>92630.85</v>
      </c>
      <c r="I448" s="13" t="s">
        <v>20</v>
      </c>
      <c r="J448" s="14" t="s">
        <v>15</v>
      </c>
      <c r="K448" s="14">
        <v>207</v>
      </c>
      <c r="L448" s="15">
        <v>45397</v>
      </c>
      <c r="M448" s="16">
        <v>8</v>
      </c>
      <c r="N4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8" s="31">
        <f>IF(Table64[[#This Row],[date validity flag]]&lt;&gt;"Valid","",Table64[[#This Row],[shipment date ]]-Table64[[#This Row],[Order date]])</f>
        <v>91</v>
      </c>
      <c r="P448" s="27" t="str">
        <f>TEXT(Table64[[#This Row],[Order date]],"mmm-yyyy")</f>
        <v>Jan-2024</v>
      </c>
      <c r="Q448" s="16" t="str">
        <f t="shared" si="6"/>
        <v>Delayed</v>
      </c>
    </row>
    <row r="449" spans="1:17" x14ac:dyDescent="0.3">
      <c r="A449" s="17">
        <v>10448</v>
      </c>
      <c r="B449" s="4">
        <v>6307</v>
      </c>
      <c r="C449" s="4" t="s">
        <v>16</v>
      </c>
      <c r="D449" s="5">
        <v>11331.65</v>
      </c>
      <c r="E449" s="4">
        <v>85</v>
      </c>
      <c r="F449" s="4" t="s">
        <v>22</v>
      </c>
      <c r="G449" s="6">
        <v>45361</v>
      </c>
      <c r="H449" s="5">
        <v>142183.71</v>
      </c>
      <c r="I449" s="18" t="s">
        <v>14</v>
      </c>
      <c r="J449" s="14" t="s">
        <v>18</v>
      </c>
      <c r="K449" s="14">
        <v>876</v>
      </c>
      <c r="L449" s="15">
        <v>45397</v>
      </c>
      <c r="M449" s="16">
        <v>12</v>
      </c>
      <c r="N4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49" s="31">
        <f>IF(Table64[[#This Row],[date validity flag]]&lt;&gt;"Valid","",Table64[[#This Row],[shipment date ]]-Table64[[#This Row],[Order date]])</f>
        <v>36</v>
      </c>
      <c r="P449" s="27" t="str">
        <f>TEXT(Table64[[#This Row],[Order date]],"mmm-yyyy")</f>
        <v>Mar-2024</v>
      </c>
      <c r="Q449" s="16" t="str">
        <f t="shared" si="6"/>
        <v>Delayed</v>
      </c>
    </row>
    <row r="450" spans="1:17" x14ac:dyDescent="0.3">
      <c r="A450" s="12">
        <v>10449</v>
      </c>
      <c r="B450" s="1">
        <v>5027</v>
      </c>
      <c r="C450" s="1" t="s">
        <v>16</v>
      </c>
      <c r="D450" s="2">
        <v>73954.17</v>
      </c>
      <c r="E450" s="1">
        <v>21</v>
      </c>
      <c r="F450" s="1" t="s">
        <v>22</v>
      </c>
      <c r="G450" s="3">
        <v>45306</v>
      </c>
      <c r="H450" s="2">
        <v>130261.54</v>
      </c>
      <c r="I450" s="13" t="s">
        <v>20</v>
      </c>
      <c r="J450" s="14" t="s">
        <v>15</v>
      </c>
      <c r="K450" s="14">
        <v>1467</v>
      </c>
      <c r="L450" s="15">
        <v>45332</v>
      </c>
      <c r="M450" s="16">
        <v>14</v>
      </c>
      <c r="N4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50" s="31">
        <f>IF(Table64[[#This Row],[date validity flag]]&lt;&gt;"Valid","",Table64[[#This Row],[shipment date ]]-Table64[[#This Row],[Order date]])</f>
        <v>26</v>
      </c>
      <c r="P450" s="27" t="str">
        <f>TEXT(Table64[[#This Row],[Order date]],"mmm-yyyy")</f>
        <v>Jan-2024</v>
      </c>
      <c r="Q450" s="16" t="str">
        <f t="shared" ref="Q450:Q513" si="7">IF(O450="","",IF(O450&gt;0,"Delayed","On Time"))</f>
        <v>Delayed</v>
      </c>
    </row>
    <row r="451" spans="1:17" x14ac:dyDescent="0.3">
      <c r="A451" s="17">
        <v>10450</v>
      </c>
      <c r="B451" s="4">
        <v>5226</v>
      </c>
      <c r="C451" s="4" t="s">
        <v>16</v>
      </c>
      <c r="D451" s="5">
        <v>96916.73</v>
      </c>
      <c r="E451" s="4">
        <v>69</v>
      </c>
      <c r="F451" s="4" t="s">
        <v>21</v>
      </c>
      <c r="G451" s="6">
        <v>45337</v>
      </c>
      <c r="H451" s="5">
        <v>121352.72</v>
      </c>
      <c r="I451" s="18" t="s">
        <v>17</v>
      </c>
      <c r="J451" s="14" t="s">
        <v>15</v>
      </c>
      <c r="K451" s="14">
        <v>901</v>
      </c>
      <c r="L451" s="15">
        <v>45332</v>
      </c>
      <c r="M451" s="16">
        <v>13</v>
      </c>
      <c r="N4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51" s="31" t="str">
        <f>IF(Table64[[#This Row],[date validity flag]]&lt;&gt;"Valid","",Table64[[#This Row],[shipment date ]]-Table64[[#This Row],[Order date]])</f>
        <v/>
      </c>
      <c r="P451" s="27" t="str">
        <f>TEXT(Table64[[#This Row],[Order date]],"mmm-yyyy")</f>
        <v>Feb-2024</v>
      </c>
      <c r="Q451" s="16" t="str">
        <f t="shared" si="7"/>
        <v/>
      </c>
    </row>
    <row r="452" spans="1:17" x14ac:dyDescent="0.3">
      <c r="A452" s="12">
        <v>10451</v>
      </c>
      <c r="B452" s="1">
        <v>6301</v>
      </c>
      <c r="C452" s="1" t="s">
        <v>12</v>
      </c>
      <c r="D452" s="2">
        <v>10813.96</v>
      </c>
      <c r="E452" s="1">
        <v>48</v>
      </c>
      <c r="F452" s="1" t="s">
        <v>23</v>
      </c>
      <c r="G452" s="3">
        <v>45337</v>
      </c>
      <c r="H452" s="2">
        <v>134465.41</v>
      </c>
      <c r="I452" s="13" t="s">
        <v>17</v>
      </c>
      <c r="J452" s="14" t="s">
        <v>19</v>
      </c>
      <c r="K452" s="14">
        <v>561</v>
      </c>
      <c r="L452" s="15">
        <v>45332</v>
      </c>
      <c r="M452" s="16">
        <v>3</v>
      </c>
      <c r="N4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52" s="31" t="str">
        <f>IF(Table64[[#This Row],[date validity flag]]&lt;&gt;"Valid","",Table64[[#This Row],[shipment date ]]-Table64[[#This Row],[Order date]])</f>
        <v/>
      </c>
      <c r="P452" s="27" t="str">
        <f>TEXT(Table64[[#This Row],[Order date]],"mmm-yyyy")</f>
        <v>Feb-2024</v>
      </c>
      <c r="Q452" s="16" t="str">
        <f t="shared" si="7"/>
        <v/>
      </c>
    </row>
    <row r="453" spans="1:17" x14ac:dyDescent="0.3">
      <c r="A453" s="17">
        <v>10452</v>
      </c>
      <c r="B453" s="4">
        <v>5798</v>
      </c>
      <c r="C453" s="4" t="s">
        <v>16</v>
      </c>
      <c r="D453" s="5">
        <v>32985.919999999998</v>
      </c>
      <c r="E453" s="4">
        <v>20</v>
      </c>
      <c r="F453" s="4" t="s">
        <v>13</v>
      </c>
      <c r="G453" s="6">
        <v>45383</v>
      </c>
      <c r="H453" s="5">
        <v>81552.39</v>
      </c>
      <c r="I453" s="18" t="s">
        <v>17</v>
      </c>
      <c r="J453" s="14" t="s">
        <v>15</v>
      </c>
      <c r="K453" s="14">
        <v>94</v>
      </c>
      <c r="L453" s="15">
        <v>45361</v>
      </c>
      <c r="M453" s="16">
        <v>4</v>
      </c>
      <c r="N45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53" s="31" t="str">
        <f>IF(Table64[[#This Row],[date validity flag]]&lt;&gt;"Valid","",Table64[[#This Row],[shipment date ]]-Table64[[#This Row],[Order date]])</f>
        <v/>
      </c>
      <c r="P453" s="27" t="str">
        <f>TEXT(Table64[[#This Row],[Order date]],"mmm-yyyy")</f>
        <v>Apr-2024</v>
      </c>
      <c r="Q453" s="16" t="str">
        <f t="shared" si="7"/>
        <v/>
      </c>
    </row>
    <row r="454" spans="1:17" x14ac:dyDescent="0.3">
      <c r="A454" s="12">
        <v>10453</v>
      </c>
      <c r="B454" s="1">
        <v>6633</v>
      </c>
      <c r="C454" s="1" t="s">
        <v>16</v>
      </c>
      <c r="D454" s="2">
        <v>20555.8</v>
      </c>
      <c r="E454" s="1">
        <v>67</v>
      </c>
      <c r="F454" s="1" t="s">
        <v>22</v>
      </c>
      <c r="G454" s="3">
        <v>45337</v>
      </c>
      <c r="H454" s="2">
        <v>127514.31</v>
      </c>
      <c r="I454" s="13" t="s">
        <v>14</v>
      </c>
      <c r="J454" s="14" t="s">
        <v>15</v>
      </c>
      <c r="K454" s="14">
        <v>1181</v>
      </c>
      <c r="L454" s="15">
        <v>45332</v>
      </c>
      <c r="M454" s="16">
        <v>11</v>
      </c>
      <c r="N4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54" s="31" t="str">
        <f>IF(Table64[[#This Row],[date validity flag]]&lt;&gt;"Valid","",Table64[[#This Row],[shipment date ]]-Table64[[#This Row],[Order date]])</f>
        <v/>
      </c>
      <c r="P454" s="27" t="str">
        <f>TEXT(Table64[[#This Row],[Order date]],"mmm-yyyy")</f>
        <v>Feb-2024</v>
      </c>
      <c r="Q454" s="16" t="str">
        <f t="shared" si="7"/>
        <v/>
      </c>
    </row>
    <row r="455" spans="1:17" x14ac:dyDescent="0.3">
      <c r="A455" s="17">
        <v>10454</v>
      </c>
      <c r="B455" s="4">
        <v>5284</v>
      </c>
      <c r="C455" s="4" t="s">
        <v>16</v>
      </c>
      <c r="D455" s="5">
        <v>62555.66</v>
      </c>
      <c r="E455" s="4">
        <v>44</v>
      </c>
      <c r="F455" s="4" t="s">
        <v>21</v>
      </c>
      <c r="G455" s="6">
        <v>45306</v>
      </c>
      <c r="H455" s="5">
        <v>71188.539999999994</v>
      </c>
      <c r="I455" s="18" t="s">
        <v>17</v>
      </c>
      <c r="J455" s="14" t="s">
        <v>19</v>
      </c>
      <c r="K455" s="14">
        <v>268</v>
      </c>
      <c r="L455" s="15">
        <v>45332</v>
      </c>
      <c r="M455" s="16">
        <v>4</v>
      </c>
      <c r="N4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55" s="31">
        <f>IF(Table64[[#This Row],[date validity flag]]&lt;&gt;"Valid","",Table64[[#This Row],[shipment date ]]-Table64[[#This Row],[Order date]])</f>
        <v>26</v>
      </c>
      <c r="P455" s="27" t="str">
        <f>TEXT(Table64[[#This Row],[Order date]],"mmm-yyyy")</f>
        <v>Jan-2024</v>
      </c>
      <c r="Q455" s="16" t="str">
        <f t="shared" si="7"/>
        <v>Delayed</v>
      </c>
    </row>
    <row r="456" spans="1:17" x14ac:dyDescent="0.3">
      <c r="A456" s="12">
        <v>10455</v>
      </c>
      <c r="B456" s="1">
        <v>5879</v>
      </c>
      <c r="C456" s="1" t="s">
        <v>16</v>
      </c>
      <c r="D456" s="2">
        <v>34415.769999999997</v>
      </c>
      <c r="E456" s="1">
        <v>33</v>
      </c>
      <c r="F456" s="1" t="s">
        <v>22</v>
      </c>
      <c r="G456" s="3">
        <v>45337</v>
      </c>
      <c r="H456" s="2">
        <v>124093.28</v>
      </c>
      <c r="I456" s="13" t="s">
        <v>20</v>
      </c>
      <c r="J456" s="14" t="s">
        <v>18</v>
      </c>
      <c r="K456" s="14">
        <v>492</v>
      </c>
      <c r="L456" s="15">
        <v>45397</v>
      </c>
      <c r="M456" s="16">
        <v>14</v>
      </c>
      <c r="N4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56" s="31">
        <f>IF(Table64[[#This Row],[date validity flag]]&lt;&gt;"Valid","",Table64[[#This Row],[shipment date ]]-Table64[[#This Row],[Order date]])</f>
        <v>60</v>
      </c>
      <c r="P456" s="27" t="str">
        <f>TEXT(Table64[[#This Row],[Order date]],"mmm-yyyy")</f>
        <v>Feb-2024</v>
      </c>
      <c r="Q456" s="16" t="str">
        <f t="shared" si="7"/>
        <v>Delayed</v>
      </c>
    </row>
    <row r="457" spans="1:17" x14ac:dyDescent="0.3">
      <c r="A457" s="17">
        <v>10456</v>
      </c>
      <c r="B457" s="4">
        <v>5960</v>
      </c>
      <c r="C457" s="4" t="s">
        <v>16</v>
      </c>
      <c r="D457" s="5">
        <v>68273.240000000005</v>
      </c>
      <c r="E457" s="4">
        <v>73</v>
      </c>
      <c r="F457" s="4" t="s">
        <v>21</v>
      </c>
      <c r="G457" s="6">
        <v>45383</v>
      </c>
      <c r="H457" s="5">
        <v>123659.86</v>
      </c>
      <c r="I457" s="18" t="s">
        <v>17</v>
      </c>
      <c r="J457" s="14" t="s">
        <v>18</v>
      </c>
      <c r="K457" s="14">
        <v>364</v>
      </c>
      <c r="L457" s="15">
        <v>45332</v>
      </c>
      <c r="M457" s="16">
        <v>11</v>
      </c>
      <c r="N45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57" s="31" t="str">
        <f>IF(Table64[[#This Row],[date validity flag]]&lt;&gt;"Valid","",Table64[[#This Row],[shipment date ]]-Table64[[#This Row],[Order date]])</f>
        <v/>
      </c>
      <c r="P457" s="27" t="str">
        <f>TEXT(Table64[[#This Row],[Order date]],"mmm-yyyy")</f>
        <v>Apr-2024</v>
      </c>
      <c r="Q457" s="16" t="str">
        <f t="shared" si="7"/>
        <v/>
      </c>
    </row>
    <row r="458" spans="1:17" x14ac:dyDescent="0.3">
      <c r="A458" s="12">
        <v>10457</v>
      </c>
      <c r="B458" s="1">
        <v>6505</v>
      </c>
      <c r="C458" s="1" t="s">
        <v>16</v>
      </c>
      <c r="D458" s="2">
        <v>79442.36</v>
      </c>
      <c r="E458" s="1">
        <v>61</v>
      </c>
      <c r="F458" s="1" t="s">
        <v>13</v>
      </c>
      <c r="G458" s="3">
        <v>45383</v>
      </c>
      <c r="H458" s="2">
        <v>35974.160000000003</v>
      </c>
      <c r="I458" s="13" t="s">
        <v>17</v>
      </c>
      <c r="J458" s="14" t="s">
        <v>19</v>
      </c>
      <c r="K458" s="14">
        <v>226</v>
      </c>
      <c r="L458" s="15">
        <v>45397</v>
      </c>
      <c r="M458" s="16">
        <v>5</v>
      </c>
      <c r="N4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58" s="31">
        <f>IF(Table64[[#This Row],[date validity flag]]&lt;&gt;"Valid","",Table64[[#This Row],[shipment date ]]-Table64[[#This Row],[Order date]])</f>
        <v>14</v>
      </c>
      <c r="P458" s="27" t="str">
        <f>TEXT(Table64[[#This Row],[Order date]],"mmm-yyyy")</f>
        <v>Apr-2024</v>
      </c>
      <c r="Q458" s="16" t="str">
        <f t="shared" si="7"/>
        <v>Delayed</v>
      </c>
    </row>
    <row r="459" spans="1:17" x14ac:dyDescent="0.3">
      <c r="A459" s="17">
        <v>10458</v>
      </c>
      <c r="B459" s="4">
        <v>5453</v>
      </c>
      <c r="C459" s="4" t="s">
        <v>16</v>
      </c>
      <c r="D459" s="5">
        <v>29211.79</v>
      </c>
      <c r="E459" s="4">
        <v>9</v>
      </c>
      <c r="F459" s="4" t="s">
        <v>13</v>
      </c>
      <c r="G459" s="6">
        <v>45306</v>
      </c>
      <c r="H459" s="5">
        <v>68507.09</v>
      </c>
      <c r="I459" s="18" t="s">
        <v>17</v>
      </c>
      <c r="J459" s="14" t="s">
        <v>19</v>
      </c>
      <c r="K459" s="14">
        <v>277</v>
      </c>
      <c r="L459" s="15">
        <v>45397</v>
      </c>
      <c r="M459" s="16">
        <v>13</v>
      </c>
      <c r="N4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59" s="31">
        <f>IF(Table64[[#This Row],[date validity flag]]&lt;&gt;"Valid","",Table64[[#This Row],[shipment date ]]-Table64[[#This Row],[Order date]])</f>
        <v>91</v>
      </c>
      <c r="P459" s="27" t="str">
        <f>TEXT(Table64[[#This Row],[Order date]],"mmm-yyyy")</f>
        <v>Jan-2024</v>
      </c>
      <c r="Q459" s="16" t="str">
        <f t="shared" si="7"/>
        <v>Delayed</v>
      </c>
    </row>
    <row r="460" spans="1:17" x14ac:dyDescent="0.3">
      <c r="A460" s="12">
        <v>10459</v>
      </c>
      <c r="B460" s="1">
        <v>6020</v>
      </c>
      <c r="C460" s="1" t="s">
        <v>16</v>
      </c>
      <c r="D460" s="2">
        <v>36091.08</v>
      </c>
      <c r="E460" s="1">
        <v>68</v>
      </c>
      <c r="F460" s="1" t="s">
        <v>23</v>
      </c>
      <c r="G460" s="3">
        <v>45361</v>
      </c>
      <c r="H460" s="2">
        <v>67484.86</v>
      </c>
      <c r="I460" s="13" t="s">
        <v>17</v>
      </c>
      <c r="J460" s="14" t="s">
        <v>18</v>
      </c>
      <c r="K460" s="14">
        <v>316</v>
      </c>
      <c r="L460" s="15">
        <v>45361</v>
      </c>
      <c r="M460" s="16">
        <v>9</v>
      </c>
      <c r="N4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60" s="31">
        <f>IF(Table64[[#This Row],[date validity flag]]&lt;&gt;"Valid","",Table64[[#This Row],[shipment date ]]-Table64[[#This Row],[Order date]])</f>
        <v>0</v>
      </c>
      <c r="P460" s="27" t="str">
        <f>TEXT(Table64[[#This Row],[Order date]],"mmm-yyyy")</f>
        <v>Mar-2024</v>
      </c>
      <c r="Q460" s="16" t="str">
        <f t="shared" si="7"/>
        <v>On Time</v>
      </c>
    </row>
    <row r="461" spans="1:17" x14ac:dyDescent="0.3">
      <c r="A461" s="17">
        <v>10460</v>
      </c>
      <c r="B461" s="4">
        <v>6853</v>
      </c>
      <c r="C461" s="4" t="s">
        <v>12</v>
      </c>
      <c r="D461" s="5">
        <v>9146.74</v>
      </c>
      <c r="E461" s="4">
        <v>35</v>
      </c>
      <c r="F461" s="4" t="s">
        <v>21</v>
      </c>
      <c r="G461" s="6">
        <v>45337</v>
      </c>
      <c r="H461" s="5">
        <v>162881.46</v>
      </c>
      <c r="I461" s="18" t="s">
        <v>20</v>
      </c>
      <c r="J461" s="14" t="s">
        <v>18</v>
      </c>
      <c r="K461" s="14">
        <v>919</v>
      </c>
      <c r="L461" s="15">
        <v>45332</v>
      </c>
      <c r="M461" s="16">
        <v>12</v>
      </c>
      <c r="N46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61" s="31" t="str">
        <f>IF(Table64[[#This Row],[date validity flag]]&lt;&gt;"Valid","",Table64[[#This Row],[shipment date ]]-Table64[[#This Row],[Order date]])</f>
        <v/>
      </c>
      <c r="P461" s="27" t="str">
        <f>TEXT(Table64[[#This Row],[Order date]],"mmm-yyyy")</f>
        <v>Feb-2024</v>
      </c>
      <c r="Q461" s="16" t="str">
        <f t="shared" si="7"/>
        <v/>
      </c>
    </row>
    <row r="462" spans="1:17" x14ac:dyDescent="0.3">
      <c r="A462" s="12">
        <v>10461</v>
      </c>
      <c r="B462" s="1">
        <v>5816</v>
      </c>
      <c r="C462" s="1" t="s">
        <v>16</v>
      </c>
      <c r="D462" s="2">
        <v>64555.51</v>
      </c>
      <c r="E462" s="1">
        <v>81</v>
      </c>
      <c r="F462" s="1" t="s">
        <v>21</v>
      </c>
      <c r="G462" s="3">
        <v>45383</v>
      </c>
      <c r="H462" s="2">
        <v>79878.66</v>
      </c>
      <c r="I462" s="13" t="s">
        <v>14</v>
      </c>
      <c r="J462" s="14" t="s">
        <v>18</v>
      </c>
      <c r="K462" s="14">
        <v>887</v>
      </c>
      <c r="L462" s="15">
        <v>45332</v>
      </c>
      <c r="M462" s="16">
        <v>9</v>
      </c>
      <c r="N46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62" s="31" t="str">
        <f>IF(Table64[[#This Row],[date validity flag]]&lt;&gt;"Valid","",Table64[[#This Row],[shipment date ]]-Table64[[#This Row],[Order date]])</f>
        <v/>
      </c>
      <c r="P462" s="27" t="str">
        <f>TEXT(Table64[[#This Row],[Order date]],"mmm-yyyy")</f>
        <v>Apr-2024</v>
      </c>
      <c r="Q462" s="16" t="str">
        <f t="shared" si="7"/>
        <v/>
      </c>
    </row>
    <row r="463" spans="1:17" x14ac:dyDescent="0.3">
      <c r="A463" s="17">
        <v>10462</v>
      </c>
      <c r="B463" s="4">
        <v>5659</v>
      </c>
      <c r="C463" s="4" t="s">
        <v>16</v>
      </c>
      <c r="D463" s="5">
        <v>22582.1</v>
      </c>
      <c r="E463" s="4">
        <v>98</v>
      </c>
      <c r="F463" s="4" t="s">
        <v>23</v>
      </c>
      <c r="G463" s="6">
        <v>45337</v>
      </c>
      <c r="H463" s="5">
        <v>88097.67</v>
      </c>
      <c r="I463" s="18" t="s">
        <v>17</v>
      </c>
      <c r="J463" s="14" t="s">
        <v>18</v>
      </c>
      <c r="K463" s="14">
        <v>1452</v>
      </c>
      <c r="L463" s="15">
        <v>45397</v>
      </c>
      <c r="M463" s="16">
        <v>10</v>
      </c>
      <c r="N4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63" s="31">
        <f>IF(Table64[[#This Row],[date validity flag]]&lt;&gt;"Valid","",Table64[[#This Row],[shipment date ]]-Table64[[#This Row],[Order date]])</f>
        <v>60</v>
      </c>
      <c r="P463" s="27" t="str">
        <f>TEXT(Table64[[#This Row],[Order date]],"mmm-yyyy")</f>
        <v>Feb-2024</v>
      </c>
      <c r="Q463" s="16" t="str">
        <f t="shared" si="7"/>
        <v>Delayed</v>
      </c>
    </row>
    <row r="464" spans="1:17" x14ac:dyDescent="0.3">
      <c r="A464" s="12">
        <v>10463</v>
      </c>
      <c r="B464" s="1">
        <v>6540</v>
      </c>
      <c r="C464" s="1" t="s">
        <v>16</v>
      </c>
      <c r="D464" s="2">
        <v>45581.599999999999</v>
      </c>
      <c r="E464" s="1">
        <v>88</v>
      </c>
      <c r="F464" s="1" t="s">
        <v>23</v>
      </c>
      <c r="G464" s="3">
        <v>45337</v>
      </c>
      <c r="H464" s="2">
        <v>61829.85</v>
      </c>
      <c r="I464" s="13" t="s">
        <v>20</v>
      </c>
      <c r="J464" s="14" t="s">
        <v>18</v>
      </c>
      <c r="K464" s="14">
        <v>538</v>
      </c>
      <c r="L464" s="15">
        <v>45361</v>
      </c>
      <c r="M464" s="16">
        <v>13</v>
      </c>
      <c r="N4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64" s="31">
        <f>IF(Table64[[#This Row],[date validity flag]]&lt;&gt;"Valid","",Table64[[#This Row],[shipment date ]]-Table64[[#This Row],[Order date]])</f>
        <v>24</v>
      </c>
      <c r="P464" s="27" t="str">
        <f>TEXT(Table64[[#This Row],[Order date]],"mmm-yyyy")</f>
        <v>Feb-2024</v>
      </c>
      <c r="Q464" s="16" t="str">
        <f t="shared" si="7"/>
        <v>Delayed</v>
      </c>
    </row>
    <row r="465" spans="1:17" x14ac:dyDescent="0.3">
      <c r="A465" s="17">
        <v>10464</v>
      </c>
      <c r="B465" s="4">
        <v>5547</v>
      </c>
      <c r="C465" s="4" t="s">
        <v>16</v>
      </c>
      <c r="D465" s="5">
        <v>26926.26</v>
      </c>
      <c r="E465" s="4">
        <v>96</v>
      </c>
      <c r="F465" s="4" t="s">
        <v>21</v>
      </c>
      <c r="G465" s="6">
        <v>45361</v>
      </c>
      <c r="H465" s="5">
        <v>78293.58</v>
      </c>
      <c r="I465" s="18" t="s">
        <v>17</v>
      </c>
      <c r="J465" s="14" t="s">
        <v>19</v>
      </c>
      <c r="K465" s="14">
        <v>751</v>
      </c>
      <c r="L465" s="15">
        <v>45361</v>
      </c>
      <c r="M465" s="16">
        <v>12</v>
      </c>
      <c r="N4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65" s="31">
        <f>IF(Table64[[#This Row],[date validity flag]]&lt;&gt;"Valid","",Table64[[#This Row],[shipment date ]]-Table64[[#This Row],[Order date]])</f>
        <v>0</v>
      </c>
      <c r="P465" s="27" t="str">
        <f>TEXT(Table64[[#This Row],[Order date]],"mmm-yyyy")</f>
        <v>Mar-2024</v>
      </c>
      <c r="Q465" s="16" t="str">
        <f t="shared" si="7"/>
        <v>On Time</v>
      </c>
    </row>
    <row r="466" spans="1:17" x14ac:dyDescent="0.3">
      <c r="A466" s="12">
        <v>10465</v>
      </c>
      <c r="B466" s="1">
        <v>6216</v>
      </c>
      <c r="C466" s="1" t="s">
        <v>16</v>
      </c>
      <c r="D466" s="2">
        <v>47765.93</v>
      </c>
      <c r="E466" s="1">
        <v>65</v>
      </c>
      <c r="F466" s="1" t="s">
        <v>23</v>
      </c>
      <c r="G466" s="3">
        <v>45383</v>
      </c>
      <c r="H466" s="2">
        <v>58496.959999999999</v>
      </c>
      <c r="I466" s="13" t="s">
        <v>17</v>
      </c>
      <c r="J466" s="14" t="s">
        <v>15</v>
      </c>
      <c r="K466" s="14">
        <v>736</v>
      </c>
      <c r="L466" s="15">
        <v>45332</v>
      </c>
      <c r="M466" s="16">
        <v>14</v>
      </c>
      <c r="N46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66" s="31" t="str">
        <f>IF(Table64[[#This Row],[date validity flag]]&lt;&gt;"Valid","",Table64[[#This Row],[shipment date ]]-Table64[[#This Row],[Order date]])</f>
        <v/>
      </c>
      <c r="P466" s="27" t="str">
        <f>TEXT(Table64[[#This Row],[Order date]],"mmm-yyyy")</f>
        <v>Apr-2024</v>
      </c>
      <c r="Q466" s="16" t="str">
        <f t="shared" si="7"/>
        <v/>
      </c>
    </row>
    <row r="467" spans="1:17" x14ac:dyDescent="0.3">
      <c r="A467" s="17">
        <v>10466</v>
      </c>
      <c r="B467" s="4">
        <v>6073</v>
      </c>
      <c r="C467" s="4" t="s">
        <v>12</v>
      </c>
      <c r="D467" s="5">
        <v>30878.57</v>
      </c>
      <c r="E467" s="4">
        <v>8</v>
      </c>
      <c r="F467" s="4" t="s">
        <v>13</v>
      </c>
      <c r="G467" s="6">
        <v>45337</v>
      </c>
      <c r="H467" s="5">
        <v>71523.820000000007</v>
      </c>
      <c r="I467" s="18" t="s">
        <v>17</v>
      </c>
      <c r="J467" s="14" t="s">
        <v>18</v>
      </c>
      <c r="K467" s="14">
        <v>1363</v>
      </c>
      <c r="L467" s="15">
        <v>45397</v>
      </c>
      <c r="M467" s="16">
        <v>1</v>
      </c>
      <c r="N4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67" s="31">
        <f>IF(Table64[[#This Row],[date validity flag]]&lt;&gt;"Valid","",Table64[[#This Row],[shipment date ]]-Table64[[#This Row],[Order date]])</f>
        <v>60</v>
      </c>
      <c r="P467" s="27" t="str">
        <f>TEXT(Table64[[#This Row],[Order date]],"mmm-yyyy")</f>
        <v>Feb-2024</v>
      </c>
      <c r="Q467" s="16" t="str">
        <f t="shared" si="7"/>
        <v>Delayed</v>
      </c>
    </row>
    <row r="468" spans="1:17" x14ac:dyDescent="0.3">
      <c r="A468" s="12">
        <v>10467</v>
      </c>
      <c r="B468" s="1">
        <v>6536</v>
      </c>
      <c r="C468" s="1" t="s">
        <v>16</v>
      </c>
      <c r="D468" s="2">
        <v>51097.85</v>
      </c>
      <c r="E468" s="1">
        <v>45</v>
      </c>
      <c r="F468" s="1" t="s">
        <v>22</v>
      </c>
      <c r="G468" s="3">
        <v>45383</v>
      </c>
      <c r="H468" s="2">
        <v>113134.85</v>
      </c>
      <c r="I468" s="13" t="s">
        <v>17</v>
      </c>
      <c r="J468" s="14" t="s">
        <v>18</v>
      </c>
      <c r="K468" s="14">
        <v>1045</v>
      </c>
      <c r="L468" s="15">
        <v>45332</v>
      </c>
      <c r="M468" s="16">
        <v>14</v>
      </c>
      <c r="N46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68" s="31" t="str">
        <f>IF(Table64[[#This Row],[date validity flag]]&lt;&gt;"Valid","",Table64[[#This Row],[shipment date ]]-Table64[[#This Row],[Order date]])</f>
        <v/>
      </c>
      <c r="P468" s="27" t="str">
        <f>TEXT(Table64[[#This Row],[Order date]],"mmm-yyyy")</f>
        <v>Apr-2024</v>
      </c>
      <c r="Q468" s="16" t="str">
        <f t="shared" si="7"/>
        <v/>
      </c>
    </row>
    <row r="469" spans="1:17" x14ac:dyDescent="0.3">
      <c r="A469" s="17">
        <v>10468</v>
      </c>
      <c r="B469" s="4">
        <v>5017</v>
      </c>
      <c r="C469" s="4" t="s">
        <v>16</v>
      </c>
      <c r="D469" s="5">
        <v>34764.699999999997</v>
      </c>
      <c r="E469" s="4">
        <v>87</v>
      </c>
      <c r="F469" s="4" t="s">
        <v>13</v>
      </c>
      <c r="G469" s="6">
        <v>45306</v>
      </c>
      <c r="H469" s="5">
        <v>109343.32</v>
      </c>
      <c r="I469" s="18" t="s">
        <v>14</v>
      </c>
      <c r="J469" s="14" t="s">
        <v>15</v>
      </c>
      <c r="K469" s="14">
        <v>406</v>
      </c>
      <c r="L469" s="15">
        <v>45332</v>
      </c>
      <c r="M469" s="16">
        <v>14</v>
      </c>
      <c r="N4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69" s="31">
        <f>IF(Table64[[#This Row],[date validity flag]]&lt;&gt;"Valid","",Table64[[#This Row],[shipment date ]]-Table64[[#This Row],[Order date]])</f>
        <v>26</v>
      </c>
      <c r="P469" s="27" t="str">
        <f>TEXT(Table64[[#This Row],[Order date]],"mmm-yyyy")</f>
        <v>Jan-2024</v>
      </c>
      <c r="Q469" s="16" t="str">
        <f t="shared" si="7"/>
        <v>Delayed</v>
      </c>
    </row>
    <row r="470" spans="1:17" x14ac:dyDescent="0.3">
      <c r="A470" s="12">
        <v>10469</v>
      </c>
      <c r="B470" s="1">
        <v>6196</v>
      </c>
      <c r="C470" s="1" t="s">
        <v>12</v>
      </c>
      <c r="D470" s="2">
        <v>52705.51</v>
      </c>
      <c r="E470" s="1">
        <v>47</v>
      </c>
      <c r="F470" s="1" t="s">
        <v>23</v>
      </c>
      <c r="G470" s="3">
        <v>45306</v>
      </c>
      <c r="H470" s="2">
        <v>51785.04</v>
      </c>
      <c r="I470" s="13" t="s">
        <v>17</v>
      </c>
      <c r="J470" s="14" t="s">
        <v>15</v>
      </c>
      <c r="K470" s="14">
        <v>921</v>
      </c>
      <c r="L470" s="15">
        <v>45332</v>
      </c>
      <c r="M470" s="16">
        <v>8</v>
      </c>
      <c r="N4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70" s="31">
        <f>IF(Table64[[#This Row],[date validity flag]]&lt;&gt;"Valid","",Table64[[#This Row],[shipment date ]]-Table64[[#This Row],[Order date]])</f>
        <v>26</v>
      </c>
      <c r="P470" s="27" t="str">
        <f>TEXT(Table64[[#This Row],[Order date]],"mmm-yyyy")</f>
        <v>Jan-2024</v>
      </c>
      <c r="Q470" s="16" t="str">
        <f t="shared" si="7"/>
        <v>Delayed</v>
      </c>
    </row>
    <row r="471" spans="1:17" x14ac:dyDescent="0.3">
      <c r="A471" s="17">
        <v>10470</v>
      </c>
      <c r="B471" s="4">
        <v>6244</v>
      </c>
      <c r="C471" s="4" t="s">
        <v>16</v>
      </c>
      <c r="D471" s="5">
        <v>15520.07</v>
      </c>
      <c r="E471" s="4">
        <v>40</v>
      </c>
      <c r="F471" s="4" t="s">
        <v>21</v>
      </c>
      <c r="G471" s="6">
        <v>45337</v>
      </c>
      <c r="H471" s="5">
        <v>98597.35</v>
      </c>
      <c r="I471" s="18" t="s">
        <v>17</v>
      </c>
      <c r="J471" s="14" t="s">
        <v>15</v>
      </c>
      <c r="K471" s="14">
        <v>253</v>
      </c>
      <c r="L471" s="15">
        <v>45332</v>
      </c>
      <c r="M471" s="16">
        <v>14</v>
      </c>
      <c r="N47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71" s="31" t="str">
        <f>IF(Table64[[#This Row],[date validity flag]]&lt;&gt;"Valid","",Table64[[#This Row],[shipment date ]]-Table64[[#This Row],[Order date]])</f>
        <v/>
      </c>
      <c r="P471" s="27" t="str">
        <f>TEXT(Table64[[#This Row],[Order date]],"mmm-yyyy")</f>
        <v>Feb-2024</v>
      </c>
      <c r="Q471" s="16" t="str">
        <f t="shared" si="7"/>
        <v/>
      </c>
    </row>
    <row r="472" spans="1:17" x14ac:dyDescent="0.3">
      <c r="A472" s="12">
        <v>10471</v>
      </c>
      <c r="B472" s="1">
        <v>5158</v>
      </c>
      <c r="C472" s="1" t="s">
        <v>12</v>
      </c>
      <c r="D472" s="2">
        <v>22972.799999999999</v>
      </c>
      <c r="E472" s="1">
        <v>76</v>
      </c>
      <c r="F472" s="1" t="s">
        <v>21</v>
      </c>
      <c r="G472" s="3">
        <v>45383</v>
      </c>
      <c r="H472" s="2">
        <v>57753.13</v>
      </c>
      <c r="I472" s="13" t="s">
        <v>14</v>
      </c>
      <c r="J472" s="14" t="s">
        <v>15</v>
      </c>
      <c r="K472" s="14">
        <v>1286</v>
      </c>
      <c r="L472" s="15">
        <v>45397</v>
      </c>
      <c r="M472" s="16">
        <v>1</v>
      </c>
      <c r="N4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72" s="31">
        <f>IF(Table64[[#This Row],[date validity flag]]&lt;&gt;"Valid","",Table64[[#This Row],[shipment date ]]-Table64[[#This Row],[Order date]])</f>
        <v>14</v>
      </c>
      <c r="P472" s="27" t="str">
        <f>TEXT(Table64[[#This Row],[Order date]],"mmm-yyyy")</f>
        <v>Apr-2024</v>
      </c>
      <c r="Q472" s="16" t="str">
        <f t="shared" si="7"/>
        <v>Delayed</v>
      </c>
    </row>
    <row r="473" spans="1:17" x14ac:dyDescent="0.3">
      <c r="A473" s="17">
        <v>10472</v>
      </c>
      <c r="B473" s="4">
        <v>5477</v>
      </c>
      <c r="C473" s="4" t="s">
        <v>16</v>
      </c>
      <c r="D473" s="5">
        <v>75111.490000000005</v>
      </c>
      <c r="E473" s="4">
        <v>54</v>
      </c>
      <c r="F473" s="4" t="s">
        <v>13</v>
      </c>
      <c r="G473" s="6">
        <v>45337</v>
      </c>
      <c r="H473" s="5">
        <v>61031.24</v>
      </c>
      <c r="I473" s="18" t="s">
        <v>17</v>
      </c>
      <c r="J473" s="14" t="s">
        <v>15</v>
      </c>
      <c r="K473" s="14">
        <v>601</v>
      </c>
      <c r="L473" s="15">
        <v>45361</v>
      </c>
      <c r="M473" s="16">
        <v>2</v>
      </c>
      <c r="N4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73" s="31">
        <f>IF(Table64[[#This Row],[date validity flag]]&lt;&gt;"Valid","",Table64[[#This Row],[shipment date ]]-Table64[[#This Row],[Order date]])</f>
        <v>24</v>
      </c>
      <c r="P473" s="27" t="str">
        <f>TEXT(Table64[[#This Row],[Order date]],"mmm-yyyy")</f>
        <v>Feb-2024</v>
      </c>
      <c r="Q473" s="16" t="str">
        <f t="shared" si="7"/>
        <v>Delayed</v>
      </c>
    </row>
    <row r="474" spans="1:17" x14ac:dyDescent="0.3">
      <c r="A474" s="12">
        <v>10473</v>
      </c>
      <c r="B474" s="1">
        <v>6070</v>
      </c>
      <c r="C474" s="1" t="s">
        <v>12</v>
      </c>
      <c r="D474" s="2">
        <v>83833.22</v>
      </c>
      <c r="E474" s="1">
        <v>76</v>
      </c>
      <c r="F474" s="1" t="s">
        <v>21</v>
      </c>
      <c r="G474" s="3">
        <v>45383</v>
      </c>
      <c r="H474" s="2">
        <v>25085.83</v>
      </c>
      <c r="I474" s="13" t="s">
        <v>20</v>
      </c>
      <c r="J474" s="14" t="s">
        <v>15</v>
      </c>
      <c r="K474" s="14">
        <v>372</v>
      </c>
      <c r="L474" s="15">
        <v>45332</v>
      </c>
      <c r="M474" s="16">
        <v>7</v>
      </c>
      <c r="N47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74" s="31" t="str">
        <f>IF(Table64[[#This Row],[date validity flag]]&lt;&gt;"Valid","",Table64[[#This Row],[shipment date ]]-Table64[[#This Row],[Order date]])</f>
        <v/>
      </c>
      <c r="P474" s="27" t="str">
        <f>TEXT(Table64[[#This Row],[Order date]],"mmm-yyyy")</f>
        <v>Apr-2024</v>
      </c>
      <c r="Q474" s="16" t="str">
        <f t="shared" si="7"/>
        <v/>
      </c>
    </row>
    <row r="475" spans="1:17" x14ac:dyDescent="0.3">
      <c r="A475" s="17">
        <v>10474</v>
      </c>
      <c r="B475" s="4">
        <v>6397</v>
      </c>
      <c r="C475" s="4" t="s">
        <v>12</v>
      </c>
      <c r="D475" s="5">
        <v>89567.65</v>
      </c>
      <c r="E475" s="4">
        <v>46</v>
      </c>
      <c r="F475" s="4" t="s">
        <v>23</v>
      </c>
      <c r="G475" s="6">
        <v>45383</v>
      </c>
      <c r="H475" s="5">
        <v>157330.66</v>
      </c>
      <c r="I475" s="18" t="s">
        <v>17</v>
      </c>
      <c r="J475" s="14" t="s">
        <v>19</v>
      </c>
      <c r="K475" s="14">
        <v>643</v>
      </c>
      <c r="L475" s="15">
        <v>45332</v>
      </c>
      <c r="M475" s="16">
        <v>8</v>
      </c>
      <c r="N4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75" s="31" t="str">
        <f>IF(Table64[[#This Row],[date validity flag]]&lt;&gt;"Valid","",Table64[[#This Row],[shipment date ]]-Table64[[#This Row],[Order date]])</f>
        <v/>
      </c>
      <c r="P475" s="27" t="str">
        <f>TEXT(Table64[[#This Row],[Order date]],"mmm-yyyy")</f>
        <v>Apr-2024</v>
      </c>
      <c r="Q475" s="16" t="str">
        <f t="shared" si="7"/>
        <v/>
      </c>
    </row>
    <row r="476" spans="1:17" x14ac:dyDescent="0.3">
      <c r="A476" s="12">
        <v>10475</v>
      </c>
      <c r="B476" s="1">
        <v>5518</v>
      </c>
      <c r="C476" s="1" t="s">
        <v>16</v>
      </c>
      <c r="D476" s="2">
        <v>65905.279999999999</v>
      </c>
      <c r="E476" s="1">
        <v>47</v>
      </c>
      <c r="F476" s="1" t="s">
        <v>13</v>
      </c>
      <c r="G476" s="3">
        <v>45361</v>
      </c>
      <c r="H476" s="2">
        <v>60993.89</v>
      </c>
      <c r="I476" s="13" t="s">
        <v>17</v>
      </c>
      <c r="J476" s="14" t="s">
        <v>15</v>
      </c>
      <c r="K476" s="14">
        <v>230</v>
      </c>
      <c r="L476" s="15">
        <v>45332</v>
      </c>
      <c r="M476" s="16">
        <v>1</v>
      </c>
      <c r="N47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76" s="31" t="str">
        <f>IF(Table64[[#This Row],[date validity flag]]&lt;&gt;"Valid","",Table64[[#This Row],[shipment date ]]-Table64[[#This Row],[Order date]])</f>
        <v/>
      </c>
      <c r="P476" s="27" t="str">
        <f>TEXT(Table64[[#This Row],[Order date]],"mmm-yyyy")</f>
        <v>Mar-2024</v>
      </c>
      <c r="Q476" s="16" t="str">
        <f t="shared" si="7"/>
        <v/>
      </c>
    </row>
    <row r="477" spans="1:17" x14ac:dyDescent="0.3">
      <c r="A477" s="17">
        <v>10476</v>
      </c>
      <c r="B477" s="4">
        <v>5099</v>
      </c>
      <c r="C477" s="4" t="s">
        <v>16</v>
      </c>
      <c r="D477" s="5">
        <v>20909.84</v>
      </c>
      <c r="E477" s="4">
        <v>15</v>
      </c>
      <c r="F477" s="4" t="s">
        <v>21</v>
      </c>
      <c r="G477" s="6">
        <v>45361</v>
      </c>
      <c r="H477" s="5">
        <v>107790.39999999999</v>
      </c>
      <c r="I477" s="18" t="s">
        <v>17</v>
      </c>
      <c r="J477" s="14" t="s">
        <v>15</v>
      </c>
      <c r="K477" s="14">
        <v>548</v>
      </c>
      <c r="L477" s="15">
        <v>45332</v>
      </c>
      <c r="M477" s="16">
        <v>3</v>
      </c>
      <c r="N47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77" s="31" t="str">
        <f>IF(Table64[[#This Row],[date validity flag]]&lt;&gt;"Valid","",Table64[[#This Row],[shipment date ]]-Table64[[#This Row],[Order date]])</f>
        <v/>
      </c>
      <c r="P477" s="27" t="str">
        <f>TEXT(Table64[[#This Row],[Order date]],"mmm-yyyy")</f>
        <v>Mar-2024</v>
      </c>
      <c r="Q477" s="16" t="str">
        <f t="shared" si="7"/>
        <v/>
      </c>
    </row>
    <row r="478" spans="1:17" x14ac:dyDescent="0.3">
      <c r="A478" s="12">
        <v>10477</v>
      </c>
      <c r="B478" s="1">
        <v>6916</v>
      </c>
      <c r="C478" s="1" t="s">
        <v>12</v>
      </c>
      <c r="D478" s="2">
        <v>15388</v>
      </c>
      <c r="E478" s="1">
        <v>19</v>
      </c>
      <c r="F478" s="1" t="s">
        <v>22</v>
      </c>
      <c r="G478" s="3">
        <v>45361</v>
      </c>
      <c r="H478" s="2">
        <v>51337.35</v>
      </c>
      <c r="I478" s="13" t="s">
        <v>17</v>
      </c>
      <c r="J478" s="14" t="s">
        <v>19</v>
      </c>
      <c r="K478" s="14">
        <v>1393</v>
      </c>
      <c r="L478" s="15">
        <v>45361</v>
      </c>
      <c r="M478" s="16">
        <v>7</v>
      </c>
      <c r="N4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78" s="31">
        <f>IF(Table64[[#This Row],[date validity flag]]&lt;&gt;"Valid","",Table64[[#This Row],[shipment date ]]-Table64[[#This Row],[Order date]])</f>
        <v>0</v>
      </c>
      <c r="P478" s="27" t="str">
        <f>TEXT(Table64[[#This Row],[Order date]],"mmm-yyyy")</f>
        <v>Mar-2024</v>
      </c>
      <c r="Q478" s="16" t="str">
        <f t="shared" si="7"/>
        <v>On Time</v>
      </c>
    </row>
    <row r="479" spans="1:17" x14ac:dyDescent="0.3">
      <c r="A479" s="17">
        <v>10478</v>
      </c>
      <c r="B479" s="4">
        <v>6769</v>
      </c>
      <c r="C479" s="4" t="s">
        <v>12</v>
      </c>
      <c r="D479" s="5">
        <v>89621.31</v>
      </c>
      <c r="E479" s="4">
        <v>26</v>
      </c>
      <c r="F479" s="4" t="s">
        <v>22</v>
      </c>
      <c r="G479" s="6">
        <v>45337</v>
      </c>
      <c r="H479" s="5">
        <v>14015.84</v>
      </c>
      <c r="I479" s="18" t="s">
        <v>17</v>
      </c>
      <c r="J479" s="14" t="s">
        <v>15</v>
      </c>
      <c r="K479" s="14">
        <v>132</v>
      </c>
      <c r="L479" s="15">
        <v>45361</v>
      </c>
      <c r="M479" s="16">
        <v>13</v>
      </c>
      <c r="N4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79" s="31">
        <f>IF(Table64[[#This Row],[date validity flag]]&lt;&gt;"Valid","",Table64[[#This Row],[shipment date ]]-Table64[[#This Row],[Order date]])</f>
        <v>24</v>
      </c>
      <c r="P479" s="27" t="str">
        <f>TEXT(Table64[[#This Row],[Order date]],"mmm-yyyy")</f>
        <v>Feb-2024</v>
      </c>
      <c r="Q479" s="16" t="str">
        <f t="shared" si="7"/>
        <v>Delayed</v>
      </c>
    </row>
    <row r="480" spans="1:17" x14ac:dyDescent="0.3">
      <c r="A480" s="12">
        <v>10479</v>
      </c>
      <c r="B480" s="1">
        <v>6061</v>
      </c>
      <c r="C480" s="1" t="s">
        <v>16</v>
      </c>
      <c r="D480" s="2">
        <v>28481.919999999998</v>
      </c>
      <c r="E480" s="1">
        <v>52</v>
      </c>
      <c r="F480" s="1" t="s">
        <v>23</v>
      </c>
      <c r="G480" s="3">
        <v>45361</v>
      </c>
      <c r="H480" s="2">
        <v>67885.710000000006</v>
      </c>
      <c r="I480" s="13" t="s">
        <v>17</v>
      </c>
      <c r="J480" s="14" t="s">
        <v>18</v>
      </c>
      <c r="K480" s="14">
        <v>352</v>
      </c>
      <c r="L480" s="15">
        <v>45361</v>
      </c>
      <c r="M480" s="16">
        <v>9</v>
      </c>
      <c r="N4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80" s="31">
        <f>IF(Table64[[#This Row],[date validity flag]]&lt;&gt;"Valid","",Table64[[#This Row],[shipment date ]]-Table64[[#This Row],[Order date]])</f>
        <v>0</v>
      </c>
      <c r="P480" s="27" t="str">
        <f>TEXT(Table64[[#This Row],[Order date]],"mmm-yyyy")</f>
        <v>Mar-2024</v>
      </c>
      <c r="Q480" s="16" t="str">
        <f t="shared" si="7"/>
        <v>On Time</v>
      </c>
    </row>
    <row r="481" spans="1:17" x14ac:dyDescent="0.3">
      <c r="A481" s="17">
        <v>10480</v>
      </c>
      <c r="B481" s="4">
        <v>5280</v>
      </c>
      <c r="C481" s="4" t="s">
        <v>16</v>
      </c>
      <c r="D481" s="5">
        <v>26633.3</v>
      </c>
      <c r="E481" s="4">
        <v>93</v>
      </c>
      <c r="F481" s="4" t="s">
        <v>21</v>
      </c>
      <c r="G481" s="6">
        <v>45361</v>
      </c>
      <c r="H481" s="5">
        <v>85203.58</v>
      </c>
      <c r="I481" s="18" t="s">
        <v>20</v>
      </c>
      <c r="J481" s="14" t="s">
        <v>18</v>
      </c>
      <c r="K481" s="14">
        <v>311</v>
      </c>
      <c r="L481" s="15">
        <v>45361</v>
      </c>
      <c r="M481" s="16">
        <v>8</v>
      </c>
      <c r="N4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81" s="31">
        <f>IF(Table64[[#This Row],[date validity flag]]&lt;&gt;"Valid","",Table64[[#This Row],[shipment date ]]-Table64[[#This Row],[Order date]])</f>
        <v>0</v>
      </c>
      <c r="P481" s="27" t="str">
        <f>TEXT(Table64[[#This Row],[Order date]],"mmm-yyyy")</f>
        <v>Mar-2024</v>
      </c>
      <c r="Q481" s="16" t="str">
        <f t="shared" si="7"/>
        <v>On Time</v>
      </c>
    </row>
    <row r="482" spans="1:17" x14ac:dyDescent="0.3">
      <c r="A482" s="12">
        <v>10481</v>
      </c>
      <c r="B482" s="1">
        <v>6373</v>
      </c>
      <c r="C482" s="1" t="s">
        <v>16</v>
      </c>
      <c r="D482" s="2">
        <v>14366.92</v>
      </c>
      <c r="E482" s="1">
        <v>22</v>
      </c>
      <c r="F482" s="1" t="s">
        <v>23</v>
      </c>
      <c r="G482" s="3">
        <v>45306</v>
      </c>
      <c r="H482" s="2">
        <v>137168.25</v>
      </c>
      <c r="I482" s="13" t="s">
        <v>17</v>
      </c>
      <c r="J482" s="14" t="s">
        <v>15</v>
      </c>
      <c r="K482" s="14">
        <v>833</v>
      </c>
      <c r="L482" s="15">
        <v>45332</v>
      </c>
      <c r="M482" s="16">
        <v>8</v>
      </c>
      <c r="N4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82" s="31">
        <f>IF(Table64[[#This Row],[date validity flag]]&lt;&gt;"Valid","",Table64[[#This Row],[shipment date ]]-Table64[[#This Row],[Order date]])</f>
        <v>26</v>
      </c>
      <c r="P482" s="27" t="str">
        <f>TEXT(Table64[[#This Row],[Order date]],"mmm-yyyy")</f>
        <v>Jan-2024</v>
      </c>
      <c r="Q482" s="16" t="str">
        <f t="shared" si="7"/>
        <v>Delayed</v>
      </c>
    </row>
    <row r="483" spans="1:17" x14ac:dyDescent="0.3">
      <c r="A483" s="17">
        <v>10482</v>
      </c>
      <c r="B483" s="4">
        <v>5497</v>
      </c>
      <c r="C483" s="4" t="s">
        <v>16</v>
      </c>
      <c r="D483" s="5">
        <v>29558.400000000001</v>
      </c>
      <c r="E483" s="4">
        <v>21</v>
      </c>
      <c r="F483" s="4" t="s">
        <v>13</v>
      </c>
      <c r="G483" s="6">
        <v>45383</v>
      </c>
      <c r="H483" s="5">
        <v>120776.75</v>
      </c>
      <c r="I483" s="18" t="s">
        <v>20</v>
      </c>
      <c r="J483" s="14" t="s">
        <v>19</v>
      </c>
      <c r="K483" s="14">
        <v>1273</v>
      </c>
      <c r="L483" s="15">
        <v>45397</v>
      </c>
      <c r="M483" s="16">
        <v>9</v>
      </c>
      <c r="N4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83" s="31">
        <f>IF(Table64[[#This Row],[date validity flag]]&lt;&gt;"Valid","",Table64[[#This Row],[shipment date ]]-Table64[[#This Row],[Order date]])</f>
        <v>14</v>
      </c>
      <c r="P483" s="27" t="str">
        <f>TEXT(Table64[[#This Row],[Order date]],"mmm-yyyy")</f>
        <v>Apr-2024</v>
      </c>
      <c r="Q483" s="16" t="str">
        <f t="shared" si="7"/>
        <v>Delayed</v>
      </c>
    </row>
    <row r="484" spans="1:17" x14ac:dyDescent="0.3">
      <c r="A484" s="12">
        <v>10483</v>
      </c>
      <c r="B484" s="1">
        <v>5302</v>
      </c>
      <c r="C484" s="1" t="s">
        <v>16</v>
      </c>
      <c r="D484" s="2">
        <v>99609.32</v>
      </c>
      <c r="E484" s="1">
        <v>51</v>
      </c>
      <c r="F484" s="1" t="s">
        <v>22</v>
      </c>
      <c r="G484" s="3">
        <v>45383</v>
      </c>
      <c r="H484" s="2">
        <v>90999.58</v>
      </c>
      <c r="I484" s="13" t="s">
        <v>20</v>
      </c>
      <c r="J484" s="14" t="s">
        <v>18</v>
      </c>
      <c r="K484" s="14">
        <v>1313</v>
      </c>
      <c r="L484" s="15">
        <v>45361</v>
      </c>
      <c r="M484" s="16">
        <v>10</v>
      </c>
      <c r="N48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84" s="31" t="str">
        <f>IF(Table64[[#This Row],[date validity flag]]&lt;&gt;"Valid","",Table64[[#This Row],[shipment date ]]-Table64[[#This Row],[Order date]])</f>
        <v/>
      </c>
      <c r="P484" s="27" t="str">
        <f>TEXT(Table64[[#This Row],[Order date]],"mmm-yyyy")</f>
        <v>Apr-2024</v>
      </c>
      <c r="Q484" s="16" t="str">
        <f t="shared" si="7"/>
        <v/>
      </c>
    </row>
    <row r="485" spans="1:17" x14ac:dyDescent="0.3">
      <c r="A485" s="17">
        <v>10484</v>
      </c>
      <c r="B485" s="4">
        <v>5181</v>
      </c>
      <c r="C485" s="4" t="s">
        <v>12</v>
      </c>
      <c r="D485" s="5">
        <v>34138.58</v>
      </c>
      <c r="E485" s="4">
        <v>38</v>
      </c>
      <c r="F485" s="4" t="s">
        <v>13</v>
      </c>
      <c r="G485" s="6">
        <v>45361</v>
      </c>
      <c r="H485" s="5">
        <v>149163.04</v>
      </c>
      <c r="I485" s="18" t="s">
        <v>17</v>
      </c>
      <c r="J485" s="14" t="s">
        <v>19</v>
      </c>
      <c r="K485" s="14">
        <v>963</v>
      </c>
      <c r="L485" s="15">
        <v>45361</v>
      </c>
      <c r="M485" s="16">
        <v>3</v>
      </c>
      <c r="N4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85" s="31">
        <f>IF(Table64[[#This Row],[date validity flag]]&lt;&gt;"Valid","",Table64[[#This Row],[shipment date ]]-Table64[[#This Row],[Order date]])</f>
        <v>0</v>
      </c>
      <c r="P485" s="27" t="str">
        <f>TEXT(Table64[[#This Row],[Order date]],"mmm-yyyy")</f>
        <v>Mar-2024</v>
      </c>
      <c r="Q485" s="16" t="str">
        <f t="shared" si="7"/>
        <v>On Time</v>
      </c>
    </row>
    <row r="486" spans="1:17" x14ac:dyDescent="0.3">
      <c r="A486" s="12">
        <v>10485</v>
      </c>
      <c r="B486" s="1">
        <v>5607</v>
      </c>
      <c r="C486" s="1" t="s">
        <v>12</v>
      </c>
      <c r="D486" s="2">
        <v>91186.43</v>
      </c>
      <c r="E486" s="1">
        <v>20</v>
      </c>
      <c r="F486" s="1" t="s">
        <v>21</v>
      </c>
      <c r="G486" s="3">
        <v>45383</v>
      </c>
      <c r="H486" s="2">
        <v>18443.71</v>
      </c>
      <c r="I486" s="13" t="s">
        <v>20</v>
      </c>
      <c r="J486" s="14" t="s">
        <v>18</v>
      </c>
      <c r="K486" s="14">
        <v>741</v>
      </c>
      <c r="L486" s="15">
        <v>45332</v>
      </c>
      <c r="M486" s="16">
        <v>8</v>
      </c>
      <c r="N4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86" s="31" t="str">
        <f>IF(Table64[[#This Row],[date validity flag]]&lt;&gt;"Valid","",Table64[[#This Row],[shipment date ]]-Table64[[#This Row],[Order date]])</f>
        <v/>
      </c>
      <c r="P486" s="27" t="str">
        <f>TEXT(Table64[[#This Row],[Order date]],"mmm-yyyy")</f>
        <v>Apr-2024</v>
      </c>
      <c r="Q486" s="16" t="str">
        <f t="shared" si="7"/>
        <v/>
      </c>
    </row>
    <row r="487" spans="1:17" x14ac:dyDescent="0.3">
      <c r="A487" s="17">
        <v>10486</v>
      </c>
      <c r="B487" s="4">
        <v>6123</v>
      </c>
      <c r="C487" s="4" t="s">
        <v>16</v>
      </c>
      <c r="D487" s="5">
        <v>69566.559999999998</v>
      </c>
      <c r="E487" s="4">
        <v>29</v>
      </c>
      <c r="F487" s="4" t="s">
        <v>23</v>
      </c>
      <c r="G487" s="6">
        <v>45306</v>
      </c>
      <c r="H487" s="5">
        <v>168958.34</v>
      </c>
      <c r="I487" s="18" t="s">
        <v>17</v>
      </c>
      <c r="J487" s="14" t="s">
        <v>15</v>
      </c>
      <c r="K487" s="14">
        <v>993</v>
      </c>
      <c r="L487" s="15">
        <v>45332</v>
      </c>
      <c r="M487" s="16">
        <v>1</v>
      </c>
      <c r="N4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87" s="31">
        <f>IF(Table64[[#This Row],[date validity flag]]&lt;&gt;"Valid","",Table64[[#This Row],[shipment date ]]-Table64[[#This Row],[Order date]])</f>
        <v>26</v>
      </c>
      <c r="P487" s="27" t="str">
        <f>TEXT(Table64[[#This Row],[Order date]],"mmm-yyyy")</f>
        <v>Jan-2024</v>
      </c>
      <c r="Q487" s="16" t="str">
        <f t="shared" si="7"/>
        <v>Delayed</v>
      </c>
    </row>
    <row r="488" spans="1:17" x14ac:dyDescent="0.3">
      <c r="A488" s="12">
        <v>10487</v>
      </c>
      <c r="B488" s="1">
        <v>5700</v>
      </c>
      <c r="C488" s="1" t="s">
        <v>16</v>
      </c>
      <c r="D488" s="2">
        <v>77554.45</v>
      </c>
      <c r="E488" s="1">
        <v>51</v>
      </c>
      <c r="F488" s="1" t="s">
        <v>23</v>
      </c>
      <c r="G488" s="3">
        <v>45306</v>
      </c>
      <c r="H488" s="2">
        <v>121491.9</v>
      </c>
      <c r="I488" s="13" t="s">
        <v>14</v>
      </c>
      <c r="J488" s="14" t="s">
        <v>19</v>
      </c>
      <c r="K488" s="14">
        <v>732</v>
      </c>
      <c r="L488" s="15">
        <v>45332</v>
      </c>
      <c r="M488" s="16">
        <v>8</v>
      </c>
      <c r="N4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88" s="31">
        <f>IF(Table64[[#This Row],[date validity flag]]&lt;&gt;"Valid","",Table64[[#This Row],[shipment date ]]-Table64[[#This Row],[Order date]])</f>
        <v>26</v>
      </c>
      <c r="P488" s="27" t="str">
        <f>TEXT(Table64[[#This Row],[Order date]],"mmm-yyyy")</f>
        <v>Jan-2024</v>
      </c>
      <c r="Q488" s="16" t="str">
        <f t="shared" si="7"/>
        <v>Delayed</v>
      </c>
    </row>
    <row r="489" spans="1:17" x14ac:dyDescent="0.3">
      <c r="A489" s="17">
        <v>10488</v>
      </c>
      <c r="B489" s="4">
        <v>5993</v>
      </c>
      <c r="C489" s="4" t="s">
        <v>16</v>
      </c>
      <c r="D489" s="5">
        <v>68386.559999999998</v>
      </c>
      <c r="E489" s="4">
        <v>4</v>
      </c>
      <c r="F489" s="4" t="s">
        <v>23</v>
      </c>
      <c r="G489" s="6">
        <v>45361</v>
      </c>
      <c r="H489" s="5">
        <v>152446.6</v>
      </c>
      <c r="I489" s="18" t="s">
        <v>17</v>
      </c>
      <c r="J489" s="14" t="s">
        <v>19</v>
      </c>
      <c r="K489" s="14">
        <v>1368</v>
      </c>
      <c r="L489" s="15">
        <v>45332</v>
      </c>
      <c r="M489" s="16">
        <v>13</v>
      </c>
      <c r="N48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89" s="31" t="str">
        <f>IF(Table64[[#This Row],[date validity flag]]&lt;&gt;"Valid","",Table64[[#This Row],[shipment date ]]-Table64[[#This Row],[Order date]])</f>
        <v/>
      </c>
      <c r="P489" s="27" t="str">
        <f>TEXT(Table64[[#This Row],[Order date]],"mmm-yyyy")</f>
        <v>Mar-2024</v>
      </c>
      <c r="Q489" s="16" t="str">
        <f t="shared" si="7"/>
        <v/>
      </c>
    </row>
    <row r="490" spans="1:17" x14ac:dyDescent="0.3">
      <c r="A490" s="12">
        <v>10489</v>
      </c>
      <c r="B490" s="1">
        <v>6140</v>
      </c>
      <c r="C490" s="1" t="s">
        <v>16</v>
      </c>
      <c r="D490" s="2">
        <v>65518.73</v>
      </c>
      <c r="E490" s="1">
        <v>55</v>
      </c>
      <c r="F490" s="1" t="s">
        <v>13</v>
      </c>
      <c r="G490" s="3">
        <v>45306</v>
      </c>
      <c r="H490" s="2">
        <v>37584.33</v>
      </c>
      <c r="I490" s="13" t="s">
        <v>20</v>
      </c>
      <c r="J490" s="14" t="s">
        <v>19</v>
      </c>
      <c r="K490" s="14">
        <v>738</v>
      </c>
      <c r="L490" s="15">
        <v>45397</v>
      </c>
      <c r="M490" s="16">
        <v>7</v>
      </c>
      <c r="N4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0" s="31">
        <f>IF(Table64[[#This Row],[date validity flag]]&lt;&gt;"Valid","",Table64[[#This Row],[shipment date ]]-Table64[[#This Row],[Order date]])</f>
        <v>91</v>
      </c>
      <c r="P490" s="27" t="str">
        <f>TEXT(Table64[[#This Row],[Order date]],"mmm-yyyy")</f>
        <v>Jan-2024</v>
      </c>
      <c r="Q490" s="16" t="str">
        <f t="shared" si="7"/>
        <v>Delayed</v>
      </c>
    </row>
    <row r="491" spans="1:17" x14ac:dyDescent="0.3">
      <c r="A491" s="17">
        <v>10490</v>
      </c>
      <c r="B491" s="4">
        <v>5191</v>
      </c>
      <c r="C491" s="4" t="s">
        <v>16</v>
      </c>
      <c r="D491" s="5">
        <v>95700.07</v>
      </c>
      <c r="E491" s="4">
        <v>71</v>
      </c>
      <c r="F491" s="4" t="s">
        <v>22</v>
      </c>
      <c r="G491" s="6">
        <v>45383</v>
      </c>
      <c r="H491" s="5">
        <v>107638.74</v>
      </c>
      <c r="I491" s="18" t="s">
        <v>14</v>
      </c>
      <c r="J491" s="14" t="s">
        <v>18</v>
      </c>
      <c r="K491" s="14">
        <v>445</v>
      </c>
      <c r="L491" s="15">
        <v>45397</v>
      </c>
      <c r="M491" s="16">
        <v>13</v>
      </c>
      <c r="N4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1" s="31">
        <f>IF(Table64[[#This Row],[date validity flag]]&lt;&gt;"Valid","",Table64[[#This Row],[shipment date ]]-Table64[[#This Row],[Order date]])</f>
        <v>14</v>
      </c>
      <c r="P491" s="27" t="str">
        <f>TEXT(Table64[[#This Row],[Order date]],"mmm-yyyy")</f>
        <v>Apr-2024</v>
      </c>
      <c r="Q491" s="16" t="str">
        <f t="shared" si="7"/>
        <v>Delayed</v>
      </c>
    </row>
    <row r="492" spans="1:17" x14ac:dyDescent="0.3">
      <c r="A492" s="12">
        <v>10491</v>
      </c>
      <c r="B492" s="1">
        <v>5253</v>
      </c>
      <c r="C492" s="1" t="s">
        <v>16</v>
      </c>
      <c r="D492" s="2">
        <v>39124.74</v>
      </c>
      <c r="E492" s="1">
        <v>92</v>
      </c>
      <c r="F492" s="1" t="s">
        <v>13</v>
      </c>
      <c r="G492" s="3">
        <v>45337</v>
      </c>
      <c r="H492" s="2">
        <v>80684.67</v>
      </c>
      <c r="I492" s="13" t="s">
        <v>17</v>
      </c>
      <c r="J492" s="14" t="s">
        <v>18</v>
      </c>
      <c r="K492" s="14">
        <v>1211</v>
      </c>
      <c r="L492" s="15">
        <v>45361</v>
      </c>
      <c r="M492" s="16">
        <v>8</v>
      </c>
      <c r="N4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2" s="31">
        <f>IF(Table64[[#This Row],[date validity flag]]&lt;&gt;"Valid","",Table64[[#This Row],[shipment date ]]-Table64[[#This Row],[Order date]])</f>
        <v>24</v>
      </c>
      <c r="P492" s="27" t="str">
        <f>TEXT(Table64[[#This Row],[Order date]],"mmm-yyyy")</f>
        <v>Feb-2024</v>
      </c>
      <c r="Q492" s="16" t="str">
        <f t="shared" si="7"/>
        <v>Delayed</v>
      </c>
    </row>
    <row r="493" spans="1:17" x14ac:dyDescent="0.3">
      <c r="A493" s="17">
        <v>10492</v>
      </c>
      <c r="B493" s="4">
        <v>5981</v>
      </c>
      <c r="C493" s="4" t="s">
        <v>16</v>
      </c>
      <c r="D493" s="5">
        <v>53748.62</v>
      </c>
      <c r="E493" s="4">
        <v>28</v>
      </c>
      <c r="F493" s="4" t="s">
        <v>13</v>
      </c>
      <c r="G493" s="6">
        <v>45383</v>
      </c>
      <c r="H493" s="5">
        <v>88932.17</v>
      </c>
      <c r="I493" s="18" t="s">
        <v>20</v>
      </c>
      <c r="J493" s="14" t="s">
        <v>18</v>
      </c>
      <c r="K493" s="14">
        <v>888</v>
      </c>
      <c r="L493" s="15">
        <v>45397</v>
      </c>
      <c r="M493" s="16">
        <v>1</v>
      </c>
      <c r="N4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3" s="31">
        <f>IF(Table64[[#This Row],[date validity flag]]&lt;&gt;"Valid","",Table64[[#This Row],[shipment date ]]-Table64[[#This Row],[Order date]])</f>
        <v>14</v>
      </c>
      <c r="P493" s="27" t="str">
        <f>TEXT(Table64[[#This Row],[Order date]],"mmm-yyyy")</f>
        <v>Apr-2024</v>
      </c>
      <c r="Q493" s="16" t="str">
        <f t="shared" si="7"/>
        <v>Delayed</v>
      </c>
    </row>
    <row r="494" spans="1:17" x14ac:dyDescent="0.3">
      <c r="A494" s="12">
        <v>10493</v>
      </c>
      <c r="B494" s="1">
        <v>5928</v>
      </c>
      <c r="C494" s="1" t="s">
        <v>12</v>
      </c>
      <c r="D494" s="2">
        <v>64238.02</v>
      </c>
      <c r="E494" s="1">
        <v>4</v>
      </c>
      <c r="F494" s="1" t="s">
        <v>21</v>
      </c>
      <c r="G494" s="3">
        <v>45337</v>
      </c>
      <c r="H494" s="2">
        <v>60554.01</v>
      </c>
      <c r="I494" s="13" t="s">
        <v>17</v>
      </c>
      <c r="J494" s="14" t="s">
        <v>15</v>
      </c>
      <c r="K494" s="14">
        <v>927</v>
      </c>
      <c r="L494" s="15">
        <v>45361</v>
      </c>
      <c r="M494" s="16">
        <v>6</v>
      </c>
      <c r="N4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4" s="31">
        <f>IF(Table64[[#This Row],[date validity flag]]&lt;&gt;"Valid","",Table64[[#This Row],[shipment date ]]-Table64[[#This Row],[Order date]])</f>
        <v>24</v>
      </c>
      <c r="P494" s="27" t="str">
        <f>TEXT(Table64[[#This Row],[Order date]],"mmm-yyyy")</f>
        <v>Feb-2024</v>
      </c>
      <c r="Q494" s="16" t="str">
        <f t="shared" si="7"/>
        <v>Delayed</v>
      </c>
    </row>
    <row r="495" spans="1:17" x14ac:dyDescent="0.3">
      <c r="A495" s="17">
        <v>10494</v>
      </c>
      <c r="B495" s="4">
        <v>6185</v>
      </c>
      <c r="C495" s="4" t="s">
        <v>16</v>
      </c>
      <c r="D495" s="5">
        <v>76613.97</v>
      </c>
      <c r="E495" s="4">
        <v>22</v>
      </c>
      <c r="F495" s="4" t="s">
        <v>21</v>
      </c>
      <c r="G495" s="6">
        <v>45361</v>
      </c>
      <c r="H495" s="5">
        <v>49214.17</v>
      </c>
      <c r="I495" s="18" t="s">
        <v>17</v>
      </c>
      <c r="J495" s="14" t="s">
        <v>18</v>
      </c>
      <c r="K495" s="14">
        <v>872</v>
      </c>
      <c r="L495" s="15">
        <v>45361</v>
      </c>
      <c r="M495" s="16">
        <v>7</v>
      </c>
      <c r="N4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5" s="31">
        <f>IF(Table64[[#This Row],[date validity flag]]&lt;&gt;"Valid","",Table64[[#This Row],[shipment date ]]-Table64[[#This Row],[Order date]])</f>
        <v>0</v>
      </c>
      <c r="P495" s="27" t="str">
        <f>TEXT(Table64[[#This Row],[Order date]],"mmm-yyyy")</f>
        <v>Mar-2024</v>
      </c>
      <c r="Q495" s="16" t="str">
        <f t="shared" si="7"/>
        <v>On Time</v>
      </c>
    </row>
    <row r="496" spans="1:17" x14ac:dyDescent="0.3">
      <c r="A496" s="12">
        <v>10495</v>
      </c>
      <c r="B496" s="1">
        <v>6280</v>
      </c>
      <c r="C496" s="1" t="s">
        <v>12</v>
      </c>
      <c r="D496" s="2">
        <v>87630.52</v>
      </c>
      <c r="E496" s="1">
        <v>76</v>
      </c>
      <c r="F496" s="1" t="s">
        <v>21</v>
      </c>
      <c r="G496" s="3">
        <v>45337</v>
      </c>
      <c r="H496" s="2">
        <v>69181.649999999994</v>
      </c>
      <c r="I496" s="13" t="s">
        <v>17</v>
      </c>
      <c r="J496" s="14" t="s">
        <v>15</v>
      </c>
      <c r="K496" s="14">
        <v>1202</v>
      </c>
      <c r="L496" s="15">
        <v>45397</v>
      </c>
      <c r="M496" s="16">
        <v>14</v>
      </c>
      <c r="N4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6" s="31">
        <f>IF(Table64[[#This Row],[date validity flag]]&lt;&gt;"Valid","",Table64[[#This Row],[shipment date ]]-Table64[[#This Row],[Order date]])</f>
        <v>60</v>
      </c>
      <c r="P496" s="27" t="str">
        <f>TEXT(Table64[[#This Row],[Order date]],"mmm-yyyy")</f>
        <v>Feb-2024</v>
      </c>
      <c r="Q496" s="16" t="str">
        <f t="shared" si="7"/>
        <v>Delayed</v>
      </c>
    </row>
    <row r="497" spans="1:17" x14ac:dyDescent="0.3">
      <c r="A497" s="17">
        <v>10496</v>
      </c>
      <c r="B497" s="4">
        <v>6347</v>
      </c>
      <c r="C497" s="4" t="s">
        <v>16</v>
      </c>
      <c r="D497" s="5">
        <v>32161.58</v>
      </c>
      <c r="E497" s="4">
        <v>45</v>
      </c>
      <c r="F497" s="4" t="s">
        <v>22</v>
      </c>
      <c r="G497" s="6">
        <v>45306</v>
      </c>
      <c r="H497" s="5">
        <v>50749.3</v>
      </c>
      <c r="I497" s="18" t="s">
        <v>17</v>
      </c>
      <c r="J497" s="14" t="s">
        <v>19</v>
      </c>
      <c r="K497" s="14">
        <v>98</v>
      </c>
      <c r="L497" s="15">
        <v>45361</v>
      </c>
      <c r="M497" s="16">
        <v>11</v>
      </c>
      <c r="N4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7" s="31">
        <f>IF(Table64[[#This Row],[date validity flag]]&lt;&gt;"Valid","",Table64[[#This Row],[shipment date ]]-Table64[[#This Row],[Order date]])</f>
        <v>55</v>
      </c>
      <c r="P497" s="27" t="str">
        <f>TEXT(Table64[[#This Row],[Order date]],"mmm-yyyy")</f>
        <v>Jan-2024</v>
      </c>
      <c r="Q497" s="16" t="str">
        <f t="shared" si="7"/>
        <v>Delayed</v>
      </c>
    </row>
    <row r="498" spans="1:17" x14ac:dyDescent="0.3">
      <c r="A498" s="12">
        <v>10497</v>
      </c>
      <c r="B498" s="1">
        <v>5128</v>
      </c>
      <c r="C498" s="1" t="s">
        <v>12</v>
      </c>
      <c r="D498" s="2">
        <v>85282.06</v>
      </c>
      <c r="E498" s="1">
        <v>67</v>
      </c>
      <c r="F498" s="1" t="s">
        <v>22</v>
      </c>
      <c r="G498" s="3">
        <v>45383</v>
      </c>
      <c r="H498" s="2">
        <v>96633.16</v>
      </c>
      <c r="I498" s="13" t="s">
        <v>17</v>
      </c>
      <c r="J498" s="14" t="s">
        <v>19</v>
      </c>
      <c r="K498" s="14">
        <v>838</v>
      </c>
      <c r="L498" s="15">
        <v>45332</v>
      </c>
      <c r="M498" s="16">
        <v>5</v>
      </c>
      <c r="N49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498" s="31" t="str">
        <f>IF(Table64[[#This Row],[date validity flag]]&lt;&gt;"Valid","",Table64[[#This Row],[shipment date ]]-Table64[[#This Row],[Order date]])</f>
        <v/>
      </c>
      <c r="P498" s="27" t="str">
        <f>TEXT(Table64[[#This Row],[Order date]],"mmm-yyyy")</f>
        <v>Apr-2024</v>
      </c>
      <c r="Q498" s="16" t="str">
        <f t="shared" si="7"/>
        <v/>
      </c>
    </row>
    <row r="499" spans="1:17" x14ac:dyDescent="0.3">
      <c r="A499" s="17">
        <v>10498</v>
      </c>
      <c r="B499" s="4">
        <v>5018</v>
      </c>
      <c r="C499" s="4" t="s">
        <v>16</v>
      </c>
      <c r="D499" s="5">
        <v>14070.11</v>
      </c>
      <c r="E499" s="4">
        <v>86</v>
      </c>
      <c r="F499" s="4" t="s">
        <v>21</v>
      </c>
      <c r="G499" s="6">
        <v>45337</v>
      </c>
      <c r="H499" s="5">
        <v>42286.18</v>
      </c>
      <c r="I499" s="18" t="s">
        <v>20</v>
      </c>
      <c r="J499" s="14" t="s">
        <v>15</v>
      </c>
      <c r="K499" s="14">
        <v>342</v>
      </c>
      <c r="L499" s="15">
        <v>45361</v>
      </c>
      <c r="M499" s="16">
        <v>14</v>
      </c>
      <c r="N4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499" s="31">
        <f>IF(Table64[[#This Row],[date validity flag]]&lt;&gt;"Valid","",Table64[[#This Row],[shipment date ]]-Table64[[#This Row],[Order date]])</f>
        <v>24</v>
      </c>
      <c r="P499" s="27" t="str">
        <f>TEXT(Table64[[#This Row],[Order date]],"mmm-yyyy")</f>
        <v>Feb-2024</v>
      </c>
      <c r="Q499" s="16" t="str">
        <f t="shared" si="7"/>
        <v>Delayed</v>
      </c>
    </row>
    <row r="500" spans="1:17" x14ac:dyDescent="0.3">
      <c r="A500" s="12">
        <v>10499</v>
      </c>
      <c r="B500" s="1">
        <v>6817</v>
      </c>
      <c r="C500" s="1" t="s">
        <v>16</v>
      </c>
      <c r="D500" s="2">
        <v>21126.01</v>
      </c>
      <c r="E500" s="1">
        <v>66</v>
      </c>
      <c r="F500" s="1" t="s">
        <v>21</v>
      </c>
      <c r="G500" s="3">
        <v>45383</v>
      </c>
      <c r="H500" s="2">
        <v>22233.759999999998</v>
      </c>
      <c r="I500" s="13" t="s">
        <v>20</v>
      </c>
      <c r="J500" s="14" t="s">
        <v>18</v>
      </c>
      <c r="K500" s="14">
        <v>585</v>
      </c>
      <c r="L500" s="15">
        <v>45332</v>
      </c>
      <c r="M500" s="16">
        <v>5</v>
      </c>
      <c r="N50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00" s="31" t="str">
        <f>IF(Table64[[#This Row],[date validity flag]]&lt;&gt;"Valid","",Table64[[#This Row],[shipment date ]]-Table64[[#This Row],[Order date]])</f>
        <v/>
      </c>
      <c r="P500" s="27" t="str">
        <f>TEXT(Table64[[#This Row],[Order date]],"mmm-yyyy")</f>
        <v>Apr-2024</v>
      </c>
      <c r="Q500" s="16" t="str">
        <f t="shared" si="7"/>
        <v/>
      </c>
    </row>
    <row r="501" spans="1:17" x14ac:dyDescent="0.3">
      <c r="A501" s="17">
        <v>10500</v>
      </c>
      <c r="B501" s="4">
        <v>6759</v>
      </c>
      <c r="C501" s="4" t="s">
        <v>16</v>
      </c>
      <c r="D501" s="5">
        <v>42130.83</v>
      </c>
      <c r="E501" s="4">
        <v>88</v>
      </c>
      <c r="F501" s="4" t="s">
        <v>22</v>
      </c>
      <c r="G501" s="6">
        <v>45361</v>
      </c>
      <c r="H501" s="5">
        <v>113955.45</v>
      </c>
      <c r="I501" s="18" t="s">
        <v>20</v>
      </c>
      <c r="J501" s="14" t="s">
        <v>15</v>
      </c>
      <c r="K501" s="14">
        <v>360</v>
      </c>
      <c r="L501" s="15">
        <v>45397</v>
      </c>
      <c r="M501" s="16">
        <v>7</v>
      </c>
      <c r="N5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01" s="31">
        <f>IF(Table64[[#This Row],[date validity flag]]&lt;&gt;"Valid","",Table64[[#This Row],[shipment date ]]-Table64[[#This Row],[Order date]])</f>
        <v>36</v>
      </c>
      <c r="P501" s="27" t="str">
        <f>TEXT(Table64[[#This Row],[Order date]],"mmm-yyyy")</f>
        <v>Mar-2024</v>
      </c>
      <c r="Q501" s="16" t="str">
        <f t="shared" si="7"/>
        <v>Delayed</v>
      </c>
    </row>
    <row r="502" spans="1:17" x14ac:dyDescent="0.3">
      <c r="A502" s="12">
        <v>10501</v>
      </c>
      <c r="B502" s="1">
        <v>5566</v>
      </c>
      <c r="C502" s="1" t="s">
        <v>16</v>
      </c>
      <c r="D502" s="2">
        <v>21005.46</v>
      </c>
      <c r="E502" s="1">
        <v>34</v>
      </c>
      <c r="F502" s="1" t="s">
        <v>23</v>
      </c>
      <c r="G502" s="3">
        <v>45361</v>
      </c>
      <c r="H502" s="2">
        <v>16619.89</v>
      </c>
      <c r="I502" s="13" t="s">
        <v>17</v>
      </c>
      <c r="J502" s="14" t="s">
        <v>19</v>
      </c>
      <c r="K502" s="14">
        <v>586</v>
      </c>
      <c r="L502" s="15">
        <v>45397</v>
      </c>
      <c r="M502" s="16">
        <v>11</v>
      </c>
      <c r="N5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02" s="31">
        <f>IF(Table64[[#This Row],[date validity flag]]&lt;&gt;"Valid","",Table64[[#This Row],[shipment date ]]-Table64[[#This Row],[Order date]])</f>
        <v>36</v>
      </c>
      <c r="P502" s="27" t="str">
        <f>TEXT(Table64[[#This Row],[Order date]],"mmm-yyyy")</f>
        <v>Mar-2024</v>
      </c>
      <c r="Q502" s="16" t="str">
        <f t="shared" si="7"/>
        <v>Delayed</v>
      </c>
    </row>
    <row r="503" spans="1:17" x14ac:dyDescent="0.3">
      <c r="A503" s="17">
        <v>10502</v>
      </c>
      <c r="B503" s="4">
        <v>5570</v>
      </c>
      <c r="C503" s="4" t="s">
        <v>12</v>
      </c>
      <c r="D503" s="5">
        <v>74653.740000000005</v>
      </c>
      <c r="E503" s="4">
        <v>91</v>
      </c>
      <c r="F503" s="4" t="s">
        <v>22</v>
      </c>
      <c r="G503" s="6">
        <v>45306</v>
      </c>
      <c r="H503" s="5">
        <v>19781.88</v>
      </c>
      <c r="I503" s="18" t="s">
        <v>14</v>
      </c>
      <c r="J503" s="14" t="s">
        <v>19</v>
      </c>
      <c r="K503" s="14">
        <v>688</v>
      </c>
      <c r="L503" s="15">
        <v>45361</v>
      </c>
      <c r="M503" s="16">
        <v>3</v>
      </c>
      <c r="N5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03" s="31">
        <f>IF(Table64[[#This Row],[date validity flag]]&lt;&gt;"Valid","",Table64[[#This Row],[shipment date ]]-Table64[[#This Row],[Order date]])</f>
        <v>55</v>
      </c>
      <c r="P503" s="27" t="str">
        <f>TEXT(Table64[[#This Row],[Order date]],"mmm-yyyy")</f>
        <v>Jan-2024</v>
      </c>
      <c r="Q503" s="16" t="str">
        <f t="shared" si="7"/>
        <v>Delayed</v>
      </c>
    </row>
    <row r="504" spans="1:17" x14ac:dyDescent="0.3">
      <c r="A504" s="12">
        <v>10503</v>
      </c>
      <c r="B504" s="1">
        <v>6347</v>
      </c>
      <c r="C504" s="1" t="s">
        <v>16</v>
      </c>
      <c r="D504" s="2">
        <v>14571.88</v>
      </c>
      <c r="E504" s="1">
        <v>55</v>
      </c>
      <c r="F504" s="1" t="s">
        <v>22</v>
      </c>
      <c r="G504" s="3">
        <v>45361</v>
      </c>
      <c r="H504" s="2">
        <v>140069.01999999999</v>
      </c>
      <c r="I504" s="13" t="s">
        <v>14</v>
      </c>
      <c r="J504" s="14" t="s">
        <v>15</v>
      </c>
      <c r="K504" s="14">
        <v>283</v>
      </c>
      <c r="L504" s="15">
        <v>45332</v>
      </c>
      <c r="M504" s="16">
        <v>6</v>
      </c>
      <c r="N50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04" s="31" t="str">
        <f>IF(Table64[[#This Row],[date validity flag]]&lt;&gt;"Valid","",Table64[[#This Row],[shipment date ]]-Table64[[#This Row],[Order date]])</f>
        <v/>
      </c>
      <c r="P504" s="27" t="str">
        <f>TEXT(Table64[[#This Row],[Order date]],"mmm-yyyy")</f>
        <v>Mar-2024</v>
      </c>
      <c r="Q504" s="16" t="str">
        <f t="shared" si="7"/>
        <v/>
      </c>
    </row>
    <row r="505" spans="1:17" x14ac:dyDescent="0.3">
      <c r="A505" s="17">
        <v>10504</v>
      </c>
      <c r="B505" s="4">
        <v>6896</v>
      </c>
      <c r="C505" s="4" t="s">
        <v>12</v>
      </c>
      <c r="D505" s="5">
        <v>40815.449999999997</v>
      </c>
      <c r="E505" s="4">
        <v>1</v>
      </c>
      <c r="F505" s="4" t="s">
        <v>22</v>
      </c>
      <c r="G505" s="6">
        <v>45337</v>
      </c>
      <c r="H505" s="5">
        <v>59745.01</v>
      </c>
      <c r="I505" s="18" t="s">
        <v>14</v>
      </c>
      <c r="J505" s="14" t="s">
        <v>18</v>
      </c>
      <c r="K505" s="14">
        <v>1282</v>
      </c>
      <c r="L505" s="15">
        <v>45361</v>
      </c>
      <c r="M505" s="16">
        <v>7</v>
      </c>
      <c r="N5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05" s="31">
        <f>IF(Table64[[#This Row],[date validity flag]]&lt;&gt;"Valid","",Table64[[#This Row],[shipment date ]]-Table64[[#This Row],[Order date]])</f>
        <v>24</v>
      </c>
      <c r="P505" s="27" t="str">
        <f>TEXT(Table64[[#This Row],[Order date]],"mmm-yyyy")</f>
        <v>Feb-2024</v>
      </c>
      <c r="Q505" s="16" t="str">
        <f t="shared" si="7"/>
        <v>Delayed</v>
      </c>
    </row>
    <row r="506" spans="1:17" x14ac:dyDescent="0.3">
      <c r="A506" s="12">
        <v>10505</v>
      </c>
      <c r="B506" s="1">
        <v>5686</v>
      </c>
      <c r="C506" s="1" t="s">
        <v>16</v>
      </c>
      <c r="D506" s="2">
        <v>71804.19</v>
      </c>
      <c r="E506" s="1">
        <v>72</v>
      </c>
      <c r="F506" s="1" t="s">
        <v>21</v>
      </c>
      <c r="G506" s="3">
        <v>45361</v>
      </c>
      <c r="H506" s="2">
        <v>87311.32</v>
      </c>
      <c r="I506" s="13" t="s">
        <v>14</v>
      </c>
      <c r="J506" s="14" t="s">
        <v>18</v>
      </c>
      <c r="K506" s="14">
        <v>654</v>
      </c>
      <c r="L506" s="15">
        <v>45397</v>
      </c>
      <c r="M506" s="16">
        <v>1</v>
      </c>
      <c r="N5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06" s="31">
        <f>IF(Table64[[#This Row],[date validity flag]]&lt;&gt;"Valid","",Table64[[#This Row],[shipment date ]]-Table64[[#This Row],[Order date]])</f>
        <v>36</v>
      </c>
      <c r="P506" s="27" t="str">
        <f>TEXT(Table64[[#This Row],[Order date]],"mmm-yyyy")</f>
        <v>Mar-2024</v>
      </c>
      <c r="Q506" s="16" t="str">
        <f t="shared" si="7"/>
        <v>Delayed</v>
      </c>
    </row>
    <row r="507" spans="1:17" x14ac:dyDescent="0.3">
      <c r="A507" s="17">
        <v>10506</v>
      </c>
      <c r="B507" s="4">
        <v>6816</v>
      </c>
      <c r="C507" s="4" t="s">
        <v>16</v>
      </c>
      <c r="D507" s="5">
        <v>86897.39</v>
      </c>
      <c r="E507" s="4">
        <v>87</v>
      </c>
      <c r="F507" s="4" t="s">
        <v>23</v>
      </c>
      <c r="G507" s="6">
        <v>45306</v>
      </c>
      <c r="H507" s="5">
        <v>139236.98000000001</v>
      </c>
      <c r="I507" s="18" t="s">
        <v>14</v>
      </c>
      <c r="J507" s="14" t="s">
        <v>15</v>
      </c>
      <c r="K507" s="14">
        <v>143</v>
      </c>
      <c r="L507" s="15">
        <v>45361</v>
      </c>
      <c r="M507" s="16">
        <v>12</v>
      </c>
      <c r="N5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07" s="31">
        <f>IF(Table64[[#This Row],[date validity flag]]&lt;&gt;"Valid","",Table64[[#This Row],[shipment date ]]-Table64[[#This Row],[Order date]])</f>
        <v>55</v>
      </c>
      <c r="P507" s="27" t="str">
        <f>TEXT(Table64[[#This Row],[Order date]],"mmm-yyyy")</f>
        <v>Jan-2024</v>
      </c>
      <c r="Q507" s="16" t="str">
        <f t="shared" si="7"/>
        <v>Delayed</v>
      </c>
    </row>
    <row r="508" spans="1:17" x14ac:dyDescent="0.3">
      <c r="A508" s="12">
        <v>10507</v>
      </c>
      <c r="B508" s="1">
        <v>5626</v>
      </c>
      <c r="C508" s="1" t="s">
        <v>16</v>
      </c>
      <c r="D508" s="2">
        <v>78789.820000000007</v>
      </c>
      <c r="E508" s="1">
        <v>38</v>
      </c>
      <c r="F508" s="1" t="s">
        <v>22</v>
      </c>
      <c r="G508" s="3">
        <v>45383</v>
      </c>
      <c r="H508" s="2">
        <v>139671.4</v>
      </c>
      <c r="I508" s="13" t="s">
        <v>17</v>
      </c>
      <c r="J508" s="14" t="s">
        <v>15</v>
      </c>
      <c r="K508" s="14">
        <v>376</v>
      </c>
      <c r="L508" s="15">
        <v>45361</v>
      </c>
      <c r="M508" s="16">
        <v>2</v>
      </c>
      <c r="N50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08" s="31" t="str">
        <f>IF(Table64[[#This Row],[date validity flag]]&lt;&gt;"Valid","",Table64[[#This Row],[shipment date ]]-Table64[[#This Row],[Order date]])</f>
        <v/>
      </c>
      <c r="P508" s="27" t="str">
        <f>TEXT(Table64[[#This Row],[Order date]],"mmm-yyyy")</f>
        <v>Apr-2024</v>
      </c>
      <c r="Q508" s="16" t="str">
        <f t="shared" si="7"/>
        <v/>
      </c>
    </row>
    <row r="509" spans="1:17" x14ac:dyDescent="0.3">
      <c r="A509" s="17">
        <v>10508</v>
      </c>
      <c r="B509" s="4">
        <v>6312</v>
      </c>
      <c r="C509" s="4" t="s">
        <v>16</v>
      </c>
      <c r="D509" s="5">
        <v>33967.370000000003</v>
      </c>
      <c r="E509" s="4">
        <v>6</v>
      </c>
      <c r="F509" s="4" t="s">
        <v>21</v>
      </c>
      <c r="G509" s="6">
        <v>45383</v>
      </c>
      <c r="H509" s="5">
        <v>137641.93</v>
      </c>
      <c r="I509" s="18" t="s">
        <v>17</v>
      </c>
      <c r="J509" s="14" t="s">
        <v>18</v>
      </c>
      <c r="K509" s="14">
        <v>274</v>
      </c>
      <c r="L509" s="15">
        <v>45332</v>
      </c>
      <c r="M509" s="16">
        <v>12</v>
      </c>
      <c r="N50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09" s="31" t="str">
        <f>IF(Table64[[#This Row],[date validity flag]]&lt;&gt;"Valid","",Table64[[#This Row],[shipment date ]]-Table64[[#This Row],[Order date]])</f>
        <v/>
      </c>
      <c r="P509" s="27" t="str">
        <f>TEXT(Table64[[#This Row],[Order date]],"mmm-yyyy")</f>
        <v>Apr-2024</v>
      </c>
      <c r="Q509" s="16" t="str">
        <f t="shared" si="7"/>
        <v/>
      </c>
    </row>
    <row r="510" spans="1:17" x14ac:dyDescent="0.3">
      <c r="A510" s="12">
        <v>10509</v>
      </c>
      <c r="B510" s="1">
        <v>6967</v>
      </c>
      <c r="C510" s="1" t="s">
        <v>16</v>
      </c>
      <c r="D510" s="2">
        <v>74576.92</v>
      </c>
      <c r="E510" s="1">
        <v>86</v>
      </c>
      <c r="F510" s="1" t="s">
        <v>13</v>
      </c>
      <c r="G510" s="3">
        <v>45361</v>
      </c>
      <c r="H510" s="2">
        <v>80721.649999999994</v>
      </c>
      <c r="I510" s="13" t="s">
        <v>14</v>
      </c>
      <c r="J510" s="14" t="s">
        <v>19</v>
      </c>
      <c r="K510" s="14">
        <v>1016</v>
      </c>
      <c r="L510" s="15">
        <v>45397</v>
      </c>
      <c r="M510" s="16">
        <v>4</v>
      </c>
      <c r="N5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0" s="31">
        <f>IF(Table64[[#This Row],[date validity flag]]&lt;&gt;"Valid","",Table64[[#This Row],[shipment date ]]-Table64[[#This Row],[Order date]])</f>
        <v>36</v>
      </c>
      <c r="P510" s="27" t="str">
        <f>TEXT(Table64[[#This Row],[Order date]],"mmm-yyyy")</f>
        <v>Mar-2024</v>
      </c>
      <c r="Q510" s="16" t="str">
        <f t="shared" si="7"/>
        <v>Delayed</v>
      </c>
    </row>
    <row r="511" spans="1:17" x14ac:dyDescent="0.3">
      <c r="A511" s="17">
        <v>10510</v>
      </c>
      <c r="B511" s="4">
        <v>5854</v>
      </c>
      <c r="C511" s="4" t="s">
        <v>16</v>
      </c>
      <c r="D511" s="5">
        <v>76787.31</v>
      </c>
      <c r="E511" s="4">
        <v>25</v>
      </c>
      <c r="F511" s="4" t="s">
        <v>13</v>
      </c>
      <c r="G511" s="6">
        <v>45337</v>
      </c>
      <c r="H511" s="5">
        <v>43080.27</v>
      </c>
      <c r="I511" s="18" t="s">
        <v>17</v>
      </c>
      <c r="J511" s="14" t="s">
        <v>15</v>
      </c>
      <c r="K511" s="14">
        <v>939</v>
      </c>
      <c r="L511" s="15">
        <v>45361</v>
      </c>
      <c r="M511" s="16">
        <v>13</v>
      </c>
      <c r="N5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1" s="31">
        <f>IF(Table64[[#This Row],[date validity flag]]&lt;&gt;"Valid","",Table64[[#This Row],[shipment date ]]-Table64[[#This Row],[Order date]])</f>
        <v>24</v>
      </c>
      <c r="P511" s="27" t="str">
        <f>TEXT(Table64[[#This Row],[Order date]],"mmm-yyyy")</f>
        <v>Feb-2024</v>
      </c>
      <c r="Q511" s="16" t="str">
        <f t="shared" si="7"/>
        <v>Delayed</v>
      </c>
    </row>
    <row r="512" spans="1:17" x14ac:dyDescent="0.3">
      <c r="A512" s="12">
        <v>10511</v>
      </c>
      <c r="B512" s="1">
        <v>6687</v>
      </c>
      <c r="C512" s="1" t="s">
        <v>12</v>
      </c>
      <c r="D512" s="2">
        <v>12228.52</v>
      </c>
      <c r="E512" s="1">
        <v>82</v>
      </c>
      <c r="F512" s="1" t="s">
        <v>22</v>
      </c>
      <c r="G512" s="3">
        <v>45306</v>
      </c>
      <c r="H512" s="2">
        <v>142231.35999999999</v>
      </c>
      <c r="I512" s="13" t="s">
        <v>17</v>
      </c>
      <c r="J512" s="14" t="s">
        <v>18</v>
      </c>
      <c r="K512" s="14">
        <v>60</v>
      </c>
      <c r="L512" s="15">
        <v>45332</v>
      </c>
      <c r="M512" s="16">
        <v>8</v>
      </c>
      <c r="N5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2" s="31">
        <f>IF(Table64[[#This Row],[date validity flag]]&lt;&gt;"Valid","",Table64[[#This Row],[shipment date ]]-Table64[[#This Row],[Order date]])</f>
        <v>26</v>
      </c>
      <c r="P512" s="27" t="str">
        <f>TEXT(Table64[[#This Row],[Order date]],"mmm-yyyy")</f>
        <v>Jan-2024</v>
      </c>
      <c r="Q512" s="16" t="str">
        <f t="shared" si="7"/>
        <v>Delayed</v>
      </c>
    </row>
    <row r="513" spans="1:17" x14ac:dyDescent="0.3">
      <c r="A513" s="17">
        <v>10512</v>
      </c>
      <c r="B513" s="4">
        <v>5962</v>
      </c>
      <c r="C513" s="4" t="s">
        <v>16</v>
      </c>
      <c r="D513" s="5">
        <v>26840.45</v>
      </c>
      <c r="E513" s="4">
        <v>17</v>
      </c>
      <c r="F513" s="4" t="s">
        <v>13</v>
      </c>
      <c r="G513" s="6">
        <v>45337</v>
      </c>
      <c r="H513" s="5">
        <v>87879.63</v>
      </c>
      <c r="I513" s="18" t="s">
        <v>14</v>
      </c>
      <c r="J513" s="14" t="s">
        <v>18</v>
      </c>
      <c r="K513" s="14">
        <v>1402</v>
      </c>
      <c r="L513" s="15">
        <v>45361</v>
      </c>
      <c r="M513" s="16">
        <v>11</v>
      </c>
      <c r="N5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3" s="31">
        <f>IF(Table64[[#This Row],[date validity flag]]&lt;&gt;"Valid","",Table64[[#This Row],[shipment date ]]-Table64[[#This Row],[Order date]])</f>
        <v>24</v>
      </c>
      <c r="P513" s="27" t="str">
        <f>TEXT(Table64[[#This Row],[Order date]],"mmm-yyyy")</f>
        <v>Feb-2024</v>
      </c>
      <c r="Q513" s="16" t="str">
        <f t="shared" si="7"/>
        <v>Delayed</v>
      </c>
    </row>
    <row r="514" spans="1:17" x14ac:dyDescent="0.3">
      <c r="A514" s="12">
        <v>10513</v>
      </c>
      <c r="B514" s="1">
        <v>6663</v>
      </c>
      <c r="C514" s="1" t="s">
        <v>16</v>
      </c>
      <c r="D514" s="2">
        <v>75750.13</v>
      </c>
      <c r="E514" s="1">
        <v>61</v>
      </c>
      <c r="F514" s="1" t="s">
        <v>23</v>
      </c>
      <c r="G514" s="3">
        <v>45306</v>
      </c>
      <c r="H514" s="2">
        <v>113939.66</v>
      </c>
      <c r="I514" s="13" t="s">
        <v>20</v>
      </c>
      <c r="J514" s="14" t="s">
        <v>19</v>
      </c>
      <c r="K514" s="14">
        <v>1085</v>
      </c>
      <c r="L514" s="15">
        <v>45332</v>
      </c>
      <c r="M514" s="16">
        <v>13</v>
      </c>
      <c r="N5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4" s="31">
        <f>IF(Table64[[#This Row],[date validity flag]]&lt;&gt;"Valid","",Table64[[#This Row],[shipment date ]]-Table64[[#This Row],[Order date]])</f>
        <v>26</v>
      </c>
      <c r="P514" s="27" t="str">
        <f>TEXT(Table64[[#This Row],[Order date]],"mmm-yyyy")</f>
        <v>Jan-2024</v>
      </c>
      <c r="Q514" s="16" t="str">
        <f t="shared" ref="Q514:Q577" si="8">IF(O514="","",IF(O514&gt;0,"Delayed","On Time"))</f>
        <v>Delayed</v>
      </c>
    </row>
    <row r="515" spans="1:17" x14ac:dyDescent="0.3">
      <c r="A515" s="17">
        <v>10514</v>
      </c>
      <c r="B515" s="4">
        <v>5155</v>
      </c>
      <c r="C515" s="4" t="s">
        <v>16</v>
      </c>
      <c r="D515" s="5">
        <v>94427.47</v>
      </c>
      <c r="E515" s="4">
        <v>12</v>
      </c>
      <c r="F515" s="4" t="s">
        <v>13</v>
      </c>
      <c r="G515" s="6">
        <v>45361</v>
      </c>
      <c r="H515" s="5">
        <v>12015.78</v>
      </c>
      <c r="I515" s="18" t="s">
        <v>17</v>
      </c>
      <c r="J515" s="14" t="s">
        <v>19</v>
      </c>
      <c r="K515" s="14">
        <v>84</v>
      </c>
      <c r="L515" s="15">
        <v>45332</v>
      </c>
      <c r="M515" s="16">
        <v>14</v>
      </c>
      <c r="N51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15" s="31" t="str">
        <f>IF(Table64[[#This Row],[date validity flag]]&lt;&gt;"Valid","",Table64[[#This Row],[shipment date ]]-Table64[[#This Row],[Order date]])</f>
        <v/>
      </c>
      <c r="P515" s="27" t="str">
        <f>TEXT(Table64[[#This Row],[Order date]],"mmm-yyyy")</f>
        <v>Mar-2024</v>
      </c>
      <c r="Q515" s="16" t="str">
        <f t="shared" si="8"/>
        <v/>
      </c>
    </row>
    <row r="516" spans="1:17" x14ac:dyDescent="0.3">
      <c r="A516" s="12">
        <v>10515</v>
      </c>
      <c r="B516" s="1">
        <v>5490</v>
      </c>
      <c r="C516" s="1" t="s">
        <v>12</v>
      </c>
      <c r="D516" s="2">
        <v>35708.89</v>
      </c>
      <c r="E516" s="1">
        <v>6</v>
      </c>
      <c r="F516" s="1" t="s">
        <v>13</v>
      </c>
      <c r="G516" s="3">
        <v>45306</v>
      </c>
      <c r="H516" s="2">
        <v>128993.7</v>
      </c>
      <c r="I516" s="13" t="s">
        <v>20</v>
      </c>
      <c r="J516" s="14" t="s">
        <v>19</v>
      </c>
      <c r="K516" s="14">
        <v>496</v>
      </c>
      <c r="L516" s="15">
        <v>45361</v>
      </c>
      <c r="M516" s="16">
        <v>10</v>
      </c>
      <c r="N5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6" s="31">
        <f>IF(Table64[[#This Row],[date validity flag]]&lt;&gt;"Valid","",Table64[[#This Row],[shipment date ]]-Table64[[#This Row],[Order date]])</f>
        <v>55</v>
      </c>
      <c r="P516" s="27" t="str">
        <f>TEXT(Table64[[#This Row],[Order date]],"mmm-yyyy")</f>
        <v>Jan-2024</v>
      </c>
      <c r="Q516" s="16" t="str">
        <f t="shared" si="8"/>
        <v>Delayed</v>
      </c>
    </row>
    <row r="517" spans="1:17" x14ac:dyDescent="0.3">
      <c r="A517" s="17">
        <v>10516</v>
      </c>
      <c r="B517" s="4">
        <v>6410</v>
      </c>
      <c r="C517" s="4" t="s">
        <v>12</v>
      </c>
      <c r="D517" s="5">
        <v>89514.45</v>
      </c>
      <c r="E517" s="4">
        <v>90</v>
      </c>
      <c r="F517" s="4" t="s">
        <v>23</v>
      </c>
      <c r="G517" s="6">
        <v>45306</v>
      </c>
      <c r="H517" s="5">
        <v>145307.53</v>
      </c>
      <c r="I517" s="18" t="s">
        <v>17</v>
      </c>
      <c r="J517" s="14" t="s">
        <v>19</v>
      </c>
      <c r="K517" s="14">
        <v>1293</v>
      </c>
      <c r="L517" s="15">
        <v>45397</v>
      </c>
      <c r="M517" s="16">
        <v>6</v>
      </c>
      <c r="N5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7" s="31">
        <f>IF(Table64[[#This Row],[date validity flag]]&lt;&gt;"Valid","",Table64[[#This Row],[shipment date ]]-Table64[[#This Row],[Order date]])</f>
        <v>91</v>
      </c>
      <c r="P517" s="27" t="str">
        <f>TEXT(Table64[[#This Row],[Order date]],"mmm-yyyy")</f>
        <v>Jan-2024</v>
      </c>
      <c r="Q517" s="16" t="str">
        <f t="shared" si="8"/>
        <v>Delayed</v>
      </c>
    </row>
    <row r="518" spans="1:17" x14ac:dyDescent="0.3">
      <c r="A518" s="12">
        <v>10517</v>
      </c>
      <c r="B518" s="1">
        <v>5785</v>
      </c>
      <c r="C518" s="1" t="s">
        <v>16</v>
      </c>
      <c r="D518" s="2">
        <v>66333.73</v>
      </c>
      <c r="E518" s="1">
        <v>27</v>
      </c>
      <c r="F518" s="1" t="s">
        <v>22</v>
      </c>
      <c r="G518" s="3">
        <v>45361</v>
      </c>
      <c r="H518" s="2">
        <v>39750.36</v>
      </c>
      <c r="I518" s="13" t="s">
        <v>17</v>
      </c>
      <c r="J518" s="14" t="s">
        <v>19</v>
      </c>
      <c r="K518" s="14">
        <v>490</v>
      </c>
      <c r="L518" s="15">
        <v>45397</v>
      </c>
      <c r="M518" s="16">
        <v>1</v>
      </c>
      <c r="N5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18" s="31">
        <f>IF(Table64[[#This Row],[date validity flag]]&lt;&gt;"Valid","",Table64[[#This Row],[shipment date ]]-Table64[[#This Row],[Order date]])</f>
        <v>36</v>
      </c>
      <c r="P518" s="27" t="str">
        <f>TEXT(Table64[[#This Row],[Order date]],"mmm-yyyy")</f>
        <v>Mar-2024</v>
      </c>
      <c r="Q518" s="16" t="str">
        <f t="shared" si="8"/>
        <v>Delayed</v>
      </c>
    </row>
    <row r="519" spans="1:17" x14ac:dyDescent="0.3">
      <c r="A519" s="17">
        <v>10518</v>
      </c>
      <c r="B519" s="4">
        <v>6128</v>
      </c>
      <c r="C519" s="4" t="s">
        <v>16</v>
      </c>
      <c r="D519" s="5">
        <v>88632.22</v>
      </c>
      <c r="E519" s="4">
        <v>8</v>
      </c>
      <c r="F519" s="4" t="s">
        <v>22</v>
      </c>
      <c r="G519" s="6">
        <v>45337</v>
      </c>
      <c r="H519" s="5">
        <v>86616.93</v>
      </c>
      <c r="I519" s="18" t="s">
        <v>14</v>
      </c>
      <c r="J519" s="14" t="s">
        <v>15</v>
      </c>
      <c r="K519" s="14">
        <v>702</v>
      </c>
      <c r="L519" s="15">
        <v>45332</v>
      </c>
      <c r="M519" s="16">
        <v>10</v>
      </c>
      <c r="N51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19" s="31" t="str">
        <f>IF(Table64[[#This Row],[date validity flag]]&lt;&gt;"Valid","",Table64[[#This Row],[shipment date ]]-Table64[[#This Row],[Order date]])</f>
        <v/>
      </c>
      <c r="P519" s="27" t="str">
        <f>TEXT(Table64[[#This Row],[Order date]],"mmm-yyyy")</f>
        <v>Feb-2024</v>
      </c>
      <c r="Q519" s="16" t="str">
        <f t="shared" si="8"/>
        <v/>
      </c>
    </row>
    <row r="520" spans="1:17" x14ac:dyDescent="0.3">
      <c r="A520" s="12">
        <v>10519</v>
      </c>
      <c r="B520" s="1">
        <v>6953</v>
      </c>
      <c r="C520" s="1" t="s">
        <v>12</v>
      </c>
      <c r="D520" s="2">
        <v>11773.36</v>
      </c>
      <c r="E520" s="1">
        <v>83</v>
      </c>
      <c r="F520" s="1" t="s">
        <v>23</v>
      </c>
      <c r="G520" s="3">
        <v>45361</v>
      </c>
      <c r="H520" s="2">
        <v>71085.55</v>
      </c>
      <c r="I520" s="13" t="s">
        <v>17</v>
      </c>
      <c r="J520" s="14" t="s">
        <v>18</v>
      </c>
      <c r="K520" s="14">
        <v>644</v>
      </c>
      <c r="L520" s="15">
        <v>45397</v>
      </c>
      <c r="M520" s="16">
        <v>5</v>
      </c>
      <c r="N5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0" s="31">
        <f>IF(Table64[[#This Row],[date validity flag]]&lt;&gt;"Valid","",Table64[[#This Row],[shipment date ]]-Table64[[#This Row],[Order date]])</f>
        <v>36</v>
      </c>
      <c r="P520" s="27" t="str">
        <f>TEXT(Table64[[#This Row],[Order date]],"mmm-yyyy")</f>
        <v>Mar-2024</v>
      </c>
      <c r="Q520" s="16" t="str">
        <f t="shared" si="8"/>
        <v>Delayed</v>
      </c>
    </row>
    <row r="521" spans="1:17" x14ac:dyDescent="0.3">
      <c r="A521" s="17">
        <v>10520</v>
      </c>
      <c r="B521" s="4">
        <v>6417</v>
      </c>
      <c r="C521" s="4" t="s">
        <v>16</v>
      </c>
      <c r="D521" s="5">
        <v>14902.62</v>
      </c>
      <c r="E521" s="4">
        <v>65</v>
      </c>
      <c r="F521" s="4" t="s">
        <v>23</v>
      </c>
      <c r="G521" s="6">
        <v>45306</v>
      </c>
      <c r="H521" s="5">
        <v>174639.18</v>
      </c>
      <c r="I521" s="18" t="s">
        <v>17</v>
      </c>
      <c r="J521" s="14" t="s">
        <v>15</v>
      </c>
      <c r="K521" s="14">
        <v>278</v>
      </c>
      <c r="L521" s="15">
        <v>45332</v>
      </c>
      <c r="M521" s="16">
        <v>7</v>
      </c>
      <c r="N5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1" s="31">
        <f>IF(Table64[[#This Row],[date validity flag]]&lt;&gt;"Valid","",Table64[[#This Row],[shipment date ]]-Table64[[#This Row],[Order date]])</f>
        <v>26</v>
      </c>
      <c r="P521" s="27" t="str">
        <f>TEXT(Table64[[#This Row],[Order date]],"mmm-yyyy")</f>
        <v>Jan-2024</v>
      </c>
      <c r="Q521" s="16" t="str">
        <f t="shared" si="8"/>
        <v>Delayed</v>
      </c>
    </row>
    <row r="522" spans="1:17" x14ac:dyDescent="0.3">
      <c r="A522" s="12">
        <v>10521</v>
      </c>
      <c r="B522" s="1">
        <v>6835</v>
      </c>
      <c r="C522" s="1" t="s">
        <v>16</v>
      </c>
      <c r="D522" s="2">
        <v>74880.25</v>
      </c>
      <c r="E522" s="1">
        <v>57</v>
      </c>
      <c r="F522" s="1" t="s">
        <v>23</v>
      </c>
      <c r="G522" s="3">
        <v>45361</v>
      </c>
      <c r="H522" s="2">
        <v>122038.54</v>
      </c>
      <c r="I522" s="13" t="s">
        <v>17</v>
      </c>
      <c r="J522" s="14" t="s">
        <v>15</v>
      </c>
      <c r="K522" s="14">
        <v>393</v>
      </c>
      <c r="L522" s="15">
        <v>45397</v>
      </c>
      <c r="M522" s="16">
        <v>13</v>
      </c>
      <c r="N5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2" s="31">
        <f>IF(Table64[[#This Row],[date validity flag]]&lt;&gt;"Valid","",Table64[[#This Row],[shipment date ]]-Table64[[#This Row],[Order date]])</f>
        <v>36</v>
      </c>
      <c r="P522" s="27" t="str">
        <f>TEXT(Table64[[#This Row],[Order date]],"mmm-yyyy")</f>
        <v>Mar-2024</v>
      </c>
      <c r="Q522" s="16" t="str">
        <f t="shared" si="8"/>
        <v>Delayed</v>
      </c>
    </row>
    <row r="523" spans="1:17" x14ac:dyDescent="0.3">
      <c r="A523" s="17">
        <v>10522</v>
      </c>
      <c r="B523" s="4">
        <v>5246</v>
      </c>
      <c r="C523" s="4" t="s">
        <v>16</v>
      </c>
      <c r="D523" s="5">
        <v>35459.96</v>
      </c>
      <c r="E523" s="4">
        <v>93</v>
      </c>
      <c r="F523" s="4" t="s">
        <v>13</v>
      </c>
      <c r="G523" s="6">
        <v>45306</v>
      </c>
      <c r="H523" s="5">
        <v>175364.31</v>
      </c>
      <c r="I523" s="18" t="s">
        <v>14</v>
      </c>
      <c r="J523" s="14" t="s">
        <v>15</v>
      </c>
      <c r="K523" s="14">
        <v>1153</v>
      </c>
      <c r="L523" s="15">
        <v>45361</v>
      </c>
      <c r="M523" s="16">
        <v>6</v>
      </c>
      <c r="N5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3" s="31">
        <f>IF(Table64[[#This Row],[date validity flag]]&lt;&gt;"Valid","",Table64[[#This Row],[shipment date ]]-Table64[[#This Row],[Order date]])</f>
        <v>55</v>
      </c>
      <c r="P523" s="27" t="str">
        <f>TEXT(Table64[[#This Row],[Order date]],"mmm-yyyy")</f>
        <v>Jan-2024</v>
      </c>
      <c r="Q523" s="16" t="str">
        <f t="shared" si="8"/>
        <v>Delayed</v>
      </c>
    </row>
    <row r="524" spans="1:17" x14ac:dyDescent="0.3">
      <c r="A524" s="12">
        <v>10523</v>
      </c>
      <c r="B524" s="1">
        <v>6200</v>
      </c>
      <c r="C524" s="1" t="s">
        <v>16</v>
      </c>
      <c r="D524" s="2">
        <v>63465.440000000002</v>
      </c>
      <c r="E524" s="1">
        <v>99</v>
      </c>
      <c r="F524" s="1" t="s">
        <v>23</v>
      </c>
      <c r="G524" s="3">
        <v>45361</v>
      </c>
      <c r="H524" s="2">
        <v>122210.83</v>
      </c>
      <c r="I524" s="13" t="s">
        <v>20</v>
      </c>
      <c r="J524" s="14" t="s">
        <v>15</v>
      </c>
      <c r="K524" s="14">
        <v>1426</v>
      </c>
      <c r="L524" s="15">
        <v>45397</v>
      </c>
      <c r="M524" s="16">
        <v>13</v>
      </c>
      <c r="N5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4" s="31">
        <f>IF(Table64[[#This Row],[date validity flag]]&lt;&gt;"Valid","",Table64[[#This Row],[shipment date ]]-Table64[[#This Row],[Order date]])</f>
        <v>36</v>
      </c>
      <c r="P524" s="27" t="str">
        <f>TEXT(Table64[[#This Row],[Order date]],"mmm-yyyy")</f>
        <v>Mar-2024</v>
      </c>
      <c r="Q524" s="16" t="str">
        <f t="shared" si="8"/>
        <v>Delayed</v>
      </c>
    </row>
    <row r="525" spans="1:17" x14ac:dyDescent="0.3">
      <c r="A525" s="17">
        <v>10524</v>
      </c>
      <c r="B525" s="4">
        <v>6063</v>
      </c>
      <c r="C525" s="4" t="s">
        <v>16</v>
      </c>
      <c r="D525" s="5">
        <v>78311.98</v>
      </c>
      <c r="E525" s="4">
        <v>40</v>
      </c>
      <c r="F525" s="4" t="s">
        <v>21</v>
      </c>
      <c r="G525" s="6">
        <v>45383</v>
      </c>
      <c r="H525" s="5">
        <v>128028.52</v>
      </c>
      <c r="I525" s="18" t="s">
        <v>20</v>
      </c>
      <c r="J525" s="14" t="s">
        <v>15</v>
      </c>
      <c r="K525" s="14">
        <v>1469</v>
      </c>
      <c r="L525" s="15">
        <v>45332</v>
      </c>
      <c r="M525" s="16">
        <v>13</v>
      </c>
      <c r="N52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25" s="31" t="str">
        <f>IF(Table64[[#This Row],[date validity flag]]&lt;&gt;"Valid","",Table64[[#This Row],[shipment date ]]-Table64[[#This Row],[Order date]])</f>
        <v/>
      </c>
      <c r="P525" s="27" t="str">
        <f>TEXT(Table64[[#This Row],[Order date]],"mmm-yyyy")</f>
        <v>Apr-2024</v>
      </c>
      <c r="Q525" s="16" t="str">
        <f t="shared" si="8"/>
        <v/>
      </c>
    </row>
    <row r="526" spans="1:17" x14ac:dyDescent="0.3">
      <c r="A526" s="12">
        <v>10525</v>
      </c>
      <c r="B526" s="1">
        <v>6501</v>
      </c>
      <c r="C526" s="1" t="s">
        <v>16</v>
      </c>
      <c r="D526" s="2">
        <v>27639.83</v>
      </c>
      <c r="E526" s="1">
        <v>14</v>
      </c>
      <c r="F526" s="1" t="s">
        <v>13</v>
      </c>
      <c r="G526" s="3">
        <v>45383</v>
      </c>
      <c r="H526" s="2">
        <v>52427.76</v>
      </c>
      <c r="I526" s="13" t="s">
        <v>20</v>
      </c>
      <c r="J526" s="14" t="s">
        <v>19</v>
      </c>
      <c r="K526" s="14">
        <v>1363</v>
      </c>
      <c r="L526" s="15">
        <v>45332</v>
      </c>
      <c r="M526" s="16">
        <v>12</v>
      </c>
      <c r="N52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26" s="31" t="str">
        <f>IF(Table64[[#This Row],[date validity flag]]&lt;&gt;"Valid","",Table64[[#This Row],[shipment date ]]-Table64[[#This Row],[Order date]])</f>
        <v/>
      </c>
      <c r="P526" s="27" t="str">
        <f>TEXT(Table64[[#This Row],[Order date]],"mmm-yyyy")</f>
        <v>Apr-2024</v>
      </c>
      <c r="Q526" s="16" t="str">
        <f t="shared" si="8"/>
        <v/>
      </c>
    </row>
    <row r="527" spans="1:17" x14ac:dyDescent="0.3">
      <c r="A527" s="17">
        <v>10526</v>
      </c>
      <c r="B527" s="4">
        <v>6706</v>
      </c>
      <c r="C527" s="4" t="s">
        <v>12</v>
      </c>
      <c r="D527" s="5">
        <v>65684.429999999993</v>
      </c>
      <c r="E527" s="4">
        <v>35</v>
      </c>
      <c r="F527" s="4" t="s">
        <v>22</v>
      </c>
      <c r="G527" s="6">
        <v>45361</v>
      </c>
      <c r="H527" s="5">
        <v>92944.07</v>
      </c>
      <c r="I527" s="18" t="s">
        <v>17</v>
      </c>
      <c r="J527" s="14" t="s">
        <v>19</v>
      </c>
      <c r="K527" s="14">
        <v>1038</v>
      </c>
      <c r="L527" s="15">
        <v>45397</v>
      </c>
      <c r="M527" s="16">
        <v>9</v>
      </c>
      <c r="N5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7" s="31">
        <f>IF(Table64[[#This Row],[date validity flag]]&lt;&gt;"Valid","",Table64[[#This Row],[shipment date ]]-Table64[[#This Row],[Order date]])</f>
        <v>36</v>
      </c>
      <c r="P527" s="27" t="str">
        <f>TEXT(Table64[[#This Row],[Order date]],"mmm-yyyy")</f>
        <v>Mar-2024</v>
      </c>
      <c r="Q527" s="16" t="str">
        <f t="shared" si="8"/>
        <v>Delayed</v>
      </c>
    </row>
    <row r="528" spans="1:17" x14ac:dyDescent="0.3">
      <c r="A528" s="12">
        <v>10527</v>
      </c>
      <c r="B528" s="1">
        <v>5759</v>
      </c>
      <c r="C528" s="1" t="s">
        <v>16</v>
      </c>
      <c r="D528" s="2">
        <v>47557.75</v>
      </c>
      <c r="E528" s="1">
        <v>48</v>
      </c>
      <c r="F528" s="1" t="s">
        <v>22</v>
      </c>
      <c r="G528" s="3">
        <v>45337</v>
      </c>
      <c r="H528" s="2">
        <v>76907.460000000006</v>
      </c>
      <c r="I528" s="13" t="s">
        <v>20</v>
      </c>
      <c r="J528" s="14" t="s">
        <v>18</v>
      </c>
      <c r="K528" s="14">
        <v>1201</v>
      </c>
      <c r="L528" s="15">
        <v>45361</v>
      </c>
      <c r="M528" s="16">
        <v>8</v>
      </c>
      <c r="N5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8" s="31">
        <f>IF(Table64[[#This Row],[date validity flag]]&lt;&gt;"Valid","",Table64[[#This Row],[shipment date ]]-Table64[[#This Row],[Order date]])</f>
        <v>24</v>
      </c>
      <c r="P528" s="27" t="str">
        <f>TEXT(Table64[[#This Row],[Order date]],"mmm-yyyy")</f>
        <v>Feb-2024</v>
      </c>
      <c r="Q528" s="16" t="str">
        <f t="shared" si="8"/>
        <v>Delayed</v>
      </c>
    </row>
    <row r="529" spans="1:17" x14ac:dyDescent="0.3">
      <c r="A529" s="17">
        <v>10528</v>
      </c>
      <c r="B529" s="4">
        <v>5538</v>
      </c>
      <c r="C529" s="4" t="s">
        <v>16</v>
      </c>
      <c r="D529" s="5">
        <v>69180.94</v>
      </c>
      <c r="E529" s="4">
        <v>84</v>
      </c>
      <c r="F529" s="4" t="s">
        <v>22</v>
      </c>
      <c r="G529" s="6">
        <v>45306</v>
      </c>
      <c r="H529" s="5">
        <v>55043.91</v>
      </c>
      <c r="I529" s="18" t="s">
        <v>20</v>
      </c>
      <c r="J529" s="14" t="s">
        <v>15</v>
      </c>
      <c r="K529" s="14">
        <v>958</v>
      </c>
      <c r="L529" s="15">
        <v>45332</v>
      </c>
      <c r="M529" s="16">
        <v>4</v>
      </c>
      <c r="N5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29" s="31">
        <f>IF(Table64[[#This Row],[date validity flag]]&lt;&gt;"Valid","",Table64[[#This Row],[shipment date ]]-Table64[[#This Row],[Order date]])</f>
        <v>26</v>
      </c>
      <c r="P529" s="27" t="str">
        <f>TEXT(Table64[[#This Row],[Order date]],"mmm-yyyy")</f>
        <v>Jan-2024</v>
      </c>
      <c r="Q529" s="16" t="str">
        <f t="shared" si="8"/>
        <v>Delayed</v>
      </c>
    </row>
    <row r="530" spans="1:17" x14ac:dyDescent="0.3">
      <c r="A530" s="12">
        <v>10529</v>
      </c>
      <c r="B530" s="1">
        <v>6891</v>
      </c>
      <c r="C530" s="1" t="s">
        <v>16</v>
      </c>
      <c r="D530" s="2">
        <v>78224.58</v>
      </c>
      <c r="E530" s="1">
        <v>56</v>
      </c>
      <c r="F530" s="1" t="s">
        <v>13</v>
      </c>
      <c r="G530" s="3">
        <v>45383</v>
      </c>
      <c r="H530" s="2">
        <v>136826.76999999999</v>
      </c>
      <c r="I530" s="13" t="s">
        <v>14</v>
      </c>
      <c r="J530" s="14" t="s">
        <v>18</v>
      </c>
      <c r="K530" s="14">
        <v>1432</v>
      </c>
      <c r="L530" s="15">
        <v>45332</v>
      </c>
      <c r="M530" s="16">
        <v>13</v>
      </c>
      <c r="N53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30" s="31" t="str">
        <f>IF(Table64[[#This Row],[date validity flag]]&lt;&gt;"Valid","",Table64[[#This Row],[shipment date ]]-Table64[[#This Row],[Order date]])</f>
        <v/>
      </c>
      <c r="P530" s="27" t="str">
        <f>TEXT(Table64[[#This Row],[Order date]],"mmm-yyyy")</f>
        <v>Apr-2024</v>
      </c>
      <c r="Q530" s="16" t="str">
        <f t="shared" si="8"/>
        <v/>
      </c>
    </row>
    <row r="531" spans="1:17" x14ac:dyDescent="0.3">
      <c r="A531" s="17">
        <v>10530</v>
      </c>
      <c r="B531" s="4">
        <v>6842</v>
      </c>
      <c r="C531" s="4" t="s">
        <v>16</v>
      </c>
      <c r="D531" s="5">
        <v>35783.21</v>
      </c>
      <c r="E531" s="4">
        <v>49</v>
      </c>
      <c r="F531" s="4" t="s">
        <v>21</v>
      </c>
      <c r="G531" s="6">
        <v>45337</v>
      </c>
      <c r="H531" s="5">
        <v>15030.19</v>
      </c>
      <c r="I531" s="18" t="s">
        <v>20</v>
      </c>
      <c r="J531" s="14" t="s">
        <v>19</v>
      </c>
      <c r="K531" s="14">
        <v>576</v>
      </c>
      <c r="L531" s="15">
        <v>45332</v>
      </c>
      <c r="M531" s="16">
        <v>11</v>
      </c>
      <c r="N53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31" s="31" t="str">
        <f>IF(Table64[[#This Row],[date validity flag]]&lt;&gt;"Valid","",Table64[[#This Row],[shipment date ]]-Table64[[#This Row],[Order date]])</f>
        <v/>
      </c>
      <c r="P531" s="27" t="str">
        <f>TEXT(Table64[[#This Row],[Order date]],"mmm-yyyy")</f>
        <v>Feb-2024</v>
      </c>
      <c r="Q531" s="16" t="str">
        <f t="shared" si="8"/>
        <v/>
      </c>
    </row>
    <row r="532" spans="1:17" x14ac:dyDescent="0.3">
      <c r="A532" s="12">
        <v>10531</v>
      </c>
      <c r="B532" s="1">
        <v>5921</v>
      </c>
      <c r="C532" s="1" t="s">
        <v>16</v>
      </c>
      <c r="D532" s="2">
        <v>90170.7</v>
      </c>
      <c r="E532" s="1">
        <v>13</v>
      </c>
      <c r="F532" s="1" t="s">
        <v>23</v>
      </c>
      <c r="G532" s="3">
        <v>45306</v>
      </c>
      <c r="H532" s="2">
        <v>104965.82</v>
      </c>
      <c r="I532" s="13" t="s">
        <v>17</v>
      </c>
      <c r="J532" s="14" t="s">
        <v>19</v>
      </c>
      <c r="K532" s="14">
        <v>1386</v>
      </c>
      <c r="L532" s="15">
        <v>45332</v>
      </c>
      <c r="M532" s="16">
        <v>12</v>
      </c>
      <c r="N53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32" s="31">
        <f>IF(Table64[[#This Row],[date validity flag]]&lt;&gt;"Valid","",Table64[[#This Row],[shipment date ]]-Table64[[#This Row],[Order date]])</f>
        <v>26</v>
      </c>
      <c r="P532" s="27" t="str">
        <f>TEXT(Table64[[#This Row],[Order date]],"mmm-yyyy")</f>
        <v>Jan-2024</v>
      </c>
      <c r="Q532" s="16" t="str">
        <f t="shared" si="8"/>
        <v>Delayed</v>
      </c>
    </row>
    <row r="533" spans="1:17" x14ac:dyDescent="0.3">
      <c r="A533" s="17">
        <v>10532</v>
      </c>
      <c r="B533" s="4">
        <v>5408</v>
      </c>
      <c r="C533" s="4" t="s">
        <v>16</v>
      </c>
      <c r="D533" s="5">
        <v>29262.33</v>
      </c>
      <c r="E533" s="4">
        <v>61</v>
      </c>
      <c r="F533" s="4" t="s">
        <v>23</v>
      </c>
      <c r="G533" s="6">
        <v>45383</v>
      </c>
      <c r="H533" s="5">
        <v>15206.02</v>
      </c>
      <c r="I533" s="18" t="s">
        <v>17</v>
      </c>
      <c r="J533" s="14" t="s">
        <v>19</v>
      </c>
      <c r="K533" s="14">
        <v>124</v>
      </c>
      <c r="L533" s="15">
        <v>45332</v>
      </c>
      <c r="M533" s="16">
        <v>5</v>
      </c>
      <c r="N5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33" s="31" t="str">
        <f>IF(Table64[[#This Row],[date validity flag]]&lt;&gt;"Valid","",Table64[[#This Row],[shipment date ]]-Table64[[#This Row],[Order date]])</f>
        <v/>
      </c>
      <c r="P533" s="27" t="str">
        <f>TEXT(Table64[[#This Row],[Order date]],"mmm-yyyy")</f>
        <v>Apr-2024</v>
      </c>
      <c r="Q533" s="16" t="str">
        <f t="shared" si="8"/>
        <v/>
      </c>
    </row>
    <row r="534" spans="1:17" x14ac:dyDescent="0.3">
      <c r="A534" s="12">
        <v>10533</v>
      </c>
      <c r="B534" s="1">
        <v>5525</v>
      </c>
      <c r="C534" s="1" t="s">
        <v>16</v>
      </c>
      <c r="D534" s="2">
        <v>95717.91</v>
      </c>
      <c r="E534" s="1">
        <v>49</v>
      </c>
      <c r="F534" s="1" t="s">
        <v>22</v>
      </c>
      <c r="G534" s="3">
        <v>45383</v>
      </c>
      <c r="H534" s="2">
        <v>62528.14</v>
      </c>
      <c r="I534" s="13" t="s">
        <v>17</v>
      </c>
      <c r="J534" s="14" t="s">
        <v>15</v>
      </c>
      <c r="K534" s="14">
        <v>245</v>
      </c>
      <c r="L534" s="15">
        <v>45361</v>
      </c>
      <c r="M534" s="16">
        <v>7</v>
      </c>
      <c r="N53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34" s="31" t="str">
        <f>IF(Table64[[#This Row],[date validity flag]]&lt;&gt;"Valid","",Table64[[#This Row],[shipment date ]]-Table64[[#This Row],[Order date]])</f>
        <v/>
      </c>
      <c r="P534" s="27" t="str">
        <f>TEXT(Table64[[#This Row],[Order date]],"mmm-yyyy")</f>
        <v>Apr-2024</v>
      </c>
      <c r="Q534" s="16" t="str">
        <f t="shared" si="8"/>
        <v/>
      </c>
    </row>
    <row r="535" spans="1:17" x14ac:dyDescent="0.3">
      <c r="A535" s="17">
        <v>10534</v>
      </c>
      <c r="B535" s="4">
        <v>5828</v>
      </c>
      <c r="C535" s="4" t="s">
        <v>12</v>
      </c>
      <c r="D535" s="5">
        <v>41200.370000000003</v>
      </c>
      <c r="E535" s="4">
        <v>46</v>
      </c>
      <c r="F535" s="4" t="s">
        <v>22</v>
      </c>
      <c r="G535" s="6">
        <v>45361</v>
      </c>
      <c r="H535" s="5">
        <v>73856.59</v>
      </c>
      <c r="I535" s="18" t="s">
        <v>14</v>
      </c>
      <c r="J535" s="14" t="s">
        <v>15</v>
      </c>
      <c r="K535" s="14">
        <v>78</v>
      </c>
      <c r="L535" s="15">
        <v>45397</v>
      </c>
      <c r="M535" s="16">
        <v>8</v>
      </c>
      <c r="N5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35" s="31">
        <f>IF(Table64[[#This Row],[date validity flag]]&lt;&gt;"Valid","",Table64[[#This Row],[shipment date ]]-Table64[[#This Row],[Order date]])</f>
        <v>36</v>
      </c>
      <c r="P535" s="27" t="str">
        <f>TEXT(Table64[[#This Row],[Order date]],"mmm-yyyy")</f>
        <v>Mar-2024</v>
      </c>
      <c r="Q535" s="16" t="str">
        <f t="shared" si="8"/>
        <v>Delayed</v>
      </c>
    </row>
    <row r="536" spans="1:17" x14ac:dyDescent="0.3">
      <c r="A536" s="12">
        <v>10535</v>
      </c>
      <c r="B536" s="1">
        <v>6530</v>
      </c>
      <c r="C536" s="1" t="s">
        <v>12</v>
      </c>
      <c r="D536" s="2">
        <v>39331.120000000003</v>
      </c>
      <c r="E536" s="1">
        <v>62</v>
      </c>
      <c r="F536" s="1" t="s">
        <v>13</v>
      </c>
      <c r="G536" s="3">
        <v>45306</v>
      </c>
      <c r="H536" s="2">
        <v>35602.449999999997</v>
      </c>
      <c r="I536" s="13" t="s">
        <v>14</v>
      </c>
      <c r="J536" s="14" t="s">
        <v>19</v>
      </c>
      <c r="K536" s="14">
        <v>755</v>
      </c>
      <c r="L536" s="15">
        <v>45361</v>
      </c>
      <c r="M536" s="16">
        <v>5</v>
      </c>
      <c r="N5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36" s="31">
        <f>IF(Table64[[#This Row],[date validity flag]]&lt;&gt;"Valid","",Table64[[#This Row],[shipment date ]]-Table64[[#This Row],[Order date]])</f>
        <v>55</v>
      </c>
      <c r="P536" s="27" t="str">
        <f>TEXT(Table64[[#This Row],[Order date]],"mmm-yyyy")</f>
        <v>Jan-2024</v>
      </c>
      <c r="Q536" s="16" t="str">
        <f t="shared" si="8"/>
        <v>Delayed</v>
      </c>
    </row>
    <row r="537" spans="1:17" x14ac:dyDescent="0.3">
      <c r="A537" s="17">
        <v>10536</v>
      </c>
      <c r="B537" s="4">
        <v>5903</v>
      </c>
      <c r="C537" s="4" t="s">
        <v>16</v>
      </c>
      <c r="D537" s="5">
        <v>22051.86</v>
      </c>
      <c r="E537" s="4">
        <v>8</v>
      </c>
      <c r="F537" s="4" t="s">
        <v>21</v>
      </c>
      <c r="G537" s="6">
        <v>45337</v>
      </c>
      <c r="H537" s="5">
        <v>162887.07</v>
      </c>
      <c r="I537" s="18" t="s">
        <v>17</v>
      </c>
      <c r="J537" s="14" t="s">
        <v>18</v>
      </c>
      <c r="K537" s="14">
        <v>1070</v>
      </c>
      <c r="L537" s="15">
        <v>45361</v>
      </c>
      <c r="M537" s="16">
        <v>9</v>
      </c>
      <c r="N53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37" s="31">
        <f>IF(Table64[[#This Row],[date validity flag]]&lt;&gt;"Valid","",Table64[[#This Row],[shipment date ]]-Table64[[#This Row],[Order date]])</f>
        <v>24</v>
      </c>
      <c r="P537" s="27" t="str">
        <f>TEXT(Table64[[#This Row],[Order date]],"mmm-yyyy")</f>
        <v>Feb-2024</v>
      </c>
      <c r="Q537" s="16" t="str">
        <f t="shared" si="8"/>
        <v>Delayed</v>
      </c>
    </row>
    <row r="538" spans="1:17" x14ac:dyDescent="0.3">
      <c r="A538" s="12">
        <v>10537</v>
      </c>
      <c r="B538" s="1">
        <v>6849</v>
      </c>
      <c r="C538" s="1" t="s">
        <v>16</v>
      </c>
      <c r="D538" s="2">
        <v>39369.5</v>
      </c>
      <c r="E538" s="1">
        <v>43</v>
      </c>
      <c r="F538" s="1" t="s">
        <v>23</v>
      </c>
      <c r="G538" s="3">
        <v>45337</v>
      </c>
      <c r="H538" s="2">
        <v>106443.93</v>
      </c>
      <c r="I538" s="13" t="s">
        <v>20</v>
      </c>
      <c r="J538" s="14" t="s">
        <v>18</v>
      </c>
      <c r="K538" s="14">
        <v>65</v>
      </c>
      <c r="L538" s="15">
        <v>45332</v>
      </c>
      <c r="M538" s="16">
        <v>14</v>
      </c>
      <c r="N5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38" s="31" t="str">
        <f>IF(Table64[[#This Row],[date validity flag]]&lt;&gt;"Valid","",Table64[[#This Row],[shipment date ]]-Table64[[#This Row],[Order date]])</f>
        <v/>
      </c>
      <c r="P538" s="27" t="str">
        <f>TEXT(Table64[[#This Row],[Order date]],"mmm-yyyy")</f>
        <v>Feb-2024</v>
      </c>
      <c r="Q538" s="16" t="str">
        <f t="shared" si="8"/>
        <v/>
      </c>
    </row>
    <row r="539" spans="1:17" x14ac:dyDescent="0.3">
      <c r="A539" s="17">
        <v>10538</v>
      </c>
      <c r="B539" s="4">
        <v>5036</v>
      </c>
      <c r="C539" s="4" t="s">
        <v>16</v>
      </c>
      <c r="D539" s="5">
        <v>43390.63</v>
      </c>
      <c r="E539" s="4">
        <v>20</v>
      </c>
      <c r="F539" s="4" t="s">
        <v>13</v>
      </c>
      <c r="G539" s="6">
        <v>45337</v>
      </c>
      <c r="H539" s="5">
        <v>23747</v>
      </c>
      <c r="I539" s="18" t="s">
        <v>14</v>
      </c>
      <c r="J539" s="14" t="s">
        <v>19</v>
      </c>
      <c r="K539" s="14">
        <v>1496</v>
      </c>
      <c r="L539" s="15">
        <v>45361</v>
      </c>
      <c r="M539" s="16">
        <v>10</v>
      </c>
      <c r="N53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39" s="31">
        <f>IF(Table64[[#This Row],[date validity flag]]&lt;&gt;"Valid","",Table64[[#This Row],[shipment date ]]-Table64[[#This Row],[Order date]])</f>
        <v>24</v>
      </c>
      <c r="P539" s="27" t="str">
        <f>TEXT(Table64[[#This Row],[Order date]],"mmm-yyyy")</f>
        <v>Feb-2024</v>
      </c>
      <c r="Q539" s="16" t="str">
        <f t="shared" si="8"/>
        <v>Delayed</v>
      </c>
    </row>
    <row r="540" spans="1:17" x14ac:dyDescent="0.3">
      <c r="A540" s="12">
        <v>10539</v>
      </c>
      <c r="B540" s="1">
        <v>5685</v>
      </c>
      <c r="C540" s="1" t="s">
        <v>16</v>
      </c>
      <c r="D540" s="2">
        <v>75974.61</v>
      </c>
      <c r="E540" s="1">
        <v>97</v>
      </c>
      <c r="F540" s="1" t="s">
        <v>23</v>
      </c>
      <c r="G540" s="3">
        <v>45306</v>
      </c>
      <c r="H540" s="2">
        <v>132145.26999999999</v>
      </c>
      <c r="I540" s="13" t="s">
        <v>17</v>
      </c>
      <c r="J540" s="14" t="s">
        <v>18</v>
      </c>
      <c r="K540" s="14">
        <v>854</v>
      </c>
      <c r="L540" s="15">
        <v>45332</v>
      </c>
      <c r="M540" s="16">
        <v>12</v>
      </c>
      <c r="N5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0" s="31">
        <f>IF(Table64[[#This Row],[date validity flag]]&lt;&gt;"Valid","",Table64[[#This Row],[shipment date ]]-Table64[[#This Row],[Order date]])</f>
        <v>26</v>
      </c>
      <c r="P540" s="27" t="str">
        <f>TEXT(Table64[[#This Row],[Order date]],"mmm-yyyy")</f>
        <v>Jan-2024</v>
      </c>
      <c r="Q540" s="16" t="str">
        <f t="shared" si="8"/>
        <v>Delayed</v>
      </c>
    </row>
    <row r="541" spans="1:17" x14ac:dyDescent="0.3">
      <c r="A541" s="17">
        <v>10540</v>
      </c>
      <c r="B541" s="4">
        <v>5020</v>
      </c>
      <c r="C541" s="4" t="s">
        <v>16</v>
      </c>
      <c r="D541" s="5">
        <v>29281.48</v>
      </c>
      <c r="E541" s="4">
        <v>90</v>
      </c>
      <c r="F541" s="4" t="s">
        <v>22</v>
      </c>
      <c r="G541" s="6">
        <v>45337</v>
      </c>
      <c r="H541" s="5">
        <v>157122.96</v>
      </c>
      <c r="I541" s="18" t="s">
        <v>17</v>
      </c>
      <c r="J541" s="14" t="s">
        <v>19</v>
      </c>
      <c r="K541" s="14">
        <v>1478</v>
      </c>
      <c r="L541" s="15">
        <v>45361</v>
      </c>
      <c r="M541" s="16">
        <v>4</v>
      </c>
      <c r="N5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1" s="31">
        <f>IF(Table64[[#This Row],[date validity flag]]&lt;&gt;"Valid","",Table64[[#This Row],[shipment date ]]-Table64[[#This Row],[Order date]])</f>
        <v>24</v>
      </c>
      <c r="P541" s="27" t="str">
        <f>TEXT(Table64[[#This Row],[Order date]],"mmm-yyyy")</f>
        <v>Feb-2024</v>
      </c>
      <c r="Q541" s="16" t="str">
        <f t="shared" si="8"/>
        <v>Delayed</v>
      </c>
    </row>
    <row r="542" spans="1:17" x14ac:dyDescent="0.3">
      <c r="A542" s="12">
        <v>10541</v>
      </c>
      <c r="B542" s="1">
        <v>5321</v>
      </c>
      <c r="C542" s="1" t="s">
        <v>16</v>
      </c>
      <c r="D542" s="2">
        <v>75887.710000000006</v>
      </c>
      <c r="E542" s="1">
        <v>39</v>
      </c>
      <c r="F542" s="1" t="s">
        <v>23</v>
      </c>
      <c r="G542" s="3">
        <v>45337</v>
      </c>
      <c r="H542" s="2">
        <v>27832.68</v>
      </c>
      <c r="I542" s="13" t="s">
        <v>14</v>
      </c>
      <c r="J542" s="14" t="s">
        <v>18</v>
      </c>
      <c r="K542" s="14">
        <v>989</v>
      </c>
      <c r="L542" s="15">
        <v>45332</v>
      </c>
      <c r="M542" s="16">
        <v>4</v>
      </c>
      <c r="N54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42" s="31" t="str">
        <f>IF(Table64[[#This Row],[date validity flag]]&lt;&gt;"Valid","",Table64[[#This Row],[shipment date ]]-Table64[[#This Row],[Order date]])</f>
        <v/>
      </c>
      <c r="P542" s="27" t="str">
        <f>TEXT(Table64[[#This Row],[Order date]],"mmm-yyyy")</f>
        <v>Feb-2024</v>
      </c>
      <c r="Q542" s="16" t="str">
        <f t="shared" si="8"/>
        <v/>
      </c>
    </row>
    <row r="543" spans="1:17" x14ac:dyDescent="0.3">
      <c r="A543" s="17">
        <v>10542</v>
      </c>
      <c r="B543" s="4">
        <v>6800</v>
      </c>
      <c r="C543" s="4" t="s">
        <v>16</v>
      </c>
      <c r="D543" s="5">
        <v>10936.33</v>
      </c>
      <c r="E543" s="4">
        <v>85</v>
      </c>
      <c r="F543" s="4" t="s">
        <v>21</v>
      </c>
      <c r="G543" s="6">
        <v>45337</v>
      </c>
      <c r="H543" s="5">
        <v>83712.36</v>
      </c>
      <c r="I543" s="18" t="s">
        <v>14</v>
      </c>
      <c r="J543" s="14" t="s">
        <v>19</v>
      </c>
      <c r="K543" s="14">
        <v>1016</v>
      </c>
      <c r="L543" s="15">
        <v>45332</v>
      </c>
      <c r="M543" s="16">
        <v>13</v>
      </c>
      <c r="N54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43" s="31" t="str">
        <f>IF(Table64[[#This Row],[date validity flag]]&lt;&gt;"Valid","",Table64[[#This Row],[shipment date ]]-Table64[[#This Row],[Order date]])</f>
        <v/>
      </c>
      <c r="P543" s="27" t="str">
        <f>TEXT(Table64[[#This Row],[Order date]],"mmm-yyyy")</f>
        <v>Feb-2024</v>
      </c>
      <c r="Q543" s="16" t="str">
        <f t="shared" si="8"/>
        <v/>
      </c>
    </row>
    <row r="544" spans="1:17" x14ac:dyDescent="0.3">
      <c r="A544" s="12">
        <v>10543</v>
      </c>
      <c r="B544" s="1">
        <v>5512</v>
      </c>
      <c r="C544" s="1" t="s">
        <v>16</v>
      </c>
      <c r="D544" s="2">
        <v>45482.06</v>
      </c>
      <c r="E544" s="1">
        <v>49</v>
      </c>
      <c r="F544" s="1" t="s">
        <v>21</v>
      </c>
      <c r="G544" s="3">
        <v>45361</v>
      </c>
      <c r="H544" s="2">
        <v>42232.66</v>
      </c>
      <c r="I544" s="13" t="s">
        <v>14</v>
      </c>
      <c r="J544" s="14" t="s">
        <v>18</v>
      </c>
      <c r="K544" s="14">
        <v>1150</v>
      </c>
      <c r="L544" s="15">
        <v>45361</v>
      </c>
      <c r="M544" s="16">
        <v>8</v>
      </c>
      <c r="N5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4" s="31">
        <f>IF(Table64[[#This Row],[date validity flag]]&lt;&gt;"Valid","",Table64[[#This Row],[shipment date ]]-Table64[[#This Row],[Order date]])</f>
        <v>0</v>
      </c>
      <c r="P544" s="27" t="str">
        <f>TEXT(Table64[[#This Row],[Order date]],"mmm-yyyy")</f>
        <v>Mar-2024</v>
      </c>
      <c r="Q544" s="16" t="str">
        <f t="shared" si="8"/>
        <v>On Time</v>
      </c>
    </row>
    <row r="545" spans="1:17" x14ac:dyDescent="0.3">
      <c r="A545" s="17">
        <v>10544</v>
      </c>
      <c r="B545" s="4">
        <v>5400</v>
      </c>
      <c r="C545" s="4" t="s">
        <v>16</v>
      </c>
      <c r="D545" s="5">
        <v>17798.099999999999</v>
      </c>
      <c r="E545" s="4">
        <v>64</v>
      </c>
      <c r="F545" s="4" t="s">
        <v>22</v>
      </c>
      <c r="G545" s="6">
        <v>45361</v>
      </c>
      <c r="H545" s="5">
        <v>137787.96</v>
      </c>
      <c r="I545" s="18" t="s">
        <v>17</v>
      </c>
      <c r="J545" s="14" t="s">
        <v>15</v>
      </c>
      <c r="K545" s="14">
        <v>278</v>
      </c>
      <c r="L545" s="15">
        <v>45361</v>
      </c>
      <c r="M545" s="16">
        <v>1</v>
      </c>
      <c r="N5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5" s="31">
        <f>IF(Table64[[#This Row],[date validity flag]]&lt;&gt;"Valid","",Table64[[#This Row],[shipment date ]]-Table64[[#This Row],[Order date]])</f>
        <v>0</v>
      </c>
      <c r="P545" s="27" t="str">
        <f>TEXT(Table64[[#This Row],[Order date]],"mmm-yyyy")</f>
        <v>Mar-2024</v>
      </c>
      <c r="Q545" s="16" t="str">
        <f t="shared" si="8"/>
        <v>On Time</v>
      </c>
    </row>
    <row r="546" spans="1:17" x14ac:dyDescent="0.3">
      <c r="A546" s="12">
        <v>10545</v>
      </c>
      <c r="B546" s="1">
        <v>5654</v>
      </c>
      <c r="C546" s="1" t="s">
        <v>16</v>
      </c>
      <c r="D546" s="2">
        <v>75610.98</v>
      </c>
      <c r="E546" s="1">
        <v>62</v>
      </c>
      <c r="F546" s="1" t="s">
        <v>21</v>
      </c>
      <c r="G546" s="3">
        <v>45306</v>
      </c>
      <c r="H546" s="2">
        <v>131721.48000000001</v>
      </c>
      <c r="I546" s="13" t="s">
        <v>17</v>
      </c>
      <c r="J546" s="14" t="s">
        <v>19</v>
      </c>
      <c r="K546" s="14">
        <v>1011</v>
      </c>
      <c r="L546" s="15">
        <v>45397</v>
      </c>
      <c r="M546" s="16">
        <v>8</v>
      </c>
      <c r="N5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6" s="31">
        <f>IF(Table64[[#This Row],[date validity flag]]&lt;&gt;"Valid","",Table64[[#This Row],[shipment date ]]-Table64[[#This Row],[Order date]])</f>
        <v>91</v>
      </c>
      <c r="P546" s="27" t="str">
        <f>TEXT(Table64[[#This Row],[Order date]],"mmm-yyyy")</f>
        <v>Jan-2024</v>
      </c>
      <c r="Q546" s="16" t="str">
        <f t="shared" si="8"/>
        <v>Delayed</v>
      </c>
    </row>
    <row r="547" spans="1:17" x14ac:dyDescent="0.3">
      <c r="A547" s="17">
        <v>10546</v>
      </c>
      <c r="B547" s="4">
        <v>5972</v>
      </c>
      <c r="C547" s="4" t="s">
        <v>16</v>
      </c>
      <c r="D547" s="5">
        <v>12824.96</v>
      </c>
      <c r="E547" s="4">
        <v>54</v>
      </c>
      <c r="F547" s="4" t="s">
        <v>21</v>
      </c>
      <c r="G547" s="6">
        <v>45306</v>
      </c>
      <c r="H547" s="5">
        <v>126078.6</v>
      </c>
      <c r="I547" s="18" t="s">
        <v>17</v>
      </c>
      <c r="J547" s="14" t="s">
        <v>19</v>
      </c>
      <c r="K547" s="14">
        <v>1370</v>
      </c>
      <c r="L547" s="15">
        <v>45397</v>
      </c>
      <c r="M547" s="16">
        <v>5</v>
      </c>
      <c r="N5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7" s="31">
        <f>IF(Table64[[#This Row],[date validity flag]]&lt;&gt;"Valid","",Table64[[#This Row],[shipment date ]]-Table64[[#This Row],[Order date]])</f>
        <v>91</v>
      </c>
      <c r="P547" s="27" t="str">
        <f>TEXT(Table64[[#This Row],[Order date]],"mmm-yyyy")</f>
        <v>Jan-2024</v>
      </c>
      <c r="Q547" s="16" t="str">
        <f t="shared" si="8"/>
        <v>Delayed</v>
      </c>
    </row>
    <row r="548" spans="1:17" x14ac:dyDescent="0.3">
      <c r="A548" s="12">
        <v>10547</v>
      </c>
      <c r="B548" s="1">
        <v>6907</v>
      </c>
      <c r="C548" s="1" t="s">
        <v>16</v>
      </c>
      <c r="D548" s="2">
        <v>43551.33</v>
      </c>
      <c r="E548" s="1">
        <v>9</v>
      </c>
      <c r="F548" s="1" t="s">
        <v>13</v>
      </c>
      <c r="G548" s="3">
        <v>45337</v>
      </c>
      <c r="H548" s="2">
        <v>24471.87</v>
      </c>
      <c r="I548" s="13" t="s">
        <v>17</v>
      </c>
      <c r="J548" s="14" t="s">
        <v>18</v>
      </c>
      <c r="K548" s="14">
        <v>764</v>
      </c>
      <c r="L548" s="15">
        <v>45397</v>
      </c>
      <c r="M548" s="16">
        <v>13</v>
      </c>
      <c r="N5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8" s="31">
        <f>IF(Table64[[#This Row],[date validity flag]]&lt;&gt;"Valid","",Table64[[#This Row],[shipment date ]]-Table64[[#This Row],[Order date]])</f>
        <v>60</v>
      </c>
      <c r="P548" s="27" t="str">
        <f>TEXT(Table64[[#This Row],[Order date]],"mmm-yyyy")</f>
        <v>Feb-2024</v>
      </c>
      <c r="Q548" s="16" t="str">
        <f t="shared" si="8"/>
        <v>Delayed</v>
      </c>
    </row>
    <row r="549" spans="1:17" x14ac:dyDescent="0.3">
      <c r="A549" s="17">
        <v>10548</v>
      </c>
      <c r="B549" s="4">
        <v>5471</v>
      </c>
      <c r="C549" s="4" t="s">
        <v>16</v>
      </c>
      <c r="D549" s="5">
        <v>15123.02</v>
      </c>
      <c r="E549" s="4">
        <v>88</v>
      </c>
      <c r="F549" s="4" t="s">
        <v>23</v>
      </c>
      <c r="G549" s="6">
        <v>45361</v>
      </c>
      <c r="H549" s="5">
        <v>32331.72</v>
      </c>
      <c r="I549" s="18" t="s">
        <v>20</v>
      </c>
      <c r="J549" s="14" t="s">
        <v>19</v>
      </c>
      <c r="K549" s="14">
        <v>1033</v>
      </c>
      <c r="L549" s="15">
        <v>45361</v>
      </c>
      <c r="M549" s="16">
        <v>14</v>
      </c>
      <c r="N5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49" s="31">
        <f>IF(Table64[[#This Row],[date validity flag]]&lt;&gt;"Valid","",Table64[[#This Row],[shipment date ]]-Table64[[#This Row],[Order date]])</f>
        <v>0</v>
      </c>
      <c r="P549" s="27" t="str">
        <f>TEXT(Table64[[#This Row],[Order date]],"mmm-yyyy")</f>
        <v>Mar-2024</v>
      </c>
      <c r="Q549" s="16" t="str">
        <f t="shared" si="8"/>
        <v>On Time</v>
      </c>
    </row>
    <row r="550" spans="1:17" x14ac:dyDescent="0.3">
      <c r="A550" s="12">
        <v>10549</v>
      </c>
      <c r="B550" s="1">
        <v>6167</v>
      </c>
      <c r="C550" s="1" t="s">
        <v>16</v>
      </c>
      <c r="D550" s="2">
        <v>21201</v>
      </c>
      <c r="E550" s="1">
        <v>37</v>
      </c>
      <c r="F550" s="1" t="s">
        <v>22</v>
      </c>
      <c r="G550" s="3">
        <v>45383</v>
      </c>
      <c r="H550" s="2">
        <v>143927.57999999999</v>
      </c>
      <c r="I550" s="13" t="s">
        <v>17</v>
      </c>
      <c r="J550" s="14" t="s">
        <v>19</v>
      </c>
      <c r="K550" s="14">
        <v>622</v>
      </c>
      <c r="L550" s="15">
        <v>45361</v>
      </c>
      <c r="M550" s="16">
        <v>11</v>
      </c>
      <c r="N55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50" s="31" t="str">
        <f>IF(Table64[[#This Row],[date validity flag]]&lt;&gt;"Valid","",Table64[[#This Row],[shipment date ]]-Table64[[#This Row],[Order date]])</f>
        <v/>
      </c>
      <c r="P550" s="27" t="str">
        <f>TEXT(Table64[[#This Row],[Order date]],"mmm-yyyy")</f>
        <v>Apr-2024</v>
      </c>
      <c r="Q550" s="16" t="str">
        <f t="shared" si="8"/>
        <v/>
      </c>
    </row>
    <row r="551" spans="1:17" x14ac:dyDescent="0.3">
      <c r="A551" s="17">
        <v>10550</v>
      </c>
      <c r="B551" s="4">
        <v>6116</v>
      </c>
      <c r="C551" s="4" t="s">
        <v>16</v>
      </c>
      <c r="D551" s="5">
        <v>78573.009999999995</v>
      </c>
      <c r="E551" s="4">
        <v>49</v>
      </c>
      <c r="F551" s="4" t="s">
        <v>22</v>
      </c>
      <c r="G551" s="6">
        <v>45383</v>
      </c>
      <c r="H551" s="5">
        <v>18620.23</v>
      </c>
      <c r="I551" s="18" t="s">
        <v>17</v>
      </c>
      <c r="J551" s="14" t="s">
        <v>19</v>
      </c>
      <c r="K551" s="14">
        <v>664</v>
      </c>
      <c r="L551" s="15">
        <v>45332</v>
      </c>
      <c r="M551" s="16">
        <v>1</v>
      </c>
      <c r="N5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51" s="31" t="str">
        <f>IF(Table64[[#This Row],[date validity flag]]&lt;&gt;"Valid","",Table64[[#This Row],[shipment date ]]-Table64[[#This Row],[Order date]])</f>
        <v/>
      </c>
      <c r="P551" s="27" t="str">
        <f>TEXT(Table64[[#This Row],[Order date]],"mmm-yyyy")</f>
        <v>Apr-2024</v>
      </c>
      <c r="Q551" s="16" t="str">
        <f t="shared" si="8"/>
        <v/>
      </c>
    </row>
    <row r="552" spans="1:17" x14ac:dyDescent="0.3">
      <c r="A552" s="12">
        <v>10551</v>
      </c>
      <c r="B552" s="1">
        <v>6378</v>
      </c>
      <c r="C552" s="1" t="s">
        <v>12</v>
      </c>
      <c r="D552" s="2">
        <v>31488.27</v>
      </c>
      <c r="E552" s="1">
        <v>41</v>
      </c>
      <c r="F552" s="1" t="s">
        <v>22</v>
      </c>
      <c r="G552" s="3">
        <v>45337</v>
      </c>
      <c r="H552" s="2">
        <v>145404.9</v>
      </c>
      <c r="I552" s="13" t="s">
        <v>14</v>
      </c>
      <c r="J552" s="14" t="s">
        <v>15</v>
      </c>
      <c r="K552" s="14">
        <v>375</v>
      </c>
      <c r="L552" s="15">
        <v>45397</v>
      </c>
      <c r="M552" s="16">
        <v>4</v>
      </c>
      <c r="N55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52" s="31">
        <f>IF(Table64[[#This Row],[date validity flag]]&lt;&gt;"Valid","",Table64[[#This Row],[shipment date ]]-Table64[[#This Row],[Order date]])</f>
        <v>60</v>
      </c>
      <c r="P552" s="27" t="str">
        <f>TEXT(Table64[[#This Row],[Order date]],"mmm-yyyy")</f>
        <v>Feb-2024</v>
      </c>
      <c r="Q552" s="16" t="str">
        <f t="shared" si="8"/>
        <v>Delayed</v>
      </c>
    </row>
    <row r="553" spans="1:17" x14ac:dyDescent="0.3">
      <c r="A553" s="17">
        <v>10552</v>
      </c>
      <c r="B553" s="4">
        <v>5834</v>
      </c>
      <c r="C553" s="4" t="s">
        <v>16</v>
      </c>
      <c r="D553" s="5">
        <v>38295.03</v>
      </c>
      <c r="E553" s="4">
        <v>17</v>
      </c>
      <c r="F553" s="4" t="s">
        <v>22</v>
      </c>
      <c r="G553" s="6">
        <v>45337</v>
      </c>
      <c r="H553" s="5">
        <v>12536.45</v>
      </c>
      <c r="I553" s="18" t="s">
        <v>14</v>
      </c>
      <c r="J553" s="14" t="s">
        <v>15</v>
      </c>
      <c r="K553" s="14">
        <v>1436</v>
      </c>
      <c r="L553" s="15">
        <v>45332</v>
      </c>
      <c r="M553" s="16">
        <v>2</v>
      </c>
      <c r="N55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53" s="31" t="str">
        <f>IF(Table64[[#This Row],[date validity flag]]&lt;&gt;"Valid","",Table64[[#This Row],[shipment date ]]-Table64[[#This Row],[Order date]])</f>
        <v/>
      </c>
      <c r="P553" s="27" t="str">
        <f>TEXT(Table64[[#This Row],[Order date]],"mmm-yyyy")</f>
        <v>Feb-2024</v>
      </c>
      <c r="Q553" s="16" t="str">
        <f t="shared" si="8"/>
        <v/>
      </c>
    </row>
    <row r="554" spans="1:17" x14ac:dyDescent="0.3">
      <c r="A554" s="12">
        <v>10553</v>
      </c>
      <c r="B554" s="1">
        <v>6824</v>
      </c>
      <c r="C554" s="1" t="s">
        <v>16</v>
      </c>
      <c r="D554" s="2">
        <v>22630.14</v>
      </c>
      <c r="E554" s="1">
        <v>88</v>
      </c>
      <c r="F554" s="1" t="s">
        <v>22</v>
      </c>
      <c r="G554" s="3">
        <v>45361</v>
      </c>
      <c r="H554" s="2">
        <v>90315.4</v>
      </c>
      <c r="I554" s="13" t="s">
        <v>20</v>
      </c>
      <c r="J554" s="14" t="s">
        <v>18</v>
      </c>
      <c r="K554" s="14">
        <v>924</v>
      </c>
      <c r="L554" s="15">
        <v>45332</v>
      </c>
      <c r="M554" s="16">
        <v>4</v>
      </c>
      <c r="N5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54" s="31" t="str">
        <f>IF(Table64[[#This Row],[date validity flag]]&lt;&gt;"Valid","",Table64[[#This Row],[shipment date ]]-Table64[[#This Row],[Order date]])</f>
        <v/>
      </c>
      <c r="P554" s="27" t="str">
        <f>TEXT(Table64[[#This Row],[Order date]],"mmm-yyyy")</f>
        <v>Mar-2024</v>
      </c>
      <c r="Q554" s="16" t="str">
        <f t="shared" si="8"/>
        <v/>
      </c>
    </row>
    <row r="555" spans="1:17" x14ac:dyDescent="0.3">
      <c r="A555" s="17">
        <v>10554</v>
      </c>
      <c r="B555" s="4">
        <v>5727</v>
      </c>
      <c r="C555" s="4" t="s">
        <v>16</v>
      </c>
      <c r="D555" s="5">
        <v>46725.64</v>
      </c>
      <c r="E555" s="4">
        <v>21</v>
      </c>
      <c r="F555" s="4" t="s">
        <v>21</v>
      </c>
      <c r="G555" s="6">
        <v>45361</v>
      </c>
      <c r="H555" s="5">
        <v>146743.04999999999</v>
      </c>
      <c r="I555" s="18" t="s">
        <v>17</v>
      </c>
      <c r="J555" s="14" t="s">
        <v>15</v>
      </c>
      <c r="K555" s="14">
        <v>408</v>
      </c>
      <c r="L555" s="15">
        <v>45332</v>
      </c>
      <c r="M555" s="16">
        <v>8</v>
      </c>
      <c r="N55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55" s="31" t="str">
        <f>IF(Table64[[#This Row],[date validity flag]]&lt;&gt;"Valid","",Table64[[#This Row],[shipment date ]]-Table64[[#This Row],[Order date]])</f>
        <v/>
      </c>
      <c r="P555" s="27" t="str">
        <f>TEXT(Table64[[#This Row],[Order date]],"mmm-yyyy")</f>
        <v>Mar-2024</v>
      </c>
      <c r="Q555" s="16" t="str">
        <f t="shared" si="8"/>
        <v/>
      </c>
    </row>
    <row r="556" spans="1:17" x14ac:dyDescent="0.3">
      <c r="A556" s="12">
        <v>10555</v>
      </c>
      <c r="B556" s="1">
        <v>6983</v>
      </c>
      <c r="C556" s="1" t="s">
        <v>16</v>
      </c>
      <c r="D556" s="2">
        <v>78907.520000000004</v>
      </c>
      <c r="E556" s="1">
        <v>51</v>
      </c>
      <c r="F556" s="1" t="s">
        <v>13</v>
      </c>
      <c r="G556" s="3">
        <v>45361</v>
      </c>
      <c r="H556" s="2">
        <v>74529.100000000006</v>
      </c>
      <c r="I556" s="13" t="s">
        <v>14</v>
      </c>
      <c r="J556" s="14" t="s">
        <v>18</v>
      </c>
      <c r="K556" s="14">
        <v>373</v>
      </c>
      <c r="L556" s="15">
        <v>45332</v>
      </c>
      <c r="M556" s="16">
        <v>5</v>
      </c>
      <c r="N55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56" s="31" t="str">
        <f>IF(Table64[[#This Row],[date validity flag]]&lt;&gt;"Valid","",Table64[[#This Row],[shipment date ]]-Table64[[#This Row],[Order date]])</f>
        <v/>
      </c>
      <c r="P556" s="27" t="str">
        <f>TEXT(Table64[[#This Row],[Order date]],"mmm-yyyy")</f>
        <v>Mar-2024</v>
      </c>
      <c r="Q556" s="16" t="str">
        <f t="shared" si="8"/>
        <v/>
      </c>
    </row>
    <row r="557" spans="1:17" x14ac:dyDescent="0.3">
      <c r="A557" s="17">
        <v>10556</v>
      </c>
      <c r="B557" s="4">
        <v>5854</v>
      </c>
      <c r="C557" s="4" t="s">
        <v>16</v>
      </c>
      <c r="D557" s="5">
        <v>36582.58</v>
      </c>
      <c r="E557" s="4">
        <v>59</v>
      </c>
      <c r="F557" s="4" t="s">
        <v>22</v>
      </c>
      <c r="G557" s="6">
        <v>45306</v>
      </c>
      <c r="H557" s="5">
        <v>86901.29</v>
      </c>
      <c r="I557" s="18" t="s">
        <v>14</v>
      </c>
      <c r="J557" s="14" t="s">
        <v>15</v>
      </c>
      <c r="K557" s="14">
        <v>1399</v>
      </c>
      <c r="L557" s="15">
        <v>45397</v>
      </c>
      <c r="M557" s="16">
        <v>1</v>
      </c>
      <c r="N5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57" s="31">
        <f>IF(Table64[[#This Row],[date validity flag]]&lt;&gt;"Valid","",Table64[[#This Row],[shipment date ]]-Table64[[#This Row],[Order date]])</f>
        <v>91</v>
      </c>
      <c r="P557" s="27" t="str">
        <f>TEXT(Table64[[#This Row],[Order date]],"mmm-yyyy")</f>
        <v>Jan-2024</v>
      </c>
      <c r="Q557" s="16" t="str">
        <f t="shared" si="8"/>
        <v>Delayed</v>
      </c>
    </row>
    <row r="558" spans="1:17" x14ac:dyDescent="0.3">
      <c r="A558" s="12">
        <v>10557</v>
      </c>
      <c r="B558" s="1">
        <v>5051</v>
      </c>
      <c r="C558" s="1" t="s">
        <v>12</v>
      </c>
      <c r="D558" s="2">
        <v>66133.149999999994</v>
      </c>
      <c r="E558" s="1">
        <v>39</v>
      </c>
      <c r="F558" s="1" t="s">
        <v>13</v>
      </c>
      <c r="G558" s="3">
        <v>45306</v>
      </c>
      <c r="H558" s="2">
        <v>89667.51</v>
      </c>
      <c r="I558" s="13" t="s">
        <v>17</v>
      </c>
      <c r="J558" s="14" t="s">
        <v>18</v>
      </c>
      <c r="K558" s="14">
        <v>214</v>
      </c>
      <c r="L558" s="15">
        <v>45332</v>
      </c>
      <c r="M558" s="16">
        <v>7</v>
      </c>
      <c r="N5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58" s="31">
        <f>IF(Table64[[#This Row],[date validity flag]]&lt;&gt;"Valid","",Table64[[#This Row],[shipment date ]]-Table64[[#This Row],[Order date]])</f>
        <v>26</v>
      </c>
      <c r="P558" s="27" t="str">
        <f>TEXT(Table64[[#This Row],[Order date]],"mmm-yyyy")</f>
        <v>Jan-2024</v>
      </c>
      <c r="Q558" s="16" t="str">
        <f t="shared" si="8"/>
        <v>Delayed</v>
      </c>
    </row>
    <row r="559" spans="1:17" x14ac:dyDescent="0.3">
      <c r="A559" s="17">
        <v>10558</v>
      </c>
      <c r="B559" s="4">
        <v>6689</v>
      </c>
      <c r="C559" s="4" t="s">
        <v>16</v>
      </c>
      <c r="D559" s="5">
        <v>89333.98</v>
      </c>
      <c r="E559" s="4">
        <v>55</v>
      </c>
      <c r="F559" s="4" t="s">
        <v>13</v>
      </c>
      <c r="G559" s="6">
        <v>45337</v>
      </c>
      <c r="H559" s="5">
        <v>104281.79</v>
      </c>
      <c r="I559" s="18" t="s">
        <v>17</v>
      </c>
      <c r="J559" s="14" t="s">
        <v>15</v>
      </c>
      <c r="K559" s="14">
        <v>847</v>
      </c>
      <c r="L559" s="15">
        <v>45361</v>
      </c>
      <c r="M559" s="16">
        <v>1</v>
      </c>
      <c r="N5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59" s="31">
        <f>IF(Table64[[#This Row],[date validity flag]]&lt;&gt;"Valid","",Table64[[#This Row],[shipment date ]]-Table64[[#This Row],[Order date]])</f>
        <v>24</v>
      </c>
      <c r="P559" s="27" t="str">
        <f>TEXT(Table64[[#This Row],[Order date]],"mmm-yyyy")</f>
        <v>Feb-2024</v>
      </c>
      <c r="Q559" s="16" t="str">
        <f t="shared" si="8"/>
        <v>Delayed</v>
      </c>
    </row>
    <row r="560" spans="1:17" x14ac:dyDescent="0.3">
      <c r="A560" s="12">
        <v>10559</v>
      </c>
      <c r="B560" s="1">
        <v>6722</v>
      </c>
      <c r="C560" s="1" t="s">
        <v>12</v>
      </c>
      <c r="D560" s="2">
        <v>67739.7</v>
      </c>
      <c r="E560" s="1">
        <v>41</v>
      </c>
      <c r="F560" s="1" t="s">
        <v>21</v>
      </c>
      <c r="G560" s="3">
        <v>45306</v>
      </c>
      <c r="H560" s="2">
        <v>94794.8</v>
      </c>
      <c r="I560" s="13" t="s">
        <v>14</v>
      </c>
      <c r="J560" s="14" t="s">
        <v>15</v>
      </c>
      <c r="K560" s="14">
        <v>504</v>
      </c>
      <c r="L560" s="15">
        <v>45361</v>
      </c>
      <c r="M560" s="16">
        <v>9</v>
      </c>
      <c r="N5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0" s="31">
        <f>IF(Table64[[#This Row],[date validity flag]]&lt;&gt;"Valid","",Table64[[#This Row],[shipment date ]]-Table64[[#This Row],[Order date]])</f>
        <v>55</v>
      </c>
      <c r="P560" s="27" t="str">
        <f>TEXT(Table64[[#This Row],[Order date]],"mmm-yyyy")</f>
        <v>Jan-2024</v>
      </c>
      <c r="Q560" s="16" t="str">
        <f t="shared" si="8"/>
        <v>Delayed</v>
      </c>
    </row>
    <row r="561" spans="1:17" x14ac:dyDescent="0.3">
      <c r="A561" s="17">
        <v>10560</v>
      </c>
      <c r="B561" s="4">
        <v>5575</v>
      </c>
      <c r="C561" s="4" t="s">
        <v>16</v>
      </c>
      <c r="D561" s="5">
        <v>78946.929999999993</v>
      </c>
      <c r="E561" s="4">
        <v>39</v>
      </c>
      <c r="F561" s="4" t="s">
        <v>22</v>
      </c>
      <c r="G561" s="6">
        <v>45361</v>
      </c>
      <c r="H561" s="5">
        <v>50489.48</v>
      </c>
      <c r="I561" s="18" t="s">
        <v>17</v>
      </c>
      <c r="J561" s="14" t="s">
        <v>18</v>
      </c>
      <c r="K561" s="14">
        <v>1226</v>
      </c>
      <c r="L561" s="15">
        <v>45361</v>
      </c>
      <c r="M561" s="16">
        <v>3</v>
      </c>
      <c r="N5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1" s="31">
        <f>IF(Table64[[#This Row],[date validity flag]]&lt;&gt;"Valid","",Table64[[#This Row],[shipment date ]]-Table64[[#This Row],[Order date]])</f>
        <v>0</v>
      </c>
      <c r="P561" s="27" t="str">
        <f>TEXT(Table64[[#This Row],[Order date]],"mmm-yyyy")</f>
        <v>Mar-2024</v>
      </c>
      <c r="Q561" s="16" t="str">
        <f t="shared" si="8"/>
        <v>On Time</v>
      </c>
    </row>
    <row r="562" spans="1:17" x14ac:dyDescent="0.3">
      <c r="A562" s="12">
        <v>10561</v>
      </c>
      <c r="B562" s="1">
        <v>6214</v>
      </c>
      <c r="C562" s="1" t="s">
        <v>16</v>
      </c>
      <c r="D562" s="2">
        <v>67552.289999999994</v>
      </c>
      <c r="E562" s="1">
        <v>13</v>
      </c>
      <c r="F562" s="1" t="s">
        <v>21</v>
      </c>
      <c r="G562" s="3">
        <v>45361</v>
      </c>
      <c r="H562" s="2">
        <v>15231.8</v>
      </c>
      <c r="I562" s="13" t="s">
        <v>20</v>
      </c>
      <c r="J562" s="14" t="s">
        <v>19</v>
      </c>
      <c r="K562" s="14">
        <v>1200</v>
      </c>
      <c r="L562" s="15">
        <v>45397</v>
      </c>
      <c r="M562" s="16">
        <v>12</v>
      </c>
      <c r="N5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2" s="31">
        <f>IF(Table64[[#This Row],[date validity flag]]&lt;&gt;"Valid","",Table64[[#This Row],[shipment date ]]-Table64[[#This Row],[Order date]])</f>
        <v>36</v>
      </c>
      <c r="P562" s="27" t="str">
        <f>TEXT(Table64[[#This Row],[Order date]],"mmm-yyyy")</f>
        <v>Mar-2024</v>
      </c>
      <c r="Q562" s="16" t="str">
        <f t="shared" si="8"/>
        <v>Delayed</v>
      </c>
    </row>
    <row r="563" spans="1:17" x14ac:dyDescent="0.3">
      <c r="A563" s="17">
        <v>10562</v>
      </c>
      <c r="B563" s="4">
        <v>6149</v>
      </c>
      <c r="C563" s="4" t="s">
        <v>16</v>
      </c>
      <c r="D563" s="5">
        <v>12628.71</v>
      </c>
      <c r="E563" s="4">
        <v>64</v>
      </c>
      <c r="F563" s="4" t="s">
        <v>22</v>
      </c>
      <c r="G563" s="6">
        <v>45306</v>
      </c>
      <c r="H563" s="5">
        <v>157059.01999999999</v>
      </c>
      <c r="I563" s="18" t="s">
        <v>14</v>
      </c>
      <c r="J563" s="14" t="s">
        <v>19</v>
      </c>
      <c r="K563" s="14">
        <v>242</v>
      </c>
      <c r="L563" s="15">
        <v>45332</v>
      </c>
      <c r="M563" s="16">
        <v>3</v>
      </c>
      <c r="N5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3" s="31">
        <f>IF(Table64[[#This Row],[date validity flag]]&lt;&gt;"Valid","",Table64[[#This Row],[shipment date ]]-Table64[[#This Row],[Order date]])</f>
        <v>26</v>
      </c>
      <c r="P563" s="27" t="str">
        <f>TEXT(Table64[[#This Row],[Order date]],"mmm-yyyy")</f>
        <v>Jan-2024</v>
      </c>
      <c r="Q563" s="16" t="str">
        <f t="shared" si="8"/>
        <v>Delayed</v>
      </c>
    </row>
    <row r="564" spans="1:17" x14ac:dyDescent="0.3">
      <c r="A564" s="12">
        <v>10563</v>
      </c>
      <c r="B564" s="1">
        <v>5150</v>
      </c>
      <c r="C564" s="1" t="s">
        <v>16</v>
      </c>
      <c r="D564" s="2">
        <v>29489.37</v>
      </c>
      <c r="E564" s="1">
        <v>11</v>
      </c>
      <c r="F564" s="1" t="s">
        <v>21</v>
      </c>
      <c r="G564" s="3">
        <v>45383</v>
      </c>
      <c r="H564" s="2">
        <v>14547.45</v>
      </c>
      <c r="I564" s="13" t="s">
        <v>17</v>
      </c>
      <c r="J564" s="14" t="s">
        <v>15</v>
      </c>
      <c r="K564" s="14">
        <v>676</v>
      </c>
      <c r="L564" s="15">
        <v>45397</v>
      </c>
      <c r="M564" s="16">
        <v>6</v>
      </c>
      <c r="N5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4" s="31">
        <f>IF(Table64[[#This Row],[date validity flag]]&lt;&gt;"Valid","",Table64[[#This Row],[shipment date ]]-Table64[[#This Row],[Order date]])</f>
        <v>14</v>
      </c>
      <c r="P564" s="27" t="str">
        <f>TEXT(Table64[[#This Row],[Order date]],"mmm-yyyy")</f>
        <v>Apr-2024</v>
      </c>
      <c r="Q564" s="16" t="str">
        <f t="shared" si="8"/>
        <v>Delayed</v>
      </c>
    </row>
    <row r="565" spans="1:17" x14ac:dyDescent="0.3">
      <c r="A565" s="17">
        <v>10564</v>
      </c>
      <c r="B565" s="4">
        <v>5314</v>
      </c>
      <c r="C565" s="4" t="s">
        <v>16</v>
      </c>
      <c r="D565" s="5">
        <v>48076.47</v>
      </c>
      <c r="E565" s="4">
        <v>19</v>
      </c>
      <c r="F565" s="4" t="s">
        <v>13</v>
      </c>
      <c r="G565" s="6">
        <v>45337</v>
      </c>
      <c r="H565" s="5">
        <v>144530.28</v>
      </c>
      <c r="I565" s="18" t="s">
        <v>20</v>
      </c>
      <c r="J565" s="14" t="s">
        <v>18</v>
      </c>
      <c r="K565" s="14">
        <v>579</v>
      </c>
      <c r="L565" s="15">
        <v>45332</v>
      </c>
      <c r="M565" s="16">
        <v>10</v>
      </c>
      <c r="N56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65" s="31" t="str">
        <f>IF(Table64[[#This Row],[date validity flag]]&lt;&gt;"Valid","",Table64[[#This Row],[shipment date ]]-Table64[[#This Row],[Order date]])</f>
        <v/>
      </c>
      <c r="P565" s="27" t="str">
        <f>TEXT(Table64[[#This Row],[Order date]],"mmm-yyyy")</f>
        <v>Feb-2024</v>
      </c>
      <c r="Q565" s="16" t="str">
        <f t="shared" si="8"/>
        <v/>
      </c>
    </row>
    <row r="566" spans="1:17" x14ac:dyDescent="0.3">
      <c r="A566" s="12">
        <v>10565</v>
      </c>
      <c r="B566" s="1">
        <v>5570</v>
      </c>
      <c r="C566" s="1" t="s">
        <v>16</v>
      </c>
      <c r="D566" s="2">
        <v>55039.27</v>
      </c>
      <c r="E566" s="1">
        <v>11</v>
      </c>
      <c r="F566" s="1" t="s">
        <v>22</v>
      </c>
      <c r="G566" s="3">
        <v>45383</v>
      </c>
      <c r="H566" s="2">
        <v>92000.4</v>
      </c>
      <c r="I566" s="13" t="s">
        <v>17</v>
      </c>
      <c r="J566" s="14" t="s">
        <v>19</v>
      </c>
      <c r="K566" s="14">
        <v>1083</v>
      </c>
      <c r="L566" s="15">
        <v>45397</v>
      </c>
      <c r="M566" s="16">
        <v>6</v>
      </c>
      <c r="N5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6" s="31">
        <f>IF(Table64[[#This Row],[date validity flag]]&lt;&gt;"Valid","",Table64[[#This Row],[shipment date ]]-Table64[[#This Row],[Order date]])</f>
        <v>14</v>
      </c>
      <c r="P566" s="27" t="str">
        <f>TEXT(Table64[[#This Row],[Order date]],"mmm-yyyy")</f>
        <v>Apr-2024</v>
      </c>
      <c r="Q566" s="16" t="str">
        <f t="shared" si="8"/>
        <v>Delayed</v>
      </c>
    </row>
    <row r="567" spans="1:17" x14ac:dyDescent="0.3">
      <c r="A567" s="17">
        <v>10566</v>
      </c>
      <c r="B567" s="4">
        <v>6366</v>
      </c>
      <c r="C567" s="4" t="s">
        <v>16</v>
      </c>
      <c r="D567" s="5">
        <v>56955.199999999997</v>
      </c>
      <c r="E567" s="4">
        <v>77</v>
      </c>
      <c r="F567" s="4" t="s">
        <v>23</v>
      </c>
      <c r="G567" s="6">
        <v>45337</v>
      </c>
      <c r="H567" s="5">
        <v>101052.14</v>
      </c>
      <c r="I567" s="18" t="s">
        <v>17</v>
      </c>
      <c r="J567" s="14" t="s">
        <v>18</v>
      </c>
      <c r="K567" s="14">
        <v>141</v>
      </c>
      <c r="L567" s="15">
        <v>45397</v>
      </c>
      <c r="M567" s="16">
        <v>13</v>
      </c>
      <c r="N5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7" s="31">
        <f>IF(Table64[[#This Row],[date validity flag]]&lt;&gt;"Valid","",Table64[[#This Row],[shipment date ]]-Table64[[#This Row],[Order date]])</f>
        <v>60</v>
      </c>
      <c r="P567" s="27" t="str">
        <f>TEXT(Table64[[#This Row],[Order date]],"mmm-yyyy")</f>
        <v>Feb-2024</v>
      </c>
      <c r="Q567" s="16" t="str">
        <f t="shared" si="8"/>
        <v>Delayed</v>
      </c>
    </row>
    <row r="568" spans="1:17" x14ac:dyDescent="0.3">
      <c r="A568" s="12">
        <v>10567</v>
      </c>
      <c r="B568" s="1">
        <v>5305</v>
      </c>
      <c r="C568" s="1" t="s">
        <v>16</v>
      </c>
      <c r="D568" s="2">
        <v>32850.99</v>
      </c>
      <c r="E568" s="1">
        <v>46</v>
      </c>
      <c r="F568" s="1" t="s">
        <v>13</v>
      </c>
      <c r="G568" s="3">
        <v>45383</v>
      </c>
      <c r="H568" s="2">
        <v>177370.64</v>
      </c>
      <c r="I568" s="13" t="s">
        <v>17</v>
      </c>
      <c r="J568" s="14" t="s">
        <v>19</v>
      </c>
      <c r="K568" s="14">
        <v>188</v>
      </c>
      <c r="L568" s="15">
        <v>45332</v>
      </c>
      <c r="M568" s="16">
        <v>11</v>
      </c>
      <c r="N56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68" s="31" t="str">
        <f>IF(Table64[[#This Row],[date validity flag]]&lt;&gt;"Valid","",Table64[[#This Row],[shipment date ]]-Table64[[#This Row],[Order date]])</f>
        <v/>
      </c>
      <c r="P568" s="27" t="str">
        <f>TEXT(Table64[[#This Row],[Order date]],"mmm-yyyy")</f>
        <v>Apr-2024</v>
      </c>
      <c r="Q568" s="16" t="str">
        <f t="shared" si="8"/>
        <v/>
      </c>
    </row>
    <row r="569" spans="1:17" x14ac:dyDescent="0.3">
      <c r="A569" s="17">
        <v>10568</v>
      </c>
      <c r="B569" s="4">
        <v>6716</v>
      </c>
      <c r="C569" s="4" t="s">
        <v>12</v>
      </c>
      <c r="D569" s="5">
        <v>46916.86</v>
      </c>
      <c r="E569" s="4">
        <v>45</v>
      </c>
      <c r="F569" s="4" t="s">
        <v>23</v>
      </c>
      <c r="G569" s="6">
        <v>45306</v>
      </c>
      <c r="H569" s="5">
        <v>106156.84</v>
      </c>
      <c r="I569" s="18" t="s">
        <v>14</v>
      </c>
      <c r="J569" s="14" t="s">
        <v>18</v>
      </c>
      <c r="K569" s="14">
        <v>530</v>
      </c>
      <c r="L569" s="15">
        <v>45397</v>
      </c>
      <c r="M569" s="16">
        <v>11</v>
      </c>
      <c r="N5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69" s="31">
        <f>IF(Table64[[#This Row],[date validity flag]]&lt;&gt;"Valid","",Table64[[#This Row],[shipment date ]]-Table64[[#This Row],[Order date]])</f>
        <v>91</v>
      </c>
      <c r="P569" s="27" t="str">
        <f>TEXT(Table64[[#This Row],[Order date]],"mmm-yyyy")</f>
        <v>Jan-2024</v>
      </c>
      <c r="Q569" s="16" t="str">
        <f t="shared" si="8"/>
        <v>Delayed</v>
      </c>
    </row>
    <row r="570" spans="1:17" x14ac:dyDescent="0.3">
      <c r="A570" s="12">
        <v>10569</v>
      </c>
      <c r="B570" s="1">
        <v>5682</v>
      </c>
      <c r="C570" s="1" t="s">
        <v>16</v>
      </c>
      <c r="D570" s="2">
        <v>61806</v>
      </c>
      <c r="E570" s="1">
        <v>1</v>
      </c>
      <c r="F570" s="1" t="s">
        <v>13</v>
      </c>
      <c r="G570" s="3">
        <v>45337</v>
      </c>
      <c r="H570" s="2">
        <v>42648.63</v>
      </c>
      <c r="I570" s="13" t="s">
        <v>17</v>
      </c>
      <c r="J570" s="14" t="s">
        <v>15</v>
      </c>
      <c r="K570" s="14">
        <v>498</v>
      </c>
      <c r="L570" s="15">
        <v>45332</v>
      </c>
      <c r="M570" s="16">
        <v>6</v>
      </c>
      <c r="N57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70" s="31" t="str">
        <f>IF(Table64[[#This Row],[date validity flag]]&lt;&gt;"Valid","",Table64[[#This Row],[shipment date ]]-Table64[[#This Row],[Order date]])</f>
        <v/>
      </c>
      <c r="P570" s="27" t="str">
        <f>TEXT(Table64[[#This Row],[Order date]],"mmm-yyyy")</f>
        <v>Feb-2024</v>
      </c>
      <c r="Q570" s="16" t="str">
        <f t="shared" si="8"/>
        <v/>
      </c>
    </row>
    <row r="571" spans="1:17" x14ac:dyDescent="0.3">
      <c r="A571" s="17">
        <v>10570</v>
      </c>
      <c r="B571" s="4">
        <v>5838</v>
      </c>
      <c r="C571" s="4" t="s">
        <v>16</v>
      </c>
      <c r="D571" s="5">
        <v>84350.56</v>
      </c>
      <c r="E571" s="4">
        <v>40</v>
      </c>
      <c r="F571" s="4" t="s">
        <v>21</v>
      </c>
      <c r="G571" s="6">
        <v>45337</v>
      </c>
      <c r="H571" s="5">
        <v>64112.63</v>
      </c>
      <c r="I571" s="18" t="s">
        <v>17</v>
      </c>
      <c r="J571" s="14" t="s">
        <v>18</v>
      </c>
      <c r="K571" s="14">
        <v>1406</v>
      </c>
      <c r="L571" s="15">
        <v>45361</v>
      </c>
      <c r="M571" s="16">
        <v>13</v>
      </c>
      <c r="N5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1" s="31">
        <f>IF(Table64[[#This Row],[date validity flag]]&lt;&gt;"Valid","",Table64[[#This Row],[shipment date ]]-Table64[[#This Row],[Order date]])</f>
        <v>24</v>
      </c>
      <c r="P571" s="27" t="str">
        <f>TEXT(Table64[[#This Row],[Order date]],"mmm-yyyy")</f>
        <v>Feb-2024</v>
      </c>
      <c r="Q571" s="16" t="str">
        <f t="shared" si="8"/>
        <v>Delayed</v>
      </c>
    </row>
    <row r="572" spans="1:17" x14ac:dyDescent="0.3">
      <c r="A572" s="12">
        <v>10571</v>
      </c>
      <c r="B572" s="1">
        <v>6807</v>
      </c>
      <c r="C572" s="1" t="s">
        <v>16</v>
      </c>
      <c r="D572" s="2">
        <v>55727.59</v>
      </c>
      <c r="E572" s="1">
        <v>19</v>
      </c>
      <c r="F572" s="1" t="s">
        <v>22</v>
      </c>
      <c r="G572" s="3">
        <v>45337</v>
      </c>
      <c r="H572" s="2">
        <v>40899.99</v>
      </c>
      <c r="I572" s="13" t="s">
        <v>20</v>
      </c>
      <c r="J572" s="14" t="s">
        <v>19</v>
      </c>
      <c r="K572" s="14">
        <v>918</v>
      </c>
      <c r="L572" s="15">
        <v>45361</v>
      </c>
      <c r="M572" s="16">
        <v>1</v>
      </c>
      <c r="N5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2" s="31">
        <f>IF(Table64[[#This Row],[date validity flag]]&lt;&gt;"Valid","",Table64[[#This Row],[shipment date ]]-Table64[[#This Row],[Order date]])</f>
        <v>24</v>
      </c>
      <c r="P572" s="27" t="str">
        <f>TEXT(Table64[[#This Row],[Order date]],"mmm-yyyy")</f>
        <v>Feb-2024</v>
      </c>
      <c r="Q572" s="16" t="str">
        <f t="shared" si="8"/>
        <v>Delayed</v>
      </c>
    </row>
    <row r="573" spans="1:17" x14ac:dyDescent="0.3">
      <c r="A573" s="17">
        <v>10572</v>
      </c>
      <c r="B573" s="4">
        <v>6078</v>
      </c>
      <c r="C573" s="4" t="s">
        <v>12</v>
      </c>
      <c r="D573" s="5">
        <v>47637.77</v>
      </c>
      <c r="E573" s="4">
        <v>76</v>
      </c>
      <c r="F573" s="4" t="s">
        <v>13</v>
      </c>
      <c r="G573" s="6">
        <v>45361</v>
      </c>
      <c r="H573" s="5">
        <v>97572.63</v>
      </c>
      <c r="I573" s="18" t="s">
        <v>14</v>
      </c>
      <c r="J573" s="14" t="s">
        <v>15</v>
      </c>
      <c r="K573" s="14">
        <v>389</v>
      </c>
      <c r="L573" s="15">
        <v>45361</v>
      </c>
      <c r="M573" s="16">
        <v>5</v>
      </c>
      <c r="N5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3" s="31">
        <f>IF(Table64[[#This Row],[date validity flag]]&lt;&gt;"Valid","",Table64[[#This Row],[shipment date ]]-Table64[[#This Row],[Order date]])</f>
        <v>0</v>
      </c>
      <c r="P573" s="27" t="str">
        <f>TEXT(Table64[[#This Row],[Order date]],"mmm-yyyy")</f>
        <v>Mar-2024</v>
      </c>
      <c r="Q573" s="16" t="str">
        <f t="shared" si="8"/>
        <v>On Time</v>
      </c>
    </row>
    <row r="574" spans="1:17" x14ac:dyDescent="0.3">
      <c r="A574" s="12">
        <v>10573</v>
      </c>
      <c r="B574" s="1">
        <v>6003</v>
      </c>
      <c r="C574" s="1" t="s">
        <v>16</v>
      </c>
      <c r="D574" s="2">
        <v>90561.5</v>
      </c>
      <c r="E574" s="1">
        <v>72</v>
      </c>
      <c r="F574" s="1" t="s">
        <v>21</v>
      </c>
      <c r="G574" s="3">
        <v>45361</v>
      </c>
      <c r="H574" s="2">
        <v>76862.720000000001</v>
      </c>
      <c r="I574" s="13" t="s">
        <v>14</v>
      </c>
      <c r="J574" s="14" t="s">
        <v>18</v>
      </c>
      <c r="K574" s="14">
        <v>1125</v>
      </c>
      <c r="L574" s="15">
        <v>45397</v>
      </c>
      <c r="M574" s="16">
        <v>12</v>
      </c>
      <c r="N5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4" s="31">
        <f>IF(Table64[[#This Row],[date validity flag]]&lt;&gt;"Valid","",Table64[[#This Row],[shipment date ]]-Table64[[#This Row],[Order date]])</f>
        <v>36</v>
      </c>
      <c r="P574" s="27" t="str">
        <f>TEXT(Table64[[#This Row],[Order date]],"mmm-yyyy")</f>
        <v>Mar-2024</v>
      </c>
      <c r="Q574" s="16" t="str">
        <f t="shared" si="8"/>
        <v>Delayed</v>
      </c>
    </row>
    <row r="575" spans="1:17" x14ac:dyDescent="0.3">
      <c r="A575" s="17">
        <v>10574</v>
      </c>
      <c r="B575" s="4">
        <v>5444</v>
      </c>
      <c r="C575" s="4" t="s">
        <v>12</v>
      </c>
      <c r="D575" s="5">
        <v>38400.230000000003</v>
      </c>
      <c r="E575" s="4">
        <v>72</v>
      </c>
      <c r="F575" s="4" t="s">
        <v>22</v>
      </c>
      <c r="G575" s="6">
        <v>45383</v>
      </c>
      <c r="H575" s="5">
        <v>44020.15</v>
      </c>
      <c r="I575" s="18" t="s">
        <v>20</v>
      </c>
      <c r="J575" s="14" t="s">
        <v>19</v>
      </c>
      <c r="K575" s="14">
        <v>515</v>
      </c>
      <c r="L575" s="15">
        <v>45361</v>
      </c>
      <c r="M575" s="16">
        <v>6</v>
      </c>
      <c r="N5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75" s="31" t="str">
        <f>IF(Table64[[#This Row],[date validity flag]]&lt;&gt;"Valid","",Table64[[#This Row],[shipment date ]]-Table64[[#This Row],[Order date]])</f>
        <v/>
      </c>
      <c r="P575" s="27" t="str">
        <f>TEXT(Table64[[#This Row],[Order date]],"mmm-yyyy")</f>
        <v>Apr-2024</v>
      </c>
      <c r="Q575" s="16" t="str">
        <f t="shared" si="8"/>
        <v/>
      </c>
    </row>
    <row r="576" spans="1:17" x14ac:dyDescent="0.3">
      <c r="A576" s="12">
        <v>10575</v>
      </c>
      <c r="B576" s="1">
        <v>5613</v>
      </c>
      <c r="C576" s="1" t="s">
        <v>12</v>
      </c>
      <c r="D576" s="2">
        <v>37834.31</v>
      </c>
      <c r="E576" s="1">
        <v>61</v>
      </c>
      <c r="F576" s="1" t="s">
        <v>22</v>
      </c>
      <c r="G576" s="3">
        <v>45306</v>
      </c>
      <c r="H576" s="2">
        <v>140413.62</v>
      </c>
      <c r="I576" s="13" t="s">
        <v>17</v>
      </c>
      <c r="J576" s="14" t="s">
        <v>15</v>
      </c>
      <c r="K576" s="14">
        <v>767</v>
      </c>
      <c r="L576" s="15">
        <v>45332</v>
      </c>
      <c r="M576" s="16">
        <v>8</v>
      </c>
      <c r="N5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6" s="31">
        <f>IF(Table64[[#This Row],[date validity flag]]&lt;&gt;"Valid","",Table64[[#This Row],[shipment date ]]-Table64[[#This Row],[Order date]])</f>
        <v>26</v>
      </c>
      <c r="P576" s="27" t="str">
        <f>TEXT(Table64[[#This Row],[Order date]],"mmm-yyyy")</f>
        <v>Jan-2024</v>
      </c>
      <c r="Q576" s="16" t="str">
        <f t="shared" si="8"/>
        <v>Delayed</v>
      </c>
    </row>
    <row r="577" spans="1:17" x14ac:dyDescent="0.3">
      <c r="A577" s="17">
        <v>10576</v>
      </c>
      <c r="B577" s="4">
        <v>5993</v>
      </c>
      <c r="C577" s="4" t="s">
        <v>16</v>
      </c>
      <c r="D577" s="5">
        <v>63163.79</v>
      </c>
      <c r="E577" s="4">
        <v>12</v>
      </c>
      <c r="F577" s="4" t="s">
        <v>13</v>
      </c>
      <c r="G577" s="6">
        <v>45361</v>
      </c>
      <c r="H577" s="5">
        <v>87887.55</v>
      </c>
      <c r="I577" s="18" t="s">
        <v>17</v>
      </c>
      <c r="J577" s="14" t="s">
        <v>18</v>
      </c>
      <c r="K577" s="14">
        <v>848</v>
      </c>
      <c r="L577" s="15">
        <v>45361</v>
      </c>
      <c r="M577" s="16">
        <v>13</v>
      </c>
      <c r="N5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7" s="31">
        <f>IF(Table64[[#This Row],[date validity flag]]&lt;&gt;"Valid","",Table64[[#This Row],[shipment date ]]-Table64[[#This Row],[Order date]])</f>
        <v>0</v>
      </c>
      <c r="P577" s="27" t="str">
        <f>TEXT(Table64[[#This Row],[Order date]],"mmm-yyyy")</f>
        <v>Mar-2024</v>
      </c>
      <c r="Q577" s="16" t="str">
        <f t="shared" si="8"/>
        <v>On Time</v>
      </c>
    </row>
    <row r="578" spans="1:17" x14ac:dyDescent="0.3">
      <c r="A578" s="12">
        <v>10577</v>
      </c>
      <c r="B578" s="1">
        <v>5264</v>
      </c>
      <c r="C578" s="1" t="s">
        <v>16</v>
      </c>
      <c r="D578" s="2">
        <v>22886.84</v>
      </c>
      <c r="E578" s="1">
        <v>61</v>
      </c>
      <c r="F578" s="1" t="s">
        <v>22</v>
      </c>
      <c r="G578" s="3">
        <v>45337</v>
      </c>
      <c r="H578" s="2">
        <v>46271.62</v>
      </c>
      <c r="I578" s="13" t="s">
        <v>17</v>
      </c>
      <c r="J578" s="14" t="s">
        <v>19</v>
      </c>
      <c r="K578" s="14">
        <v>524</v>
      </c>
      <c r="L578" s="15">
        <v>45361</v>
      </c>
      <c r="M578" s="16">
        <v>1</v>
      </c>
      <c r="N5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8" s="31">
        <f>IF(Table64[[#This Row],[date validity flag]]&lt;&gt;"Valid","",Table64[[#This Row],[shipment date ]]-Table64[[#This Row],[Order date]])</f>
        <v>24</v>
      </c>
      <c r="P578" s="27" t="str">
        <f>TEXT(Table64[[#This Row],[Order date]],"mmm-yyyy")</f>
        <v>Feb-2024</v>
      </c>
      <c r="Q578" s="16" t="str">
        <f t="shared" ref="Q578:Q641" si="9">IF(O578="","",IF(O578&gt;0,"Delayed","On Time"))</f>
        <v>Delayed</v>
      </c>
    </row>
    <row r="579" spans="1:17" x14ac:dyDescent="0.3">
      <c r="A579" s="17">
        <v>10578</v>
      </c>
      <c r="B579" s="4">
        <v>6077</v>
      </c>
      <c r="C579" s="4" t="s">
        <v>16</v>
      </c>
      <c r="D579" s="5">
        <v>59916.04</v>
      </c>
      <c r="E579" s="4">
        <v>33</v>
      </c>
      <c r="F579" s="4" t="s">
        <v>13</v>
      </c>
      <c r="G579" s="6">
        <v>45361</v>
      </c>
      <c r="H579" s="5">
        <v>117963.97</v>
      </c>
      <c r="I579" s="18" t="s">
        <v>20</v>
      </c>
      <c r="J579" s="14" t="s">
        <v>18</v>
      </c>
      <c r="K579" s="14">
        <v>450</v>
      </c>
      <c r="L579" s="15">
        <v>45397</v>
      </c>
      <c r="M579" s="16">
        <v>5</v>
      </c>
      <c r="N5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79" s="31">
        <f>IF(Table64[[#This Row],[date validity flag]]&lt;&gt;"Valid","",Table64[[#This Row],[shipment date ]]-Table64[[#This Row],[Order date]])</f>
        <v>36</v>
      </c>
      <c r="P579" s="27" t="str">
        <f>TEXT(Table64[[#This Row],[Order date]],"mmm-yyyy")</f>
        <v>Mar-2024</v>
      </c>
      <c r="Q579" s="16" t="str">
        <f t="shared" si="9"/>
        <v>Delayed</v>
      </c>
    </row>
    <row r="580" spans="1:17" x14ac:dyDescent="0.3">
      <c r="A580" s="12">
        <v>10579</v>
      </c>
      <c r="B580" s="1">
        <v>6596</v>
      </c>
      <c r="C580" s="1" t="s">
        <v>16</v>
      </c>
      <c r="D580" s="2">
        <v>12805.76</v>
      </c>
      <c r="E580" s="1">
        <v>45</v>
      </c>
      <c r="F580" s="1" t="s">
        <v>22</v>
      </c>
      <c r="G580" s="3">
        <v>45306</v>
      </c>
      <c r="H580" s="2">
        <v>73802.42</v>
      </c>
      <c r="I580" s="13" t="s">
        <v>14</v>
      </c>
      <c r="J580" s="14" t="s">
        <v>18</v>
      </c>
      <c r="K580" s="14">
        <v>654</v>
      </c>
      <c r="L580" s="15">
        <v>45332</v>
      </c>
      <c r="M580" s="16">
        <v>3</v>
      </c>
      <c r="N5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80" s="31">
        <f>IF(Table64[[#This Row],[date validity flag]]&lt;&gt;"Valid","",Table64[[#This Row],[shipment date ]]-Table64[[#This Row],[Order date]])</f>
        <v>26</v>
      </c>
      <c r="P580" s="27" t="str">
        <f>TEXT(Table64[[#This Row],[Order date]],"mmm-yyyy")</f>
        <v>Jan-2024</v>
      </c>
      <c r="Q580" s="16" t="str">
        <f t="shared" si="9"/>
        <v>Delayed</v>
      </c>
    </row>
    <row r="581" spans="1:17" x14ac:dyDescent="0.3">
      <c r="A581" s="17">
        <v>10580</v>
      </c>
      <c r="B581" s="4">
        <v>6004</v>
      </c>
      <c r="C581" s="4" t="s">
        <v>16</v>
      </c>
      <c r="D581" s="5">
        <v>28218.94</v>
      </c>
      <c r="E581" s="4">
        <v>90</v>
      </c>
      <c r="F581" s="4" t="s">
        <v>23</v>
      </c>
      <c r="G581" s="6">
        <v>45361</v>
      </c>
      <c r="H581" s="5">
        <v>95764.27</v>
      </c>
      <c r="I581" s="18" t="s">
        <v>17</v>
      </c>
      <c r="J581" s="14" t="s">
        <v>15</v>
      </c>
      <c r="K581" s="14">
        <v>981</v>
      </c>
      <c r="L581" s="15">
        <v>45397</v>
      </c>
      <c r="M581" s="16">
        <v>2</v>
      </c>
      <c r="N5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81" s="31">
        <f>IF(Table64[[#This Row],[date validity flag]]&lt;&gt;"Valid","",Table64[[#This Row],[shipment date ]]-Table64[[#This Row],[Order date]])</f>
        <v>36</v>
      </c>
      <c r="P581" s="27" t="str">
        <f>TEXT(Table64[[#This Row],[Order date]],"mmm-yyyy")</f>
        <v>Mar-2024</v>
      </c>
      <c r="Q581" s="16" t="str">
        <f t="shared" si="9"/>
        <v>Delayed</v>
      </c>
    </row>
    <row r="582" spans="1:17" x14ac:dyDescent="0.3">
      <c r="A582" s="12">
        <v>10581</v>
      </c>
      <c r="B582" s="1">
        <v>6644</v>
      </c>
      <c r="C582" s="1" t="s">
        <v>16</v>
      </c>
      <c r="D582" s="2">
        <v>39283.019999999997</v>
      </c>
      <c r="E582" s="1">
        <v>92</v>
      </c>
      <c r="F582" s="1" t="s">
        <v>21</v>
      </c>
      <c r="G582" s="3">
        <v>45337</v>
      </c>
      <c r="H582" s="2">
        <v>81162.75</v>
      </c>
      <c r="I582" s="13" t="s">
        <v>14</v>
      </c>
      <c r="J582" s="14" t="s">
        <v>15</v>
      </c>
      <c r="K582" s="14">
        <v>1046</v>
      </c>
      <c r="L582" s="15">
        <v>45397</v>
      </c>
      <c r="M582" s="16">
        <v>11</v>
      </c>
      <c r="N5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82" s="31">
        <f>IF(Table64[[#This Row],[date validity flag]]&lt;&gt;"Valid","",Table64[[#This Row],[shipment date ]]-Table64[[#This Row],[Order date]])</f>
        <v>60</v>
      </c>
      <c r="P582" s="27" t="str">
        <f>TEXT(Table64[[#This Row],[Order date]],"mmm-yyyy")</f>
        <v>Feb-2024</v>
      </c>
      <c r="Q582" s="16" t="str">
        <f t="shared" si="9"/>
        <v>Delayed</v>
      </c>
    </row>
    <row r="583" spans="1:17" x14ac:dyDescent="0.3">
      <c r="A583" s="17">
        <v>10582</v>
      </c>
      <c r="B583" s="4">
        <v>5005</v>
      </c>
      <c r="C583" s="4" t="s">
        <v>16</v>
      </c>
      <c r="D583" s="5">
        <v>53124.62</v>
      </c>
      <c r="E583" s="4">
        <v>69</v>
      </c>
      <c r="F583" s="4" t="s">
        <v>23</v>
      </c>
      <c r="G583" s="6">
        <v>45383</v>
      </c>
      <c r="H583" s="5">
        <v>130383.76</v>
      </c>
      <c r="I583" s="18" t="s">
        <v>20</v>
      </c>
      <c r="J583" s="14" t="s">
        <v>19</v>
      </c>
      <c r="K583" s="14">
        <v>971</v>
      </c>
      <c r="L583" s="15">
        <v>45332</v>
      </c>
      <c r="M583" s="16">
        <v>8</v>
      </c>
      <c r="N58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83" s="31" t="str">
        <f>IF(Table64[[#This Row],[date validity flag]]&lt;&gt;"Valid","",Table64[[#This Row],[shipment date ]]-Table64[[#This Row],[Order date]])</f>
        <v/>
      </c>
      <c r="P583" s="27" t="str">
        <f>TEXT(Table64[[#This Row],[Order date]],"mmm-yyyy")</f>
        <v>Apr-2024</v>
      </c>
      <c r="Q583" s="16" t="str">
        <f t="shared" si="9"/>
        <v/>
      </c>
    </row>
    <row r="584" spans="1:17" x14ac:dyDescent="0.3">
      <c r="A584" s="12">
        <v>10583</v>
      </c>
      <c r="B584" s="1">
        <v>6127</v>
      </c>
      <c r="C584" s="1" t="s">
        <v>16</v>
      </c>
      <c r="D584" s="2">
        <v>19475.96</v>
      </c>
      <c r="E584" s="1">
        <v>8</v>
      </c>
      <c r="F584" s="1" t="s">
        <v>13</v>
      </c>
      <c r="G584" s="3">
        <v>45337</v>
      </c>
      <c r="H584" s="2">
        <v>140480.67000000001</v>
      </c>
      <c r="I584" s="13" t="s">
        <v>17</v>
      </c>
      <c r="J584" s="14" t="s">
        <v>15</v>
      </c>
      <c r="K584" s="14">
        <v>870</v>
      </c>
      <c r="L584" s="15">
        <v>45397</v>
      </c>
      <c r="M584" s="16">
        <v>7</v>
      </c>
      <c r="N5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84" s="31">
        <f>IF(Table64[[#This Row],[date validity flag]]&lt;&gt;"Valid","",Table64[[#This Row],[shipment date ]]-Table64[[#This Row],[Order date]])</f>
        <v>60</v>
      </c>
      <c r="P584" s="27" t="str">
        <f>TEXT(Table64[[#This Row],[Order date]],"mmm-yyyy")</f>
        <v>Feb-2024</v>
      </c>
      <c r="Q584" s="16" t="str">
        <f t="shared" si="9"/>
        <v>Delayed</v>
      </c>
    </row>
    <row r="585" spans="1:17" x14ac:dyDescent="0.3">
      <c r="A585" s="17">
        <v>10584</v>
      </c>
      <c r="B585" s="4">
        <v>6220</v>
      </c>
      <c r="C585" s="4" t="s">
        <v>16</v>
      </c>
      <c r="D585" s="5">
        <v>10422.25</v>
      </c>
      <c r="E585" s="4">
        <v>25</v>
      </c>
      <c r="F585" s="4" t="s">
        <v>23</v>
      </c>
      <c r="G585" s="6">
        <v>45306</v>
      </c>
      <c r="H585" s="5">
        <v>69703.41</v>
      </c>
      <c r="I585" s="18" t="s">
        <v>17</v>
      </c>
      <c r="J585" s="14" t="s">
        <v>19</v>
      </c>
      <c r="K585" s="14">
        <v>706</v>
      </c>
      <c r="L585" s="15">
        <v>45332</v>
      </c>
      <c r="M585" s="16">
        <v>10</v>
      </c>
      <c r="N5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85" s="31">
        <f>IF(Table64[[#This Row],[date validity flag]]&lt;&gt;"Valid","",Table64[[#This Row],[shipment date ]]-Table64[[#This Row],[Order date]])</f>
        <v>26</v>
      </c>
      <c r="P585" s="27" t="str">
        <f>TEXT(Table64[[#This Row],[Order date]],"mmm-yyyy")</f>
        <v>Jan-2024</v>
      </c>
      <c r="Q585" s="16" t="str">
        <f t="shared" si="9"/>
        <v>Delayed</v>
      </c>
    </row>
    <row r="586" spans="1:17" x14ac:dyDescent="0.3">
      <c r="A586" s="12">
        <v>10585</v>
      </c>
      <c r="B586" s="1">
        <v>5774</v>
      </c>
      <c r="C586" s="1" t="s">
        <v>16</v>
      </c>
      <c r="D586" s="2">
        <v>57373.31</v>
      </c>
      <c r="E586" s="1">
        <v>91</v>
      </c>
      <c r="F586" s="1" t="s">
        <v>13</v>
      </c>
      <c r="G586" s="3">
        <v>45383</v>
      </c>
      <c r="H586" s="2">
        <v>102702.08</v>
      </c>
      <c r="I586" s="13" t="s">
        <v>14</v>
      </c>
      <c r="J586" s="14" t="s">
        <v>18</v>
      </c>
      <c r="K586" s="14">
        <v>647</v>
      </c>
      <c r="L586" s="15">
        <v>45361</v>
      </c>
      <c r="M586" s="16">
        <v>7</v>
      </c>
      <c r="N5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86" s="31" t="str">
        <f>IF(Table64[[#This Row],[date validity flag]]&lt;&gt;"Valid","",Table64[[#This Row],[shipment date ]]-Table64[[#This Row],[Order date]])</f>
        <v/>
      </c>
      <c r="P586" s="27" t="str">
        <f>TEXT(Table64[[#This Row],[Order date]],"mmm-yyyy")</f>
        <v>Apr-2024</v>
      </c>
      <c r="Q586" s="16" t="str">
        <f t="shared" si="9"/>
        <v/>
      </c>
    </row>
    <row r="587" spans="1:17" x14ac:dyDescent="0.3">
      <c r="A587" s="17">
        <v>10586</v>
      </c>
      <c r="B587" s="4">
        <v>5877</v>
      </c>
      <c r="C587" s="4" t="s">
        <v>12</v>
      </c>
      <c r="D587" s="5">
        <v>9914.02</v>
      </c>
      <c r="E587" s="4">
        <v>46</v>
      </c>
      <c r="F587" s="4" t="s">
        <v>22</v>
      </c>
      <c r="G587" s="6">
        <v>45361</v>
      </c>
      <c r="H587" s="5">
        <v>147115.25</v>
      </c>
      <c r="I587" s="18" t="s">
        <v>14</v>
      </c>
      <c r="J587" s="14" t="s">
        <v>18</v>
      </c>
      <c r="K587" s="14">
        <v>1226</v>
      </c>
      <c r="L587" s="15">
        <v>45332</v>
      </c>
      <c r="M587" s="16">
        <v>5</v>
      </c>
      <c r="N58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87" s="31" t="str">
        <f>IF(Table64[[#This Row],[date validity flag]]&lt;&gt;"Valid","",Table64[[#This Row],[shipment date ]]-Table64[[#This Row],[Order date]])</f>
        <v/>
      </c>
      <c r="P587" s="27" t="str">
        <f>TEXT(Table64[[#This Row],[Order date]],"mmm-yyyy")</f>
        <v>Mar-2024</v>
      </c>
      <c r="Q587" s="16" t="str">
        <f t="shared" si="9"/>
        <v/>
      </c>
    </row>
    <row r="588" spans="1:17" x14ac:dyDescent="0.3">
      <c r="A588" s="12">
        <v>10587</v>
      </c>
      <c r="B588" s="1">
        <v>5992</v>
      </c>
      <c r="C588" s="1" t="s">
        <v>12</v>
      </c>
      <c r="D588" s="2">
        <v>53659.98</v>
      </c>
      <c r="E588" s="1">
        <v>87</v>
      </c>
      <c r="F588" s="1" t="s">
        <v>22</v>
      </c>
      <c r="G588" s="3">
        <v>45361</v>
      </c>
      <c r="H588" s="2">
        <v>111781.71</v>
      </c>
      <c r="I588" s="13" t="s">
        <v>14</v>
      </c>
      <c r="J588" s="14" t="s">
        <v>19</v>
      </c>
      <c r="K588" s="14">
        <v>563</v>
      </c>
      <c r="L588" s="15">
        <v>45332</v>
      </c>
      <c r="M588" s="16">
        <v>12</v>
      </c>
      <c r="N58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88" s="31" t="str">
        <f>IF(Table64[[#This Row],[date validity flag]]&lt;&gt;"Valid","",Table64[[#This Row],[shipment date ]]-Table64[[#This Row],[Order date]])</f>
        <v/>
      </c>
      <c r="P588" s="27" t="str">
        <f>TEXT(Table64[[#This Row],[Order date]],"mmm-yyyy")</f>
        <v>Mar-2024</v>
      </c>
      <c r="Q588" s="16" t="str">
        <f t="shared" si="9"/>
        <v/>
      </c>
    </row>
    <row r="589" spans="1:17" x14ac:dyDescent="0.3">
      <c r="A589" s="17">
        <v>10588</v>
      </c>
      <c r="B589" s="4">
        <v>5884</v>
      </c>
      <c r="C589" s="4" t="s">
        <v>12</v>
      </c>
      <c r="D589" s="5">
        <v>79343.87</v>
      </c>
      <c r="E589" s="4">
        <v>30</v>
      </c>
      <c r="F589" s="4" t="s">
        <v>13</v>
      </c>
      <c r="G589" s="6">
        <v>45361</v>
      </c>
      <c r="H589" s="5">
        <v>92313.64</v>
      </c>
      <c r="I589" s="18" t="s">
        <v>17</v>
      </c>
      <c r="J589" s="14" t="s">
        <v>18</v>
      </c>
      <c r="K589" s="14">
        <v>1079</v>
      </c>
      <c r="L589" s="15">
        <v>45332</v>
      </c>
      <c r="M589" s="16">
        <v>13</v>
      </c>
      <c r="N58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89" s="31" t="str">
        <f>IF(Table64[[#This Row],[date validity flag]]&lt;&gt;"Valid","",Table64[[#This Row],[shipment date ]]-Table64[[#This Row],[Order date]])</f>
        <v/>
      </c>
      <c r="P589" s="27" t="str">
        <f>TEXT(Table64[[#This Row],[Order date]],"mmm-yyyy")</f>
        <v>Mar-2024</v>
      </c>
      <c r="Q589" s="16" t="str">
        <f t="shared" si="9"/>
        <v/>
      </c>
    </row>
    <row r="590" spans="1:17" x14ac:dyDescent="0.3">
      <c r="A590" s="12">
        <v>10589</v>
      </c>
      <c r="B590" s="1">
        <v>6374</v>
      </c>
      <c r="C590" s="1" t="s">
        <v>16</v>
      </c>
      <c r="D590" s="2">
        <v>9551.8799999999992</v>
      </c>
      <c r="E590" s="1">
        <v>47</v>
      </c>
      <c r="F590" s="1" t="s">
        <v>23</v>
      </c>
      <c r="G590" s="3">
        <v>45383</v>
      </c>
      <c r="H590" s="2">
        <v>112230.47</v>
      </c>
      <c r="I590" s="13" t="s">
        <v>17</v>
      </c>
      <c r="J590" s="14" t="s">
        <v>15</v>
      </c>
      <c r="K590" s="14">
        <v>549</v>
      </c>
      <c r="L590" s="15">
        <v>45397</v>
      </c>
      <c r="M590" s="16">
        <v>9</v>
      </c>
      <c r="N5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90" s="31">
        <f>IF(Table64[[#This Row],[date validity flag]]&lt;&gt;"Valid","",Table64[[#This Row],[shipment date ]]-Table64[[#This Row],[Order date]])</f>
        <v>14</v>
      </c>
      <c r="P590" s="27" t="str">
        <f>TEXT(Table64[[#This Row],[Order date]],"mmm-yyyy")</f>
        <v>Apr-2024</v>
      </c>
      <c r="Q590" s="16" t="str">
        <f t="shared" si="9"/>
        <v>Delayed</v>
      </c>
    </row>
    <row r="591" spans="1:17" x14ac:dyDescent="0.3">
      <c r="A591" s="17">
        <v>10590</v>
      </c>
      <c r="B591" s="4">
        <v>5047</v>
      </c>
      <c r="C591" s="4" t="s">
        <v>16</v>
      </c>
      <c r="D591" s="5">
        <v>60017.96</v>
      </c>
      <c r="E591" s="4">
        <v>87</v>
      </c>
      <c r="F591" s="4" t="s">
        <v>22</v>
      </c>
      <c r="G591" s="6">
        <v>45337</v>
      </c>
      <c r="H591" s="5">
        <v>85583.47</v>
      </c>
      <c r="I591" s="18" t="s">
        <v>17</v>
      </c>
      <c r="J591" s="14" t="s">
        <v>18</v>
      </c>
      <c r="K591" s="14">
        <v>766</v>
      </c>
      <c r="L591" s="15">
        <v>45332</v>
      </c>
      <c r="M591" s="16">
        <v>5</v>
      </c>
      <c r="N59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91" s="31" t="str">
        <f>IF(Table64[[#This Row],[date validity flag]]&lt;&gt;"Valid","",Table64[[#This Row],[shipment date ]]-Table64[[#This Row],[Order date]])</f>
        <v/>
      </c>
      <c r="P591" s="27" t="str">
        <f>TEXT(Table64[[#This Row],[Order date]],"mmm-yyyy")</f>
        <v>Feb-2024</v>
      </c>
      <c r="Q591" s="16" t="str">
        <f t="shared" si="9"/>
        <v/>
      </c>
    </row>
    <row r="592" spans="1:17" x14ac:dyDescent="0.3">
      <c r="A592" s="12">
        <v>10591</v>
      </c>
      <c r="B592" s="1">
        <v>5867</v>
      </c>
      <c r="C592" s="1" t="s">
        <v>16</v>
      </c>
      <c r="D592" s="2">
        <v>10496.38</v>
      </c>
      <c r="E592" s="1">
        <v>49</v>
      </c>
      <c r="F592" s="1" t="s">
        <v>21</v>
      </c>
      <c r="G592" s="3">
        <v>45383</v>
      </c>
      <c r="H592" s="2">
        <v>166561.13</v>
      </c>
      <c r="I592" s="13" t="s">
        <v>17</v>
      </c>
      <c r="J592" s="14" t="s">
        <v>15</v>
      </c>
      <c r="K592" s="14">
        <v>1191</v>
      </c>
      <c r="L592" s="15">
        <v>45332</v>
      </c>
      <c r="M592" s="16">
        <v>2</v>
      </c>
      <c r="N59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92" s="31" t="str">
        <f>IF(Table64[[#This Row],[date validity flag]]&lt;&gt;"Valid","",Table64[[#This Row],[shipment date ]]-Table64[[#This Row],[Order date]])</f>
        <v/>
      </c>
      <c r="P592" s="27" t="str">
        <f>TEXT(Table64[[#This Row],[Order date]],"mmm-yyyy")</f>
        <v>Apr-2024</v>
      </c>
      <c r="Q592" s="16" t="str">
        <f t="shared" si="9"/>
        <v/>
      </c>
    </row>
    <row r="593" spans="1:17" x14ac:dyDescent="0.3">
      <c r="A593" s="17">
        <v>10592</v>
      </c>
      <c r="B593" s="4">
        <v>5823</v>
      </c>
      <c r="C593" s="4" t="s">
        <v>16</v>
      </c>
      <c r="D593" s="5">
        <v>38910.699999999997</v>
      </c>
      <c r="E593" s="4">
        <v>47</v>
      </c>
      <c r="F593" s="4" t="s">
        <v>22</v>
      </c>
      <c r="G593" s="6">
        <v>45383</v>
      </c>
      <c r="H593" s="5">
        <v>100915.3</v>
      </c>
      <c r="I593" s="18" t="s">
        <v>17</v>
      </c>
      <c r="J593" s="14" t="s">
        <v>19</v>
      </c>
      <c r="K593" s="14">
        <v>650</v>
      </c>
      <c r="L593" s="15">
        <v>45332</v>
      </c>
      <c r="M593" s="16">
        <v>3</v>
      </c>
      <c r="N59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93" s="31" t="str">
        <f>IF(Table64[[#This Row],[date validity flag]]&lt;&gt;"Valid","",Table64[[#This Row],[shipment date ]]-Table64[[#This Row],[Order date]])</f>
        <v/>
      </c>
      <c r="P593" s="27" t="str">
        <f>TEXT(Table64[[#This Row],[Order date]],"mmm-yyyy")</f>
        <v>Apr-2024</v>
      </c>
      <c r="Q593" s="16" t="str">
        <f t="shared" si="9"/>
        <v/>
      </c>
    </row>
    <row r="594" spans="1:17" x14ac:dyDescent="0.3">
      <c r="A594" s="12">
        <v>10593</v>
      </c>
      <c r="B594" s="1">
        <v>5936</v>
      </c>
      <c r="C594" s="1" t="s">
        <v>12</v>
      </c>
      <c r="D594" s="2">
        <v>67217.16</v>
      </c>
      <c r="E594" s="1">
        <v>84</v>
      </c>
      <c r="F594" s="1" t="s">
        <v>21</v>
      </c>
      <c r="G594" s="3">
        <v>45306</v>
      </c>
      <c r="H594" s="2">
        <v>22146.21</v>
      </c>
      <c r="I594" s="13" t="s">
        <v>20</v>
      </c>
      <c r="J594" s="14" t="s">
        <v>19</v>
      </c>
      <c r="K594" s="14">
        <v>715</v>
      </c>
      <c r="L594" s="15">
        <v>45361</v>
      </c>
      <c r="M594" s="16">
        <v>4</v>
      </c>
      <c r="N5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94" s="31">
        <f>IF(Table64[[#This Row],[date validity flag]]&lt;&gt;"Valid","",Table64[[#This Row],[shipment date ]]-Table64[[#This Row],[Order date]])</f>
        <v>55</v>
      </c>
      <c r="P594" s="27" t="str">
        <f>TEXT(Table64[[#This Row],[Order date]],"mmm-yyyy")</f>
        <v>Jan-2024</v>
      </c>
      <c r="Q594" s="16" t="str">
        <f t="shared" si="9"/>
        <v>Delayed</v>
      </c>
    </row>
    <row r="595" spans="1:17" x14ac:dyDescent="0.3">
      <c r="A595" s="17">
        <v>10594</v>
      </c>
      <c r="B595" s="4">
        <v>6844</v>
      </c>
      <c r="C595" s="4" t="s">
        <v>16</v>
      </c>
      <c r="D595" s="5">
        <v>34048.89</v>
      </c>
      <c r="E595" s="4">
        <v>82</v>
      </c>
      <c r="F595" s="4" t="s">
        <v>23</v>
      </c>
      <c r="G595" s="6">
        <v>45383</v>
      </c>
      <c r="H595" s="5">
        <v>48856.43</v>
      </c>
      <c r="I595" s="18" t="s">
        <v>20</v>
      </c>
      <c r="J595" s="14" t="s">
        <v>18</v>
      </c>
      <c r="K595" s="14">
        <v>517</v>
      </c>
      <c r="L595" s="15">
        <v>45332</v>
      </c>
      <c r="M595" s="16">
        <v>5</v>
      </c>
      <c r="N59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95" s="31" t="str">
        <f>IF(Table64[[#This Row],[date validity flag]]&lt;&gt;"Valid","",Table64[[#This Row],[shipment date ]]-Table64[[#This Row],[Order date]])</f>
        <v/>
      </c>
      <c r="P595" s="27" t="str">
        <f>TEXT(Table64[[#This Row],[Order date]],"mmm-yyyy")</f>
        <v>Apr-2024</v>
      </c>
      <c r="Q595" s="16" t="str">
        <f t="shared" si="9"/>
        <v/>
      </c>
    </row>
    <row r="596" spans="1:17" x14ac:dyDescent="0.3">
      <c r="A596" s="12">
        <v>10595</v>
      </c>
      <c r="B596" s="1">
        <v>5656</v>
      </c>
      <c r="C596" s="1" t="s">
        <v>16</v>
      </c>
      <c r="D596" s="2">
        <v>51108.72</v>
      </c>
      <c r="E596" s="1">
        <v>18</v>
      </c>
      <c r="F596" s="1" t="s">
        <v>21</v>
      </c>
      <c r="G596" s="3">
        <v>45361</v>
      </c>
      <c r="H596" s="2">
        <v>48997.01</v>
      </c>
      <c r="I596" s="13" t="s">
        <v>20</v>
      </c>
      <c r="J596" s="14" t="s">
        <v>18</v>
      </c>
      <c r="K596" s="14">
        <v>210</v>
      </c>
      <c r="L596" s="15">
        <v>45397</v>
      </c>
      <c r="M596" s="16">
        <v>13</v>
      </c>
      <c r="N5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96" s="31">
        <f>IF(Table64[[#This Row],[date validity flag]]&lt;&gt;"Valid","",Table64[[#This Row],[shipment date ]]-Table64[[#This Row],[Order date]])</f>
        <v>36</v>
      </c>
      <c r="P596" s="27" t="str">
        <f>TEXT(Table64[[#This Row],[Order date]],"mmm-yyyy")</f>
        <v>Mar-2024</v>
      </c>
      <c r="Q596" s="16" t="str">
        <f t="shared" si="9"/>
        <v>Delayed</v>
      </c>
    </row>
    <row r="597" spans="1:17" x14ac:dyDescent="0.3">
      <c r="A597" s="17">
        <v>10596</v>
      </c>
      <c r="B597" s="4">
        <v>5269</v>
      </c>
      <c r="C597" s="4" t="s">
        <v>16</v>
      </c>
      <c r="D597" s="5">
        <v>64823.839999999997</v>
      </c>
      <c r="E597" s="4">
        <v>66</v>
      </c>
      <c r="F597" s="4" t="s">
        <v>21</v>
      </c>
      <c r="G597" s="6">
        <v>45337</v>
      </c>
      <c r="H597" s="5">
        <v>143850.46</v>
      </c>
      <c r="I597" s="18" t="s">
        <v>17</v>
      </c>
      <c r="J597" s="14" t="s">
        <v>15</v>
      </c>
      <c r="K597" s="14">
        <v>319</v>
      </c>
      <c r="L597" s="15">
        <v>45332</v>
      </c>
      <c r="M597" s="16">
        <v>3</v>
      </c>
      <c r="N59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97" s="31" t="str">
        <f>IF(Table64[[#This Row],[date validity flag]]&lt;&gt;"Valid","",Table64[[#This Row],[shipment date ]]-Table64[[#This Row],[Order date]])</f>
        <v/>
      </c>
      <c r="P597" s="27" t="str">
        <f>TEXT(Table64[[#This Row],[Order date]],"mmm-yyyy")</f>
        <v>Feb-2024</v>
      </c>
      <c r="Q597" s="16" t="str">
        <f t="shared" si="9"/>
        <v/>
      </c>
    </row>
    <row r="598" spans="1:17" x14ac:dyDescent="0.3">
      <c r="A598" s="12">
        <v>10597</v>
      </c>
      <c r="B598" s="1">
        <v>5370</v>
      </c>
      <c r="C598" s="1" t="s">
        <v>16</v>
      </c>
      <c r="D598" s="2">
        <v>47725.79</v>
      </c>
      <c r="E598" s="1">
        <v>68</v>
      </c>
      <c r="F598" s="1" t="s">
        <v>21</v>
      </c>
      <c r="G598" s="3">
        <v>45337</v>
      </c>
      <c r="H598" s="2">
        <v>148872.28</v>
      </c>
      <c r="I598" s="13" t="s">
        <v>17</v>
      </c>
      <c r="J598" s="14" t="s">
        <v>15</v>
      </c>
      <c r="K598" s="14">
        <v>1129</v>
      </c>
      <c r="L598" s="15">
        <v>45332</v>
      </c>
      <c r="M598" s="16">
        <v>12</v>
      </c>
      <c r="N59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598" s="31" t="str">
        <f>IF(Table64[[#This Row],[date validity flag]]&lt;&gt;"Valid","",Table64[[#This Row],[shipment date ]]-Table64[[#This Row],[Order date]])</f>
        <v/>
      </c>
      <c r="P598" s="27" t="str">
        <f>TEXT(Table64[[#This Row],[Order date]],"mmm-yyyy")</f>
        <v>Feb-2024</v>
      </c>
      <c r="Q598" s="16" t="str">
        <f t="shared" si="9"/>
        <v/>
      </c>
    </row>
    <row r="599" spans="1:17" x14ac:dyDescent="0.3">
      <c r="A599" s="17">
        <v>10598</v>
      </c>
      <c r="B599" s="4">
        <v>5636</v>
      </c>
      <c r="C599" s="4" t="s">
        <v>16</v>
      </c>
      <c r="D599" s="5">
        <v>67724.509999999995</v>
      </c>
      <c r="E599" s="4">
        <v>94</v>
      </c>
      <c r="F599" s="4" t="s">
        <v>21</v>
      </c>
      <c r="G599" s="6">
        <v>45337</v>
      </c>
      <c r="H599" s="5">
        <v>46445.75</v>
      </c>
      <c r="I599" s="18" t="s">
        <v>17</v>
      </c>
      <c r="J599" s="14" t="s">
        <v>18</v>
      </c>
      <c r="K599" s="14">
        <v>277</v>
      </c>
      <c r="L599" s="15">
        <v>45361</v>
      </c>
      <c r="M599" s="16">
        <v>14</v>
      </c>
      <c r="N5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599" s="31">
        <f>IF(Table64[[#This Row],[date validity flag]]&lt;&gt;"Valid","",Table64[[#This Row],[shipment date ]]-Table64[[#This Row],[Order date]])</f>
        <v>24</v>
      </c>
      <c r="P599" s="27" t="str">
        <f>TEXT(Table64[[#This Row],[Order date]],"mmm-yyyy")</f>
        <v>Feb-2024</v>
      </c>
      <c r="Q599" s="16" t="str">
        <f t="shared" si="9"/>
        <v>Delayed</v>
      </c>
    </row>
    <row r="600" spans="1:17" x14ac:dyDescent="0.3">
      <c r="A600" s="12">
        <v>10599</v>
      </c>
      <c r="B600" s="1">
        <v>6130</v>
      </c>
      <c r="C600" s="1" t="s">
        <v>16</v>
      </c>
      <c r="D600" s="2">
        <v>30361.38</v>
      </c>
      <c r="E600" s="1">
        <v>33</v>
      </c>
      <c r="F600" s="1" t="s">
        <v>22</v>
      </c>
      <c r="G600" s="3">
        <v>45361</v>
      </c>
      <c r="H600" s="2">
        <v>65940.850000000006</v>
      </c>
      <c r="I600" s="13" t="s">
        <v>20</v>
      </c>
      <c r="J600" s="14" t="s">
        <v>18</v>
      </c>
      <c r="K600" s="14">
        <v>898</v>
      </c>
      <c r="L600" s="15">
        <v>45332</v>
      </c>
      <c r="M600" s="16">
        <v>7</v>
      </c>
      <c r="N60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00" s="31" t="str">
        <f>IF(Table64[[#This Row],[date validity flag]]&lt;&gt;"Valid","",Table64[[#This Row],[shipment date ]]-Table64[[#This Row],[Order date]])</f>
        <v/>
      </c>
      <c r="P600" s="27" t="str">
        <f>TEXT(Table64[[#This Row],[Order date]],"mmm-yyyy")</f>
        <v>Mar-2024</v>
      </c>
      <c r="Q600" s="16" t="str">
        <f t="shared" si="9"/>
        <v/>
      </c>
    </row>
    <row r="601" spans="1:17" x14ac:dyDescent="0.3">
      <c r="A601" s="17">
        <v>10600</v>
      </c>
      <c r="B601" s="4">
        <v>6694</v>
      </c>
      <c r="C601" s="4" t="s">
        <v>12</v>
      </c>
      <c r="D601" s="5">
        <v>53445.37</v>
      </c>
      <c r="E601" s="4">
        <v>36</v>
      </c>
      <c r="F601" s="4" t="s">
        <v>21</v>
      </c>
      <c r="G601" s="6">
        <v>45361</v>
      </c>
      <c r="H601" s="5">
        <v>69811.100000000006</v>
      </c>
      <c r="I601" s="18" t="s">
        <v>17</v>
      </c>
      <c r="J601" s="14" t="s">
        <v>19</v>
      </c>
      <c r="K601" s="14">
        <v>198</v>
      </c>
      <c r="L601" s="15">
        <v>45397</v>
      </c>
      <c r="M601" s="16">
        <v>5</v>
      </c>
      <c r="N6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01" s="31">
        <f>IF(Table64[[#This Row],[date validity flag]]&lt;&gt;"Valid","",Table64[[#This Row],[shipment date ]]-Table64[[#This Row],[Order date]])</f>
        <v>36</v>
      </c>
      <c r="P601" s="27" t="str">
        <f>TEXT(Table64[[#This Row],[Order date]],"mmm-yyyy")</f>
        <v>Mar-2024</v>
      </c>
      <c r="Q601" s="16" t="str">
        <f t="shared" si="9"/>
        <v>Delayed</v>
      </c>
    </row>
    <row r="602" spans="1:17" x14ac:dyDescent="0.3">
      <c r="A602" s="12">
        <v>10601</v>
      </c>
      <c r="B602" s="1">
        <v>6683</v>
      </c>
      <c r="C602" s="1" t="s">
        <v>16</v>
      </c>
      <c r="D602" s="2">
        <v>20441.79</v>
      </c>
      <c r="E602" s="1">
        <v>82</v>
      </c>
      <c r="F602" s="1" t="s">
        <v>22</v>
      </c>
      <c r="G602" s="3">
        <v>45361</v>
      </c>
      <c r="H602" s="2">
        <v>143440.12</v>
      </c>
      <c r="I602" s="13" t="s">
        <v>17</v>
      </c>
      <c r="J602" s="14" t="s">
        <v>19</v>
      </c>
      <c r="K602" s="14">
        <v>1119</v>
      </c>
      <c r="L602" s="15">
        <v>45332</v>
      </c>
      <c r="M602" s="16">
        <v>5</v>
      </c>
      <c r="N60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02" s="31" t="str">
        <f>IF(Table64[[#This Row],[date validity flag]]&lt;&gt;"Valid","",Table64[[#This Row],[shipment date ]]-Table64[[#This Row],[Order date]])</f>
        <v/>
      </c>
      <c r="P602" s="27" t="str">
        <f>TEXT(Table64[[#This Row],[Order date]],"mmm-yyyy")</f>
        <v>Mar-2024</v>
      </c>
      <c r="Q602" s="16" t="str">
        <f t="shared" si="9"/>
        <v/>
      </c>
    </row>
    <row r="603" spans="1:17" x14ac:dyDescent="0.3">
      <c r="A603" s="17">
        <v>10602</v>
      </c>
      <c r="B603" s="4">
        <v>5657</v>
      </c>
      <c r="C603" s="4" t="s">
        <v>16</v>
      </c>
      <c r="D603" s="5">
        <v>46579.63</v>
      </c>
      <c r="E603" s="4">
        <v>19</v>
      </c>
      <c r="F603" s="4" t="s">
        <v>21</v>
      </c>
      <c r="G603" s="6">
        <v>45361</v>
      </c>
      <c r="H603" s="5">
        <v>76494.05</v>
      </c>
      <c r="I603" s="18" t="s">
        <v>14</v>
      </c>
      <c r="J603" s="14" t="s">
        <v>19</v>
      </c>
      <c r="K603" s="14">
        <v>1217</v>
      </c>
      <c r="L603" s="15">
        <v>45397</v>
      </c>
      <c r="M603" s="16">
        <v>6</v>
      </c>
      <c r="N6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03" s="31">
        <f>IF(Table64[[#This Row],[date validity flag]]&lt;&gt;"Valid","",Table64[[#This Row],[shipment date ]]-Table64[[#This Row],[Order date]])</f>
        <v>36</v>
      </c>
      <c r="P603" s="27" t="str">
        <f>TEXT(Table64[[#This Row],[Order date]],"mmm-yyyy")</f>
        <v>Mar-2024</v>
      </c>
      <c r="Q603" s="16" t="str">
        <f t="shared" si="9"/>
        <v>Delayed</v>
      </c>
    </row>
    <row r="604" spans="1:17" x14ac:dyDescent="0.3">
      <c r="A604" s="12">
        <v>10603</v>
      </c>
      <c r="B604" s="1">
        <v>5120</v>
      </c>
      <c r="C604" s="1" t="s">
        <v>16</v>
      </c>
      <c r="D604" s="2">
        <v>70198.63</v>
      </c>
      <c r="E604" s="1">
        <v>28</v>
      </c>
      <c r="F604" s="1" t="s">
        <v>13</v>
      </c>
      <c r="G604" s="3">
        <v>45361</v>
      </c>
      <c r="H604" s="2">
        <v>157688.22</v>
      </c>
      <c r="I604" s="13" t="s">
        <v>17</v>
      </c>
      <c r="J604" s="14" t="s">
        <v>18</v>
      </c>
      <c r="K604" s="14">
        <v>681</v>
      </c>
      <c r="L604" s="15">
        <v>45361</v>
      </c>
      <c r="M604" s="16">
        <v>7</v>
      </c>
      <c r="N6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04" s="31">
        <f>IF(Table64[[#This Row],[date validity flag]]&lt;&gt;"Valid","",Table64[[#This Row],[shipment date ]]-Table64[[#This Row],[Order date]])</f>
        <v>0</v>
      </c>
      <c r="P604" s="27" t="str">
        <f>TEXT(Table64[[#This Row],[Order date]],"mmm-yyyy")</f>
        <v>Mar-2024</v>
      </c>
      <c r="Q604" s="16" t="str">
        <f t="shared" si="9"/>
        <v>On Time</v>
      </c>
    </row>
    <row r="605" spans="1:17" x14ac:dyDescent="0.3">
      <c r="A605" s="17">
        <v>10604</v>
      </c>
      <c r="B605" s="4">
        <v>5831</v>
      </c>
      <c r="C605" s="4" t="s">
        <v>16</v>
      </c>
      <c r="D605" s="5">
        <v>48231.17</v>
      </c>
      <c r="E605" s="4">
        <v>40</v>
      </c>
      <c r="F605" s="4" t="s">
        <v>23</v>
      </c>
      <c r="G605" s="6">
        <v>45383</v>
      </c>
      <c r="H605" s="5">
        <v>91438.28</v>
      </c>
      <c r="I605" s="18" t="s">
        <v>14</v>
      </c>
      <c r="J605" s="14" t="s">
        <v>18</v>
      </c>
      <c r="K605" s="14">
        <v>1413</v>
      </c>
      <c r="L605" s="15">
        <v>45332</v>
      </c>
      <c r="M605" s="16">
        <v>10</v>
      </c>
      <c r="N60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05" s="31" t="str">
        <f>IF(Table64[[#This Row],[date validity flag]]&lt;&gt;"Valid","",Table64[[#This Row],[shipment date ]]-Table64[[#This Row],[Order date]])</f>
        <v/>
      </c>
      <c r="P605" s="27" t="str">
        <f>TEXT(Table64[[#This Row],[Order date]],"mmm-yyyy")</f>
        <v>Apr-2024</v>
      </c>
      <c r="Q605" s="16" t="str">
        <f t="shared" si="9"/>
        <v/>
      </c>
    </row>
    <row r="606" spans="1:17" x14ac:dyDescent="0.3">
      <c r="A606" s="12">
        <v>10605</v>
      </c>
      <c r="B606" s="1">
        <v>6811</v>
      </c>
      <c r="C606" s="1" t="s">
        <v>16</v>
      </c>
      <c r="D606" s="2">
        <v>92210.55</v>
      </c>
      <c r="E606" s="1">
        <v>84</v>
      </c>
      <c r="F606" s="1" t="s">
        <v>21</v>
      </c>
      <c r="G606" s="3">
        <v>45361</v>
      </c>
      <c r="H606" s="2">
        <v>134599.70000000001</v>
      </c>
      <c r="I606" s="13" t="s">
        <v>17</v>
      </c>
      <c r="J606" s="14" t="s">
        <v>18</v>
      </c>
      <c r="K606" s="14">
        <v>462</v>
      </c>
      <c r="L606" s="15">
        <v>45361</v>
      </c>
      <c r="M606" s="16">
        <v>10</v>
      </c>
      <c r="N6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06" s="31">
        <f>IF(Table64[[#This Row],[date validity flag]]&lt;&gt;"Valid","",Table64[[#This Row],[shipment date ]]-Table64[[#This Row],[Order date]])</f>
        <v>0</v>
      </c>
      <c r="P606" s="27" t="str">
        <f>TEXT(Table64[[#This Row],[Order date]],"mmm-yyyy")</f>
        <v>Mar-2024</v>
      </c>
      <c r="Q606" s="16" t="str">
        <f t="shared" si="9"/>
        <v>On Time</v>
      </c>
    </row>
    <row r="607" spans="1:17" x14ac:dyDescent="0.3">
      <c r="A607" s="17">
        <v>10606</v>
      </c>
      <c r="B607" s="4">
        <v>6628</v>
      </c>
      <c r="C607" s="4" t="s">
        <v>16</v>
      </c>
      <c r="D607" s="5">
        <v>60619.05</v>
      </c>
      <c r="E607" s="4">
        <v>97</v>
      </c>
      <c r="F607" s="4" t="s">
        <v>13</v>
      </c>
      <c r="G607" s="6">
        <v>45361</v>
      </c>
      <c r="H607" s="5">
        <v>101491.36</v>
      </c>
      <c r="I607" s="18" t="s">
        <v>17</v>
      </c>
      <c r="J607" s="14" t="s">
        <v>19</v>
      </c>
      <c r="K607" s="14">
        <v>569</v>
      </c>
      <c r="L607" s="15">
        <v>45332</v>
      </c>
      <c r="M607" s="16">
        <v>8</v>
      </c>
      <c r="N60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07" s="31" t="str">
        <f>IF(Table64[[#This Row],[date validity flag]]&lt;&gt;"Valid","",Table64[[#This Row],[shipment date ]]-Table64[[#This Row],[Order date]])</f>
        <v/>
      </c>
      <c r="P607" s="27" t="str">
        <f>TEXT(Table64[[#This Row],[Order date]],"mmm-yyyy")</f>
        <v>Mar-2024</v>
      </c>
      <c r="Q607" s="16" t="str">
        <f t="shared" si="9"/>
        <v/>
      </c>
    </row>
    <row r="608" spans="1:17" x14ac:dyDescent="0.3">
      <c r="A608" s="12">
        <v>10607</v>
      </c>
      <c r="B608" s="1">
        <v>6082</v>
      </c>
      <c r="C608" s="1" t="s">
        <v>16</v>
      </c>
      <c r="D608" s="2">
        <v>84896.49</v>
      </c>
      <c r="E608" s="1">
        <v>76</v>
      </c>
      <c r="F608" s="1" t="s">
        <v>21</v>
      </c>
      <c r="G608" s="3">
        <v>45361</v>
      </c>
      <c r="H608" s="2">
        <v>39542.839999999997</v>
      </c>
      <c r="I608" s="13" t="s">
        <v>20</v>
      </c>
      <c r="J608" s="14" t="s">
        <v>18</v>
      </c>
      <c r="K608" s="14">
        <v>1417</v>
      </c>
      <c r="L608" s="15">
        <v>45397</v>
      </c>
      <c r="M608" s="16">
        <v>9</v>
      </c>
      <c r="N60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08" s="31">
        <f>IF(Table64[[#This Row],[date validity flag]]&lt;&gt;"Valid","",Table64[[#This Row],[shipment date ]]-Table64[[#This Row],[Order date]])</f>
        <v>36</v>
      </c>
      <c r="P608" s="27" t="str">
        <f>TEXT(Table64[[#This Row],[Order date]],"mmm-yyyy")</f>
        <v>Mar-2024</v>
      </c>
      <c r="Q608" s="16" t="str">
        <f t="shared" si="9"/>
        <v>Delayed</v>
      </c>
    </row>
    <row r="609" spans="1:17" x14ac:dyDescent="0.3">
      <c r="A609" s="17">
        <v>10608</v>
      </c>
      <c r="B609" s="4">
        <v>6975</v>
      </c>
      <c r="C609" s="4" t="s">
        <v>16</v>
      </c>
      <c r="D609" s="5">
        <v>35822.43</v>
      </c>
      <c r="E609" s="4">
        <v>15</v>
      </c>
      <c r="F609" s="4" t="s">
        <v>21</v>
      </c>
      <c r="G609" s="6">
        <v>45361</v>
      </c>
      <c r="H609" s="5">
        <v>134920.99</v>
      </c>
      <c r="I609" s="18" t="s">
        <v>14</v>
      </c>
      <c r="J609" s="14" t="s">
        <v>15</v>
      </c>
      <c r="K609" s="14">
        <v>436</v>
      </c>
      <c r="L609" s="15">
        <v>45361</v>
      </c>
      <c r="M609" s="16">
        <v>11</v>
      </c>
      <c r="N6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09" s="31">
        <f>IF(Table64[[#This Row],[date validity flag]]&lt;&gt;"Valid","",Table64[[#This Row],[shipment date ]]-Table64[[#This Row],[Order date]])</f>
        <v>0</v>
      </c>
      <c r="P609" s="27" t="str">
        <f>TEXT(Table64[[#This Row],[Order date]],"mmm-yyyy")</f>
        <v>Mar-2024</v>
      </c>
      <c r="Q609" s="16" t="str">
        <f t="shared" si="9"/>
        <v>On Time</v>
      </c>
    </row>
    <row r="610" spans="1:17" x14ac:dyDescent="0.3">
      <c r="A610" s="12">
        <v>10609</v>
      </c>
      <c r="B610" s="1">
        <v>6370</v>
      </c>
      <c r="C610" s="1" t="s">
        <v>16</v>
      </c>
      <c r="D610" s="2">
        <v>99298.87</v>
      </c>
      <c r="E610" s="1">
        <v>41</v>
      </c>
      <c r="F610" s="1" t="s">
        <v>21</v>
      </c>
      <c r="G610" s="3">
        <v>45337</v>
      </c>
      <c r="H610" s="2">
        <v>27854.31</v>
      </c>
      <c r="I610" s="13" t="s">
        <v>20</v>
      </c>
      <c r="J610" s="14" t="s">
        <v>18</v>
      </c>
      <c r="K610" s="14">
        <v>324</v>
      </c>
      <c r="L610" s="15">
        <v>45332</v>
      </c>
      <c r="M610" s="16">
        <v>4</v>
      </c>
      <c r="N61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10" s="31" t="str">
        <f>IF(Table64[[#This Row],[date validity flag]]&lt;&gt;"Valid","",Table64[[#This Row],[shipment date ]]-Table64[[#This Row],[Order date]])</f>
        <v/>
      </c>
      <c r="P610" s="27" t="str">
        <f>TEXT(Table64[[#This Row],[Order date]],"mmm-yyyy")</f>
        <v>Feb-2024</v>
      </c>
      <c r="Q610" s="16" t="str">
        <f t="shared" si="9"/>
        <v/>
      </c>
    </row>
    <row r="611" spans="1:17" x14ac:dyDescent="0.3">
      <c r="A611" s="17">
        <v>10610</v>
      </c>
      <c r="B611" s="4">
        <v>5741</v>
      </c>
      <c r="C611" s="4" t="s">
        <v>16</v>
      </c>
      <c r="D611" s="5">
        <v>18457.2</v>
      </c>
      <c r="E611" s="4">
        <v>39</v>
      </c>
      <c r="F611" s="4" t="s">
        <v>13</v>
      </c>
      <c r="G611" s="6">
        <v>45361</v>
      </c>
      <c r="H611" s="5">
        <v>98326.76</v>
      </c>
      <c r="I611" s="18" t="s">
        <v>14</v>
      </c>
      <c r="J611" s="14" t="s">
        <v>18</v>
      </c>
      <c r="K611" s="14">
        <v>402</v>
      </c>
      <c r="L611" s="15">
        <v>45397</v>
      </c>
      <c r="M611" s="16">
        <v>5</v>
      </c>
      <c r="N6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11" s="31">
        <f>IF(Table64[[#This Row],[date validity flag]]&lt;&gt;"Valid","",Table64[[#This Row],[shipment date ]]-Table64[[#This Row],[Order date]])</f>
        <v>36</v>
      </c>
      <c r="P611" s="27" t="str">
        <f>TEXT(Table64[[#This Row],[Order date]],"mmm-yyyy")</f>
        <v>Mar-2024</v>
      </c>
      <c r="Q611" s="16" t="str">
        <f t="shared" si="9"/>
        <v>Delayed</v>
      </c>
    </row>
    <row r="612" spans="1:17" x14ac:dyDescent="0.3">
      <c r="A612" s="12">
        <v>10611</v>
      </c>
      <c r="B612" s="1">
        <v>6498</v>
      </c>
      <c r="C612" s="1" t="s">
        <v>12</v>
      </c>
      <c r="D612" s="2">
        <v>17172.53</v>
      </c>
      <c r="E612" s="1">
        <v>2</v>
      </c>
      <c r="F612" s="1" t="s">
        <v>23</v>
      </c>
      <c r="G612" s="3">
        <v>45383</v>
      </c>
      <c r="H612" s="2">
        <v>86345.22</v>
      </c>
      <c r="I612" s="13" t="s">
        <v>14</v>
      </c>
      <c r="J612" s="14" t="s">
        <v>18</v>
      </c>
      <c r="K612" s="14">
        <v>1139</v>
      </c>
      <c r="L612" s="15">
        <v>45361</v>
      </c>
      <c r="M612" s="16">
        <v>5</v>
      </c>
      <c r="N61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12" s="31" t="str">
        <f>IF(Table64[[#This Row],[date validity flag]]&lt;&gt;"Valid","",Table64[[#This Row],[shipment date ]]-Table64[[#This Row],[Order date]])</f>
        <v/>
      </c>
      <c r="P612" s="27" t="str">
        <f>TEXT(Table64[[#This Row],[Order date]],"mmm-yyyy")</f>
        <v>Apr-2024</v>
      </c>
      <c r="Q612" s="16" t="str">
        <f t="shared" si="9"/>
        <v/>
      </c>
    </row>
    <row r="613" spans="1:17" x14ac:dyDescent="0.3">
      <c r="A613" s="17">
        <v>10612</v>
      </c>
      <c r="B613" s="4">
        <v>5117</v>
      </c>
      <c r="C613" s="4" t="s">
        <v>12</v>
      </c>
      <c r="D613" s="5">
        <v>39502.6</v>
      </c>
      <c r="E613" s="4">
        <v>63</v>
      </c>
      <c r="F613" s="4" t="s">
        <v>13</v>
      </c>
      <c r="G613" s="6">
        <v>45383</v>
      </c>
      <c r="H613" s="5">
        <v>66516.899999999994</v>
      </c>
      <c r="I613" s="18" t="s">
        <v>14</v>
      </c>
      <c r="J613" s="14" t="s">
        <v>18</v>
      </c>
      <c r="K613" s="14">
        <v>1152</v>
      </c>
      <c r="L613" s="15">
        <v>45332</v>
      </c>
      <c r="M613" s="16">
        <v>8</v>
      </c>
      <c r="N61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13" s="31" t="str">
        <f>IF(Table64[[#This Row],[date validity flag]]&lt;&gt;"Valid","",Table64[[#This Row],[shipment date ]]-Table64[[#This Row],[Order date]])</f>
        <v/>
      </c>
      <c r="P613" s="27" t="str">
        <f>TEXT(Table64[[#This Row],[Order date]],"mmm-yyyy")</f>
        <v>Apr-2024</v>
      </c>
      <c r="Q613" s="16" t="str">
        <f t="shared" si="9"/>
        <v/>
      </c>
    </row>
    <row r="614" spans="1:17" x14ac:dyDescent="0.3">
      <c r="A614" s="12">
        <v>10613</v>
      </c>
      <c r="B614" s="1">
        <v>6854</v>
      </c>
      <c r="C614" s="1" t="s">
        <v>16</v>
      </c>
      <c r="D614" s="2">
        <v>57204.800000000003</v>
      </c>
      <c r="E614" s="1">
        <v>29</v>
      </c>
      <c r="F614" s="1" t="s">
        <v>23</v>
      </c>
      <c r="G614" s="3">
        <v>45383</v>
      </c>
      <c r="H614" s="2">
        <v>71406.78</v>
      </c>
      <c r="I614" s="13" t="s">
        <v>17</v>
      </c>
      <c r="J614" s="14" t="s">
        <v>18</v>
      </c>
      <c r="K614" s="14">
        <v>647</v>
      </c>
      <c r="L614" s="15">
        <v>45361</v>
      </c>
      <c r="M614" s="16">
        <v>9</v>
      </c>
      <c r="N61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14" s="31" t="str">
        <f>IF(Table64[[#This Row],[date validity flag]]&lt;&gt;"Valid","",Table64[[#This Row],[shipment date ]]-Table64[[#This Row],[Order date]])</f>
        <v/>
      </c>
      <c r="P614" s="27" t="str">
        <f>TEXT(Table64[[#This Row],[Order date]],"mmm-yyyy")</f>
        <v>Apr-2024</v>
      </c>
      <c r="Q614" s="16" t="str">
        <f t="shared" si="9"/>
        <v/>
      </c>
    </row>
    <row r="615" spans="1:17" x14ac:dyDescent="0.3">
      <c r="A615" s="17">
        <v>10614</v>
      </c>
      <c r="B615" s="4">
        <v>5791</v>
      </c>
      <c r="C615" s="4" t="s">
        <v>16</v>
      </c>
      <c r="D615" s="5">
        <v>9414.5</v>
      </c>
      <c r="E615" s="4">
        <v>74</v>
      </c>
      <c r="F615" s="4" t="s">
        <v>21</v>
      </c>
      <c r="G615" s="6">
        <v>45306</v>
      </c>
      <c r="H615" s="5">
        <v>81768.87</v>
      </c>
      <c r="I615" s="18" t="s">
        <v>17</v>
      </c>
      <c r="J615" s="14" t="s">
        <v>15</v>
      </c>
      <c r="K615" s="14">
        <v>1275</v>
      </c>
      <c r="L615" s="15">
        <v>45332</v>
      </c>
      <c r="M615" s="16">
        <v>7</v>
      </c>
      <c r="N6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15" s="31">
        <f>IF(Table64[[#This Row],[date validity flag]]&lt;&gt;"Valid","",Table64[[#This Row],[shipment date ]]-Table64[[#This Row],[Order date]])</f>
        <v>26</v>
      </c>
      <c r="P615" s="27" t="str">
        <f>TEXT(Table64[[#This Row],[Order date]],"mmm-yyyy")</f>
        <v>Jan-2024</v>
      </c>
      <c r="Q615" s="16" t="str">
        <f t="shared" si="9"/>
        <v>Delayed</v>
      </c>
    </row>
    <row r="616" spans="1:17" x14ac:dyDescent="0.3">
      <c r="A616" s="12">
        <v>10615</v>
      </c>
      <c r="B616" s="1">
        <v>6151</v>
      </c>
      <c r="C616" s="1" t="s">
        <v>16</v>
      </c>
      <c r="D616" s="2">
        <v>73000.179999999993</v>
      </c>
      <c r="E616" s="1">
        <v>66</v>
      </c>
      <c r="F616" s="1" t="s">
        <v>22</v>
      </c>
      <c r="G616" s="3">
        <v>45337</v>
      </c>
      <c r="H616" s="2">
        <v>110261.22</v>
      </c>
      <c r="I616" s="13" t="s">
        <v>14</v>
      </c>
      <c r="J616" s="14" t="s">
        <v>15</v>
      </c>
      <c r="K616" s="14">
        <v>607</v>
      </c>
      <c r="L616" s="15">
        <v>45397</v>
      </c>
      <c r="M616" s="16">
        <v>5</v>
      </c>
      <c r="N6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16" s="31">
        <f>IF(Table64[[#This Row],[date validity flag]]&lt;&gt;"Valid","",Table64[[#This Row],[shipment date ]]-Table64[[#This Row],[Order date]])</f>
        <v>60</v>
      </c>
      <c r="P616" s="27" t="str">
        <f>TEXT(Table64[[#This Row],[Order date]],"mmm-yyyy")</f>
        <v>Feb-2024</v>
      </c>
      <c r="Q616" s="16" t="str">
        <f t="shared" si="9"/>
        <v>Delayed</v>
      </c>
    </row>
    <row r="617" spans="1:17" x14ac:dyDescent="0.3">
      <c r="A617" s="17">
        <v>10616</v>
      </c>
      <c r="B617" s="4">
        <v>6417</v>
      </c>
      <c r="C617" s="4" t="s">
        <v>16</v>
      </c>
      <c r="D617" s="5">
        <v>54352.52</v>
      </c>
      <c r="E617" s="4">
        <v>51</v>
      </c>
      <c r="F617" s="4" t="s">
        <v>21</v>
      </c>
      <c r="G617" s="6">
        <v>45361</v>
      </c>
      <c r="H617" s="5">
        <v>176587.19</v>
      </c>
      <c r="I617" s="18" t="s">
        <v>17</v>
      </c>
      <c r="J617" s="14" t="s">
        <v>18</v>
      </c>
      <c r="K617" s="14">
        <v>162</v>
      </c>
      <c r="L617" s="15">
        <v>45397</v>
      </c>
      <c r="M617" s="16">
        <v>3</v>
      </c>
      <c r="N6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17" s="31">
        <f>IF(Table64[[#This Row],[date validity flag]]&lt;&gt;"Valid","",Table64[[#This Row],[shipment date ]]-Table64[[#This Row],[Order date]])</f>
        <v>36</v>
      </c>
      <c r="P617" s="27" t="str">
        <f>TEXT(Table64[[#This Row],[Order date]],"mmm-yyyy")</f>
        <v>Mar-2024</v>
      </c>
      <c r="Q617" s="16" t="str">
        <f t="shared" si="9"/>
        <v>Delayed</v>
      </c>
    </row>
    <row r="618" spans="1:17" x14ac:dyDescent="0.3">
      <c r="A618" s="12">
        <v>10617</v>
      </c>
      <c r="B618" s="1">
        <v>6932</v>
      </c>
      <c r="C618" s="1" t="s">
        <v>12</v>
      </c>
      <c r="D618" s="2">
        <v>36915.129999999997</v>
      </c>
      <c r="E618" s="1">
        <v>75</v>
      </c>
      <c r="F618" s="1" t="s">
        <v>23</v>
      </c>
      <c r="G618" s="3">
        <v>45306</v>
      </c>
      <c r="H618" s="2">
        <v>98995.18</v>
      </c>
      <c r="I618" s="13" t="s">
        <v>14</v>
      </c>
      <c r="J618" s="14" t="s">
        <v>19</v>
      </c>
      <c r="K618" s="14">
        <v>1164</v>
      </c>
      <c r="L618" s="15">
        <v>45361</v>
      </c>
      <c r="M618" s="16">
        <v>1</v>
      </c>
      <c r="N6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18" s="31">
        <f>IF(Table64[[#This Row],[date validity flag]]&lt;&gt;"Valid","",Table64[[#This Row],[shipment date ]]-Table64[[#This Row],[Order date]])</f>
        <v>55</v>
      </c>
      <c r="P618" s="27" t="str">
        <f>TEXT(Table64[[#This Row],[Order date]],"mmm-yyyy")</f>
        <v>Jan-2024</v>
      </c>
      <c r="Q618" s="16" t="str">
        <f t="shared" si="9"/>
        <v>Delayed</v>
      </c>
    </row>
    <row r="619" spans="1:17" x14ac:dyDescent="0.3">
      <c r="A619" s="17">
        <v>10618</v>
      </c>
      <c r="B619" s="4">
        <v>6013</v>
      </c>
      <c r="C619" s="4" t="s">
        <v>16</v>
      </c>
      <c r="D619" s="5">
        <v>47579.59</v>
      </c>
      <c r="E619" s="4">
        <v>77</v>
      </c>
      <c r="F619" s="4" t="s">
        <v>13</v>
      </c>
      <c r="G619" s="6">
        <v>45361</v>
      </c>
      <c r="H619" s="5">
        <v>152960.66</v>
      </c>
      <c r="I619" s="18" t="s">
        <v>17</v>
      </c>
      <c r="J619" s="14" t="s">
        <v>18</v>
      </c>
      <c r="K619" s="14">
        <v>190</v>
      </c>
      <c r="L619" s="15">
        <v>45361</v>
      </c>
      <c r="M619" s="16">
        <v>11</v>
      </c>
      <c r="N6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19" s="31">
        <f>IF(Table64[[#This Row],[date validity flag]]&lt;&gt;"Valid","",Table64[[#This Row],[shipment date ]]-Table64[[#This Row],[Order date]])</f>
        <v>0</v>
      </c>
      <c r="P619" s="27" t="str">
        <f>TEXT(Table64[[#This Row],[Order date]],"mmm-yyyy")</f>
        <v>Mar-2024</v>
      </c>
      <c r="Q619" s="16" t="str">
        <f t="shared" si="9"/>
        <v>On Time</v>
      </c>
    </row>
    <row r="620" spans="1:17" x14ac:dyDescent="0.3">
      <c r="A620" s="12">
        <v>10619</v>
      </c>
      <c r="B620" s="1">
        <v>6665</v>
      </c>
      <c r="C620" s="1" t="s">
        <v>12</v>
      </c>
      <c r="D620" s="2">
        <v>95850.67</v>
      </c>
      <c r="E620" s="1">
        <v>10</v>
      </c>
      <c r="F620" s="1" t="s">
        <v>21</v>
      </c>
      <c r="G620" s="3">
        <v>45306</v>
      </c>
      <c r="H620" s="2">
        <v>76191.62</v>
      </c>
      <c r="I620" s="13" t="s">
        <v>14</v>
      </c>
      <c r="J620" s="14" t="s">
        <v>18</v>
      </c>
      <c r="K620" s="14">
        <v>1362</v>
      </c>
      <c r="L620" s="15">
        <v>45332</v>
      </c>
      <c r="M620" s="16">
        <v>9</v>
      </c>
      <c r="N6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0" s="31">
        <f>IF(Table64[[#This Row],[date validity flag]]&lt;&gt;"Valid","",Table64[[#This Row],[shipment date ]]-Table64[[#This Row],[Order date]])</f>
        <v>26</v>
      </c>
      <c r="P620" s="27" t="str">
        <f>TEXT(Table64[[#This Row],[Order date]],"mmm-yyyy")</f>
        <v>Jan-2024</v>
      </c>
      <c r="Q620" s="16" t="str">
        <f t="shared" si="9"/>
        <v>Delayed</v>
      </c>
    </row>
    <row r="621" spans="1:17" x14ac:dyDescent="0.3">
      <c r="A621" s="17">
        <v>10620</v>
      </c>
      <c r="B621" s="4">
        <v>6082</v>
      </c>
      <c r="C621" s="4" t="s">
        <v>16</v>
      </c>
      <c r="D621" s="5">
        <v>55355.23</v>
      </c>
      <c r="E621" s="4">
        <v>14</v>
      </c>
      <c r="F621" s="4" t="s">
        <v>13</v>
      </c>
      <c r="G621" s="6">
        <v>45306</v>
      </c>
      <c r="H621" s="5">
        <v>84333.08</v>
      </c>
      <c r="I621" s="18" t="s">
        <v>17</v>
      </c>
      <c r="J621" s="14" t="s">
        <v>18</v>
      </c>
      <c r="K621" s="14">
        <v>779</v>
      </c>
      <c r="L621" s="15">
        <v>45397</v>
      </c>
      <c r="M621" s="16">
        <v>5</v>
      </c>
      <c r="N6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1" s="31">
        <f>IF(Table64[[#This Row],[date validity flag]]&lt;&gt;"Valid","",Table64[[#This Row],[shipment date ]]-Table64[[#This Row],[Order date]])</f>
        <v>91</v>
      </c>
      <c r="P621" s="27" t="str">
        <f>TEXT(Table64[[#This Row],[Order date]],"mmm-yyyy")</f>
        <v>Jan-2024</v>
      </c>
      <c r="Q621" s="16" t="str">
        <f t="shared" si="9"/>
        <v>Delayed</v>
      </c>
    </row>
    <row r="622" spans="1:17" x14ac:dyDescent="0.3">
      <c r="A622" s="12">
        <v>10621</v>
      </c>
      <c r="B622" s="1">
        <v>5634</v>
      </c>
      <c r="C622" s="1" t="s">
        <v>16</v>
      </c>
      <c r="D622" s="2">
        <v>54030.06</v>
      </c>
      <c r="E622" s="1">
        <v>82</v>
      </c>
      <c r="F622" s="1" t="s">
        <v>13</v>
      </c>
      <c r="G622" s="3">
        <v>45383</v>
      </c>
      <c r="H622" s="2">
        <v>67378.06</v>
      </c>
      <c r="I622" s="13" t="s">
        <v>17</v>
      </c>
      <c r="J622" s="14" t="s">
        <v>19</v>
      </c>
      <c r="K622" s="14">
        <v>638</v>
      </c>
      <c r="L622" s="15">
        <v>45332</v>
      </c>
      <c r="M622" s="16">
        <v>9</v>
      </c>
      <c r="N62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22" s="31" t="str">
        <f>IF(Table64[[#This Row],[date validity flag]]&lt;&gt;"Valid","",Table64[[#This Row],[shipment date ]]-Table64[[#This Row],[Order date]])</f>
        <v/>
      </c>
      <c r="P622" s="27" t="str">
        <f>TEXT(Table64[[#This Row],[Order date]],"mmm-yyyy")</f>
        <v>Apr-2024</v>
      </c>
      <c r="Q622" s="16" t="str">
        <f t="shared" si="9"/>
        <v/>
      </c>
    </row>
    <row r="623" spans="1:17" x14ac:dyDescent="0.3">
      <c r="A623" s="17">
        <v>10622</v>
      </c>
      <c r="B623" s="4">
        <v>5513</v>
      </c>
      <c r="C623" s="4" t="s">
        <v>16</v>
      </c>
      <c r="D623" s="5">
        <v>25536.04</v>
      </c>
      <c r="E623" s="4">
        <v>51</v>
      </c>
      <c r="F623" s="4" t="s">
        <v>13</v>
      </c>
      <c r="G623" s="6">
        <v>45383</v>
      </c>
      <c r="H623" s="5">
        <v>52313.84</v>
      </c>
      <c r="I623" s="18" t="s">
        <v>17</v>
      </c>
      <c r="J623" s="14" t="s">
        <v>19</v>
      </c>
      <c r="K623" s="14">
        <v>460</v>
      </c>
      <c r="L623" s="15">
        <v>45397</v>
      </c>
      <c r="M623" s="16">
        <v>10</v>
      </c>
      <c r="N6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3" s="31">
        <f>IF(Table64[[#This Row],[date validity flag]]&lt;&gt;"Valid","",Table64[[#This Row],[shipment date ]]-Table64[[#This Row],[Order date]])</f>
        <v>14</v>
      </c>
      <c r="P623" s="27" t="str">
        <f>TEXT(Table64[[#This Row],[Order date]],"mmm-yyyy")</f>
        <v>Apr-2024</v>
      </c>
      <c r="Q623" s="16" t="str">
        <f t="shared" si="9"/>
        <v>Delayed</v>
      </c>
    </row>
    <row r="624" spans="1:17" x14ac:dyDescent="0.3">
      <c r="A624" s="12">
        <v>10623</v>
      </c>
      <c r="B624" s="1">
        <v>6775</v>
      </c>
      <c r="C624" s="1" t="s">
        <v>16</v>
      </c>
      <c r="D624" s="2">
        <v>68508.28</v>
      </c>
      <c r="E624" s="1">
        <v>73</v>
      </c>
      <c r="F624" s="1" t="s">
        <v>21</v>
      </c>
      <c r="G624" s="3">
        <v>45306</v>
      </c>
      <c r="H624" s="2">
        <v>50587.66</v>
      </c>
      <c r="I624" s="13" t="s">
        <v>17</v>
      </c>
      <c r="J624" s="14" t="s">
        <v>19</v>
      </c>
      <c r="K624" s="14">
        <v>426</v>
      </c>
      <c r="L624" s="15">
        <v>45361</v>
      </c>
      <c r="M624" s="16">
        <v>12</v>
      </c>
      <c r="N6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4" s="31">
        <f>IF(Table64[[#This Row],[date validity flag]]&lt;&gt;"Valid","",Table64[[#This Row],[shipment date ]]-Table64[[#This Row],[Order date]])</f>
        <v>55</v>
      </c>
      <c r="P624" s="27" t="str">
        <f>TEXT(Table64[[#This Row],[Order date]],"mmm-yyyy")</f>
        <v>Jan-2024</v>
      </c>
      <c r="Q624" s="16" t="str">
        <f t="shared" si="9"/>
        <v>Delayed</v>
      </c>
    </row>
    <row r="625" spans="1:17" x14ac:dyDescent="0.3">
      <c r="A625" s="17">
        <v>10624</v>
      </c>
      <c r="B625" s="4">
        <v>5802</v>
      </c>
      <c r="C625" s="4" t="s">
        <v>16</v>
      </c>
      <c r="D625" s="5">
        <v>28552.33</v>
      </c>
      <c r="E625" s="4">
        <v>39</v>
      </c>
      <c r="F625" s="4" t="s">
        <v>13</v>
      </c>
      <c r="G625" s="6">
        <v>45383</v>
      </c>
      <c r="H625" s="5">
        <v>57436.57</v>
      </c>
      <c r="I625" s="18" t="s">
        <v>17</v>
      </c>
      <c r="J625" s="14" t="s">
        <v>15</v>
      </c>
      <c r="K625" s="14">
        <v>1457</v>
      </c>
      <c r="L625" s="15">
        <v>45332</v>
      </c>
      <c r="M625" s="16">
        <v>13</v>
      </c>
      <c r="N62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25" s="31" t="str">
        <f>IF(Table64[[#This Row],[date validity flag]]&lt;&gt;"Valid","",Table64[[#This Row],[shipment date ]]-Table64[[#This Row],[Order date]])</f>
        <v/>
      </c>
      <c r="P625" s="27" t="str">
        <f>TEXT(Table64[[#This Row],[Order date]],"mmm-yyyy")</f>
        <v>Apr-2024</v>
      </c>
      <c r="Q625" s="16" t="str">
        <f t="shared" si="9"/>
        <v/>
      </c>
    </row>
    <row r="626" spans="1:17" x14ac:dyDescent="0.3">
      <c r="A626" s="12">
        <v>10625</v>
      </c>
      <c r="B626" s="1">
        <v>6120</v>
      </c>
      <c r="C626" s="1" t="s">
        <v>16</v>
      </c>
      <c r="D626" s="2">
        <v>34934.46</v>
      </c>
      <c r="E626" s="1">
        <v>28</v>
      </c>
      <c r="F626" s="1" t="s">
        <v>13</v>
      </c>
      <c r="G626" s="3">
        <v>45306</v>
      </c>
      <c r="H626" s="2">
        <v>165769.16</v>
      </c>
      <c r="I626" s="13" t="s">
        <v>20</v>
      </c>
      <c r="J626" s="14" t="s">
        <v>19</v>
      </c>
      <c r="K626" s="14">
        <v>1225</v>
      </c>
      <c r="L626" s="15">
        <v>45332</v>
      </c>
      <c r="M626" s="16">
        <v>14</v>
      </c>
      <c r="N6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6" s="31">
        <f>IF(Table64[[#This Row],[date validity flag]]&lt;&gt;"Valid","",Table64[[#This Row],[shipment date ]]-Table64[[#This Row],[Order date]])</f>
        <v>26</v>
      </c>
      <c r="P626" s="27" t="str">
        <f>TEXT(Table64[[#This Row],[Order date]],"mmm-yyyy")</f>
        <v>Jan-2024</v>
      </c>
      <c r="Q626" s="16" t="str">
        <f t="shared" si="9"/>
        <v>Delayed</v>
      </c>
    </row>
    <row r="627" spans="1:17" x14ac:dyDescent="0.3">
      <c r="A627" s="17">
        <v>10626</v>
      </c>
      <c r="B627" s="4">
        <v>6662</v>
      </c>
      <c r="C627" s="4" t="s">
        <v>16</v>
      </c>
      <c r="D627" s="5">
        <v>12202.22</v>
      </c>
      <c r="E627" s="4">
        <v>3</v>
      </c>
      <c r="F627" s="4" t="s">
        <v>21</v>
      </c>
      <c r="G627" s="6">
        <v>45337</v>
      </c>
      <c r="H627" s="5">
        <v>112952.57</v>
      </c>
      <c r="I627" s="18" t="s">
        <v>20</v>
      </c>
      <c r="J627" s="14" t="s">
        <v>15</v>
      </c>
      <c r="K627" s="14">
        <v>800</v>
      </c>
      <c r="L627" s="15">
        <v>45397</v>
      </c>
      <c r="M627" s="16">
        <v>4</v>
      </c>
      <c r="N6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7" s="31">
        <f>IF(Table64[[#This Row],[date validity flag]]&lt;&gt;"Valid","",Table64[[#This Row],[shipment date ]]-Table64[[#This Row],[Order date]])</f>
        <v>60</v>
      </c>
      <c r="P627" s="27" t="str">
        <f>TEXT(Table64[[#This Row],[Order date]],"mmm-yyyy")</f>
        <v>Feb-2024</v>
      </c>
      <c r="Q627" s="16" t="str">
        <f t="shared" si="9"/>
        <v>Delayed</v>
      </c>
    </row>
    <row r="628" spans="1:17" x14ac:dyDescent="0.3">
      <c r="A628" s="12">
        <v>10627</v>
      </c>
      <c r="B628" s="1">
        <v>6142</v>
      </c>
      <c r="C628" s="1" t="s">
        <v>16</v>
      </c>
      <c r="D628" s="2">
        <v>32664</v>
      </c>
      <c r="E628" s="1">
        <v>84</v>
      </c>
      <c r="F628" s="1" t="s">
        <v>13</v>
      </c>
      <c r="G628" s="3">
        <v>45383</v>
      </c>
      <c r="H628" s="2">
        <v>61703.82</v>
      </c>
      <c r="I628" s="13" t="s">
        <v>20</v>
      </c>
      <c r="J628" s="14" t="s">
        <v>15</v>
      </c>
      <c r="K628" s="14">
        <v>676</v>
      </c>
      <c r="L628" s="15">
        <v>45397</v>
      </c>
      <c r="M628" s="16">
        <v>5</v>
      </c>
      <c r="N6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8" s="31">
        <f>IF(Table64[[#This Row],[date validity flag]]&lt;&gt;"Valid","",Table64[[#This Row],[shipment date ]]-Table64[[#This Row],[Order date]])</f>
        <v>14</v>
      </c>
      <c r="P628" s="27" t="str">
        <f>TEXT(Table64[[#This Row],[Order date]],"mmm-yyyy")</f>
        <v>Apr-2024</v>
      </c>
      <c r="Q628" s="16" t="str">
        <f t="shared" si="9"/>
        <v>Delayed</v>
      </c>
    </row>
    <row r="629" spans="1:17" x14ac:dyDescent="0.3">
      <c r="A629" s="17">
        <v>10628</v>
      </c>
      <c r="B629" s="4">
        <v>5560</v>
      </c>
      <c r="C629" s="4" t="s">
        <v>16</v>
      </c>
      <c r="D629" s="5">
        <v>67094.41</v>
      </c>
      <c r="E629" s="4">
        <v>70</v>
      </c>
      <c r="F629" s="4" t="s">
        <v>21</v>
      </c>
      <c r="G629" s="6">
        <v>45383</v>
      </c>
      <c r="H629" s="5">
        <v>31001.53</v>
      </c>
      <c r="I629" s="18" t="s">
        <v>17</v>
      </c>
      <c r="J629" s="14" t="s">
        <v>19</v>
      </c>
      <c r="K629" s="14">
        <v>1392</v>
      </c>
      <c r="L629" s="15">
        <v>45397</v>
      </c>
      <c r="M629" s="16">
        <v>4</v>
      </c>
      <c r="N6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29" s="31">
        <f>IF(Table64[[#This Row],[date validity flag]]&lt;&gt;"Valid","",Table64[[#This Row],[shipment date ]]-Table64[[#This Row],[Order date]])</f>
        <v>14</v>
      </c>
      <c r="P629" s="27" t="str">
        <f>TEXT(Table64[[#This Row],[Order date]],"mmm-yyyy")</f>
        <v>Apr-2024</v>
      </c>
      <c r="Q629" s="16" t="str">
        <f t="shared" si="9"/>
        <v>Delayed</v>
      </c>
    </row>
    <row r="630" spans="1:17" x14ac:dyDescent="0.3">
      <c r="A630" s="12">
        <v>10629</v>
      </c>
      <c r="B630" s="1">
        <v>6625</v>
      </c>
      <c r="C630" s="1" t="s">
        <v>16</v>
      </c>
      <c r="D630" s="2">
        <v>22807.200000000001</v>
      </c>
      <c r="E630" s="1">
        <v>27</v>
      </c>
      <c r="F630" s="1" t="s">
        <v>23</v>
      </c>
      <c r="G630" s="3">
        <v>45383</v>
      </c>
      <c r="H630" s="2">
        <v>75398.600000000006</v>
      </c>
      <c r="I630" s="13" t="s">
        <v>14</v>
      </c>
      <c r="J630" s="14" t="s">
        <v>19</v>
      </c>
      <c r="K630" s="14">
        <v>1442</v>
      </c>
      <c r="L630" s="15">
        <v>45361</v>
      </c>
      <c r="M630" s="16">
        <v>2</v>
      </c>
      <c r="N63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30" s="31" t="str">
        <f>IF(Table64[[#This Row],[date validity flag]]&lt;&gt;"Valid","",Table64[[#This Row],[shipment date ]]-Table64[[#This Row],[Order date]])</f>
        <v/>
      </c>
      <c r="P630" s="27" t="str">
        <f>TEXT(Table64[[#This Row],[Order date]],"mmm-yyyy")</f>
        <v>Apr-2024</v>
      </c>
      <c r="Q630" s="16" t="str">
        <f t="shared" si="9"/>
        <v/>
      </c>
    </row>
    <row r="631" spans="1:17" x14ac:dyDescent="0.3">
      <c r="A631" s="17">
        <v>10630</v>
      </c>
      <c r="B631" s="4">
        <v>5488</v>
      </c>
      <c r="C631" s="4" t="s">
        <v>16</v>
      </c>
      <c r="D631" s="5">
        <v>45485.36</v>
      </c>
      <c r="E631" s="4">
        <v>2</v>
      </c>
      <c r="F631" s="4" t="s">
        <v>23</v>
      </c>
      <c r="G631" s="6">
        <v>45337</v>
      </c>
      <c r="H631" s="5">
        <v>164654.31</v>
      </c>
      <c r="I631" s="18" t="s">
        <v>17</v>
      </c>
      <c r="J631" s="14" t="s">
        <v>19</v>
      </c>
      <c r="K631" s="14">
        <v>1044</v>
      </c>
      <c r="L631" s="15">
        <v>45332</v>
      </c>
      <c r="M631" s="16">
        <v>12</v>
      </c>
      <c r="N63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31" s="31" t="str">
        <f>IF(Table64[[#This Row],[date validity flag]]&lt;&gt;"Valid","",Table64[[#This Row],[shipment date ]]-Table64[[#This Row],[Order date]])</f>
        <v/>
      </c>
      <c r="P631" s="27" t="str">
        <f>TEXT(Table64[[#This Row],[Order date]],"mmm-yyyy")</f>
        <v>Feb-2024</v>
      </c>
      <c r="Q631" s="16" t="str">
        <f t="shared" si="9"/>
        <v/>
      </c>
    </row>
    <row r="632" spans="1:17" x14ac:dyDescent="0.3">
      <c r="A632" s="12">
        <v>10631</v>
      </c>
      <c r="B632" s="1">
        <v>6261</v>
      </c>
      <c r="C632" s="1" t="s">
        <v>16</v>
      </c>
      <c r="D632" s="2">
        <v>8791.91</v>
      </c>
      <c r="E632" s="1">
        <v>93</v>
      </c>
      <c r="F632" s="1" t="s">
        <v>23</v>
      </c>
      <c r="G632" s="3">
        <v>45306</v>
      </c>
      <c r="H632" s="2">
        <v>73285.5</v>
      </c>
      <c r="I632" s="13" t="s">
        <v>17</v>
      </c>
      <c r="J632" s="14" t="s">
        <v>15</v>
      </c>
      <c r="K632" s="14">
        <v>752</v>
      </c>
      <c r="L632" s="15">
        <v>45397</v>
      </c>
      <c r="M632" s="16">
        <v>1</v>
      </c>
      <c r="N63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32" s="31">
        <f>IF(Table64[[#This Row],[date validity flag]]&lt;&gt;"Valid","",Table64[[#This Row],[shipment date ]]-Table64[[#This Row],[Order date]])</f>
        <v>91</v>
      </c>
      <c r="P632" s="27" t="str">
        <f>TEXT(Table64[[#This Row],[Order date]],"mmm-yyyy")</f>
        <v>Jan-2024</v>
      </c>
      <c r="Q632" s="16" t="str">
        <f t="shared" si="9"/>
        <v>Delayed</v>
      </c>
    </row>
    <row r="633" spans="1:17" x14ac:dyDescent="0.3">
      <c r="A633" s="17">
        <v>10632</v>
      </c>
      <c r="B633" s="4">
        <v>6909</v>
      </c>
      <c r="C633" s="4" t="s">
        <v>12</v>
      </c>
      <c r="D633" s="5">
        <v>82880.789999999994</v>
      </c>
      <c r="E633" s="4">
        <v>38</v>
      </c>
      <c r="F633" s="4" t="s">
        <v>13</v>
      </c>
      <c r="G633" s="6">
        <v>45361</v>
      </c>
      <c r="H633" s="5">
        <v>119165.48</v>
      </c>
      <c r="I633" s="18" t="s">
        <v>17</v>
      </c>
      <c r="J633" s="14" t="s">
        <v>18</v>
      </c>
      <c r="K633" s="14">
        <v>511</v>
      </c>
      <c r="L633" s="15">
        <v>45361</v>
      </c>
      <c r="M633" s="16">
        <v>8</v>
      </c>
      <c r="N63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33" s="31">
        <f>IF(Table64[[#This Row],[date validity flag]]&lt;&gt;"Valid","",Table64[[#This Row],[shipment date ]]-Table64[[#This Row],[Order date]])</f>
        <v>0</v>
      </c>
      <c r="P633" s="27" t="str">
        <f>TEXT(Table64[[#This Row],[Order date]],"mmm-yyyy")</f>
        <v>Mar-2024</v>
      </c>
      <c r="Q633" s="16" t="str">
        <f t="shared" si="9"/>
        <v>On Time</v>
      </c>
    </row>
    <row r="634" spans="1:17" x14ac:dyDescent="0.3">
      <c r="A634" s="12">
        <v>10633</v>
      </c>
      <c r="B634" s="1">
        <v>5897</v>
      </c>
      <c r="C634" s="1" t="s">
        <v>12</v>
      </c>
      <c r="D634" s="2">
        <v>48007.62</v>
      </c>
      <c r="E634" s="1">
        <v>3</v>
      </c>
      <c r="F634" s="1" t="s">
        <v>22</v>
      </c>
      <c r="G634" s="3">
        <v>45383</v>
      </c>
      <c r="H634" s="2">
        <v>150005.63</v>
      </c>
      <c r="I634" s="13" t="s">
        <v>20</v>
      </c>
      <c r="J634" s="14" t="s">
        <v>19</v>
      </c>
      <c r="K634" s="14">
        <v>61</v>
      </c>
      <c r="L634" s="15">
        <v>45397</v>
      </c>
      <c r="M634" s="16">
        <v>4</v>
      </c>
      <c r="N6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34" s="31">
        <f>IF(Table64[[#This Row],[date validity flag]]&lt;&gt;"Valid","",Table64[[#This Row],[shipment date ]]-Table64[[#This Row],[Order date]])</f>
        <v>14</v>
      </c>
      <c r="P634" s="27" t="str">
        <f>TEXT(Table64[[#This Row],[Order date]],"mmm-yyyy")</f>
        <v>Apr-2024</v>
      </c>
      <c r="Q634" s="16" t="str">
        <f t="shared" si="9"/>
        <v>Delayed</v>
      </c>
    </row>
    <row r="635" spans="1:17" x14ac:dyDescent="0.3">
      <c r="A635" s="17">
        <v>10634</v>
      </c>
      <c r="B635" s="4">
        <v>6296</v>
      </c>
      <c r="C635" s="4" t="s">
        <v>16</v>
      </c>
      <c r="D635" s="5">
        <v>33873.08</v>
      </c>
      <c r="E635" s="4">
        <v>16</v>
      </c>
      <c r="F635" s="4" t="s">
        <v>22</v>
      </c>
      <c r="G635" s="6">
        <v>45306</v>
      </c>
      <c r="H635" s="5">
        <v>61273.73</v>
      </c>
      <c r="I635" s="18" t="s">
        <v>17</v>
      </c>
      <c r="J635" s="14" t="s">
        <v>19</v>
      </c>
      <c r="K635" s="14">
        <v>1229</v>
      </c>
      <c r="L635" s="15">
        <v>45332</v>
      </c>
      <c r="M635" s="16">
        <v>5</v>
      </c>
      <c r="N6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35" s="31">
        <f>IF(Table64[[#This Row],[date validity flag]]&lt;&gt;"Valid","",Table64[[#This Row],[shipment date ]]-Table64[[#This Row],[Order date]])</f>
        <v>26</v>
      </c>
      <c r="P635" s="27" t="str">
        <f>TEXT(Table64[[#This Row],[Order date]],"mmm-yyyy")</f>
        <v>Jan-2024</v>
      </c>
      <c r="Q635" s="16" t="str">
        <f t="shared" si="9"/>
        <v>Delayed</v>
      </c>
    </row>
    <row r="636" spans="1:17" x14ac:dyDescent="0.3">
      <c r="A636" s="12">
        <v>10635</v>
      </c>
      <c r="B636" s="1">
        <v>6213</v>
      </c>
      <c r="C636" s="1" t="s">
        <v>16</v>
      </c>
      <c r="D636" s="2">
        <v>62091.49</v>
      </c>
      <c r="E636" s="1">
        <v>94</v>
      </c>
      <c r="F636" s="1" t="s">
        <v>13</v>
      </c>
      <c r="G636" s="3">
        <v>45337</v>
      </c>
      <c r="H636" s="2">
        <v>10691.92</v>
      </c>
      <c r="I636" s="13" t="s">
        <v>20</v>
      </c>
      <c r="J636" s="14" t="s">
        <v>19</v>
      </c>
      <c r="K636" s="14">
        <v>526</v>
      </c>
      <c r="L636" s="15">
        <v>45397</v>
      </c>
      <c r="M636" s="16">
        <v>6</v>
      </c>
      <c r="N6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36" s="31">
        <f>IF(Table64[[#This Row],[date validity flag]]&lt;&gt;"Valid","",Table64[[#This Row],[shipment date ]]-Table64[[#This Row],[Order date]])</f>
        <v>60</v>
      </c>
      <c r="P636" s="27" t="str">
        <f>TEXT(Table64[[#This Row],[Order date]],"mmm-yyyy")</f>
        <v>Feb-2024</v>
      </c>
      <c r="Q636" s="16" t="str">
        <f t="shared" si="9"/>
        <v>Delayed</v>
      </c>
    </row>
    <row r="637" spans="1:17" x14ac:dyDescent="0.3">
      <c r="A637" s="17">
        <v>10636</v>
      </c>
      <c r="B637" s="4">
        <v>5704</v>
      </c>
      <c r="C637" s="4" t="s">
        <v>12</v>
      </c>
      <c r="D637" s="5">
        <v>44025.21</v>
      </c>
      <c r="E637" s="4">
        <v>40</v>
      </c>
      <c r="F637" s="4" t="s">
        <v>22</v>
      </c>
      <c r="G637" s="6">
        <v>45361</v>
      </c>
      <c r="H637" s="5">
        <v>110292.1</v>
      </c>
      <c r="I637" s="18" t="s">
        <v>14</v>
      </c>
      <c r="J637" s="14" t="s">
        <v>15</v>
      </c>
      <c r="K637" s="14">
        <v>988</v>
      </c>
      <c r="L637" s="15">
        <v>45332</v>
      </c>
      <c r="M637" s="16">
        <v>14</v>
      </c>
      <c r="N6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37" s="31" t="str">
        <f>IF(Table64[[#This Row],[date validity flag]]&lt;&gt;"Valid","",Table64[[#This Row],[shipment date ]]-Table64[[#This Row],[Order date]])</f>
        <v/>
      </c>
      <c r="P637" s="27" t="str">
        <f>TEXT(Table64[[#This Row],[Order date]],"mmm-yyyy")</f>
        <v>Mar-2024</v>
      </c>
      <c r="Q637" s="16" t="str">
        <f t="shared" si="9"/>
        <v/>
      </c>
    </row>
    <row r="638" spans="1:17" x14ac:dyDescent="0.3">
      <c r="A638" s="12">
        <v>10637</v>
      </c>
      <c r="B638" s="1">
        <v>6471</v>
      </c>
      <c r="C638" s="1" t="s">
        <v>16</v>
      </c>
      <c r="D638" s="2">
        <v>58105.61</v>
      </c>
      <c r="E638" s="1">
        <v>2</v>
      </c>
      <c r="F638" s="1" t="s">
        <v>21</v>
      </c>
      <c r="G638" s="3">
        <v>45383</v>
      </c>
      <c r="H638" s="2">
        <v>63063.47</v>
      </c>
      <c r="I638" s="13" t="s">
        <v>17</v>
      </c>
      <c r="J638" s="14" t="s">
        <v>15</v>
      </c>
      <c r="K638" s="14">
        <v>450</v>
      </c>
      <c r="L638" s="15">
        <v>45361</v>
      </c>
      <c r="M638" s="16">
        <v>8</v>
      </c>
      <c r="N6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38" s="31" t="str">
        <f>IF(Table64[[#This Row],[date validity flag]]&lt;&gt;"Valid","",Table64[[#This Row],[shipment date ]]-Table64[[#This Row],[Order date]])</f>
        <v/>
      </c>
      <c r="P638" s="27" t="str">
        <f>TEXT(Table64[[#This Row],[Order date]],"mmm-yyyy")</f>
        <v>Apr-2024</v>
      </c>
      <c r="Q638" s="16" t="str">
        <f t="shared" si="9"/>
        <v/>
      </c>
    </row>
    <row r="639" spans="1:17" x14ac:dyDescent="0.3">
      <c r="A639" s="17">
        <v>10638</v>
      </c>
      <c r="B639" s="4">
        <v>5581</v>
      </c>
      <c r="C639" s="4" t="s">
        <v>12</v>
      </c>
      <c r="D639" s="5">
        <v>58841.74</v>
      </c>
      <c r="E639" s="4">
        <v>81</v>
      </c>
      <c r="F639" s="4" t="s">
        <v>22</v>
      </c>
      <c r="G639" s="6">
        <v>45337</v>
      </c>
      <c r="H639" s="5">
        <v>100357.72</v>
      </c>
      <c r="I639" s="18" t="s">
        <v>17</v>
      </c>
      <c r="J639" s="14" t="s">
        <v>18</v>
      </c>
      <c r="K639" s="14">
        <v>857</v>
      </c>
      <c r="L639" s="15">
        <v>45361</v>
      </c>
      <c r="M639" s="16">
        <v>11</v>
      </c>
      <c r="N63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39" s="31">
        <f>IF(Table64[[#This Row],[date validity flag]]&lt;&gt;"Valid","",Table64[[#This Row],[shipment date ]]-Table64[[#This Row],[Order date]])</f>
        <v>24</v>
      </c>
      <c r="P639" s="27" t="str">
        <f>TEXT(Table64[[#This Row],[Order date]],"mmm-yyyy")</f>
        <v>Feb-2024</v>
      </c>
      <c r="Q639" s="16" t="str">
        <f t="shared" si="9"/>
        <v>Delayed</v>
      </c>
    </row>
    <row r="640" spans="1:17" x14ac:dyDescent="0.3">
      <c r="A640" s="12">
        <v>10639</v>
      </c>
      <c r="B640" s="1">
        <v>5790</v>
      </c>
      <c r="C640" s="1" t="s">
        <v>16</v>
      </c>
      <c r="D640" s="2">
        <v>33879.870000000003</v>
      </c>
      <c r="E640" s="1">
        <v>41</v>
      </c>
      <c r="F640" s="1" t="s">
        <v>13</v>
      </c>
      <c r="G640" s="3">
        <v>45337</v>
      </c>
      <c r="H640" s="2">
        <v>36133.39</v>
      </c>
      <c r="I640" s="13" t="s">
        <v>20</v>
      </c>
      <c r="J640" s="14" t="s">
        <v>19</v>
      </c>
      <c r="K640" s="14">
        <v>226</v>
      </c>
      <c r="L640" s="15">
        <v>45397</v>
      </c>
      <c r="M640" s="16">
        <v>8</v>
      </c>
      <c r="N6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0" s="31">
        <f>IF(Table64[[#This Row],[date validity flag]]&lt;&gt;"Valid","",Table64[[#This Row],[shipment date ]]-Table64[[#This Row],[Order date]])</f>
        <v>60</v>
      </c>
      <c r="P640" s="27" t="str">
        <f>TEXT(Table64[[#This Row],[Order date]],"mmm-yyyy")</f>
        <v>Feb-2024</v>
      </c>
      <c r="Q640" s="16" t="str">
        <f t="shared" si="9"/>
        <v>Delayed</v>
      </c>
    </row>
    <row r="641" spans="1:17" x14ac:dyDescent="0.3">
      <c r="A641" s="17">
        <v>10640</v>
      </c>
      <c r="B641" s="4">
        <v>5861</v>
      </c>
      <c r="C641" s="4" t="s">
        <v>16</v>
      </c>
      <c r="D641" s="5">
        <v>29706.29</v>
      </c>
      <c r="E641" s="4">
        <v>12</v>
      </c>
      <c r="F641" s="4" t="s">
        <v>13</v>
      </c>
      <c r="G641" s="6">
        <v>45361</v>
      </c>
      <c r="H641" s="5">
        <v>37097.5</v>
      </c>
      <c r="I641" s="18" t="s">
        <v>20</v>
      </c>
      <c r="J641" s="14" t="s">
        <v>15</v>
      </c>
      <c r="K641" s="14">
        <v>1414</v>
      </c>
      <c r="L641" s="15">
        <v>45332</v>
      </c>
      <c r="M641" s="16">
        <v>7</v>
      </c>
      <c r="N64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41" s="31" t="str">
        <f>IF(Table64[[#This Row],[date validity flag]]&lt;&gt;"Valid","",Table64[[#This Row],[shipment date ]]-Table64[[#This Row],[Order date]])</f>
        <v/>
      </c>
      <c r="P641" s="27" t="str">
        <f>TEXT(Table64[[#This Row],[Order date]],"mmm-yyyy")</f>
        <v>Mar-2024</v>
      </c>
      <c r="Q641" s="16" t="str">
        <f t="shared" si="9"/>
        <v/>
      </c>
    </row>
    <row r="642" spans="1:17" x14ac:dyDescent="0.3">
      <c r="A642" s="12">
        <v>10641</v>
      </c>
      <c r="B642" s="1">
        <v>5247</v>
      </c>
      <c r="C642" s="1" t="s">
        <v>16</v>
      </c>
      <c r="D642" s="2">
        <v>28173.14</v>
      </c>
      <c r="E642" s="1">
        <v>35</v>
      </c>
      <c r="F642" s="1" t="s">
        <v>21</v>
      </c>
      <c r="G642" s="3">
        <v>45306</v>
      </c>
      <c r="H642" s="2">
        <v>83392.05</v>
      </c>
      <c r="I642" s="13" t="s">
        <v>14</v>
      </c>
      <c r="J642" s="14" t="s">
        <v>18</v>
      </c>
      <c r="K642" s="14">
        <v>106</v>
      </c>
      <c r="L642" s="15">
        <v>45332</v>
      </c>
      <c r="M642" s="16">
        <v>4</v>
      </c>
      <c r="N6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2" s="31">
        <f>IF(Table64[[#This Row],[date validity flag]]&lt;&gt;"Valid","",Table64[[#This Row],[shipment date ]]-Table64[[#This Row],[Order date]])</f>
        <v>26</v>
      </c>
      <c r="P642" s="27" t="str">
        <f>TEXT(Table64[[#This Row],[Order date]],"mmm-yyyy")</f>
        <v>Jan-2024</v>
      </c>
      <c r="Q642" s="16" t="str">
        <f t="shared" ref="Q642:Q705" si="10">IF(O642="","",IF(O642&gt;0,"Delayed","On Time"))</f>
        <v>Delayed</v>
      </c>
    </row>
    <row r="643" spans="1:17" x14ac:dyDescent="0.3">
      <c r="A643" s="17">
        <v>10642</v>
      </c>
      <c r="B643" s="4">
        <v>6987</v>
      </c>
      <c r="C643" s="4" t="s">
        <v>12</v>
      </c>
      <c r="D643" s="5">
        <v>67438.62</v>
      </c>
      <c r="E643" s="4">
        <v>65</v>
      </c>
      <c r="F643" s="4" t="s">
        <v>23</v>
      </c>
      <c r="G643" s="6">
        <v>45383</v>
      </c>
      <c r="H643" s="5">
        <v>34820.36</v>
      </c>
      <c r="I643" s="18" t="s">
        <v>14</v>
      </c>
      <c r="J643" s="14" t="s">
        <v>19</v>
      </c>
      <c r="K643" s="14">
        <v>497</v>
      </c>
      <c r="L643" s="15">
        <v>45332</v>
      </c>
      <c r="M643" s="16">
        <v>6</v>
      </c>
      <c r="N64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43" s="31" t="str">
        <f>IF(Table64[[#This Row],[date validity flag]]&lt;&gt;"Valid","",Table64[[#This Row],[shipment date ]]-Table64[[#This Row],[Order date]])</f>
        <v/>
      </c>
      <c r="P643" s="27" t="str">
        <f>TEXT(Table64[[#This Row],[Order date]],"mmm-yyyy")</f>
        <v>Apr-2024</v>
      </c>
      <c r="Q643" s="16" t="str">
        <f t="shared" si="10"/>
        <v/>
      </c>
    </row>
    <row r="644" spans="1:17" x14ac:dyDescent="0.3">
      <c r="A644" s="12">
        <v>10643</v>
      </c>
      <c r="B644" s="1">
        <v>6100</v>
      </c>
      <c r="C644" s="1" t="s">
        <v>16</v>
      </c>
      <c r="D644" s="2">
        <v>70102.44</v>
      </c>
      <c r="E644" s="1">
        <v>55</v>
      </c>
      <c r="F644" s="1" t="s">
        <v>13</v>
      </c>
      <c r="G644" s="3">
        <v>45383</v>
      </c>
      <c r="H644" s="2">
        <v>95038.88</v>
      </c>
      <c r="I644" s="13" t="s">
        <v>20</v>
      </c>
      <c r="J644" s="14" t="s">
        <v>15</v>
      </c>
      <c r="K644" s="14">
        <v>252</v>
      </c>
      <c r="L644" s="15">
        <v>45397</v>
      </c>
      <c r="M644" s="16">
        <v>4</v>
      </c>
      <c r="N6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4" s="31">
        <f>IF(Table64[[#This Row],[date validity flag]]&lt;&gt;"Valid","",Table64[[#This Row],[shipment date ]]-Table64[[#This Row],[Order date]])</f>
        <v>14</v>
      </c>
      <c r="P644" s="27" t="str">
        <f>TEXT(Table64[[#This Row],[Order date]],"mmm-yyyy")</f>
        <v>Apr-2024</v>
      </c>
      <c r="Q644" s="16" t="str">
        <f t="shared" si="10"/>
        <v>Delayed</v>
      </c>
    </row>
    <row r="645" spans="1:17" x14ac:dyDescent="0.3">
      <c r="A645" s="17">
        <v>10644</v>
      </c>
      <c r="B645" s="4">
        <v>5154</v>
      </c>
      <c r="C645" s="4" t="s">
        <v>16</v>
      </c>
      <c r="D645" s="5">
        <v>48046.09</v>
      </c>
      <c r="E645" s="4">
        <v>45</v>
      </c>
      <c r="F645" s="4" t="s">
        <v>21</v>
      </c>
      <c r="G645" s="6">
        <v>45306</v>
      </c>
      <c r="H645" s="5">
        <v>19800.04</v>
      </c>
      <c r="I645" s="18" t="s">
        <v>14</v>
      </c>
      <c r="J645" s="14" t="s">
        <v>19</v>
      </c>
      <c r="K645" s="14">
        <v>787</v>
      </c>
      <c r="L645" s="15">
        <v>45332</v>
      </c>
      <c r="M645" s="16">
        <v>14</v>
      </c>
      <c r="N6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5" s="31">
        <f>IF(Table64[[#This Row],[date validity flag]]&lt;&gt;"Valid","",Table64[[#This Row],[shipment date ]]-Table64[[#This Row],[Order date]])</f>
        <v>26</v>
      </c>
      <c r="P645" s="27" t="str">
        <f>TEXT(Table64[[#This Row],[Order date]],"mmm-yyyy")</f>
        <v>Jan-2024</v>
      </c>
      <c r="Q645" s="16" t="str">
        <f t="shared" si="10"/>
        <v>Delayed</v>
      </c>
    </row>
    <row r="646" spans="1:17" x14ac:dyDescent="0.3">
      <c r="A646" s="12">
        <v>10645</v>
      </c>
      <c r="B646" s="1">
        <v>6680</v>
      </c>
      <c r="C646" s="1" t="s">
        <v>16</v>
      </c>
      <c r="D646" s="2">
        <v>60313.83</v>
      </c>
      <c r="E646" s="1">
        <v>79</v>
      </c>
      <c r="F646" s="1" t="s">
        <v>22</v>
      </c>
      <c r="G646" s="3">
        <v>45306</v>
      </c>
      <c r="H646" s="2">
        <v>170009.95</v>
      </c>
      <c r="I646" s="13" t="s">
        <v>17</v>
      </c>
      <c r="J646" s="14" t="s">
        <v>19</v>
      </c>
      <c r="K646" s="14">
        <v>251</v>
      </c>
      <c r="L646" s="15">
        <v>45332</v>
      </c>
      <c r="M646" s="16">
        <v>7</v>
      </c>
      <c r="N6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6" s="31">
        <f>IF(Table64[[#This Row],[date validity flag]]&lt;&gt;"Valid","",Table64[[#This Row],[shipment date ]]-Table64[[#This Row],[Order date]])</f>
        <v>26</v>
      </c>
      <c r="P646" s="27" t="str">
        <f>TEXT(Table64[[#This Row],[Order date]],"mmm-yyyy")</f>
        <v>Jan-2024</v>
      </c>
      <c r="Q646" s="16" t="str">
        <f t="shared" si="10"/>
        <v>Delayed</v>
      </c>
    </row>
    <row r="647" spans="1:17" x14ac:dyDescent="0.3">
      <c r="A647" s="17">
        <v>10646</v>
      </c>
      <c r="B647" s="4">
        <v>6459</v>
      </c>
      <c r="C647" s="4" t="s">
        <v>16</v>
      </c>
      <c r="D647" s="5">
        <v>38715.660000000003</v>
      </c>
      <c r="E647" s="4">
        <v>90</v>
      </c>
      <c r="F647" s="4" t="s">
        <v>22</v>
      </c>
      <c r="G647" s="6">
        <v>45306</v>
      </c>
      <c r="H647" s="5">
        <v>71066.97</v>
      </c>
      <c r="I647" s="18" t="s">
        <v>14</v>
      </c>
      <c r="J647" s="14" t="s">
        <v>15</v>
      </c>
      <c r="K647" s="14">
        <v>1403</v>
      </c>
      <c r="L647" s="15">
        <v>45332</v>
      </c>
      <c r="M647" s="16">
        <v>12</v>
      </c>
      <c r="N6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7" s="31">
        <f>IF(Table64[[#This Row],[date validity flag]]&lt;&gt;"Valid","",Table64[[#This Row],[shipment date ]]-Table64[[#This Row],[Order date]])</f>
        <v>26</v>
      </c>
      <c r="P647" s="27" t="str">
        <f>TEXT(Table64[[#This Row],[Order date]],"mmm-yyyy")</f>
        <v>Jan-2024</v>
      </c>
      <c r="Q647" s="16" t="str">
        <f t="shared" si="10"/>
        <v>Delayed</v>
      </c>
    </row>
    <row r="648" spans="1:17" x14ac:dyDescent="0.3">
      <c r="A648" s="12">
        <v>10647</v>
      </c>
      <c r="B648" s="1">
        <v>5997</v>
      </c>
      <c r="C648" s="1" t="s">
        <v>16</v>
      </c>
      <c r="D648" s="2">
        <v>77343.399999999994</v>
      </c>
      <c r="E648" s="1">
        <v>85</v>
      </c>
      <c r="F648" s="1" t="s">
        <v>21</v>
      </c>
      <c r="G648" s="3">
        <v>45361</v>
      </c>
      <c r="H648" s="2">
        <v>135817.53</v>
      </c>
      <c r="I648" s="13" t="s">
        <v>14</v>
      </c>
      <c r="J648" s="14" t="s">
        <v>15</v>
      </c>
      <c r="K648" s="14">
        <v>412</v>
      </c>
      <c r="L648" s="15">
        <v>45332</v>
      </c>
      <c r="M648" s="16">
        <v>13</v>
      </c>
      <c r="N64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48" s="31" t="str">
        <f>IF(Table64[[#This Row],[date validity flag]]&lt;&gt;"Valid","",Table64[[#This Row],[shipment date ]]-Table64[[#This Row],[Order date]])</f>
        <v/>
      </c>
      <c r="P648" s="27" t="str">
        <f>TEXT(Table64[[#This Row],[Order date]],"mmm-yyyy")</f>
        <v>Mar-2024</v>
      </c>
      <c r="Q648" s="16" t="str">
        <f t="shared" si="10"/>
        <v/>
      </c>
    </row>
    <row r="649" spans="1:17" x14ac:dyDescent="0.3">
      <c r="A649" s="17">
        <v>10648</v>
      </c>
      <c r="B649" s="4">
        <v>6110</v>
      </c>
      <c r="C649" s="4" t="s">
        <v>16</v>
      </c>
      <c r="D649" s="5">
        <v>42136.68</v>
      </c>
      <c r="E649" s="4">
        <v>62</v>
      </c>
      <c r="F649" s="4" t="s">
        <v>21</v>
      </c>
      <c r="G649" s="6">
        <v>45361</v>
      </c>
      <c r="H649" s="5">
        <v>136571.74</v>
      </c>
      <c r="I649" s="18" t="s">
        <v>20</v>
      </c>
      <c r="J649" s="14" t="s">
        <v>15</v>
      </c>
      <c r="K649" s="14">
        <v>941</v>
      </c>
      <c r="L649" s="15">
        <v>45397</v>
      </c>
      <c r="M649" s="16">
        <v>12</v>
      </c>
      <c r="N6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49" s="31">
        <f>IF(Table64[[#This Row],[date validity flag]]&lt;&gt;"Valid","",Table64[[#This Row],[shipment date ]]-Table64[[#This Row],[Order date]])</f>
        <v>36</v>
      </c>
      <c r="P649" s="27" t="str">
        <f>TEXT(Table64[[#This Row],[Order date]],"mmm-yyyy")</f>
        <v>Mar-2024</v>
      </c>
      <c r="Q649" s="16" t="str">
        <f t="shared" si="10"/>
        <v>Delayed</v>
      </c>
    </row>
    <row r="650" spans="1:17" x14ac:dyDescent="0.3">
      <c r="A650" s="12">
        <v>10649</v>
      </c>
      <c r="B650" s="1">
        <v>5697</v>
      </c>
      <c r="C650" s="1" t="s">
        <v>16</v>
      </c>
      <c r="D650" s="2">
        <v>33435.46</v>
      </c>
      <c r="E650" s="1">
        <v>49</v>
      </c>
      <c r="F650" s="1" t="s">
        <v>13</v>
      </c>
      <c r="G650" s="3">
        <v>45383</v>
      </c>
      <c r="H650" s="2">
        <v>85104.35</v>
      </c>
      <c r="I650" s="13" t="s">
        <v>20</v>
      </c>
      <c r="J650" s="14" t="s">
        <v>19</v>
      </c>
      <c r="K650" s="14">
        <v>503</v>
      </c>
      <c r="L650" s="15">
        <v>45397</v>
      </c>
      <c r="M650" s="16">
        <v>13</v>
      </c>
      <c r="N6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50" s="31">
        <f>IF(Table64[[#This Row],[date validity flag]]&lt;&gt;"Valid","",Table64[[#This Row],[shipment date ]]-Table64[[#This Row],[Order date]])</f>
        <v>14</v>
      </c>
      <c r="P650" s="27" t="str">
        <f>TEXT(Table64[[#This Row],[Order date]],"mmm-yyyy")</f>
        <v>Apr-2024</v>
      </c>
      <c r="Q650" s="16" t="str">
        <f t="shared" si="10"/>
        <v>Delayed</v>
      </c>
    </row>
    <row r="651" spans="1:17" x14ac:dyDescent="0.3">
      <c r="A651" s="17">
        <v>10650</v>
      </c>
      <c r="B651" s="4">
        <v>6309</v>
      </c>
      <c r="C651" s="4" t="s">
        <v>16</v>
      </c>
      <c r="D651" s="5">
        <v>50251.07</v>
      </c>
      <c r="E651" s="4">
        <v>95</v>
      </c>
      <c r="F651" s="4" t="s">
        <v>22</v>
      </c>
      <c r="G651" s="6">
        <v>45361</v>
      </c>
      <c r="H651" s="5">
        <v>11696.59</v>
      </c>
      <c r="I651" s="18" t="s">
        <v>17</v>
      </c>
      <c r="J651" s="14" t="s">
        <v>19</v>
      </c>
      <c r="K651" s="14">
        <v>405</v>
      </c>
      <c r="L651" s="15">
        <v>45332</v>
      </c>
      <c r="M651" s="16">
        <v>13</v>
      </c>
      <c r="N6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51" s="31" t="str">
        <f>IF(Table64[[#This Row],[date validity flag]]&lt;&gt;"Valid","",Table64[[#This Row],[shipment date ]]-Table64[[#This Row],[Order date]])</f>
        <v/>
      </c>
      <c r="P651" s="27" t="str">
        <f>TEXT(Table64[[#This Row],[Order date]],"mmm-yyyy")</f>
        <v>Mar-2024</v>
      </c>
      <c r="Q651" s="16" t="str">
        <f t="shared" si="10"/>
        <v/>
      </c>
    </row>
    <row r="652" spans="1:17" x14ac:dyDescent="0.3">
      <c r="A652" s="12">
        <v>10651</v>
      </c>
      <c r="B652" s="1">
        <v>6998</v>
      </c>
      <c r="C652" s="1" t="s">
        <v>16</v>
      </c>
      <c r="D652" s="2">
        <v>66704.820000000007</v>
      </c>
      <c r="E652" s="1">
        <v>25</v>
      </c>
      <c r="F652" s="1" t="s">
        <v>21</v>
      </c>
      <c r="G652" s="3">
        <v>45337</v>
      </c>
      <c r="H652" s="2">
        <v>126477.18</v>
      </c>
      <c r="I652" s="13" t="s">
        <v>17</v>
      </c>
      <c r="J652" s="14" t="s">
        <v>18</v>
      </c>
      <c r="K652" s="14">
        <v>265</v>
      </c>
      <c r="L652" s="15">
        <v>45332</v>
      </c>
      <c r="M652" s="16">
        <v>11</v>
      </c>
      <c r="N6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52" s="31" t="str">
        <f>IF(Table64[[#This Row],[date validity flag]]&lt;&gt;"Valid","",Table64[[#This Row],[shipment date ]]-Table64[[#This Row],[Order date]])</f>
        <v/>
      </c>
      <c r="P652" s="27" t="str">
        <f>TEXT(Table64[[#This Row],[Order date]],"mmm-yyyy")</f>
        <v>Feb-2024</v>
      </c>
      <c r="Q652" s="16" t="str">
        <f t="shared" si="10"/>
        <v/>
      </c>
    </row>
    <row r="653" spans="1:17" x14ac:dyDescent="0.3">
      <c r="A653" s="17">
        <v>10652</v>
      </c>
      <c r="B653" s="4">
        <v>6244</v>
      </c>
      <c r="C653" s="4" t="s">
        <v>16</v>
      </c>
      <c r="D653" s="5">
        <v>97148.23</v>
      </c>
      <c r="E653" s="4">
        <v>23</v>
      </c>
      <c r="F653" s="4" t="s">
        <v>22</v>
      </c>
      <c r="G653" s="6">
        <v>45383</v>
      </c>
      <c r="H653" s="5">
        <v>26369.93</v>
      </c>
      <c r="I653" s="18" t="s">
        <v>20</v>
      </c>
      <c r="J653" s="14" t="s">
        <v>19</v>
      </c>
      <c r="K653" s="14">
        <v>1021</v>
      </c>
      <c r="L653" s="15">
        <v>45361</v>
      </c>
      <c r="M653" s="16">
        <v>14</v>
      </c>
      <c r="N65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53" s="31" t="str">
        <f>IF(Table64[[#This Row],[date validity flag]]&lt;&gt;"Valid","",Table64[[#This Row],[shipment date ]]-Table64[[#This Row],[Order date]])</f>
        <v/>
      </c>
      <c r="P653" s="27" t="str">
        <f>TEXT(Table64[[#This Row],[Order date]],"mmm-yyyy")</f>
        <v>Apr-2024</v>
      </c>
      <c r="Q653" s="16" t="str">
        <f t="shared" si="10"/>
        <v/>
      </c>
    </row>
    <row r="654" spans="1:17" x14ac:dyDescent="0.3">
      <c r="A654" s="12">
        <v>10653</v>
      </c>
      <c r="B654" s="1">
        <v>6093</v>
      </c>
      <c r="C654" s="1" t="s">
        <v>16</v>
      </c>
      <c r="D654" s="2">
        <v>17310.87</v>
      </c>
      <c r="E654" s="1">
        <v>24</v>
      </c>
      <c r="F654" s="1" t="s">
        <v>21</v>
      </c>
      <c r="G654" s="3">
        <v>45361</v>
      </c>
      <c r="H654" s="2">
        <v>96166.78</v>
      </c>
      <c r="I654" s="13" t="s">
        <v>14</v>
      </c>
      <c r="J654" s="14" t="s">
        <v>15</v>
      </c>
      <c r="K654" s="14">
        <v>604</v>
      </c>
      <c r="L654" s="15">
        <v>45361</v>
      </c>
      <c r="M654" s="16">
        <v>1</v>
      </c>
      <c r="N65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54" s="31">
        <f>IF(Table64[[#This Row],[date validity flag]]&lt;&gt;"Valid","",Table64[[#This Row],[shipment date ]]-Table64[[#This Row],[Order date]])</f>
        <v>0</v>
      </c>
      <c r="P654" s="27" t="str">
        <f>TEXT(Table64[[#This Row],[Order date]],"mmm-yyyy")</f>
        <v>Mar-2024</v>
      </c>
      <c r="Q654" s="16" t="str">
        <f t="shared" si="10"/>
        <v>On Time</v>
      </c>
    </row>
    <row r="655" spans="1:17" x14ac:dyDescent="0.3">
      <c r="A655" s="17">
        <v>10654</v>
      </c>
      <c r="B655" s="4">
        <v>6071</v>
      </c>
      <c r="C655" s="4" t="s">
        <v>16</v>
      </c>
      <c r="D655" s="5">
        <v>56566.67</v>
      </c>
      <c r="E655" s="4">
        <v>38</v>
      </c>
      <c r="F655" s="4" t="s">
        <v>22</v>
      </c>
      <c r="G655" s="6">
        <v>45306</v>
      </c>
      <c r="H655" s="5">
        <v>159024.75</v>
      </c>
      <c r="I655" s="18" t="s">
        <v>14</v>
      </c>
      <c r="J655" s="14" t="s">
        <v>19</v>
      </c>
      <c r="K655" s="14">
        <v>936</v>
      </c>
      <c r="L655" s="15">
        <v>45332</v>
      </c>
      <c r="M655" s="16">
        <v>5</v>
      </c>
      <c r="N6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55" s="31">
        <f>IF(Table64[[#This Row],[date validity flag]]&lt;&gt;"Valid","",Table64[[#This Row],[shipment date ]]-Table64[[#This Row],[Order date]])</f>
        <v>26</v>
      </c>
      <c r="P655" s="27" t="str">
        <f>TEXT(Table64[[#This Row],[Order date]],"mmm-yyyy")</f>
        <v>Jan-2024</v>
      </c>
      <c r="Q655" s="16" t="str">
        <f t="shared" si="10"/>
        <v>Delayed</v>
      </c>
    </row>
    <row r="656" spans="1:17" x14ac:dyDescent="0.3">
      <c r="A656" s="12">
        <v>10655</v>
      </c>
      <c r="B656" s="1">
        <v>6009</v>
      </c>
      <c r="C656" s="1" t="s">
        <v>16</v>
      </c>
      <c r="D656" s="2">
        <v>75725.95</v>
      </c>
      <c r="E656" s="1">
        <v>28</v>
      </c>
      <c r="F656" s="1" t="s">
        <v>23</v>
      </c>
      <c r="G656" s="3">
        <v>45337</v>
      </c>
      <c r="H656" s="2">
        <v>21640.92</v>
      </c>
      <c r="I656" s="13" t="s">
        <v>17</v>
      </c>
      <c r="J656" s="14" t="s">
        <v>18</v>
      </c>
      <c r="K656" s="14">
        <v>72</v>
      </c>
      <c r="L656" s="15">
        <v>45332</v>
      </c>
      <c r="M656" s="16">
        <v>14</v>
      </c>
      <c r="N65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56" s="31" t="str">
        <f>IF(Table64[[#This Row],[date validity flag]]&lt;&gt;"Valid","",Table64[[#This Row],[shipment date ]]-Table64[[#This Row],[Order date]])</f>
        <v/>
      </c>
      <c r="P656" s="27" t="str">
        <f>TEXT(Table64[[#This Row],[Order date]],"mmm-yyyy")</f>
        <v>Feb-2024</v>
      </c>
      <c r="Q656" s="16" t="str">
        <f t="shared" si="10"/>
        <v/>
      </c>
    </row>
    <row r="657" spans="1:17" x14ac:dyDescent="0.3">
      <c r="A657" s="17">
        <v>10656</v>
      </c>
      <c r="B657" s="4">
        <v>5094</v>
      </c>
      <c r="C657" s="4" t="s">
        <v>16</v>
      </c>
      <c r="D657" s="5">
        <v>27409.040000000001</v>
      </c>
      <c r="E657" s="4">
        <v>21</v>
      </c>
      <c r="F657" s="4" t="s">
        <v>13</v>
      </c>
      <c r="G657" s="6">
        <v>45306</v>
      </c>
      <c r="H657" s="5">
        <v>101902.31</v>
      </c>
      <c r="I657" s="18" t="s">
        <v>17</v>
      </c>
      <c r="J657" s="14" t="s">
        <v>18</v>
      </c>
      <c r="K657" s="14">
        <v>204</v>
      </c>
      <c r="L657" s="15">
        <v>45361</v>
      </c>
      <c r="M657" s="16">
        <v>10</v>
      </c>
      <c r="N6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57" s="31">
        <f>IF(Table64[[#This Row],[date validity flag]]&lt;&gt;"Valid","",Table64[[#This Row],[shipment date ]]-Table64[[#This Row],[Order date]])</f>
        <v>55</v>
      </c>
      <c r="P657" s="27" t="str">
        <f>TEXT(Table64[[#This Row],[Order date]],"mmm-yyyy")</f>
        <v>Jan-2024</v>
      </c>
      <c r="Q657" s="16" t="str">
        <f t="shared" si="10"/>
        <v>Delayed</v>
      </c>
    </row>
    <row r="658" spans="1:17" x14ac:dyDescent="0.3">
      <c r="A658" s="12">
        <v>10657</v>
      </c>
      <c r="B658" s="1">
        <v>6774</v>
      </c>
      <c r="C658" s="1" t="s">
        <v>16</v>
      </c>
      <c r="D658" s="2">
        <v>69254.63</v>
      </c>
      <c r="E658" s="1">
        <v>54</v>
      </c>
      <c r="F658" s="1" t="s">
        <v>22</v>
      </c>
      <c r="G658" s="3">
        <v>45383</v>
      </c>
      <c r="H658" s="2">
        <v>37067.35</v>
      </c>
      <c r="I658" s="13" t="s">
        <v>17</v>
      </c>
      <c r="J658" s="14" t="s">
        <v>15</v>
      </c>
      <c r="K658" s="14">
        <v>1259</v>
      </c>
      <c r="L658" s="15">
        <v>45361</v>
      </c>
      <c r="M658" s="16">
        <v>12</v>
      </c>
      <c r="N65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58" s="31" t="str">
        <f>IF(Table64[[#This Row],[date validity flag]]&lt;&gt;"Valid","",Table64[[#This Row],[shipment date ]]-Table64[[#This Row],[Order date]])</f>
        <v/>
      </c>
      <c r="P658" s="27" t="str">
        <f>TEXT(Table64[[#This Row],[Order date]],"mmm-yyyy")</f>
        <v>Apr-2024</v>
      </c>
      <c r="Q658" s="16" t="str">
        <f t="shared" si="10"/>
        <v/>
      </c>
    </row>
    <row r="659" spans="1:17" x14ac:dyDescent="0.3">
      <c r="A659" s="17">
        <v>10658</v>
      </c>
      <c r="B659" s="4">
        <v>5958</v>
      </c>
      <c r="C659" s="4" t="s">
        <v>16</v>
      </c>
      <c r="D659" s="5">
        <v>72831.77</v>
      </c>
      <c r="E659" s="4">
        <v>18</v>
      </c>
      <c r="F659" s="4" t="s">
        <v>23</v>
      </c>
      <c r="G659" s="6">
        <v>45306</v>
      </c>
      <c r="H659" s="5">
        <v>113298.34</v>
      </c>
      <c r="I659" s="18" t="s">
        <v>17</v>
      </c>
      <c r="J659" s="14" t="s">
        <v>15</v>
      </c>
      <c r="K659" s="14">
        <v>298</v>
      </c>
      <c r="L659" s="15">
        <v>45332</v>
      </c>
      <c r="M659" s="16">
        <v>10</v>
      </c>
      <c r="N6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59" s="31">
        <f>IF(Table64[[#This Row],[date validity flag]]&lt;&gt;"Valid","",Table64[[#This Row],[shipment date ]]-Table64[[#This Row],[Order date]])</f>
        <v>26</v>
      </c>
      <c r="P659" s="27" t="str">
        <f>TEXT(Table64[[#This Row],[Order date]],"mmm-yyyy")</f>
        <v>Jan-2024</v>
      </c>
      <c r="Q659" s="16" t="str">
        <f t="shared" si="10"/>
        <v>Delayed</v>
      </c>
    </row>
    <row r="660" spans="1:17" x14ac:dyDescent="0.3">
      <c r="A660" s="12">
        <v>10659</v>
      </c>
      <c r="B660" s="1">
        <v>6012</v>
      </c>
      <c r="C660" s="1" t="s">
        <v>16</v>
      </c>
      <c r="D660" s="2">
        <v>96366.97</v>
      </c>
      <c r="E660" s="1">
        <v>36</v>
      </c>
      <c r="F660" s="1" t="s">
        <v>22</v>
      </c>
      <c r="G660" s="3">
        <v>45361</v>
      </c>
      <c r="H660" s="2">
        <v>122718.29</v>
      </c>
      <c r="I660" s="13" t="s">
        <v>17</v>
      </c>
      <c r="J660" s="14" t="s">
        <v>18</v>
      </c>
      <c r="K660" s="14">
        <v>798</v>
      </c>
      <c r="L660" s="15">
        <v>45397</v>
      </c>
      <c r="M660" s="16">
        <v>4</v>
      </c>
      <c r="N6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60" s="31">
        <f>IF(Table64[[#This Row],[date validity flag]]&lt;&gt;"Valid","",Table64[[#This Row],[shipment date ]]-Table64[[#This Row],[Order date]])</f>
        <v>36</v>
      </c>
      <c r="P660" s="27" t="str">
        <f>TEXT(Table64[[#This Row],[Order date]],"mmm-yyyy")</f>
        <v>Mar-2024</v>
      </c>
      <c r="Q660" s="16" t="str">
        <f t="shared" si="10"/>
        <v>Delayed</v>
      </c>
    </row>
    <row r="661" spans="1:17" x14ac:dyDescent="0.3">
      <c r="A661" s="17">
        <v>10660</v>
      </c>
      <c r="B661" s="4">
        <v>5453</v>
      </c>
      <c r="C661" s="4" t="s">
        <v>16</v>
      </c>
      <c r="D661" s="5">
        <v>61822.76</v>
      </c>
      <c r="E661" s="4">
        <v>99</v>
      </c>
      <c r="F661" s="4" t="s">
        <v>22</v>
      </c>
      <c r="G661" s="6">
        <v>45361</v>
      </c>
      <c r="H661" s="5">
        <v>113068.58</v>
      </c>
      <c r="I661" s="18" t="s">
        <v>17</v>
      </c>
      <c r="J661" s="14" t="s">
        <v>18</v>
      </c>
      <c r="K661" s="14">
        <v>854</v>
      </c>
      <c r="L661" s="15">
        <v>45397</v>
      </c>
      <c r="M661" s="16">
        <v>11</v>
      </c>
      <c r="N6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61" s="31">
        <f>IF(Table64[[#This Row],[date validity flag]]&lt;&gt;"Valid","",Table64[[#This Row],[shipment date ]]-Table64[[#This Row],[Order date]])</f>
        <v>36</v>
      </c>
      <c r="P661" s="27" t="str">
        <f>TEXT(Table64[[#This Row],[Order date]],"mmm-yyyy")</f>
        <v>Mar-2024</v>
      </c>
      <c r="Q661" s="16" t="str">
        <f t="shared" si="10"/>
        <v>Delayed</v>
      </c>
    </row>
    <row r="662" spans="1:17" x14ac:dyDescent="0.3">
      <c r="A662" s="12">
        <v>10661</v>
      </c>
      <c r="B662" s="1">
        <v>6228</v>
      </c>
      <c r="C662" s="1" t="s">
        <v>16</v>
      </c>
      <c r="D662" s="2">
        <v>80326.710000000006</v>
      </c>
      <c r="E662" s="1">
        <v>45</v>
      </c>
      <c r="F662" s="1" t="s">
        <v>23</v>
      </c>
      <c r="G662" s="3">
        <v>45383</v>
      </c>
      <c r="H662" s="2">
        <v>42989.5</v>
      </c>
      <c r="I662" s="13" t="s">
        <v>14</v>
      </c>
      <c r="J662" s="14" t="s">
        <v>18</v>
      </c>
      <c r="K662" s="14">
        <v>183</v>
      </c>
      <c r="L662" s="15">
        <v>45332</v>
      </c>
      <c r="M662" s="16">
        <v>7</v>
      </c>
      <c r="N66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62" s="31" t="str">
        <f>IF(Table64[[#This Row],[date validity flag]]&lt;&gt;"Valid","",Table64[[#This Row],[shipment date ]]-Table64[[#This Row],[Order date]])</f>
        <v/>
      </c>
      <c r="P662" s="27" t="str">
        <f>TEXT(Table64[[#This Row],[Order date]],"mmm-yyyy")</f>
        <v>Apr-2024</v>
      </c>
      <c r="Q662" s="16" t="str">
        <f t="shared" si="10"/>
        <v/>
      </c>
    </row>
    <row r="663" spans="1:17" x14ac:dyDescent="0.3">
      <c r="A663" s="17">
        <v>10662</v>
      </c>
      <c r="B663" s="4">
        <v>5912</v>
      </c>
      <c r="C663" s="4" t="s">
        <v>16</v>
      </c>
      <c r="D663" s="5">
        <v>31283.67</v>
      </c>
      <c r="E663" s="4">
        <v>73</v>
      </c>
      <c r="F663" s="4" t="s">
        <v>22</v>
      </c>
      <c r="G663" s="6">
        <v>45306</v>
      </c>
      <c r="H663" s="5">
        <v>65987.850000000006</v>
      </c>
      <c r="I663" s="18" t="s">
        <v>17</v>
      </c>
      <c r="J663" s="14" t="s">
        <v>15</v>
      </c>
      <c r="K663" s="14">
        <v>370</v>
      </c>
      <c r="L663" s="15">
        <v>45332</v>
      </c>
      <c r="M663" s="16">
        <v>13</v>
      </c>
      <c r="N6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63" s="31">
        <f>IF(Table64[[#This Row],[date validity flag]]&lt;&gt;"Valid","",Table64[[#This Row],[shipment date ]]-Table64[[#This Row],[Order date]])</f>
        <v>26</v>
      </c>
      <c r="P663" s="27" t="str">
        <f>TEXT(Table64[[#This Row],[Order date]],"mmm-yyyy")</f>
        <v>Jan-2024</v>
      </c>
      <c r="Q663" s="16" t="str">
        <f t="shared" si="10"/>
        <v>Delayed</v>
      </c>
    </row>
    <row r="664" spans="1:17" x14ac:dyDescent="0.3">
      <c r="A664" s="12">
        <v>10663</v>
      </c>
      <c r="B664" s="1">
        <v>5218</v>
      </c>
      <c r="C664" s="1" t="s">
        <v>16</v>
      </c>
      <c r="D664" s="2">
        <v>94979.44</v>
      </c>
      <c r="E664" s="1">
        <v>53</v>
      </c>
      <c r="F664" s="1" t="s">
        <v>22</v>
      </c>
      <c r="G664" s="3">
        <v>45383</v>
      </c>
      <c r="H664" s="2">
        <v>63958.36</v>
      </c>
      <c r="I664" s="13" t="s">
        <v>17</v>
      </c>
      <c r="J664" s="14" t="s">
        <v>18</v>
      </c>
      <c r="K664" s="14">
        <v>439</v>
      </c>
      <c r="L664" s="15">
        <v>45361</v>
      </c>
      <c r="M664" s="16">
        <v>9</v>
      </c>
      <c r="N66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64" s="31" t="str">
        <f>IF(Table64[[#This Row],[date validity flag]]&lt;&gt;"Valid","",Table64[[#This Row],[shipment date ]]-Table64[[#This Row],[Order date]])</f>
        <v/>
      </c>
      <c r="P664" s="27" t="str">
        <f>TEXT(Table64[[#This Row],[Order date]],"mmm-yyyy")</f>
        <v>Apr-2024</v>
      </c>
      <c r="Q664" s="16" t="str">
        <f t="shared" si="10"/>
        <v/>
      </c>
    </row>
    <row r="665" spans="1:17" x14ac:dyDescent="0.3">
      <c r="A665" s="17">
        <v>10664</v>
      </c>
      <c r="B665" s="4">
        <v>5474</v>
      </c>
      <c r="C665" s="4" t="s">
        <v>12</v>
      </c>
      <c r="D665" s="5">
        <v>62191.27</v>
      </c>
      <c r="E665" s="4">
        <v>30</v>
      </c>
      <c r="F665" s="4" t="s">
        <v>13</v>
      </c>
      <c r="G665" s="6">
        <v>45306</v>
      </c>
      <c r="H665" s="5">
        <v>37606.339999999997</v>
      </c>
      <c r="I665" s="18" t="s">
        <v>14</v>
      </c>
      <c r="J665" s="14" t="s">
        <v>18</v>
      </c>
      <c r="K665" s="14">
        <v>483</v>
      </c>
      <c r="L665" s="15">
        <v>45361</v>
      </c>
      <c r="M665" s="16">
        <v>5</v>
      </c>
      <c r="N6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65" s="31">
        <f>IF(Table64[[#This Row],[date validity flag]]&lt;&gt;"Valid","",Table64[[#This Row],[shipment date ]]-Table64[[#This Row],[Order date]])</f>
        <v>55</v>
      </c>
      <c r="P665" s="27" t="str">
        <f>TEXT(Table64[[#This Row],[Order date]],"mmm-yyyy")</f>
        <v>Jan-2024</v>
      </c>
      <c r="Q665" s="16" t="str">
        <f t="shared" si="10"/>
        <v>Delayed</v>
      </c>
    </row>
    <row r="666" spans="1:17" x14ac:dyDescent="0.3">
      <c r="A666" s="12">
        <v>10665</v>
      </c>
      <c r="B666" s="1">
        <v>5432</v>
      </c>
      <c r="C666" s="1" t="s">
        <v>16</v>
      </c>
      <c r="D666" s="2">
        <v>83754.55</v>
      </c>
      <c r="E666" s="1">
        <v>60</v>
      </c>
      <c r="F666" s="1" t="s">
        <v>23</v>
      </c>
      <c r="G666" s="3">
        <v>45337</v>
      </c>
      <c r="H666" s="2">
        <v>92084.91</v>
      </c>
      <c r="I666" s="13" t="s">
        <v>17</v>
      </c>
      <c r="J666" s="14" t="s">
        <v>15</v>
      </c>
      <c r="K666" s="14">
        <v>1095</v>
      </c>
      <c r="L666" s="15">
        <v>45397</v>
      </c>
      <c r="M666" s="16">
        <v>4</v>
      </c>
      <c r="N6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66" s="31">
        <f>IF(Table64[[#This Row],[date validity flag]]&lt;&gt;"Valid","",Table64[[#This Row],[shipment date ]]-Table64[[#This Row],[Order date]])</f>
        <v>60</v>
      </c>
      <c r="P666" s="27" t="str">
        <f>TEXT(Table64[[#This Row],[Order date]],"mmm-yyyy")</f>
        <v>Feb-2024</v>
      </c>
      <c r="Q666" s="16" t="str">
        <f t="shared" si="10"/>
        <v>Delayed</v>
      </c>
    </row>
    <row r="667" spans="1:17" x14ac:dyDescent="0.3">
      <c r="A667" s="17">
        <v>10666</v>
      </c>
      <c r="B667" s="4">
        <v>5341</v>
      </c>
      <c r="C667" s="4" t="s">
        <v>12</v>
      </c>
      <c r="D667" s="5">
        <v>43776.41</v>
      </c>
      <c r="E667" s="4">
        <v>98</v>
      </c>
      <c r="F667" s="4" t="s">
        <v>23</v>
      </c>
      <c r="G667" s="6">
        <v>45361</v>
      </c>
      <c r="H667" s="5">
        <v>39656.07</v>
      </c>
      <c r="I667" s="18" t="s">
        <v>14</v>
      </c>
      <c r="J667" s="14" t="s">
        <v>19</v>
      </c>
      <c r="K667" s="14">
        <v>922</v>
      </c>
      <c r="L667" s="15">
        <v>45332</v>
      </c>
      <c r="M667" s="16">
        <v>9</v>
      </c>
      <c r="N66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67" s="31" t="str">
        <f>IF(Table64[[#This Row],[date validity flag]]&lt;&gt;"Valid","",Table64[[#This Row],[shipment date ]]-Table64[[#This Row],[Order date]])</f>
        <v/>
      </c>
      <c r="P667" s="27" t="str">
        <f>TEXT(Table64[[#This Row],[Order date]],"mmm-yyyy")</f>
        <v>Mar-2024</v>
      </c>
      <c r="Q667" s="16" t="str">
        <f t="shared" si="10"/>
        <v/>
      </c>
    </row>
    <row r="668" spans="1:17" x14ac:dyDescent="0.3">
      <c r="A668" s="12">
        <v>10667</v>
      </c>
      <c r="B668" s="1">
        <v>5551</v>
      </c>
      <c r="C668" s="1" t="s">
        <v>16</v>
      </c>
      <c r="D668" s="2">
        <v>28152.75</v>
      </c>
      <c r="E668" s="1">
        <v>32</v>
      </c>
      <c r="F668" s="1" t="s">
        <v>21</v>
      </c>
      <c r="G668" s="3">
        <v>45383</v>
      </c>
      <c r="H668" s="2">
        <v>57697.23</v>
      </c>
      <c r="I668" s="13" t="s">
        <v>17</v>
      </c>
      <c r="J668" s="14" t="s">
        <v>19</v>
      </c>
      <c r="K668" s="14">
        <v>1198</v>
      </c>
      <c r="L668" s="15">
        <v>45361</v>
      </c>
      <c r="M668" s="16">
        <v>5</v>
      </c>
      <c r="N66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68" s="31" t="str">
        <f>IF(Table64[[#This Row],[date validity flag]]&lt;&gt;"Valid","",Table64[[#This Row],[shipment date ]]-Table64[[#This Row],[Order date]])</f>
        <v/>
      </c>
      <c r="P668" s="27" t="str">
        <f>TEXT(Table64[[#This Row],[Order date]],"mmm-yyyy")</f>
        <v>Apr-2024</v>
      </c>
      <c r="Q668" s="16" t="str">
        <f t="shared" si="10"/>
        <v/>
      </c>
    </row>
    <row r="669" spans="1:17" x14ac:dyDescent="0.3">
      <c r="A669" s="17">
        <v>10668</v>
      </c>
      <c r="B669" s="4">
        <v>6636</v>
      </c>
      <c r="C669" s="4" t="s">
        <v>16</v>
      </c>
      <c r="D669" s="5">
        <v>48602.47</v>
      </c>
      <c r="E669" s="4">
        <v>67</v>
      </c>
      <c r="F669" s="4" t="s">
        <v>22</v>
      </c>
      <c r="G669" s="6">
        <v>45337</v>
      </c>
      <c r="H669" s="5">
        <v>174909.36</v>
      </c>
      <c r="I669" s="18" t="s">
        <v>14</v>
      </c>
      <c r="J669" s="14" t="s">
        <v>18</v>
      </c>
      <c r="K669" s="14">
        <v>1152</v>
      </c>
      <c r="L669" s="15">
        <v>45397</v>
      </c>
      <c r="M669" s="16">
        <v>9</v>
      </c>
      <c r="N6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69" s="31">
        <f>IF(Table64[[#This Row],[date validity flag]]&lt;&gt;"Valid","",Table64[[#This Row],[shipment date ]]-Table64[[#This Row],[Order date]])</f>
        <v>60</v>
      </c>
      <c r="P669" s="27" t="str">
        <f>TEXT(Table64[[#This Row],[Order date]],"mmm-yyyy")</f>
        <v>Feb-2024</v>
      </c>
      <c r="Q669" s="16" t="str">
        <f t="shared" si="10"/>
        <v>Delayed</v>
      </c>
    </row>
    <row r="670" spans="1:17" x14ac:dyDescent="0.3">
      <c r="A670" s="12">
        <v>10669</v>
      </c>
      <c r="B670" s="1">
        <v>6313</v>
      </c>
      <c r="C670" s="1" t="s">
        <v>16</v>
      </c>
      <c r="D670" s="2">
        <v>8211.98</v>
      </c>
      <c r="E670" s="1">
        <v>67</v>
      </c>
      <c r="F670" s="1" t="s">
        <v>13</v>
      </c>
      <c r="G670" s="3">
        <v>45337</v>
      </c>
      <c r="H670" s="2">
        <v>76847.960000000006</v>
      </c>
      <c r="I670" s="13" t="s">
        <v>14</v>
      </c>
      <c r="J670" s="14" t="s">
        <v>19</v>
      </c>
      <c r="K670" s="14">
        <v>907</v>
      </c>
      <c r="L670" s="15">
        <v>45397</v>
      </c>
      <c r="M670" s="16">
        <v>8</v>
      </c>
      <c r="N6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0" s="31">
        <f>IF(Table64[[#This Row],[date validity flag]]&lt;&gt;"Valid","",Table64[[#This Row],[shipment date ]]-Table64[[#This Row],[Order date]])</f>
        <v>60</v>
      </c>
      <c r="P670" s="27" t="str">
        <f>TEXT(Table64[[#This Row],[Order date]],"mmm-yyyy")</f>
        <v>Feb-2024</v>
      </c>
      <c r="Q670" s="16" t="str">
        <f t="shared" si="10"/>
        <v>Delayed</v>
      </c>
    </row>
    <row r="671" spans="1:17" x14ac:dyDescent="0.3">
      <c r="A671" s="17">
        <v>10670</v>
      </c>
      <c r="B671" s="4">
        <v>6278</v>
      </c>
      <c r="C671" s="4" t="s">
        <v>16</v>
      </c>
      <c r="D671" s="5">
        <v>79241.67</v>
      </c>
      <c r="E671" s="4">
        <v>28</v>
      </c>
      <c r="F671" s="4" t="s">
        <v>22</v>
      </c>
      <c r="G671" s="6">
        <v>45383</v>
      </c>
      <c r="H671" s="5">
        <v>107198.94</v>
      </c>
      <c r="I671" s="18" t="s">
        <v>14</v>
      </c>
      <c r="J671" s="14" t="s">
        <v>19</v>
      </c>
      <c r="K671" s="14">
        <v>100</v>
      </c>
      <c r="L671" s="15">
        <v>45397</v>
      </c>
      <c r="M671" s="16">
        <v>4</v>
      </c>
      <c r="N6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1" s="31">
        <f>IF(Table64[[#This Row],[date validity flag]]&lt;&gt;"Valid","",Table64[[#This Row],[shipment date ]]-Table64[[#This Row],[Order date]])</f>
        <v>14</v>
      </c>
      <c r="P671" s="27" t="str">
        <f>TEXT(Table64[[#This Row],[Order date]],"mmm-yyyy")</f>
        <v>Apr-2024</v>
      </c>
      <c r="Q671" s="16" t="str">
        <f t="shared" si="10"/>
        <v>Delayed</v>
      </c>
    </row>
    <row r="672" spans="1:17" x14ac:dyDescent="0.3">
      <c r="A672" s="12">
        <v>10671</v>
      </c>
      <c r="B672" s="1">
        <v>6758</v>
      </c>
      <c r="C672" s="1" t="s">
        <v>16</v>
      </c>
      <c r="D672" s="2">
        <v>64542.48</v>
      </c>
      <c r="E672" s="1">
        <v>44</v>
      </c>
      <c r="F672" s="1" t="s">
        <v>22</v>
      </c>
      <c r="G672" s="3">
        <v>45383</v>
      </c>
      <c r="H672" s="2">
        <v>24710.89</v>
      </c>
      <c r="I672" s="13" t="s">
        <v>14</v>
      </c>
      <c r="J672" s="14" t="s">
        <v>19</v>
      </c>
      <c r="K672" s="14">
        <v>225</v>
      </c>
      <c r="L672" s="15">
        <v>45361</v>
      </c>
      <c r="M672" s="16">
        <v>11</v>
      </c>
      <c r="N67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72" s="31" t="str">
        <f>IF(Table64[[#This Row],[date validity flag]]&lt;&gt;"Valid","",Table64[[#This Row],[shipment date ]]-Table64[[#This Row],[Order date]])</f>
        <v/>
      </c>
      <c r="P672" s="27" t="str">
        <f>TEXT(Table64[[#This Row],[Order date]],"mmm-yyyy")</f>
        <v>Apr-2024</v>
      </c>
      <c r="Q672" s="16" t="str">
        <f t="shared" si="10"/>
        <v/>
      </c>
    </row>
    <row r="673" spans="1:17" x14ac:dyDescent="0.3">
      <c r="A673" s="17">
        <v>10672</v>
      </c>
      <c r="B673" s="4">
        <v>5357</v>
      </c>
      <c r="C673" s="4" t="s">
        <v>16</v>
      </c>
      <c r="D673" s="5">
        <v>95897.279999999999</v>
      </c>
      <c r="E673" s="4">
        <v>79</v>
      </c>
      <c r="F673" s="4" t="s">
        <v>21</v>
      </c>
      <c r="G673" s="6">
        <v>45337</v>
      </c>
      <c r="H673" s="5">
        <v>148295.25</v>
      </c>
      <c r="I673" s="18" t="s">
        <v>20</v>
      </c>
      <c r="J673" s="14" t="s">
        <v>19</v>
      </c>
      <c r="K673" s="14">
        <v>919</v>
      </c>
      <c r="L673" s="15">
        <v>45361</v>
      </c>
      <c r="M673" s="16">
        <v>11</v>
      </c>
      <c r="N6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3" s="31">
        <f>IF(Table64[[#This Row],[date validity flag]]&lt;&gt;"Valid","",Table64[[#This Row],[shipment date ]]-Table64[[#This Row],[Order date]])</f>
        <v>24</v>
      </c>
      <c r="P673" s="27" t="str">
        <f>TEXT(Table64[[#This Row],[Order date]],"mmm-yyyy")</f>
        <v>Feb-2024</v>
      </c>
      <c r="Q673" s="16" t="str">
        <f t="shared" si="10"/>
        <v>Delayed</v>
      </c>
    </row>
    <row r="674" spans="1:17" x14ac:dyDescent="0.3">
      <c r="A674" s="12">
        <v>10673</v>
      </c>
      <c r="B674" s="1">
        <v>5023</v>
      </c>
      <c r="C674" s="1" t="s">
        <v>16</v>
      </c>
      <c r="D674" s="2">
        <v>92588.73</v>
      </c>
      <c r="E674" s="1">
        <v>41</v>
      </c>
      <c r="F674" s="1" t="s">
        <v>22</v>
      </c>
      <c r="G674" s="3">
        <v>45306</v>
      </c>
      <c r="H674" s="2">
        <v>34814.6</v>
      </c>
      <c r="I674" s="13" t="s">
        <v>17</v>
      </c>
      <c r="J674" s="14" t="s">
        <v>18</v>
      </c>
      <c r="K674" s="14">
        <v>302</v>
      </c>
      <c r="L674" s="15">
        <v>45332</v>
      </c>
      <c r="M674" s="16">
        <v>7</v>
      </c>
      <c r="N6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4" s="31">
        <f>IF(Table64[[#This Row],[date validity flag]]&lt;&gt;"Valid","",Table64[[#This Row],[shipment date ]]-Table64[[#This Row],[Order date]])</f>
        <v>26</v>
      </c>
      <c r="P674" s="27" t="str">
        <f>TEXT(Table64[[#This Row],[Order date]],"mmm-yyyy")</f>
        <v>Jan-2024</v>
      </c>
      <c r="Q674" s="16" t="str">
        <f t="shared" si="10"/>
        <v>Delayed</v>
      </c>
    </row>
    <row r="675" spans="1:17" x14ac:dyDescent="0.3">
      <c r="A675" s="17">
        <v>10674</v>
      </c>
      <c r="B675" s="4">
        <v>6786</v>
      </c>
      <c r="C675" s="4" t="s">
        <v>16</v>
      </c>
      <c r="D675" s="5">
        <v>30252.84</v>
      </c>
      <c r="E675" s="4">
        <v>63</v>
      </c>
      <c r="F675" s="4" t="s">
        <v>13</v>
      </c>
      <c r="G675" s="6">
        <v>45337</v>
      </c>
      <c r="H675" s="5">
        <v>150689.66</v>
      </c>
      <c r="I675" s="18" t="s">
        <v>17</v>
      </c>
      <c r="J675" s="14" t="s">
        <v>19</v>
      </c>
      <c r="K675" s="14">
        <v>1015</v>
      </c>
      <c r="L675" s="15">
        <v>45332</v>
      </c>
      <c r="M675" s="16">
        <v>5</v>
      </c>
      <c r="N6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75" s="31" t="str">
        <f>IF(Table64[[#This Row],[date validity flag]]&lt;&gt;"Valid","",Table64[[#This Row],[shipment date ]]-Table64[[#This Row],[Order date]])</f>
        <v/>
      </c>
      <c r="P675" s="27" t="str">
        <f>TEXT(Table64[[#This Row],[Order date]],"mmm-yyyy")</f>
        <v>Feb-2024</v>
      </c>
      <c r="Q675" s="16" t="str">
        <f t="shared" si="10"/>
        <v/>
      </c>
    </row>
    <row r="676" spans="1:17" x14ac:dyDescent="0.3">
      <c r="A676" s="12">
        <v>10675</v>
      </c>
      <c r="B676" s="1">
        <v>5522</v>
      </c>
      <c r="C676" s="1" t="s">
        <v>16</v>
      </c>
      <c r="D676" s="2">
        <v>65406.63</v>
      </c>
      <c r="E676" s="1">
        <v>23</v>
      </c>
      <c r="F676" s="1" t="s">
        <v>13</v>
      </c>
      <c r="G676" s="3">
        <v>45383</v>
      </c>
      <c r="H676" s="2">
        <v>78925.94</v>
      </c>
      <c r="I676" s="13" t="s">
        <v>20</v>
      </c>
      <c r="J676" s="14" t="s">
        <v>19</v>
      </c>
      <c r="K676" s="14">
        <v>1319</v>
      </c>
      <c r="L676" s="15">
        <v>45397</v>
      </c>
      <c r="M676" s="16">
        <v>10</v>
      </c>
      <c r="N6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6" s="31">
        <f>IF(Table64[[#This Row],[date validity flag]]&lt;&gt;"Valid","",Table64[[#This Row],[shipment date ]]-Table64[[#This Row],[Order date]])</f>
        <v>14</v>
      </c>
      <c r="P676" s="27" t="str">
        <f>TEXT(Table64[[#This Row],[Order date]],"mmm-yyyy")</f>
        <v>Apr-2024</v>
      </c>
      <c r="Q676" s="16" t="str">
        <f t="shared" si="10"/>
        <v>Delayed</v>
      </c>
    </row>
    <row r="677" spans="1:17" x14ac:dyDescent="0.3">
      <c r="A677" s="17">
        <v>10676</v>
      </c>
      <c r="B677" s="4">
        <v>6782</v>
      </c>
      <c r="C677" s="4" t="s">
        <v>16</v>
      </c>
      <c r="D677" s="5">
        <v>36741.61</v>
      </c>
      <c r="E677" s="4">
        <v>75</v>
      </c>
      <c r="F677" s="4" t="s">
        <v>21</v>
      </c>
      <c r="G677" s="6">
        <v>45337</v>
      </c>
      <c r="H677" s="5">
        <v>35408.85</v>
      </c>
      <c r="I677" s="18" t="s">
        <v>14</v>
      </c>
      <c r="J677" s="14" t="s">
        <v>15</v>
      </c>
      <c r="K677" s="14">
        <v>788</v>
      </c>
      <c r="L677" s="15">
        <v>45397</v>
      </c>
      <c r="M677" s="16">
        <v>4</v>
      </c>
      <c r="N6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7" s="31">
        <f>IF(Table64[[#This Row],[date validity flag]]&lt;&gt;"Valid","",Table64[[#This Row],[shipment date ]]-Table64[[#This Row],[Order date]])</f>
        <v>60</v>
      </c>
      <c r="P677" s="27" t="str">
        <f>TEXT(Table64[[#This Row],[Order date]],"mmm-yyyy")</f>
        <v>Feb-2024</v>
      </c>
      <c r="Q677" s="16" t="str">
        <f t="shared" si="10"/>
        <v>Delayed</v>
      </c>
    </row>
    <row r="678" spans="1:17" x14ac:dyDescent="0.3">
      <c r="A678" s="12">
        <v>10677</v>
      </c>
      <c r="B678" s="1">
        <v>6861</v>
      </c>
      <c r="C678" s="1" t="s">
        <v>16</v>
      </c>
      <c r="D678" s="2">
        <v>85095.79</v>
      </c>
      <c r="E678" s="1">
        <v>48</v>
      </c>
      <c r="F678" s="1" t="s">
        <v>22</v>
      </c>
      <c r="G678" s="3">
        <v>45306</v>
      </c>
      <c r="H678" s="2">
        <v>172250.05</v>
      </c>
      <c r="I678" s="13" t="s">
        <v>14</v>
      </c>
      <c r="J678" s="14" t="s">
        <v>18</v>
      </c>
      <c r="K678" s="14">
        <v>1179</v>
      </c>
      <c r="L678" s="15">
        <v>45361</v>
      </c>
      <c r="M678" s="16">
        <v>5</v>
      </c>
      <c r="N6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8" s="31">
        <f>IF(Table64[[#This Row],[date validity flag]]&lt;&gt;"Valid","",Table64[[#This Row],[shipment date ]]-Table64[[#This Row],[Order date]])</f>
        <v>55</v>
      </c>
      <c r="P678" s="27" t="str">
        <f>TEXT(Table64[[#This Row],[Order date]],"mmm-yyyy")</f>
        <v>Jan-2024</v>
      </c>
      <c r="Q678" s="16" t="str">
        <f t="shared" si="10"/>
        <v>Delayed</v>
      </c>
    </row>
    <row r="679" spans="1:17" x14ac:dyDescent="0.3">
      <c r="A679" s="17">
        <v>10678</v>
      </c>
      <c r="B679" s="4">
        <v>6124</v>
      </c>
      <c r="C679" s="4" t="s">
        <v>12</v>
      </c>
      <c r="D679" s="5">
        <v>34229.47</v>
      </c>
      <c r="E679" s="4">
        <v>32</v>
      </c>
      <c r="F679" s="4" t="s">
        <v>13</v>
      </c>
      <c r="G679" s="6">
        <v>45361</v>
      </c>
      <c r="H679" s="5">
        <v>40268.14</v>
      </c>
      <c r="I679" s="18" t="s">
        <v>17</v>
      </c>
      <c r="J679" s="14" t="s">
        <v>15</v>
      </c>
      <c r="K679" s="14">
        <v>1266</v>
      </c>
      <c r="L679" s="15">
        <v>45361</v>
      </c>
      <c r="M679" s="16">
        <v>5</v>
      </c>
      <c r="N6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79" s="31">
        <f>IF(Table64[[#This Row],[date validity flag]]&lt;&gt;"Valid","",Table64[[#This Row],[shipment date ]]-Table64[[#This Row],[Order date]])</f>
        <v>0</v>
      </c>
      <c r="P679" s="27" t="str">
        <f>TEXT(Table64[[#This Row],[Order date]],"mmm-yyyy")</f>
        <v>Mar-2024</v>
      </c>
      <c r="Q679" s="16" t="str">
        <f t="shared" si="10"/>
        <v>On Time</v>
      </c>
    </row>
    <row r="680" spans="1:17" x14ac:dyDescent="0.3">
      <c r="A680" s="12">
        <v>10679</v>
      </c>
      <c r="B680" s="1">
        <v>5802</v>
      </c>
      <c r="C680" s="1" t="s">
        <v>16</v>
      </c>
      <c r="D680" s="2">
        <v>74313.42</v>
      </c>
      <c r="E680" s="1">
        <v>57</v>
      </c>
      <c r="F680" s="1" t="s">
        <v>22</v>
      </c>
      <c r="G680" s="3">
        <v>45361</v>
      </c>
      <c r="H680" s="2">
        <v>138355.73000000001</v>
      </c>
      <c r="I680" s="13" t="s">
        <v>20</v>
      </c>
      <c r="J680" s="14" t="s">
        <v>15</v>
      </c>
      <c r="K680" s="14">
        <v>1389</v>
      </c>
      <c r="L680" s="15">
        <v>45332</v>
      </c>
      <c r="M680" s="16">
        <v>11</v>
      </c>
      <c r="N68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80" s="31" t="str">
        <f>IF(Table64[[#This Row],[date validity flag]]&lt;&gt;"Valid","",Table64[[#This Row],[shipment date ]]-Table64[[#This Row],[Order date]])</f>
        <v/>
      </c>
      <c r="P680" s="27" t="str">
        <f>TEXT(Table64[[#This Row],[Order date]],"mmm-yyyy")</f>
        <v>Mar-2024</v>
      </c>
      <c r="Q680" s="16" t="str">
        <f t="shared" si="10"/>
        <v/>
      </c>
    </row>
    <row r="681" spans="1:17" x14ac:dyDescent="0.3">
      <c r="A681" s="17">
        <v>10680</v>
      </c>
      <c r="B681" s="4">
        <v>6204</v>
      </c>
      <c r="C681" s="4" t="s">
        <v>16</v>
      </c>
      <c r="D681" s="5">
        <v>84211.199999999997</v>
      </c>
      <c r="E681" s="4">
        <v>33</v>
      </c>
      <c r="F681" s="4" t="s">
        <v>22</v>
      </c>
      <c r="G681" s="6">
        <v>45337</v>
      </c>
      <c r="H681" s="5">
        <v>60409.19</v>
      </c>
      <c r="I681" s="18" t="s">
        <v>14</v>
      </c>
      <c r="J681" s="14" t="s">
        <v>18</v>
      </c>
      <c r="K681" s="14">
        <v>351</v>
      </c>
      <c r="L681" s="15">
        <v>45332</v>
      </c>
      <c r="M681" s="16">
        <v>9</v>
      </c>
      <c r="N68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81" s="31" t="str">
        <f>IF(Table64[[#This Row],[date validity flag]]&lt;&gt;"Valid","",Table64[[#This Row],[shipment date ]]-Table64[[#This Row],[Order date]])</f>
        <v/>
      </c>
      <c r="P681" s="27" t="str">
        <f>TEXT(Table64[[#This Row],[Order date]],"mmm-yyyy")</f>
        <v>Feb-2024</v>
      </c>
      <c r="Q681" s="16" t="str">
        <f t="shared" si="10"/>
        <v/>
      </c>
    </row>
    <row r="682" spans="1:17" x14ac:dyDescent="0.3">
      <c r="A682" s="12">
        <v>10681</v>
      </c>
      <c r="B682" s="1">
        <v>6247</v>
      </c>
      <c r="C682" s="1" t="s">
        <v>16</v>
      </c>
      <c r="D682" s="2">
        <v>52120.959999999999</v>
      </c>
      <c r="E682" s="1">
        <v>24</v>
      </c>
      <c r="F682" s="1" t="s">
        <v>22</v>
      </c>
      <c r="G682" s="3">
        <v>45306</v>
      </c>
      <c r="H682" s="2">
        <v>131732.29999999999</v>
      </c>
      <c r="I682" s="13" t="s">
        <v>14</v>
      </c>
      <c r="J682" s="14" t="s">
        <v>19</v>
      </c>
      <c r="K682" s="14">
        <v>597</v>
      </c>
      <c r="L682" s="15">
        <v>45332</v>
      </c>
      <c r="M682" s="16">
        <v>12</v>
      </c>
      <c r="N6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82" s="31">
        <f>IF(Table64[[#This Row],[date validity flag]]&lt;&gt;"Valid","",Table64[[#This Row],[shipment date ]]-Table64[[#This Row],[Order date]])</f>
        <v>26</v>
      </c>
      <c r="P682" s="27" t="str">
        <f>TEXT(Table64[[#This Row],[Order date]],"mmm-yyyy")</f>
        <v>Jan-2024</v>
      </c>
      <c r="Q682" s="16" t="str">
        <f t="shared" si="10"/>
        <v>Delayed</v>
      </c>
    </row>
    <row r="683" spans="1:17" x14ac:dyDescent="0.3">
      <c r="A683" s="17">
        <v>10682</v>
      </c>
      <c r="B683" s="4">
        <v>6930</v>
      </c>
      <c r="C683" s="4" t="s">
        <v>16</v>
      </c>
      <c r="D683" s="5">
        <v>27457.26</v>
      </c>
      <c r="E683" s="4">
        <v>39</v>
      </c>
      <c r="F683" s="4" t="s">
        <v>21</v>
      </c>
      <c r="G683" s="6">
        <v>45361</v>
      </c>
      <c r="H683" s="5">
        <v>167766.21</v>
      </c>
      <c r="I683" s="18" t="s">
        <v>14</v>
      </c>
      <c r="J683" s="14" t="s">
        <v>15</v>
      </c>
      <c r="K683" s="14">
        <v>765</v>
      </c>
      <c r="L683" s="15">
        <v>45361</v>
      </c>
      <c r="M683" s="16">
        <v>9</v>
      </c>
      <c r="N6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83" s="31">
        <f>IF(Table64[[#This Row],[date validity flag]]&lt;&gt;"Valid","",Table64[[#This Row],[shipment date ]]-Table64[[#This Row],[Order date]])</f>
        <v>0</v>
      </c>
      <c r="P683" s="27" t="str">
        <f>TEXT(Table64[[#This Row],[Order date]],"mmm-yyyy")</f>
        <v>Mar-2024</v>
      </c>
      <c r="Q683" s="16" t="str">
        <f t="shared" si="10"/>
        <v>On Time</v>
      </c>
    </row>
    <row r="684" spans="1:17" x14ac:dyDescent="0.3">
      <c r="A684" s="12">
        <v>10683</v>
      </c>
      <c r="B684" s="1">
        <v>5762</v>
      </c>
      <c r="C684" s="1" t="s">
        <v>16</v>
      </c>
      <c r="D684" s="2">
        <v>49108.84</v>
      </c>
      <c r="E684" s="1">
        <v>34</v>
      </c>
      <c r="F684" s="1" t="s">
        <v>22</v>
      </c>
      <c r="G684" s="3">
        <v>45337</v>
      </c>
      <c r="H684" s="2">
        <v>127447.87</v>
      </c>
      <c r="I684" s="13" t="s">
        <v>17</v>
      </c>
      <c r="J684" s="14" t="s">
        <v>18</v>
      </c>
      <c r="K684" s="14">
        <v>828</v>
      </c>
      <c r="L684" s="15">
        <v>45397</v>
      </c>
      <c r="M684" s="16">
        <v>6</v>
      </c>
      <c r="N6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84" s="31">
        <f>IF(Table64[[#This Row],[date validity flag]]&lt;&gt;"Valid","",Table64[[#This Row],[shipment date ]]-Table64[[#This Row],[Order date]])</f>
        <v>60</v>
      </c>
      <c r="P684" s="27" t="str">
        <f>TEXT(Table64[[#This Row],[Order date]],"mmm-yyyy")</f>
        <v>Feb-2024</v>
      </c>
      <c r="Q684" s="16" t="str">
        <f t="shared" si="10"/>
        <v>Delayed</v>
      </c>
    </row>
    <row r="685" spans="1:17" x14ac:dyDescent="0.3">
      <c r="A685" s="17">
        <v>10684</v>
      </c>
      <c r="B685" s="4">
        <v>6683</v>
      </c>
      <c r="C685" s="4" t="s">
        <v>16</v>
      </c>
      <c r="D685" s="5">
        <v>82273.149999999994</v>
      </c>
      <c r="E685" s="4">
        <v>56</v>
      </c>
      <c r="F685" s="4" t="s">
        <v>13</v>
      </c>
      <c r="G685" s="6">
        <v>45337</v>
      </c>
      <c r="H685" s="5">
        <v>31136.14</v>
      </c>
      <c r="I685" s="18" t="s">
        <v>20</v>
      </c>
      <c r="J685" s="14" t="s">
        <v>19</v>
      </c>
      <c r="K685" s="14">
        <v>317</v>
      </c>
      <c r="L685" s="15">
        <v>45332</v>
      </c>
      <c r="M685" s="16">
        <v>14</v>
      </c>
      <c r="N68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85" s="31" t="str">
        <f>IF(Table64[[#This Row],[date validity flag]]&lt;&gt;"Valid","",Table64[[#This Row],[shipment date ]]-Table64[[#This Row],[Order date]])</f>
        <v/>
      </c>
      <c r="P685" s="27" t="str">
        <f>TEXT(Table64[[#This Row],[Order date]],"mmm-yyyy")</f>
        <v>Feb-2024</v>
      </c>
      <c r="Q685" s="16" t="str">
        <f t="shared" si="10"/>
        <v/>
      </c>
    </row>
    <row r="686" spans="1:17" x14ac:dyDescent="0.3">
      <c r="A686" s="12">
        <v>10685</v>
      </c>
      <c r="B686" s="1">
        <v>5442</v>
      </c>
      <c r="C686" s="1" t="s">
        <v>16</v>
      </c>
      <c r="D686" s="2">
        <v>78380.100000000006</v>
      </c>
      <c r="E686" s="1">
        <v>28</v>
      </c>
      <c r="F686" s="1" t="s">
        <v>22</v>
      </c>
      <c r="G686" s="3">
        <v>45306</v>
      </c>
      <c r="H686" s="2">
        <v>59194.71</v>
      </c>
      <c r="I686" s="13" t="s">
        <v>14</v>
      </c>
      <c r="J686" s="14" t="s">
        <v>18</v>
      </c>
      <c r="K686" s="14">
        <v>1243</v>
      </c>
      <c r="L686" s="15">
        <v>45332</v>
      </c>
      <c r="M686" s="16">
        <v>4</v>
      </c>
      <c r="N68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86" s="31">
        <f>IF(Table64[[#This Row],[date validity flag]]&lt;&gt;"Valid","",Table64[[#This Row],[shipment date ]]-Table64[[#This Row],[Order date]])</f>
        <v>26</v>
      </c>
      <c r="P686" s="27" t="str">
        <f>TEXT(Table64[[#This Row],[Order date]],"mmm-yyyy")</f>
        <v>Jan-2024</v>
      </c>
      <c r="Q686" s="16" t="str">
        <f t="shared" si="10"/>
        <v>Delayed</v>
      </c>
    </row>
    <row r="687" spans="1:17" x14ac:dyDescent="0.3">
      <c r="A687" s="17">
        <v>10686</v>
      </c>
      <c r="B687" s="4">
        <v>6632</v>
      </c>
      <c r="C687" s="4" t="s">
        <v>16</v>
      </c>
      <c r="D687" s="5">
        <v>18397.07</v>
      </c>
      <c r="E687" s="4">
        <v>37</v>
      </c>
      <c r="F687" s="4" t="s">
        <v>13</v>
      </c>
      <c r="G687" s="6">
        <v>45383</v>
      </c>
      <c r="H687" s="5">
        <v>36080.25</v>
      </c>
      <c r="I687" s="18" t="s">
        <v>17</v>
      </c>
      <c r="J687" s="14" t="s">
        <v>15</v>
      </c>
      <c r="K687" s="14">
        <v>1059</v>
      </c>
      <c r="L687" s="15">
        <v>45361</v>
      </c>
      <c r="M687" s="16">
        <v>2</v>
      </c>
      <c r="N68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87" s="31" t="str">
        <f>IF(Table64[[#This Row],[date validity flag]]&lt;&gt;"Valid","",Table64[[#This Row],[shipment date ]]-Table64[[#This Row],[Order date]])</f>
        <v/>
      </c>
      <c r="P687" s="27" t="str">
        <f>TEXT(Table64[[#This Row],[Order date]],"mmm-yyyy")</f>
        <v>Apr-2024</v>
      </c>
      <c r="Q687" s="16" t="str">
        <f t="shared" si="10"/>
        <v/>
      </c>
    </row>
    <row r="688" spans="1:17" x14ac:dyDescent="0.3">
      <c r="A688" s="12">
        <v>10687</v>
      </c>
      <c r="B688" s="1">
        <v>5769</v>
      </c>
      <c r="C688" s="1" t="s">
        <v>16</v>
      </c>
      <c r="D688" s="2">
        <v>56304.23</v>
      </c>
      <c r="E688" s="1">
        <v>7</v>
      </c>
      <c r="F688" s="1" t="s">
        <v>22</v>
      </c>
      <c r="G688" s="3">
        <v>45337</v>
      </c>
      <c r="H688" s="2">
        <v>24286.84</v>
      </c>
      <c r="I688" s="13" t="s">
        <v>20</v>
      </c>
      <c r="J688" s="14" t="s">
        <v>19</v>
      </c>
      <c r="K688" s="14">
        <v>600</v>
      </c>
      <c r="L688" s="15">
        <v>45332</v>
      </c>
      <c r="M688" s="16">
        <v>14</v>
      </c>
      <c r="N68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88" s="31" t="str">
        <f>IF(Table64[[#This Row],[date validity flag]]&lt;&gt;"Valid","",Table64[[#This Row],[shipment date ]]-Table64[[#This Row],[Order date]])</f>
        <v/>
      </c>
      <c r="P688" s="27" t="str">
        <f>TEXT(Table64[[#This Row],[Order date]],"mmm-yyyy")</f>
        <v>Feb-2024</v>
      </c>
      <c r="Q688" s="16" t="str">
        <f t="shared" si="10"/>
        <v/>
      </c>
    </row>
    <row r="689" spans="1:17" x14ac:dyDescent="0.3">
      <c r="A689" s="17">
        <v>10688</v>
      </c>
      <c r="B689" s="4">
        <v>6016</v>
      </c>
      <c r="C689" s="4" t="s">
        <v>16</v>
      </c>
      <c r="D689" s="5">
        <v>61266.21</v>
      </c>
      <c r="E689" s="4">
        <v>68</v>
      </c>
      <c r="F689" s="4" t="s">
        <v>13</v>
      </c>
      <c r="G689" s="6">
        <v>45383</v>
      </c>
      <c r="H689" s="5">
        <v>45767.040000000001</v>
      </c>
      <c r="I689" s="18" t="s">
        <v>14</v>
      </c>
      <c r="J689" s="14" t="s">
        <v>19</v>
      </c>
      <c r="K689" s="14">
        <v>1365</v>
      </c>
      <c r="L689" s="15">
        <v>45397</v>
      </c>
      <c r="M689" s="16">
        <v>3</v>
      </c>
      <c r="N6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89" s="31">
        <f>IF(Table64[[#This Row],[date validity flag]]&lt;&gt;"Valid","",Table64[[#This Row],[shipment date ]]-Table64[[#This Row],[Order date]])</f>
        <v>14</v>
      </c>
      <c r="P689" s="27" t="str">
        <f>TEXT(Table64[[#This Row],[Order date]],"mmm-yyyy")</f>
        <v>Apr-2024</v>
      </c>
      <c r="Q689" s="16" t="str">
        <f t="shared" si="10"/>
        <v>Delayed</v>
      </c>
    </row>
    <row r="690" spans="1:17" x14ac:dyDescent="0.3">
      <c r="A690" s="12">
        <v>10689</v>
      </c>
      <c r="B690" s="1">
        <v>6349</v>
      </c>
      <c r="C690" s="1" t="s">
        <v>16</v>
      </c>
      <c r="D690" s="2">
        <v>30929.62</v>
      </c>
      <c r="E690" s="1">
        <v>37</v>
      </c>
      <c r="F690" s="1" t="s">
        <v>13</v>
      </c>
      <c r="G690" s="3">
        <v>45383</v>
      </c>
      <c r="H690" s="2">
        <v>83896.09</v>
      </c>
      <c r="I690" s="13" t="s">
        <v>17</v>
      </c>
      <c r="J690" s="14" t="s">
        <v>18</v>
      </c>
      <c r="K690" s="14">
        <v>1214</v>
      </c>
      <c r="L690" s="15">
        <v>45361</v>
      </c>
      <c r="M690" s="16">
        <v>2</v>
      </c>
      <c r="N69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90" s="31" t="str">
        <f>IF(Table64[[#This Row],[date validity flag]]&lt;&gt;"Valid","",Table64[[#This Row],[shipment date ]]-Table64[[#This Row],[Order date]])</f>
        <v/>
      </c>
      <c r="P690" s="27" t="str">
        <f>TEXT(Table64[[#This Row],[Order date]],"mmm-yyyy")</f>
        <v>Apr-2024</v>
      </c>
      <c r="Q690" s="16" t="str">
        <f t="shared" si="10"/>
        <v/>
      </c>
    </row>
    <row r="691" spans="1:17" x14ac:dyDescent="0.3">
      <c r="A691" s="17">
        <v>10690</v>
      </c>
      <c r="B691" s="4">
        <v>5516</v>
      </c>
      <c r="C691" s="4" t="s">
        <v>16</v>
      </c>
      <c r="D691" s="5">
        <v>47304.28</v>
      </c>
      <c r="E691" s="4">
        <v>56</v>
      </c>
      <c r="F691" s="4" t="s">
        <v>22</v>
      </c>
      <c r="G691" s="6">
        <v>45361</v>
      </c>
      <c r="H691" s="5">
        <v>33456.83</v>
      </c>
      <c r="I691" s="18" t="s">
        <v>17</v>
      </c>
      <c r="J691" s="14" t="s">
        <v>19</v>
      </c>
      <c r="K691" s="14">
        <v>1219</v>
      </c>
      <c r="L691" s="15">
        <v>45332</v>
      </c>
      <c r="M691" s="16">
        <v>5</v>
      </c>
      <c r="N69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91" s="31" t="str">
        <f>IF(Table64[[#This Row],[date validity flag]]&lt;&gt;"Valid","",Table64[[#This Row],[shipment date ]]-Table64[[#This Row],[Order date]])</f>
        <v/>
      </c>
      <c r="P691" s="27" t="str">
        <f>TEXT(Table64[[#This Row],[Order date]],"mmm-yyyy")</f>
        <v>Mar-2024</v>
      </c>
      <c r="Q691" s="16" t="str">
        <f t="shared" si="10"/>
        <v/>
      </c>
    </row>
    <row r="692" spans="1:17" x14ac:dyDescent="0.3">
      <c r="A692" s="12">
        <v>10691</v>
      </c>
      <c r="B692" s="1">
        <v>6040</v>
      </c>
      <c r="C692" s="1" t="s">
        <v>16</v>
      </c>
      <c r="D692" s="2">
        <v>48870.17</v>
      </c>
      <c r="E692" s="1">
        <v>65</v>
      </c>
      <c r="F692" s="1" t="s">
        <v>22</v>
      </c>
      <c r="G692" s="3">
        <v>45383</v>
      </c>
      <c r="H692" s="2">
        <v>69368.36</v>
      </c>
      <c r="I692" s="13" t="s">
        <v>17</v>
      </c>
      <c r="J692" s="14" t="s">
        <v>15</v>
      </c>
      <c r="K692" s="14">
        <v>1498</v>
      </c>
      <c r="L692" s="15">
        <v>45332</v>
      </c>
      <c r="M692" s="16">
        <v>6</v>
      </c>
      <c r="N69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92" s="31" t="str">
        <f>IF(Table64[[#This Row],[date validity flag]]&lt;&gt;"Valid","",Table64[[#This Row],[shipment date ]]-Table64[[#This Row],[Order date]])</f>
        <v/>
      </c>
      <c r="P692" s="27" t="str">
        <f>TEXT(Table64[[#This Row],[Order date]],"mmm-yyyy")</f>
        <v>Apr-2024</v>
      </c>
      <c r="Q692" s="16" t="str">
        <f t="shared" si="10"/>
        <v/>
      </c>
    </row>
    <row r="693" spans="1:17" x14ac:dyDescent="0.3">
      <c r="A693" s="17">
        <v>10692</v>
      </c>
      <c r="B693" s="4">
        <v>5792</v>
      </c>
      <c r="C693" s="4" t="s">
        <v>16</v>
      </c>
      <c r="D693" s="5">
        <v>21012.799999999999</v>
      </c>
      <c r="E693" s="4">
        <v>65</v>
      </c>
      <c r="F693" s="4" t="s">
        <v>13</v>
      </c>
      <c r="G693" s="6">
        <v>45306</v>
      </c>
      <c r="H693" s="5">
        <v>129508.16</v>
      </c>
      <c r="I693" s="18" t="s">
        <v>14</v>
      </c>
      <c r="J693" s="14" t="s">
        <v>15</v>
      </c>
      <c r="K693" s="14">
        <v>363</v>
      </c>
      <c r="L693" s="15">
        <v>45361</v>
      </c>
      <c r="M693" s="16">
        <v>11</v>
      </c>
      <c r="N6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93" s="31">
        <f>IF(Table64[[#This Row],[date validity flag]]&lt;&gt;"Valid","",Table64[[#This Row],[shipment date ]]-Table64[[#This Row],[Order date]])</f>
        <v>55</v>
      </c>
      <c r="P693" s="27" t="str">
        <f>TEXT(Table64[[#This Row],[Order date]],"mmm-yyyy")</f>
        <v>Jan-2024</v>
      </c>
      <c r="Q693" s="16" t="str">
        <f t="shared" si="10"/>
        <v>Delayed</v>
      </c>
    </row>
    <row r="694" spans="1:17" x14ac:dyDescent="0.3">
      <c r="A694" s="12">
        <v>10693</v>
      </c>
      <c r="B694" s="1">
        <v>5336</v>
      </c>
      <c r="C694" s="1" t="s">
        <v>16</v>
      </c>
      <c r="D694" s="2">
        <v>43524.65</v>
      </c>
      <c r="E694" s="1">
        <v>47</v>
      </c>
      <c r="F694" s="1" t="s">
        <v>23</v>
      </c>
      <c r="G694" s="3">
        <v>45361</v>
      </c>
      <c r="H694" s="2">
        <v>153224.04</v>
      </c>
      <c r="I694" s="13" t="s">
        <v>14</v>
      </c>
      <c r="J694" s="14" t="s">
        <v>15</v>
      </c>
      <c r="K694" s="14">
        <v>233</v>
      </c>
      <c r="L694" s="15">
        <v>45361</v>
      </c>
      <c r="M694" s="16">
        <v>5</v>
      </c>
      <c r="N6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94" s="31">
        <f>IF(Table64[[#This Row],[date validity flag]]&lt;&gt;"Valid","",Table64[[#This Row],[shipment date ]]-Table64[[#This Row],[Order date]])</f>
        <v>0</v>
      </c>
      <c r="P694" s="27" t="str">
        <f>TEXT(Table64[[#This Row],[Order date]],"mmm-yyyy")</f>
        <v>Mar-2024</v>
      </c>
      <c r="Q694" s="16" t="str">
        <f t="shared" si="10"/>
        <v>On Time</v>
      </c>
    </row>
    <row r="695" spans="1:17" x14ac:dyDescent="0.3">
      <c r="A695" s="17">
        <v>10694</v>
      </c>
      <c r="B695" s="4">
        <v>6783</v>
      </c>
      <c r="C695" s="4" t="s">
        <v>16</v>
      </c>
      <c r="D695" s="5">
        <v>93928.97</v>
      </c>
      <c r="E695" s="4">
        <v>20</v>
      </c>
      <c r="F695" s="4" t="s">
        <v>21</v>
      </c>
      <c r="G695" s="6">
        <v>45361</v>
      </c>
      <c r="H695" s="5">
        <v>56871.05</v>
      </c>
      <c r="I695" s="18" t="s">
        <v>17</v>
      </c>
      <c r="J695" s="14" t="s">
        <v>18</v>
      </c>
      <c r="K695" s="14">
        <v>762</v>
      </c>
      <c r="L695" s="15">
        <v>45332</v>
      </c>
      <c r="M695" s="16">
        <v>2</v>
      </c>
      <c r="N69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95" s="31" t="str">
        <f>IF(Table64[[#This Row],[date validity flag]]&lt;&gt;"Valid","",Table64[[#This Row],[shipment date ]]-Table64[[#This Row],[Order date]])</f>
        <v/>
      </c>
      <c r="P695" s="27" t="str">
        <f>TEXT(Table64[[#This Row],[Order date]],"mmm-yyyy")</f>
        <v>Mar-2024</v>
      </c>
      <c r="Q695" s="16" t="str">
        <f t="shared" si="10"/>
        <v/>
      </c>
    </row>
    <row r="696" spans="1:17" x14ac:dyDescent="0.3">
      <c r="A696" s="12">
        <v>10695</v>
      </c>
      <c r="B696" s="1">
        <v>5258</v>
      </c>
      <c r="C696" s="1" t="s">
        <v>16</v>
      </c>
      <c r="D696" s="2">
        <v>64821.03</v>
      </c>
      <c r="E696" s="1">
        <v>19</v>
      </c>
      <c r="F696" s="1" t="s">
        <v>23</v>
      </c>
      <c r="G696" s="3">
        <v>45361</v>
      </c>
      <c r="H696" s="2">
        <v>46443.81</v>
      </c>
      <c r="I696" s="13" t="s">
        <v>17</v>
      </c>
      <c r="J696" s="14" t="s">
        <v>19</v>
      </c>
      <c r="K696" s="14">
        <v>177</v>
      </c>
      <c r="L696" s="15">
        <v>45397</v>
      </c>
      <c r="M696" s="16">
        <v>12</v>
      </c>
      <c r="N6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96" s="31">
        <f>IF(Table64[[#This Row],[date validity flag]]&lt;&gt;"Valid","",Table64[[#This Row],[shipment date ]]-Table64[[#This Row],[Order date]])</f>
        <v>36</v>
      </c>
      <c r="P696" s="27" t="str">
        <f>TEXT(Table64[[#This Row],[Order date]],"mmm-yyyy")</f>
        <v>Mar-2024</v>
      </c>
      <c r="Q696" s="16" t="str">
        <f t="shared" si="10"/>
        <v>Delayed</v>
      </c>
    </row>
    <row r="697" spans="1:17" x14ac:dyDescent="0.3">
      <c r="A697" s="17">
        <v>10696</v>
      </c>
      <c r="B697" s="4">
        <v>5497</v>
      </c>
      <c r="C697" s="4" t="s">
        <v>16</v>
      </c>
      <c r="D697" s="5">
        <v>20794.78</v>
      </c>
      <c r="E697" s="4">
        <v>29</v>
      </c>
      <c r="F697" s="4" t="s">
        <v>23</v>
      </c>
      <c r="G697" s="6">
        <v>45337</v>
      </c>
      <c r="H697" s="5">
        <v>112211.33</v>
      </c>
      <c r="I697" s="18" t="s">
        <v>17</v>
      </c>
      <c r="J697" s="14" t="s">
        <v>19</v>
      </c>
      <c r="K697" s="14">
        <v>1360</v>
      </c>
      <c r="L697" s="15">
        <v>45361</v>
      </c>
      <c r="M697" s="16">
        <v>5</v>
      </c>
      <c r="N6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97" s="31">
        <f>IF(Table64[[#This Row],[date validity flag]]&lt;&gt;"Valid","",Table64[[#This Row],[shipment date ]]-Table64[[#This Row],[Order date]])</f>
        <v>24</v>
      </c>
      <c r="P697" s="27" t="str">
        <f>TEXT(Table64[[#This Row],[Order date]],"mmm-yyyy")</f>
        <v>Feb-2024</v>
      </c>
      <c r="Q697" s="16" t="str">
        <f t="shared" si="10"/>
        <v>Delayed</v>
      </c>
    </row>
    <row r="698" spans="1:17" x14ac:dyDescent="0.3">
      <c r="A698" s="12">
        <v>10697</v>
      </c>
      <c r="B698" s="1">
        <v>5896</v>
      </c>
      <c r="C698" s="1" t="s">
        <v>16</v>
      </c>
      <c r="D698" s="2">
        <v>15214.25</v>
      </c>
      <c r="E698" s="1">
        <v>74</v>
      </c>
      <c r="F698" s="1" t="s">
        <v>22</v>
      </c>
      <c r="G698" s="3">
        <v>45337</v>
      </c>
      <c r="H698" s="2">
        <v>144921.73000000001</v>
      </c>
      <c r="I698" s="13" t="s">
        <v>20</v>
      </c>
      <c r="J698" s="14" t="s">
        <v>19</v>
      </c>
      <c r="K698" s="14">
        <v>1326</v>
      </c>
      <c r="L698" s="15">
        <v>45397</v>
      </c>
      <c r="M698" s="16">
        <v>9</v>
      </c>
      <c r="N6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698" s="31">
        <f>IF(Table64[[#This Row],[date validity flag]]&lt;&gt;"Valid","",Table64[[#This Row],[shipment date ]]-Table64[[#This Row],[Order date]])</f>
        <v>60</v>
      </c>
      <c r="P698" s="27" t="str">
        <f>TEXT(Table64[[#This Row],[Order date]],"mmm-yyyy")</f>
        <v>Feb-2024</v>
      </c>
      <c r="Q698" s="16" t="str">
        <f t="shared" si="10"/>
        <v>Delayed</v>
      </c>
    </row>
    <row r="699" spans="1:17" x14ac:dyDescent="0.3">
      <c r="A699" s="17">
        <v>10698</v>
      </c>
      <c r="B699" s="4">
        <v>5160</v>
      </c>
      <c r="C699" s="4" t="s">
        <v>16</v>
      </c>
      <c r="D699" s="5">
        <v>32330.6</v>
      </c>
      <c r="E699" s="4">
        <v>60</v>
      </c>
      <c r="F699" s="4" t="s">
        <v>21</v>
      </c>
      <c r="G699" s="6">
        <v>45383</v>
      </c>
      <c r="H699" s="5">
        <v>122646.86</v>
      </c>
      <c r="I699" s="18" t="s">
        <v>14</v>
      </c>
      <c r="J699" s="14" t="s">
        <v>15</v>
      </c>
      <c r="K699" s="14">
        <v>749</v>
      </c>
      <c r="L699" s="15">
        <v>45332</v>
      </c>
      <c r="M699" s="16">
        <v>4</v>
      </c>
      <c r="N69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699" s="31" t="str">
        <f>IF(Table64[[#This Row],[date validity flag]]&lt;&gt;"Valid","",Table64[[#This Row],[shipment date ]]-Table64[[#This Row],[Order date]])</f>
        <v/>
      </c>
      <c r="P699" s="27" t="str">
        <f>TEXT(Table64[[#This Row],[Order date]],"mmm-yyyy")</f>
        <v>Apr-2024</v>
      </c>
      <c r="Q699" s="16" t="str">
        <f t="shared" si="10"/>
        <v/>
      </c>
    </row>
    <row r="700" spans="1:17" x14ac:dyDescent="0.3">
      <c r="A700" s="12">
        <v>10699</v>
      </c>
      <c r="B700" s="1">
        <v>6499</v>
      </c>
      <c r="C700" s="1" t="s">
        <v>16</v>
      </c>
      <c r="D700" s="2">
        <v>51425.38</v>
      </c>
      <c r="E700" s="1">
        <v>18</v>
      </c>
      <c r="F700" s="1" t="s">
        <v>23</v>
      </c>
      <c r="G700" s="3">
        <v>45361</v>
      </c>
      <c r="H700" s="2">
        <v>103037.04</v>
      </c>
      <c r="I700" s="13" t="s">
        <v>17</v>
      </c>
      <c r="J700" s="14" t="s">
        <v>19</v>
      </c>
      <c r="K700" s="14">
        <v>435</v>
      </c>
      <c r="L700" s="15">
        <v>45397</v>
      </c>
      <c r="M700" s="16">
        <v>12</v>
      </c>
      <c r="N7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00" s="31">
        <f>IF(Table64[[#This Row],[date validity flag]]&lt;&gt;"Valid","",Table64[[#This Row],[shipment date ]]-Table64[[#This Row],[Order date]])</f>
        <v>36</v>
      </c>
      <c r="P700" s="27" t="str">
        <f>TEXT(Table64[[#This Row],[Order date]],"mmm-yyyy")</f>
        <v>Mar-2024</v>
      </c>
      <c r="Q700" s="16" t="str">
        <f t="shared" si="10"/>
        <v>Delayed</v>
      </c>
    </row>
    <row r="701" spans="1:17" x14ac:dyDescent="0.3">
      <c r="A701" s="17">
        <v>10700</v>
      </c>
      <c r="B701" s="4">
        <v>5852</v>
      </c>
      <c r="C701" s="4" t="s">
        <v>16</v>
      </c>
      <c r="D701" s="5">
        <v>18990.900000000001</v>
      </c>
      <c r="E701" s="4">
        <v>92</v>
      </c>
      <c r="F701" s="4" t="s">
        <v>22</v>
      </c>
      <c r="G701" s="6">
        <v>45361</v>
      </c>
      <c r="H701" s="5">
        <v>101986.44</v>
      </c>
      <c r="I701" s="18" t="s">
        <v>20</v>
      </c>
      <c r="J701" s="14" t="s">
        <v>15</v>
      </c>
      <c r="K701" s="14">
        <v>1303</v>
      </c>
      <c r="L701" s="15">
        <v>45332</v>
      </c>
      <c r="M701" s="16">
        <v>10</v>
      </c>
      <c r="N70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01" s="31" t="str">
        <f>IF(Table64[[#This Row],[date validity flag]]&lt;&gt;"Valid","",Table64[[#This Row],[shipment date ]]-Table64[[#This Row],[Order date]])</f>
        <v/>
      </c>
      <c r="P701" s="27" t="str">
        <f>TEXT(Table64[[#This Row],[Order date]],"mmm-yyyy")</f>
        <v>Mar-2024</v>
      </c>
      <c r="Q701" s="16" t="str">
        <f t="shared" si="10"/>
        <v/>
      </c>
    </row>
    <row r="702" spans="1:17" x14ac:dyDescent="0.3">
      <c r="A702" s="12">
        <v>10701</v>
      </c>
      <c r="B702" s="1">
        <v>6688</v>
      </c>
      <c r="C702" s="1" t="s">
        <v>16</v>
      </c>
      <c r="D702" s="2">
        <v>94212.68</v>
      </c>
      <c r="E702" s="1">
        <v>35</v>
      </c>
      <c r="F702" s="1" t="s">
        <v>23</v>
      </c>
      <c r="G702" s="3">
        <v>45306</v>
      </c>
      <c r="H702" s="2">
        <v>134813.26</v>
      </c>
      <c r="I702" s="13" t="s">
        <v>17</v>
      </c>
      <c r="J702" s="14" t="s">
        <v>19</v>
      </c>
      <c r="K702" s="14">
        <v>320</v>
      </c>
      <c r="L702" s="15">
        <v>45332</v>
      </c>
      <c r="M702" s="16">
        <v>2</v>
      </c>
      <c r="N7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02" s="31">
        <f>IF(Table64[[#This Row],[date validity flag]]&lt;&gt;"Valid","",Table64[[#This Row],[shipment date ]]-Table64[[#This Row],[Order date]])</f>
        <v>26</v>
      </c>
      <c r="P702" s="27" t="str">
        <f>TEXT(Table64[[#This Row],[Order date]],"mmm-yyyy")</f>
        <v>Jan-2024</v>
      </c>
      <c r="Q702" s="16" t="str">
        <f t="shared" si="10"/>
        <v>Delayed</v>
      </c>
    </row>
    <row r="703" spans="1:17" x14ac:dyDescent="0.3">
      <c r="A703" s="17">
        <v>10702</v>
      </c>
      <c r="B703" s="4">
        <v>6932</v>
      </c>
      <c r="C703" s="4" t="s">
        <v>16</v>
      </c>
      <c r="D703" s="5">
        <v>53016.32</v>
      </c>
      <c r="E703" s="4">
        <v>43</v>
      </c>
      <c r="F703" s="4" t="s">
        <v>23</v>
      </c>
      <c r="G703" s="6">
        <v>45383</v>
      </c>
      <c r="H703" s="5">
        <v>26596.07</v>
      </c>
      <c r="I703" s="18" t="s">
        <v>14</v>
      </c>
      <c r="J703" s="14" t="s">
        <v>15</v>
      </c>
      <c r="K703" s="14">
        <v>860</v>
      </c>
      <c r="L703" s="15">
        <v>45332</v>
      </c>
      <c r="M703" s="16">
        <v>3</v>
      </c>
      <c r="N70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03" s="31" t="str">
        <f>IF(Table64[[#This Row],[date validity flag]]&lt;&gt;"Valid","",Table64[[#This Row],[shipment date ]]-Table64[[#This Row],[Order date]])</f>
        <v/>
      </c>
      <c r="P703" s="27" t="str">
        <f>TEXT(Table64[[#This Row],[Order date]],"mmm-yyyy")</f>
        <v>Apr-2024</v>
      </c>
      <c r="Q703" s="16" t="str">
        <f t="shared" si="10"/>
        <v/>
      </c>
    </row>
    <row r="704" spans="1:17" x14ac:dyDescent="0.3">
      <c r="A704" s="12">
        <v>10703</v>
      </c>
      <c r="B704" s="1">
        <v>5690</v>
      </c>
      <c r="C704" s="1" t="s">
        <v>12</v>
      </c>
      <c r="D704" s="2">
        <v>16927.28</v>
      </c>
      <c r="E704" s="1">
        <v>95</v>
      </c>
      <c r="F704" s="1" t="s">
        <v>22</v>
      </c>
      <c r="G704" s="3">
        <v>45306</v>
      </c>
      <c r="H704" s="2">
        <v>56371.66</v>
      </c>
      <c r="I704" s="13" t="s">
        <v>20</v>
      </c>
      <c r="J704" s="14" t="s">
        <v>19</v>
      </c>
      <c r="K704" s="14">
        <v>464</v>
      </c>
      <c r="L704" s="15">
        <v>45332</v>
      </c>
      <c r="M704" s="16">
        <v>3</v>
      </c>
      <c r="N7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04" s="31">
        <f>IF(Table64[[#This Row],[date validity flag]]&lt;&gt;"Valid","",Table64[[#This Row],[shipment date ]]-Table64[[#This Row],[Order date]])</f>
        <v>26</v>
      </c>
      <c r="P704" s="27" t="str">
        <f>TEXT(Table64[[#This Row],[Order date]],"mmm-yyyy")</f>
        <v>Jan-2024</v>
      </c>
      <c r="Q704" s="16" t="str">
        <f t="shared" si="10"/>
        <v>Delayed</v>
      </c>
    </row>
    <row r="705" spans="1:17" x14ac:dyDescent="0.3">
      <c r="A705" s="17">
        <v>10704</v>
      </c>
      <c r="B705" s="4">
        <v>6699</v>
      </c>
      <c r="C705" s="4" t="s">
        <v>16</v>
      </c>
      <c r="D705" s="5">
        <v>20686.86</v>
      </c>
      <c r="E705" s="4">
        <v>91</v>
      </c>
      <c r="F705" s="4" t="s">
        <v>22</v>
      </c>
      <c r="G705" s="6">
        <v>45383</v>
      </c>
      <c r="H705" s="5">
        <v>46900.3</v>
      </c>
      <c r="I705" s="18" t="s">
        <v>20</v>
      </c>
      <c r="J705" s="14" t="s">
        <v>18</v>
      </c>
      <c r="K705" s="14">
        <v>247</v>
      </c>
      <c r="L705" s="15">
        <v>45397</v>
      </c>
      <c r="M705" s="16">
        <v>9</v>
      </c>
      <c r="N7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05" s="31">
        <f>IF(Table64[[#This Row],[date validity flag]]&lt;&gt;"Valid","",Table64[[#This Row],[shipment date ]]-Table64[[#This Row],[Order date]])</f>
        <v>14</v>
      </c>
      <c r="P705" s="27" t="str">
        <f>TEXT(Table64[[#This Row],[Order date]],"mmm-yyyy")</f>
        <v>Apr-2024</v>
      </c>
      <c r="Q705" s="16" t="str">
        <f t="shared" si="10"/>
        <v>Delayed</v>
      </c>
    </row>
    <row r="706" spans="1:17" x14ac:dyDescent="0.3">
      <c r="A706" s="12">
        <v>10705</v>
      </c>
      <c r="B706" s="1">
        <v>5380</v>
      </c>
      <c r="C706" s="1" t="s">
        <v>12</v>
      </c>
      <c r="D706" s="2">
        <v>27210.67</v>
      </c>
      <c r="E706" s="1">
        <v>11</v>
      </c>
      <c r="F706" s="1" t="s">
        <v>22</v>
      </c>
      <c r="G706" s="3">
        <v>45383</v>
      </c>
      <c r="H706" s="2">
        <v>139825.85999999999</v>
      </c>
      <c r="I706" s="13" t="s">
        <v>20</v>
      </c>
      <c r="J706" s="14" t="s">
        <v>18</v>
      </c>
      <c r="K706" s="14">
        <v>1396</v>
      </c>
      <c r="L706" s="15">
        <v>45332</v>
      </c>
      <c r="M706" s="16">
        <v>4</v>
      </c>
      <c r="N70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06" s="31" t="str">
        <f>IF(Table64[[#This Row],[date validity flag]]&lt;&gt;"Valid","",Table64[[#This Row],[shipment date ]]-Table64[[#This Row],[Order date]])</f>
        <v/>
      </c>
      <c r="P706" s="27" t="str">
        <f>TEXT(Table64[[#This Row],[Order date]],"mmm-yyyy")</f>
        <v>Apr-2024</v>
      </c>
      <c r="Q706" s="16" t="str">
        <f t="shared" ref="Q706:Q769" si="11">IF(O706="","",IF(O706&gt;0,"Delayed","On Time"))</f>
        <v/>
      </c>
    </row>
    <row r="707" spans="1:17" x14ac:dyDescent="0.3">
      <c r="A707" s="17">
        <v>10706</v>
      </c>
      <c r="B707" s="4">
        <v>6569</v>
      </c>
      <c r="C707" s="4" t="s">
        <v>16</v>
      </c>
      <c r="D707" s="5">
        <v>57736.6</v>
      </c>
      <c r="E707" s="4">
        <v>49</v>
      </c>
      <c r="F707" s="4" t="s">
        <v>21</v>
      </c>
      <c r="G707" s="6">
        <v>45337</v>
      </c>
      <c r="H707" s="5">
        <v>126245.49</v>
      </c>
      <c r="I707" s="18" t="s">
        <v>17</v>
      </c>
      <c r="J707" s="14" t="s">
        <v>15</v>
      </c>
      <c r="K707" s="14">
        <v>1129</v>
      </c>
      <c r="L707" s="15">
        <v>45332</v>
      </c>
      <c r="M707" s="16">
        <v>1</v>
      </c>
      <c r="N70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07" s="31" t="str">
        <f>IF(Table64[[#This Row],[date validity flag]]&lt;&gt;"Valid","",Table64[[#This Row],[shipment date ]]-Table64[[#This Row],[Order date]])</f>
        <v/>
      </c>
      <c r="P707" s="27" t="str">
        <f>TEXT(Table64[[#This Row],[Order date]],"mmm-yyyy")</f>
        <v>Feb-2024</v>
      </c>
      <c r="Q707" s="16" t="str">
        <f t="shared" si="11"/>
        <v/>
      </c>
    </row>
    <row r="708" spans="1:17" x14ac:dyDescent="0.3">
      <c r="A708" s="12">
        <v>10707</v>
      </c>
      <c r="B708" s="1">
        <v>6953</v>
      </c>
      <c r="C708" s="1" t="s">
        <v>16</v>
      </c>
      <c r="D708" s="2">
        <v>13959.74</v>
      </c>
      <c r="E708" s="1">
        <v>38</v>
      </c>
      <c r="F708" s="1" t="s">
        <v>23</v>
      </c>
      <c r="G708" s="3">
        <v>45337</v>
      </c>
      <c r="H708" s="2">
        <v>91145.47</v>
      </c>
      <c r="I708" s="13" t="s">
        <v>14</v>
      </c>
      <c r="J708" s="14" t="s">
        <v>15</v>
      </c>
      <c r="K708" s="14">
        <v>880</v>
      </c>
      <c r="L708" s="15">
        <v>45397</v>
      </c>
      <c r="M708" s="16">
        <v>1</v>
      </c>
      <c r="N70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08" s="31">
        <f>IF(Table64[[#This Row],[date validity flag]]&lt;&gt;"Valid","",Table64[[#This Row],[shipment date ]]-Table64[[#This Row],[Order date]])</f>
        <v>60</v>
      </c>
      <c r="P708" s="27" t="str">
        <f>TEXT(Table64[[#This Row],[Order date]],"mmm-yyyy")</f>
        <v>Feb-2024</v>
      </c>
      <c r="Q708" s="16" t="str">
        <f t="shared" si="11"/>
        <v>Delayed</v>
      </c>
    </row>
    <row r="709" spans="1:17" x14ac:dyDescent="0.3">
      <c r="A709" s="17">
        <v>10708</v>
      </c>
      <c r="B709" s="4">
        <v>5957</v>
      </c>
      <c r="C709" s="4" t="s">
        <v>16</v>
      </c>
      <c r="D709" s="5">
        <v>42414.94</v>
      </c>
      <c r="E709" s="4">
        <v>64</v>
      </c>
      <c r="F709" s="4" t="s">
        <v>22</v>
      </c>
      <c r="G709" s="6">
        <v>45306</v>
      </c>
      <c r="H709" s="5">
        <v>52081.2</v>
      </c>
      <c r="I709" s="18" t="s">
        <v>20</v>
      </c>
      <c r="J709" s="14" t="s">
        <v>19</v>
      </c>
      <c r="K709" s="14">
        <v>1276</v>
      </c>
      <c r="L709" s="15">
        <v>45361</v>
      </c>
      <c r="M709" s="16">
        <v>7</v>
      </c>
      <c r="N7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09" s="31">
        <f>IF(Table64[[#This Row],[date validity flag]]&lt;&gt;"Valid","",Table64[[#This Row],[shipment date ]]-Table64[[#This Row],[Order date]])</f>
        <v>55</v>
      </c>
      <c r="P709" s="27" t="str">
        <f>TEXT(Table64[[#This Row],[Order date]],"mmm-yyyy")</f>
        <v>Jan-2024</v>
      </c>
      <c r="Q709" s="16" t="str">
        <f t="shared" si="11"/>
        <v>Delayed</v>
      </c>
    </row>
    <row r="710" spans="1:17" x14ac:dyDescent="0.3">
      <c r="A710" s="12">
        <v>10709</v>
      </c>
      <c r="B710" s="1">
        <v>5691</v>
      </c>
      <c r="C710" s="1" t="s">
        <v>16</v>
      </c>
      <c r="D710" s="2">
        <v>69359.17</v>
      </c>
      <c r="E710" s="1">
        <v>69</v>
      </c>
      <c r="F710" s="1" t="s">
        <v>13</v>
      </c>
      <c r="G710" s="3">
        <v>45383</v>
      </c>
      <c r="H710" s="2">
        <v>27509.52</v>
      </c>
      <c r="I710" s="13" t="s">
        <v>17</v>
      </c>
      <c r="J710" s="14" t="s">
        <v>19</v>
      </c>
      <c r="K710" s="14">
        <v>677</v>
      </c>
      <c r="L710" s="15">
        <v>45397</v>
      </c>
      <c r="M710" s="16">
        <v>7</v>
      </c>
      <c r="N7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10" s="31">
        <f>IF(Table64[[#This Row],[date validity flag]]&lt;&gt;"Valid","",Table64[[#This Row],[shipment date ]]-Table64[[#This Row],[Order date]])</f>
        <v>14</v>
      </c>
      <c r="P710" s="27" t="str">
        <f>TEXT(Table64[[#This Row],[Order date]],"mmm-yyyy")</f>
        <v>Apr-2024</v>
      </c>
      <c r="Q710" s="16" t="str">
        <f t="shared" si="11"/>
        <v>Delayed</v>
      </c>
    </row>
    <row r="711" spans="1:17" x14ac:dyDescent="0.3">
      <c r="A711" s="17">
        <v>10710</v>
      </c>
      <c r="B711" s="4">
        <v>6451</v>
      </c>
      <c r="C711" s="4" t="s">
        <v>12</v>
      </c>
      <c r="D711" s="5">
        <v>74586.64</v>
      </c>
      <c r="E711" s="4">
        <v>8</v>
      </c>
      <c r="F711" s="4" t="s">
        <v>23</v>
      </c>
      <c r="G711" s="6">
        <v>45361</v>
      </c>
      <c r="H711" s="5">
        <v>175242.97</v>
      </c>
      <c r="I711" s="18" t="s">
        <v>14</v>
      </c>
      <c r="J711" s="14" t="s">
        <v>18</v>
      </c>
      <c r="K711" s="14">
        <v>653</v>
      </c>
      <c r="L711" s="15">
        <v>45397</v>
      </c>
      <c r="M711" s="16">
        <v>2</v>
      </c>
      <c r="N7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11" s="31">
        <f>IF(Table64[[#This Row],[date validity flag]]&lt;&gt;"Valid","",Table64[[#This Row],[shipment date ]]-Table64[[#This Row],[Order date]])</f>
        <v>36</v>
      </c>
      <c r="P711" s="27" t="str">
        <f>TEXT(Table64[[#This Row],[Order date]],"mmm-yyyy")</f>
        <v>Mar-2024</v>
      </c>
      <c r="Q711" s="16" t="str">
        <f t="shared" si="11"/>
        <v>Delayed</v>
      </c>
    </row>
    <row r="712" spans="1:17" x14ac:dyDescent="0.3">
      <c r="A712" s="12">
        <v>10711</v>
      </c>
      <c r="B712" s="1">
        <v>6637</v>
      </c>
      <c r="C712" s="1" t="s">
        <v>12</v>
      </c>
      <c r="D712" s="2">
        <v>27425.09</v>
      </c>
      <c r="E712" s="1">
        <v>34</v>
      </c>
      <c r="F712" s="1" t="s">
        <v>13</v>
      </c>
      <c r="G712" s="3">
        <v>45337</v>
      </c>
      <c r="H712" s="2">
        <v>23411.26</v>
      </c>
      <c r="I712" s="13" t="s">
        <v>17</v>
      </c>
      <c r="J712" s="14" t="s">
        <v>19</v>
      </c>
      <c r="K712" s="14">
        <v>1211</v>
      </c>
      <c r="L712" s="15">
        <v>45397</v>
      </c>
      <c r="M712" s="16">
        <v>9</v>
      </c>
      <c r="N7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12" s="31">
        <f>IF(Table64[[#This Row],[date validity flag]]&lt;&gt;"Valid","",Table64[[#This Row],[shipment date ]]-Table64[[#This Row],[Order date]])</f>
        <v>60</v>
      </c>
      <c r="P712" s="27" t="str">
        <f>TEXT(Table64[[#This Row],[Order date]],"mmm-yyyy")</f>
        <v>Feb-2024</v>
      </c>
      <c r="Q712" s="16" t="str">
        <f t="shared" si="11"/>
        <v>Delayed</v>
      </c>
    </row>
    <row r="713" spans="1:17" x14ac:dyDescent="0.3">
      <c r="A713" s="17">
        <v>10712</v>
      </c>
      <c r="B713" s="4">
        <v>6292</v>
      </c>
      <c r="C713" s="4" t="s">
        <v>12</v>
      </c>
      <c r="D713" s="5">
        <v>30431.24</v>
      </c>
      <c r="E713" s="4">
        <v>48</v>
      </c>
      <c r="F713" s="4" t="s">
        <v>21</v>
      </c>
      <c r="G713" s="6">
        <v>45361</v>
      </c>
      <c r="H713" s="5">
        <v>23767.19</v>
      </c>
      <c r="I713" s="18" t="s">
        <v>17</v>
      </c>
      <c r="J713" s="14" t="s">
        <v>15</v>
      </c>
      <c r="K713" s="14">
        <v>1495</v>
      </c>
      <c r="L713" s="15">
        <v>45332</v>
      </c>
      <c r="M713" s="16">
        <v>9</v>
      </c>
      <c r="N71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13" s="31" t="str">
        <f>IF(Table64[[#This Row],[date validity flag]]&lt;&gt;"Valid","",Table64[[#This Row],[shipment date ]]-Table64[[#This Row],[Order date]])</f>
        <v/>
      </c>
      <c r="P713" s="27" t="str">
        <f>TEXT(Table64[[#This Row],[Order date]],"mmm-yyyy")</f>
        <v>Mar-2024</v>
      </c>
      <c r="Q713" s="16" t="str">
        <f t="shared" si="11"/>
        <v/>
      </c>
    </row>
    <row r="714" spans="1:17" x14ac:dyDescent="0.3">
      <c r="A714" s="12">
        <v>10713</v>
      </c>
      <c r="B714" s="1">
        <v>6859</v>
      </c>
      <c r="C714" s="1" t="s">
        <v>16</v>
      </c>
      <c r="D714" s="2">
        <v>24062.22</v>
      </c>
      <c r="E714" s="1">
        <v>56</v>
      </c>
      <c r="F714" s="1" t="s">
        <v>22</v>
      </c>
      <c r="G714" s="3">
        <v>45306</v>
      </c>
      <c r="H714" s="2">
        <v>68001.89</v>
      </c>
      <c r="I714" s="13" t="s">
        <v>20</v>
      </c>
      <c r="J714" s="14" t="s">
        <v>15</v>
      </c>
      <c r="K714" s="14">
        <v>1130</v>
      </c>
      <c r="L714" s="15">
        <v>45332</v>
      </c>
      <c r="M714" s="16">
        <v>5</v>
      </c>
      <c r="N7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14" s="31">
        <f>IF(Table64[[#This Row],[date validity flag]]&lt;&gt;"Valid","",Table64[[#This Row],[shipment date ]]-Table64[[#This Row],[Order date]])</f>
        <v>26</v>
      </c>
      <c r="P714" s="27" t="str">
        <f>TEXT(Table64[[#This Row],[Order date]],"mmm-yyyy")</f>
        <v>Jan-2024</v>
      </c>
      <c r="Q714" s="16" t="str">
        <f t="shared" si="11"/>
        <v>Delayed</v>
      </c>
    </row>
    <row r="715" spans="1:17" x14ac:dyDescent="0.3">
      <c r="A715" s="17">
        <v>10714</v>
      </c>
      <c r="B715" s="4">
        <v>6601</v>
      </c>
      <c r="C715" s="4" t="s">
        <v>16</v>
      </c>
      <c r="D715" s="5">
        <v>49878.35</v>
      </c>
      <c r="E715" s="4">
        <v>76</v>
      </c>
      <c r="F715" s="4" t="s">
        <v>13</v>
      </c>
      <c r="G715" s="6">
        <v>45337</v>
      </c>
      <c r="H715" s="5">
        <v>148858.76999999999</v>
      </c>
      <c r="I715" s="18" t="s">
        <v>20</v>
      </c>
      <c r="J715" s="14" t="s">
        <v>15</v>
      </c>
      <c r="K715" s="14">
        <v>1059</v>
      </c>
      <c r="L715" s="15">
        <v>45332</v>
      </c>
      <c r="M715" s="16">
        <v>3</v>
      </c>
      <c r="N71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15" s="31" t="str">
        <f>IF(Table64[[#This Row],[date validity flag]]&lt;&gt;"Valid","",Table64[[#This Row],[shipment date ]]-Table64[[#This Row],[Order date]])</f>
        <v/>
      </c>
      <c r="P715" s="27" t="str">
        <f>TEXT(Table64[[#This Row],[Order date]],"mmm-yyyy")</f>
        <v>Feb-2024</v>
      </c>
      <c r="Q715" s="16" t="str">
        <f t="shared" si="11"/>
        <v/>
      </c>
    </row>
    <row r="716" spans="1:17" x14ac:dyDescent="0.3">
      <c r="A716" s="12">
        <v>10715</v>
      </c>
      <c r="B716" s="1">
        <v>6441</v>
      </c>
      <c r="C716" s="1" t="s">
        <v>16</v>
      </c>
      <c r="D716" s="2">
        <v>72438.19</v>
      </c>
      <c r="E716" s="1">
        <v>65</v>
      </c>
      <c r="F716" s="1" t="s">
        <v>21</v>
      </c>
      <c r="G716" s="3">
        <v>45337</v>
      </c>
      <c r="H716" s="2">
        <v>21543.97</v>
      </c>
      <c r="I716" s="13" t="s">
        <v>17</v>
      </c>
      <c r="J716" s="14" t="s">
        <v>15</v>
      </c>
      <c r="K716" s="14">
        <v>120</v>
      </c>
      <c r="L716" s="15">
        <v>45361</v>
      </c>
      <c r="M716" s="16">
        <v>3</v>
      </c>
      <c r="N7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16" s="31">
        <f>IF(Table64[[#This Row],[date validity flag]]&lt;&gt;"Valid","",Table64[[#This Row],[shipment date ]]-Table64[[#This Row],[Order date]])</f>
        <v>24</v>
      </c>
      <c r="P716" s="27" t="str">
        <f>TEXT(Table64[[#This Row],[Order date]],"mmm-yyyy")</f>
        <v>Feb-2024</v>
      </c>
      <c r="Q716" s="16" t="str">
        <f t="shared" si="11"/>
        <v>Delayed</v>
      </c>
    </row>
    <row r="717" spans="1:17" x14ac:dyDescent="0.3">
      <c r="A717" s="17">
        <v>10716</v>
      </c>
      <c r="B717" s="4">
        <v>6192</v>
      </c>
      <c r="C717" s="4" t="s">
        <v>16</v>
      </c>
      <c r="D717" s="5">
        <v>50654.34</v>
      </c>
      <c r="E717" s="4">
        <v>31</v>
      </c>
      <c r="F717" s="4" t="s">
        <v>22</v>
      </c>
      <c r="G717" s="6">
        <v>45383</v>
      </c>
      <c r="H717" s="5">
        <v>32848.43</v>
      </c>
      <c r="I717" s="18" t="s">
        <v>17</v>
      </c>
      <c r="J717" s="14" t="s">
        <v>15</v>
      </c>
      <c r="K717" s="14">
        <v>960</v>
      </c>
      <c r="L717" s="15">
        <v>45332</v>
      </c>
      <c r="M717" s="16">
        <v>12</v>
      </c>
      <c r="N71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17" s="31" t="str">
        <f>IF(Table64[[#This Row],[date validity flag]]&lt;&gt;"Valid","",Table64[[#This Row],[shipment date ]]-Table64[[#This Row],[Order date]])</f>
        <v/>
      </c>
      <c r="P717" s="27" t="str">
        <f>TEXT(Table64[[#This Row],[Order date]],"mmm-yyyy")</f>
        <v>Apr-2024</v>
      </c>
      <c r="Q717" s="16" t="str">
        <f t="shared" si="11"/>
        <v/>
      </c>
    </row>
    <row r="718" spans="1:17" x14ac:dyDescent="0.3">
      <c r="A718" s="12">
        <v>10717</v>
      </c>
      <c r="B718" s="1">
        <v>6866</v>
      </c>
      <c r="C718" s="1" t="s">
        <v>16</v>
      </c>
      <c r="D718" s="2">
        <v>56335.49</v>
      </c>
      <c r="E718" s="1">
        <v>4</v>
      </c>
      <c r="F718" s="1" t="s">
        <v>13</v>
      </c>
      <c r="G718" s="3">
        <v>45306</v>
      </c>
      <c r="H718" s="2">
        <v>114016.48</v>
      </c>
      <c r="I718" s="13" t="s">
        <v>17</v>
      </c>
      <c r="J718" s="14" t="s">
        <v>18</v>
      </c>
      <c r="K718" s="14">
        <v>643</v>
      </c>
      <c r="L718" s="15">
        <v>45361</v>
      </c>
      <c r="M718" s="16">
        <v>3</v>
      </c>
      <c r="N7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18" s="31">
        <f>IF(Table64[[#This Row],[date validity flag]]&lt;&gt;"Valid","",Table64[[#This Row],[shipment date ]]-Table64[[#This Row],[Order date]])</f>
        <v>55</v>
      </c>
      <c r="P718" s="27" t="str">
        <f>TEXT(Table64[[#This Row],[Order date]],"mmm-yyyy")</f>
        <v>Jan-2024</v>
      </c>
      <c r="Q718" s="16" t="str">
        <f t="shared" si="11"/>
        <v>Delayed</v>
      </c>
    </row>
    <row r="719" spans="1:17" x14ac:dyDescent="0.3">
      <c r="A719" s="17">
        <v>10718</v>
      </c>
      <c r="B719" s="4">
        <v>6067</v>
      </c>
      <c r="C719" s="4" t="s">
        <v>12</v>
      </c>
      <c r="D719" s="5">
        <v>23808.38</v>
      </c>
      <c r="E719" s="4">
        <v>50</v>
      </c>
      <c r="F719" s="4" t="s">
        <v>13</v>
      </c>
      <c r="G719" s="6">
        <v>45383</v>
      </c>
      <c r="H719" s="5">
        <v>78214.94</v>
      </c>
      <c r="I719" s="18" t="s">
        <v>14</v>
      </c>
      <c r="J719" s="14" t="s">
        <v>18</v>
      </c>
      <c r="K719" s="14">
        <v>1445</v>
      </c>
      <c r="L719" s="15">
        <v>45332</v>
      </c>
      <c r="M719" s="16">
        <v>6</v>
      </c>
      <c r="N71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19" s="31" t="str">
        <f>IF(Table64[[#This Row],[date validity flag]]&lt;&gt;"Valid","",Table64[[#This Row],[shipment date ]]-Table64[[#This Row],[Order date]])</f>
        <v/>
      </c>
      <c r="P719" s="27" t="str">
        <f>TEXT(Table64[[#This Row],[Order date]],"mmm-yyyy")</f>
        <v>Apr-2024</v>
      </c>
      <c r="Q719" s="16" t="str">
        <f t="shared" si="11"/>
        <v/>
      </c>
    </row>
    <row r="720" spans="1:17" x14ac:dyDescent="0.3">
      <c r="A720" s="12">
        <v>10719</v>
      </c>
      <c r="B720" s="1">
        <v>6580</v>
      </c>
      <c r="C720" s="1" t="s">
        <v>16</v>
      </c>
      <c r="D720" s="2">
        <v>26718.240000000002</v>
      </c>
      <c r="E720" s="1">
        <v>69</v>
      </c>
      <c r="F720" s="1" t="s">
        <v>21</v>
      </c>
      <c r="G720" s="3">
        <v>45337</v>
      </c>
      <c r="H720" s="2">
        <v>75377.490000000005</v>
      </c>
      <c r="I720" s="13" t="s">
        <v>17</v>
      </c>
      <c r="J720" s="14" t="s">
        <v>15</v>
      </c>
      <c r="K720" s="14">
        <v>649</v>
      </c>
      <c r="L720" s="15">
        <v>45397</v>
      </c>
      <c r="M720" s="16">
        <v>4</v>
      </c>
      <c r="N7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20" s="31">
        <f>IF(Table64[[#This Row],[date validity flag]]&lt;&gt;"Valid","",Table64[[#This Row],[shipment date ]]-Table64[[#This Row],[Order date]])</f>
        <v>60</v>
      </c>
      <c r="P720" s="27" t="str">
        <f>TEXT(Table64[[#This Row],[Order date]],"mmm-yyyy")</f>
        <v>Feb-2024</v>
      </c>
      <c r="Q720" s="16" t="str">
        <f t="shared" si="11"/>
        <v>Delayed</v>
      </c>
    </row>
    <row r="721" spans="1:17" x14ac:dyDescent="0.3">
      <c r="A721" s="17">
        <v>10720</v>
      </c>
      <c r="B721" s="4">
        <v>5285</v>
      </c>
      <c r="C721" s="4" t="s">
        <v>16</v>
      </c>
      <c r="D721" s="5">
        <v>42709.98</v>
      </c>
      <c r="E721" s="4">
        <v>30</v>
      </c>
      <c r="F721" s="4" t="s">
        <v>22</v>
      </c>
      <c r="G721" s="6">
        <v>45306</v>
      </c>
      <c r="H721" s="5">
        <v>20554.03</v>
      </c>
      <c r="I721" s="18" t="s">
        <v>17</v>
      </c>
      <c r="J721" s="14" t="s">
        <v>19</v>
      </c>
      <c r="K721" s="14">
        <v>563</v>
      </c>
      <c r="L721" s="15">
        <v>45332</v>
      </c>
      <c r="M721" s="16">
        <v>8</v>
      </c>
      <c r="N7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21" s="31">
        <f>IF(Table64[[#This Row],[date validity flag]]&lt;&gt;"Valid","",Table64[[#This Row],[shipment date ]]-Table64[[#This Row],[Order date]])</f>
        <v>26</v>
      </c>
      <c r="P721" s="27" t="str">
        <f>TEXT(Table64[[#This Row],[Order date]],"mmm-yyyy")</f>
        <v>Jan-2024</v>
      </c>
      <c r="Q721" s="16" t="str">
        <f t="shared" si="11"/>
        <v>Delayed</v>
      </c>
    </row>
    <row r="722" spans="1:17" x14ac:dyDescent="0.3">
      <c r="A722" s="12">
        <v>10721</v>
      </c>
      <c r="B722" s="1">
        <v>5397</v>
      </c>
      <c r="C722" s="1" t="s">
        <v>16</v>
      </c>
      <c r="D722" s="2">
        <v>60500.56</v>
      </c>
      <c r="E722" s="1">
        <v>88</v>
      </c>
      <c r="F722" s="1" t="s">
        <v>22</v>
      </c>
      <c r="G722" s="3">
        <v>45337</v>
      </c>
      <c r="H722" s="2">
        <v>80137.27</v>
      </c>
      <c r="I722" s="13" t="s">
        <v>17</v>
      </c>
      <c r="J722" s="14" t="s">
        <v>15</v>
      </c>
      <c r="K722" s="14">
        <v>133</v>
      </c>
      <c r="L722" s="15">
        <v>45361</v>
      </c>
      <c r="M722" s="16">
        <v>13</v>
      </c>
      <c r="N7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22" s="31">
        <f>IF(Table64[[#This Row],[date validity flag]]&lt;&gt;"Valid","",Table64[[#This Row],[shipment date ]]-Table64[[#This Row],[Order date]])</f>
        <v>24</v>
      </c>
      <c r="P722" s="27" t="str">
        <f>TEXT(Table64[[#This Row],[Order date]],"mmm-yyyy")</f>
        <v>Feb-2024</v>
      </c>
      <c r="Q722" s="16" t="str">
        <f t="shared" si="11"/>
        <v>Delayed</v>
      </c>
    </row>
    <row r="723" spans="1:17" x14ac:dyDescent="0.3">
      <c r="A723" s="17">
        <v>10722</v>
      </c>
      <c r="B723" s="4">
        <v>5012</v>
      </c>
      <c r="C723" s="4" t="s">
        <v>16</v>
      </c>
      <c r="D723" s="5">
        <v>50427.44</v>
      </c>
      <c r="E723" s="4">
        <v>59</v>
      </c>
      <c r="F723" s="4" t="s">
        <v>13</v>
      </c>
      <c r="G723" s="6">
        <v>45306</v>
      </c>
      <c r="H723" s="5">
        <v>32355.38</v>
      </c>
      <c r="I723" s="18" t="s">
        <v>20</v>
      </c>
      <c r="J723" s="14" t="s">
        <v>18</v>
      </c>
      <c r="K723" s="14">
        <v>1043</v>
      </c>
      <c r="L723" s="15">
        <v>45361</v>
      </c>
      <c r="M723" s="16">
        <v>11</v>
      </c>
      <c r="N7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23" s="31">
        <f>IF(Table64[[#This Row],[date validity flag]]&lt;&gt;"Valid","",Table64[[#This Row],[shipment date ]]-Table64[[#This Row],[Order date]])</f>
        <v>55</v>
      </c>
      <c r="P723" s="27" t="str">
        <f>TEXT(Table64[[#This Row],[Order date]],"mmm-yyyy")</f>
        <v>Jan-2024</v>
      </c>
      <c r="Q723" s="16" t="str">
        <f t="shared" si="11"/>
        <v>Delayed</v>
      </c>
    </row>
    <row r="724" spans="1:17" x14ac:dyDescent="0.3">
      <c r="A724" s="12">
        <v>10723</v>
      </c>
      <c r="B724" s="1">
        <v>6631</v>
      </c>
      <c r="C724" s="1" t="s">
        <v>16</v>
      </c>
      <c r="D724" s="2">
        <v>21413.27</v>
      </c>
      <c r="E724" s="1">
        <v>67</v>
      </c>
      <c r="F724" s="1" t="s">
        <v>13</v>
      </c>
      <c r="G724" s="3">
        <v>45337</v>
      </c>
      <c r="H724" s="2">
        <v>142311.57</v>
      </c>
      <c r="I724" s="13" t="s">
        <v>17</v>
      </c>
      <c r="J724" s="14" t="s">
        <v>15</v>
      </c>
      <c r="K724" s="14">
        <v>1116</v>
      </c>
      <c r="L724" s="15">
        <v>45332</v>
      </c>
      <c r="M724" s="16">
        <v>13</v>
      </c>
      <c r="N72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24" s="31" t="str">
        <f>IF(Table64[[#This Row],[date validity flag]]&lt;&gt;"Valid","",Table64[[#This Row],[shipment date ]]-Table64[[#This Row],[Order date]])</f>
        <v/>
      </c>
      <c r="P724" s="27" t="str">
        <f>TEXT(Table64[[#This Row],[Order date]],"mmm-yyyy")</f>
        <v>Feb-2024</v>
      </c>
      <c r="Q724" s="16" t="str">
        <f t="shared" si="11"/>
        <v/>
      </c>
    </row>
    <row r="725" spans="1:17" x14ac:dyDescent="0.3">
      <c r="A725" s="17">
        <v>10724</v>
      </c>
      <c r="B725" s="4">
        <v>6326</v>
      </c>
      <c r="C725" s="4" t="s">
        <v>16</v>
      </c>
      <c r="D725" s="5">
        <v>49331.28</v>
      </c>
      <c r="E725" s="4">
        <v>75</v>
      </c>
      <c r="F725" s="4" t="s">
        <v>13</v>
      </c>
      <c r="G725" s="6">
        <v>45361</v>
      </c>
      <c r="H725" s="5">
        <v>31137.919999999998</v>
      </c>
      <c r="I725" s="18" t="s">
        <v>14</v>
      </c>
      <c r="J725" s="14" t="s">
        <v>18</v>
      </c>
      <c r="K725" s="14">
        <v>888</v>
      </c>
      <c r="L725" s="15">
        <v>45397</v>
      </c>
      <c r="M725" s="16">
        <v>11</v>
      </c>
      <c r="N7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25" s="31">
        <f>IF(Table64[[#This Row],[date validity flag]]&lt;&gt;"Valid","",Table64[[#This Row],[shipment date ]]-Table64[[#This Row],[Order date]])</f>
        <v>36</v>
      </c>
      <c r="P725" s="27" t="str">
        <f>TEXT(Table64[[#This Row],[Order date]],"mmm-yyyy")</f>
        <v>Mar-2024</v>
      </c>
      <c r="Q725" s="16" t="str">
        <f t="shared" si="11"/>
        <v>Delayed</v>
      </c>
    </row>
    <row r="726" spans="1:17" x14ac:dyDescent="0.3">
      <c r="A726" s="12">
        <v>10725</v>
      </c>
      <c r="B726" s="1">
        <v>6922</v>
      </c>
      <c r="C726" s="1" t="s">
        <v>16</v>
      </c>
      <c r="D726" s="2">
        <v>21649.19</v>
      </c>
      <c r="E726" s="1">
        <v>45</v>
      </c>
      <c r="F726" s="1" t="s">
        <v>22</v>
      </c>
      <c r="G726" s="3">
        <v>45361</v>
      </c>
      <c r="H726" s="2">
        <v>46656.22</v>
      </c>
      <c r="I726" s="13" t="s">
        <v>14</v>
      </c>
      <c r="J726" s="14" t="s">
        <v>18</v>
      </c>
      <c r="K726" s="14">
        <v>655</v>
      </c>
      <c r="L726" s="15">
        <v>45332</v>
      </c>
      <c r="M726" s="16">
        <v>11</v>
      </c>
      <c r="N72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26" s="31" t="str">
        <f>IF(Table64[[#This Row],[date validity flag]]&lt;&gt;"Valid","",Table64[[#This Row],[shipment date ]]-Table64[[#This Row],[Order date]])</f>
        <v/>
      </c>
      <c r="P726" s="27" t="str">
        <f>TEXT(Table64[[#This Row],[Order date]],"mmm-yyyy")</f>
        <v>Mar-2024</v>
      </c>
      <c r="Q726" s="16" t="str">
        <f t="shared" si="11"/>
        <v/>
      </c>
    </row>
    <row r="727" spans="1:17" x14ac:dyDescent="0.3">
      <c r="A727" s="17">
        <v>10726</v>
      </c>
      <c r="B727" s="4">
        <v>6277</v>
      </c>
      <c r="C727" s="4" t="s">
        <v>12</v>
      </c>
      <c r="D727" s="5">
        <v>88824.36</v>
      </c>
      <c r="E727" s="4">
        <v>4</v>
      </c>
      <c r="F727" s="4" t="s">
        <v>21</v>
      </c>
      <c r="G727" s="6">
        <v>45383</v>
      </c>
      <c r="H727" s="5">
        <v>150393.99</v>
      </c>
      <c r="I727" s="18" t="s">
        <v>17</v>
      </c>
      <c r="J727" s="14" t="s">
        <v>15</v>
      </c>
      <c r="K727" s="14">
        <v>859</v>
      </c>
      <c r="L727" s="15">
        <v>45332</v>
      </c>
      <c r="M727" s="16">
        <v>5</v>
      </c>
      <c r="N72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27" s="31" t="str">
        <f>IF(Table64[[#This Row],[date validity flag]]&lt;&gt;"Valid","",Table64[[#This Row],[shipment date ]]-Table64[[#This Row],[Order date]])</f>
        <v/>
      </c>
      <c r="P727" s="27" t="str">
        <f>TEXT(Table64[[#This Row],[Order date]],"mmm-yyyy")</f>
        <v>Apr-2024</v>
      </c>
      <c r="Q727" s="16" t="str">
        <f t="shared" si="11"/>
        <v/>
      </c>
    </row>
    <row r="728" spans="1:17" x14ac:dyDescent="0.3">
      <c r="A728" s="12">
        <v>10727</v>
      </c>
      <c r="B728" s="1">
        <v>5499</v>
      </c>
      <c r="C728" s="1" t="s">
        <v>12</v>
      </c>
      <c r="D728" s="2">
        <v>33368.49</v>
      </c>
      <c r="E728" s="1">
        <v>26</v>
      </c>
      <c r="F728" s="1" t="s">
        <v>21</v>
      </c>
      <c r="G728" s="3">
        <v>45361</v>
      </c>
      <c r="H728" s="2">
        <v>152140.64000000001</v>
      </c>
      <c r="I728" s="13" t="s">
        <v>14</v>
      </c>
      <c r="J728" s="14" t="s">
        <v>15</v>
      </c>
      <c r="K728" s="14">
        <v>182</v>
      </c>
      <c r="L728" s="15">
        <v>45332</v>
      </c>
      <c r="M728" s="16">
        <v>1</v>
      </c>
      <c r="N72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28" s="31" t="str">
        <f>IF(Table64[[#This Row],[date validity flag]]&lt;&gt;"Valid","",Table64[[#This Row],[shipment date ]]-Table64[[#This Row],[Order date]])</f>
        <v/>
      </c>
      <c r="P728" s="27" t="str">
        <f>TEXT(Table64[[#This Row],[Order date]],"mmm-yyyy")</f>
        <v>Mar-2024</v>
      </c>
      <c r="Q728" s="16" t="str">
        <f t="shared" si="11"/>
        <v/>
      </c>
    </row>
    <row r="729" spans="1:17" x14ac:dyDescent="0.3">
      <c r="A729" s="17">
        <v>10728</v>
      </c>
      <c r="B729" s="4">
        <v>5754</v>
      </c>
      <c r="C729" s="4" t="s">
        <v>16</v>
      </c>
      <c r="D729" s="5">
        <v>9804.0400000000009</v>
      </c>
      <c r="E729" s="4">
        <v>27</v>
      </c>
      <c r="F729" s="4" t="s">
        <v>22</v>
      </c>
      <c r="G729" s="6">
        <v>45337</v>
      </c>
      <c r="H729" s="5">
        <v>70715.28</v>
      </c>
      <c r="I729" s="18" t="s">
        <v>17</v>
      </c>
      <c r="J729" s="14" t="s">
        <v>19</v>
      </c>
      <c r="K729" s="14">
        <v>1468</v>
      </c>
      <c r="L729" s="15">
        <v>45397</v>
      </c>
      <c r="M729" s="16">
        <v>9</v>
      </c>
      <c r="N7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29" s="31">
        <f>IF(Table64[[#This Row],[date validity flag]]&lt;&gt;"Valid","",Table64[[#This Row],[shipment date ]]-Table64[[#This Row],[Order date]])</f>
        <v>60</v>
      </c>
      <c r="P729" s="27" t="str">
        <f>TEXT(Table64[[#This Row],[Order date]],"mmm-yyyy")</f>
        <v>Feb-2024</v>
      </c>
      <c r="Q729" s="16" t="str">
        <f t="shared" si="11"/>
        <v>Delayed</v>
      </c>
    </row>
    <row r="730" spans="1:17" x14ac:dyDescent="0.3">
      <c r="A730" s="12">
        <v>10729</v>
      </c>
      <c r="B730" s="1">
        <v>5035</v>
      </c>
      <c r="C730" s="1" t="s">
        <v>16</v>
      </c>
      <c r="D730" s="2">
        <v>45197.14</v>
      </c>
      <c r="E730" s="1">
        <v>46</v>
      </c>
      <c r="F730" s="1" t="s">
        <v>23</v>
      </c>
      <c r="G730" s="3">
        <v>45337</v>
      </c>
      <c r="H730" s="2">
        <v>23242.76</v>
      </c>
      <c r="I730" s="13" t="s">
        <v>20</v>
      </c>
      <c r="J730" s="14" t="s">
        <v>18</v>
      </c>
      <c r="K730" s="14">
        <v>1138</v>
      </c>
      <c r="L730" s="15">
        <v>45361</v>
      </c>
      <c r="M730" s="16">
        <v>1</v>
      </c>
      <c r="N7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30" s="31">
        <f>IF(Table64[[#This Row],[date validity flag]]&lt;&gt;"Valid","",Table64[[#This Row],[shipment date ]]-Table64[[#This Row],[Order date]])</f>
        <v>24</v>
      </c>
      <c r="P730" s="27" t="str">
        <f>TEXT(Table64[[#This Row],[Order date]],"mmm-yyyy")</f>
        <v>Feb-2024</v>
      </c>
      <c r="Q730" s="16" t="str">
        <f t="shared" si="11"/>
        <v>Delayed</v>
      </c>
    </row>
    <row r="731" spans="1:17" x14ac:dyDescent="0.3">
      <c r="A731" s="17">
        <v>10730</v>
      </c>
      <c r="B731" s="4">
        <v>5727</v>
      </c>
      <c r="C731" s="4" t="s">
        <v>16</v>
      </c>
      <c r="D731" s="5">
        <v>31289.09</v>
      </c>
      <c r="E731" s="4">
        <v>64</v>
      </c>
      <c r="F731" s="4" t="s">
        <v>21</v>
      </c>
      <c r="G731" s="6">
        <v>45361</v>
      </c>
      <c r="H731" s="5">
        <v>61498.2</v>
      </c>
      <c r="I731" s="18" t="s">
        <v>14</v>
      </c>
      <c r="J731" s="14" t="s">
        <v>19</v>
      </c>
      <c r="K731" s="14">
        <v>339</v>
      </c>
      <c r="L731" s="15">
        <v>45397</v>
      </c>
      <c r="M731" s="16">
        <v>6</v>
      </c>
      <c r="N7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31" s="31">
        <f>IF(Table64[[#This Row],[date validity flag]]&lt;&gt;"Valid","",Table64[[#This Row],[shipment date ]]-Table64[[#This Row],[Order date]])</f>
        <v>36</v>
      </c>
      <c r="P731" s="27" t="str">
        <f>TEXT(Table64[[#This Row],[Order date]],"mmm-yyyy")</f>
        <v>Mar-2024</v>
      </c>
      <c r="Q731" s="16" t="str">
        <f t="shared" si="11"/>
        <v>Delayed</v>
      </c>
    </row>
    <row r="732" spans="1:17" x14ac:dyDescent="0.3">
      <c r="A732" s="12">
        <v>10731</v>
      </c>
      <c r="B732" s="1">
        <v>5849</v>
      </c>
      <c r="C732" s="1" t="s">
        <v>12</v>
      </c>
      <c r="D732" s="2">
        <v>13936.1</v>
      </c>
      <c r="E732" s="1">
        <v>91</v>
      </c>
      <c r="F732" s="1" t="s">
        <v>13</v>
      </c>
      <c r="G732" s="3">
        <v>45383</v>
      </c>
      <c r="H732" s="2">
        <v>70881.440000000002</v>
      </c>
      <c r="I732" s="13" t="s">
        <v>17</v>
      </c>
      <c r="J732" s="14" t="s">
        <v>15</v>
      </c>
      <c r="K732" s="14">
        <v>425</v>
      </c>
      <c r="L732" s="15">
        <v>45361</v>
      </c>
      <c r="M732" s="16">
        <v>1</v>
      </c>
      <c r="N7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32" s="31" t="str">
        <f>IF(Table64[[#This Row],[date validity flag]]&lt;&gt;"Valid","",Table64[[#This Row],[shipment date ]]-Table64[[#This Row],[Order date]])</f>
        <v/>
      </c>
      <c r="P732" s="27" t="str">
        <f>TEXT(Table64[[#This Row],[Order date]],"mmm-yyyy")</f>
        <v>Apr-2024</v>
      </c>
      <c r="Q732" s="16" t="str">
        <f t="shared" si="11"/>
        <v/>
      </c>
    </row>
    <row r="733" spans="1:17" x14ac:dyDescent="0.3">
      <c r="A733" s="17">
        <v>10732</v>
      </c>
      <c r="B733" s="4">
        <v>5090</v>
      </c>
      <c r="C733" s="4" t="s">
        <v>16</v>
      </c>
      <c r="D733" s="5">
        <v>9748.92</v>
      </c>
      <c r="E733" s="4">
        <v>51</v>
      </c>
      <c r="F733" s="4" t="s">
        <v>23</v>
      </c>
      <c r="G733" s="6">
        <v>45361</v>
      </c>
      <c r="H733" s="5">
        <v>121445.69</v>
      </c>
      <c r="I733" s="18" t="s">
        <v>17</v>
      </c>
      <c r="J733" s="14" t="s">
        <v>18</v>
      </c>
      <c r="K733" s="14">
        <v>818</v>
      </c>
      <c r="L733" s="15">
        <v>45361</v>
      </c>
      <c r="M733" s="16">
        <v>3</v>
      </c>
      <c r="N73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33" s="31">
        <f>IF(Table64[[#This Row],[date validity flag]]&lt;&gt;"Valid","",Table64[[#This Row],[shipment date ]]-Table64[[#This Row],[Order date]])</f>
        <v>0</v>
      </c>
      <c r="P733" s="27" t="str">
        <f>TEXT(Table64[[#This Row],[Order date]],"mmm-yyyy")</f>
        <v>Mar-2024</v>
      </c>
      <c r="Q733" s="16" t="str">
        <f t="shared" si="11"/>
        <v>On Time</v>
      </c>
    </row>
    <row r="734" spans="1:17" x14ac:dyDescent="0.3">
      <c r="A734" s="12">
        <v>10733</v>
      </c>
      <c r="B734" s="1">
        <v>5776</v>
      </c>
      <c r="C734" s="1" t="s">
        <v>12</v>
      </c>
      <c r="D734" s="2">
        <v>63412.24</v>
      </c>
      <c r="E734" s="1">
        <v>50</v>
      </c>
      <c r="F734" s="1" t="s">
        <v>23</v>
      </c>
      <c r="G734" s="3">
        <v>45306</v>
      </c>
      <c r="H734" s="2">
        <v>83236.399999999994</v>
      </c>
      <c r="I734" s="13" t="s">
        <v>17</v>
      </c>
      <c r="J734" s="14" t="s">
        <v>19</v>
      </c>
      <c r="K734" s="14">
        <v>516</v>
      </c>
      <c r="L734" s="15">
        <v>45361</v>
      </c>
      <c r="M734" s="16">
        <v>10</v>
      </c>
      <c r="N7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34" s="31">
        <f>IF(Table64[[#This Row],[date validity flag]]&lt;&gt;"Valid","",Table64[[#This Row],[shipment date ]]-Table64[[#This Row],[Order date]])</f>
        <v>55</v>
      </c>
      <c r="P734" s="27" t="str">
        <f>TEXT(Table64[[#This Row],[Order date]],"mmm-yyyy")</f>
        <v>Jan-2024</v>
      </c>
      <c r="Q734" s="16" t="str">
        <f t="shared" si="11"/>
        <v>Delayed</v>
      </c>
    </row>
    <row r="735" spans="1:17" x14ac:dyDescent="0.3">
      <c r="A735" s="17">
        <v>10734</v>
      </c>
      <c r="B735" s="4">
        <v>5605</v>
      </c>
      <c r="C735" s="4" t="s">
        <v>16</v>
      </c>
      <c r="D735" s="5">
        <v>74384.38</v>
      </c>
      <c r="E735" s="4">
        <v>6</v>
      </c>
      <c r="F735" s="4" t="s">
        <v>21</v>
      </c>
      <c r="G735" s="6">
        <v>45306</v>
      </c>
      <c r="H735" s="5">
        <v>143154.37</v>
      </c>
      <c r="I735" s="18" t="s">
        <v>14</v>
      </c>
      <c r="J735" s="14" t="s">
        <v>19</v>
      </c>
      <c r="K735" s="14">
        <v>1286</v>
      </c>
      <c r="L735" s="15">
        <v>45397</v>
      </c>
      <c r="M735" s="16">
        <v>5</v>
      </c>
      <c r="N7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35" s="31">
        <f>IF(Table64[[#This Row],[date validity flag]]&lt;&gt;"Valid","",Table64[[#This Row],[shipment date ]]-Table64[[#This Row],[Order date]])</f>
        <v>91</v>
      </c>
      <c r="P735" s="27" t="str">
        <f>TEXT(Table64[[#This Row],[Order date]],"mmm-yyyy")</f>
        <v>Jan-2024</v>
      </c>
      <c r="Q735" s="16" t="str">
        <f t="shared" si="11"/>
        <v>Delayed</v>
      </c>
    </row>
    <row r="736" spans="1:17" x14ac:dyDescent="0.3">
      <c r="A736" s="12">
        <v>10735</v>
      </c>
      <c r="B736" s="1">
        <v>6946</v>
      </c>
      <c r="C736" s="1" t="s">
        <v>12</v>
      </c>
      <c r="D736" s="2">
        <v>27223.23</v>
      </c>
      <c r="E736" s="1">
        <v>59</v>
      </c>
      <c r="F736" s="1" t="s">
        <v>23</v>
      </c>
      <c r="G736" s="3">
        <v>45306</v>
      </c>
      <c r="H736" s="2">
        <v>43060.88</v>
      </c>
      <c r="I736" s="13" t="s">
        <v>14</v>
      </c>
      <c r="J736" s="14" t="s">
        <v>19</v>
      </c>
      <c r="K736" s="14">
        <v>1221</v>
      </c>
      <c r="L736" s="15">
        <v>45332</v>
      </c>
      <c r="M736" s="16">
        <v>10</v>
      </c>
      <c r="N7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36" s="31">
        <f>IF(Table64[[#This Row],[date validity flag]]&lt;&gt;"Valid","",Table64[[#This Row],[shipment date ]]-Table64[[#This Row],[Order date]])</f>
        <v>26</v>
      </c>
      <c r="P736" s="27" t="str">
        <f>TEXT(Table64[[#This Row],[Order date]],"mmm-yyyy")</f>
        <v>Jan-2024</v>
      </c>
      <c r="Q736" s="16" t="str">
        <f t="shared" si="11"/>
        <v>Delayed</v>
      </c>
    </row>
    <row r="737" spans="1:17" x14ac:dyDescent="0.3">
      <c r="A737" s="17">
        <v>10736</v>
      </c>
      <c r="B737" s="4">
        <v>5970</v>
      </c>
      <c r="C737" s="4" t="s">
        <v>16</v>
      </c>
      <c r="D737" s="5">
        <v>70375.740000000005</v>
      </c>
      <c r="E737" s="4">
        <v>15</v>
      </c>
      <c r="F737" s="4" t="s">
        <v>23</v>
      </c>
      <c r="G737" s="6">
        <v>45361</v>
      </c>
      <c r="H737" s="5">
        <v>13618.32</v>
      </c>
      <c r="I737" s="18" t="s">
        <v>17</v>
      </c>
      <c r="J737" s="14" t="s">
        <v>15</v>
      </c>
      <c r="K737" s="14">
        <v>520</v>
      </c>
      <c r="L737" s="15">
        <v>45332</v>
      </c>
      <c r="M737" s="16">
        <v>7</v>
      </c>
      <c r="N7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37" s="31" t="str">
        <f>IF(Table64[[#This Row],[date validity flag]]&lt;&gt;"Valid","",Table64[[#This Row],[shipment date ]]-Table64[[#This Row],[Order date]])</f>
        <v/>
      </c>
      <c r="P737" s="27" t="str">
        <f>TEXT(Table64[[#This Row],[Order date]],"mmm-yyyy")</f>
        <v>Mar-2024</v>
      </c>
      <c r="Q737" s="16" t="str">
        <f t="shared" si="11"/>
        <v/>
      </c>
    </row>
    <row r="738" spans="1:17" x14ac:dyDescent="0.3">
      <c r="A738" s="12">
        <v>10737</v>
      </c>
      <c r="B738" s="1">
        <v>6626</v>
      </c>
      <c r="C738" s="1" t="s">
        <v>16</v>
      </c>
      <c r="D738" s="2">
        <v>55496.26</v>
      </c>
      <c r="E738" s="1">
        <v>30</v>
      </c>
      <c r="F738" s="1" t="s">
        <v>21</v>
      </c>
      <c r="G738" s="3">
        <v>45361</v>
      </c>
      <c r="H738" s="2">
        <v>114905.01</v>
      </c>
      <c r="I738" s="13" t="s">
        <v>17</v>
      </c>
      <c r="J738" s="14" t="s">
        <v>15</v>
      </c>
      <c r="K738" s="14">
        <v>198</v>
      </c>
      <c r="L738" s="15">
        <v>45332</v>
      </c>
      <c r="M738" s="16">
        <v>14</v>
      </c>
      <c r="N7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38" s="31" t="str">
        <f>IF(Table64[[#This Row],[date validity flag]]&lt;&gt;"Valid","",Table64[[#This Row],[shipment date ]]-Table64[[#This Row],[Order date]])</f>
        <v/>
      </c>
      <c r="P738" s="27" t="str">
        <f>TEXT(Table64[[#This Row],[Order date]],"mmm-yyyy")</f>
        <v>Mar-2024</v>
      </c>
      <c r="Q738" s="16" t="str">
        <f t="shared" si="11"/>
        <v/>
      </c>
    </row>
    <row r="739" spans="1:17" x14ac:dyDescent="0.3">
      <c r="A739" s="17">
        <v>10738</v>
      </c>
      <c r="B739" s="4">
        <v>6022</v>
      </c>
      <c r="C739" s="4" t="s">
        <v>16</v>
      </c>
      <c r="D739" s="5">
        <v>80092.86</v>
      </c>
      <c r="E739" s="4">
        <v>42</v>
      </c>
      <c r="F739" s="4" t="s">
        <v>21</v>
      </c>
      <c r="G739" s="6">
        <v>45361</v>
      </c>
      <c r="H739" s="5">
        <v>60820.72</v>
      </c>
      <c r="I739" s="18" t="s">
        <v>14</v>
      </c>
      <c r="J739" s="14" t="s">
        <v>15</v>
      </c>
      <c r="K739" s="14">
        <v>137</v>
      </c>
      <c r="L739" s="15">
        <v>45332</v>
      </c>
      <c r="M739" s="16">
        <v>10</v>
      </c>
      <c r="N7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39" s="31" t="str">
        <f>IF(Table64[[#This Row],[date validity flag]]&lt;&gt;"Valid","",Table64[[#This Row],[shipment date ]]-Table64[[#This Row],[Order date]])</f>
        <v/>
      </c>
      <c r="P739" s="27" t="str">
        <f>TEXT(Table64[[#This Row],[Order date]],"mmm-yyyy")</f>
        <v>Mar-2024</v>
      </c>
      <c r="Q739" s="16" t="str">
        <f t="shared" si="11"/>
        <v/>
      </c>
    </row>
    <row r="740" spans="1:17" x14ac:dyDescent="0.3">
      <c r="A740" s="12">
        <v>10739</v>
      </c>
      <c r="B740" s="1">
        <v>5418</v>
      </c>
      <c r="C740" s="1" t="s">
        <v>16</v>
      </c>
      <c r="D740" s="2">
        <v>61880.94</v>
      </c>
      <c r="E740" s="1">
        <v>37</v>
      </c>
      <c r="F740" s="1" t="s">
        <v>23</v>
      </c>
      <c r="G740" s="3">
        <v>45306</v>
      </c>
      <c r="H740" s="2">
        <v>22593.599999999999</v>
      </c>
      <c r="I740" s="13" t="s">
        <v>20</v>
      </c>
      <c r="J740" s="14" t="s">
        <v>18</v>
      </c>
      <c r="K740" s="14">
        <v>1397</v>
      </c>
      <c r="L740" s="15">
        <v>45332</v>
      </c>
      <c r="M740" s="16">
        <v>8</v>
      </c>
      <c r="N7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0" s="31">
        <f>IF(Table64[[#This Row],[date validity flag]]&lt;&gt;"Valid","",Table64[[#This Row],[shipment date ]]-Table64[[#This Row],[Order date]])</f>
        <v>26</v>
      </c>
      <c r="P740" s="27" t="str">
        <f>TEXT(Table64[[#This Row],[Order date]],"mmm-yyyy")</f>
        <v>Jan-2024</v>
      </c>
      <c r="Q740" s="16" t="str">
        <f t="shared" si="11"/>
        <v>Delayed</v>
      </c>
    </row>
    <row r="741" spans="1:17" x14ac:dyDescent="0.3">
      <c r="A741" s="17">
        <v>10740</v>
      </c>
      <c r="B741" s="4">
        <v>5115</v>
      </c>
      <c r="C741" s="4" t="s">
        <v>16</v>
      </c>
      <c r="D741" s="5">
        <v>22526.62</v>
      </c>
      <c r="E741" s="4">
        <v>42</v>
      </c>
      <c r="F741" s="4" t="s">
        <v>13</v>
      </c>
      <c r="G741" s="6">
        <v>45383</v>
      </c>
      <c r="H741" s="5">
        <v>158661.97</v>
      </c>
      <c r="I741" s="18" t="s">
        <v>14</v>
      </c>
      <c r="J741" s="14" t="s">
        <v>15</v>
      </c>
      <c r="K741" s="14">
        <v>445</v>
      </c>
      <c r="L741" s="15">
        <v>45397</v>
      </c>
      <c r="M741" s="16">
        <v>12</v>
      </c>
      <c r="N7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1" s="31">
        <f>IF(Table64[[#This Row],[date validity flag]]&lt;&gt;"Valid","",Table64[[#This Row],[shipment date ]]-Table64[[#This Row],[Order date]])</f>
        <v>14</v>
      </c>
      <c r="P741" s="27" t="str">
        <f>TEXT(Table64[[#This Row],[Order date]],"mmm-yyyy")</f>
        <v>Apr-2024</v>
      </c>
      <c r="Q741" s="16" t="str">
        <f t="shared" si="11"/>
        <v>Delayed</v>
      </c>
    </row>
    <row r="742" spans="1:17" x14ac:dyDescent="0.3">
      <c r="A742" s="12">
        <v>10741</v>
      </c>
      <c r="B742" s="1">
        <v>5617</v>
      </c>
      <c r="C742" s="1" t="s">
        <v>16</v>
      </c>
      <c r="D742" s="2">
        <v>33216.36</v>
      </c>
      <c r="E742" s="1">
        <v>35</v>
      </c>
      <c r="F742" s="1" t="s">
        <v>22</v>
      </c>
      <c r="G742" s="3">
        <v>45337</v>
      </c>
      <c r="H742" s="2">
        <v>46733.04</v>
      </c>
      <c r="I742" s="13" t="s">
        <v>17</v>
      </c>
      <c r="J742" s="14" t="s">
        <v>18</v>
      </c>
      <c r="K742" s="14">
        <v>839</v>
      </c>
      <c r="L742" s="15">
        <v>45397</v>
      </c>
      <c r="M742" s="16">
        <v>9</v>
      </c>
      <c r="N7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2" s="31">
        <f>IF(Table64[[#This Row],[date validity flag]]&lt;&gt;"Valid","",Table64[[#This Row],[shipment date ]]-Table64[[#This Row],[Order date]])</f>
        <v>60</v>
      </c>
      <c r="P742" s="27" t="str">
        <f>TEXT(Table64[[#This Row],[Order date]],"mmm-yyyy")</f>
        <v>Feb-2024</v>
      </c>
      <c r="Q742" s="16" t="str">
        <f t="shared" si="11"/>
        <v>Delayed</v>
      </c>
    </row>
    <row r="743" spans="1:17" x14ac:dyDescent="0.3">
      <c r="A743" s="17">
        <v>10742</v>
      </c>
      <c r="B743" s="4">
        <v>6927</v>
      </c>
      <c r="C743" s="4" t="s">
        <v>16</v>
      </c>
      <c r="D743" s="5">
        <v>23168.32</v>
      </c>
      <c r="E743" s="4">
        <v>87</v>
      </c>
      <c r="F743" s="4" t="s">
        <v>23</v>
      </c>
      <c r="G743" s="6">
        <v>45361</v>
      </c>
      <c r="H743" s="5">
        <v>47922.83</v>
      </c>
      <c r="I743" s="18" t="s">
        <v>14</v>
      </c>
      <c r="J743" s="14" t="s">
        <v>19</v>
      </c>
      <c r="K743" s="14">
        <v>1477</v>
      </c>
      <c r="L743" s="15">
        <v>45397</v>
      </c>
      <c r="M743" s="16">
        <v>6</v>
      </c>
      <c r="N7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3" s="31">
        <f>IF(Table64[[#This Row],[date validity flag]]&lt;&gt;"Valid","",Table64[[#This Row],[shipment date ]]-Table64[[#This Row],[Order date]])</f>
        <v>36</v>
      </c>
      <c r="P743" s="27" t="str">
        <f>TEXT(Table64[[#This Row],[Order date]],"mmm-yyyy")</f>
        <v>Mar-2024</v>
      </c>
      <c r="Q743" s="16" t="str">
        <f t="shared" si="11"/>
        <v>Delayed</v>
      </c>
    </row>
    <row r="744" spans="1:17" x14ac:dyDescent="0.3">
      <c r="A744" s="12">
        <v>10743</v>
      </c>
      <c r="B744" s="1">
        <v>6220</v>
      </c>
      <c r="C744" s="1" t="s">
        <v>16</v>
      </c>
      <c r="D744" s="2">
        <v>90231</v>
      </c>
      <c r="E744" s="1">
        <v>6</v>
      </c>
      <c r="F744" s="1" t="s">
        <v>23</v>
      </c>
      <c r="G744" s="3">
        <v>45383</v>
      </c>
      <c r="H744" s="2">
        <v>34207.49</v>
      </c>
      <c r="I744" s="13" t="s">
        <v>17</v>
      </c>
      <c r="J744" s="14" t="s">
        <v>19</v>
      </c>
      <c r="K744" s="14">
        <v>1155</v>
      </c>
      <c r="L744" s="15">
        <v>45397</v>
      </c>
      <c r="M744" s="16">
        <v>11</v>
      </c>
      <c r="N7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4" s="31">
        <f>IF(Table64[[#This Row],[date validity flag]]&lt;&gt;"Valid","",Table64[[#This Row],[shipment date ]]-Table64[[#This Row],[Order date]])</f>
        <v>14</v>
      </c>
      <c r="P744" s="27" t="str">
        <f>TEXT(Table64[[#This Row],[Order date]],"mmm-yyyy")</f>
        <v>Apr-2024</v>
      </c>
      <c r="Q744" s="16" t="str">
        <f t="shared" si="11"/>
        <v>Delayed</v>
      </c>
    </row>
    <row r="745" spans="1:17" x14ac:dyDescent="0.3">
      <c r="A745" s="17">
        <v>10744</v>
      </c>
      <c r="B745" s="4">
        <v>5826</v>
      </c>
      <c r="C745" s="4" t="s">
        <v>16</v>
      </c>
      <c r="D745" s="5">
        <v>60642.59</v>
      </c>
      <c r="E745" s="4">
        <v>68</v>
      </c>
      <c r="F745" s="4" t="s">
        <v>13</v>
      </c>
      <c r="G745" s="6">
        <v>45337</v>
      </c>
      <c r="H745" s="5">
        <v>15485.91</v>
      </c>
      <c r="I745" s="18" t="s">
        <v>14</v>
      </c>
      <c r="J745" s="14" t="s">
        <v>15</v>
      </c>
      <c r="K745" s="14">
        <v>1359</v>
      </c>
      <c r="L745" s="15">
        <v>45397</v>
      </c>
      <c r="M745" s="16">
        <v>9</v>
      </c>
      <c r="N7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5" s="31">
        <f>IF(Table64[[#This Row],[date validity flag]]&lt;&gt;"Valid","",Table64[[#This Row],[shipment date ]]-Table64[[#This Row],[Order date]])</f>
        <v>60</v>
      </c>
      <c r="P745" s="27" t="str">
        <f>TEXT(Table64[[#This Row],[Order date]],"mmm-yyyy")</f>
        <v>Feb-2024</v>
      </c>
      <c r="Q745" s="16" t="str">
        <f t="shared" si="11"/>
        <v>Delayed</v>
      </c>
    </row>
    <row r="746" spans="1:17" x14ac:dyDescent="0.3">
      <c r="A746" s="12">
        <v>10745</v>
      </c>
      <c r="B746" s="1">
        <v>6525</v>
      </c>
      <c r="C746" s="1" t="s">
        <v>16</v>
      </c>
      <c r="D746" s="2">
        <v>90289.24</v>
      </c>
      <c r="E746" s="1">
        <v>18</v>
      </c>
      <c r="F746" s="1" t="s">
        <v>23</v>
      </c>
      <c r="G746" s="3">
        <v>45337</v>
      </c>
      <c r="H746" s="2">
        <v>30534.32</v>
      </c>
      <c r="I746" s="13" t="s">
        <v>14</v>
      </c>
      <c r="J746" s="14" t="s">
        <v>19</v>
      </c>
      <c r="K746" s="14">
        <v>1455</v>
      </c>
      <c r="L746" s="15">
        <v>45397</v>
      </c>
      <c r="M746" s="16">
        <v>8</v>
      </c>
      <c r="N7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6" s="31">
        <f>IF(Table64[[#This Row],[date validity flag]]&lt;&gt;"Valid","",Table64[[#This Row],[shipment date ]]-Table64[[#This Row],[Order date]])</f>
        <v>60</v>
      </c>
      <c r="P746" s="27" t="str">
        <f>TEXT(Table64[[#This Row],[Order date]],"mmm-yyyy")</f>
        <v>Feb-2024</v>
      </c>
      <c r="Q746" s="16" t="str">
        <f t="shared" si="11"/>
        <v>Delayed</v>
      </c>
    </row>
    <row r="747" spans="1:17" x14ac:dyDescent="0.3">
      <c r="A747" s="17">
        <v>10746</v>
      </c>
      <c r="B747" s="4">
        <v>6650</v>
      </c>
      <c r="C747" s="4" t="s">
        <v>16</v>
      </c>
      <c r="D747" s="5">
        <v>78003.100000000006</v>
      </c>
      <c r="E747" s="4">
        <v>73</v>
      </c>
      <c r="F747" s="4" t="s">
        <v>23</v>
      </c>
      <c r="G747" s="6">
        <v>45337</v>
      </c>
      <c r="H747" s="5">
        <v>63244.71</v>
      </c>
      <c r="I747" s="18" t="s">
        <v>17</v>
      </c>
      <c r="J747" s="14" t="s">
        <v>15</v>
      </c>
      <c r="K747" s="14">
        <v>914</v>
      </c>
      <c r="L747" s="15">
        <v>45397</v>
      </c>
      <c r="M747" s="16">
        <v>9</v>
      </c>
      <c r="N7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47" s="31">
        <f>IF(Table64[[#This Row],[date validity flag]]&lt;&gt;"Valid","",Table64[[#This Row],[shipment date ]]-Table64[[#This Row],[Order date]])</f>
        <v>60</v>
      </c>
      <c r="P747" s="27" t="str">
        <f>TEXT(Table64[[#This Row],[Order date]],"mmm-yyyy")</f>
        <v>Feb-2024</v>
      </c>
      <c r="Q747" s="16" t="str">
        <f t="shared" si="11"/>
        <v>Delayed</v>
      </c>
    </row>
    <row r="748" spans="1:17" x14ac:dyDescent="0.3">
      <c r="A748" s="12">
        <v>10747</v>
      </c>
      <c r="B748" s="1">
        <v>6517</v>
      </c>
      <c r="C748" s="1" t="s">
        <v>12</v>
      </c>
      <c r="D748" s="2">
        <v>12717.95</v>
      </c>
      <c r="E748" s="1">
        <v>29</v>
      </c>
      <c r="F748" s="1" t="s">
        <v>22</v>
      </c>
      <c r="G748" s="3">
        <v>45383</v>
      </c>
      <c r="H748" s="2">
        <v>26304.68</v>
      </c>
      <c r="I748" s="13" t="s">
        <v>17</v>
      </c>
      <c r="J748" s="14" t="s">
        <v>18</v>
      </c>
      <c r="K748" s="14">
        <v>1343</v>
      </c>
      <c r="L748" s="15">
        <v>45332</v>
      </c>
      <c r="M748" s="16">
        <v>10</v>
      </c>
      <c r="N74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48" s="31" t="str">
        <f>IF(Table64[[#This Row],[date validity flag]]&lt;&gt;"Valid","",Table64[[#This Row],[shipment date ]]-Table64[[#This Row],[Order date]])</f>
        <v/>
      </c>
      <c r="P748" s="27" t="str">
        <f>TEXT(Table64[[#This Row],[Order date]],"mmm-yyyy")</f>
        <v>Apr-2024</v>
      </c>
      <c r="Q748" s="16" t="str">
        <f t="shared" si="11"/>
        <v/>
      </c>
    </row>
    <row r="749" spans="1:17" x14ac:dyDescent="0.3">
      <c r="A749" s="17">
        <v>10748</v>
      </c>
      <c r="B749" s="4">
        <v>6099</v>
      </c>
      <c r="C749" s="4" t="s">
        <v>16</v>
      </c>
      <c r="D749" s="5">
        <v>81605.539999999994</v>
      </c>
      <c r="E749" s="4">
        <v>77</v>
      </c>
      <c r="F749" s="4" t="s">
        <v>22</v>
      </c>
      <c r="G749" s="6">
        <v>45383</v>
      </c>
      <c r="H749" s="5">
        <v>149890.01999999999</v>
      </c>
      <c r="I749" s="18" t="s">
        <v>17</v>
      </c>
      <c r="J749" s="14" t="s">
        <v>19</v>
      </c>
      <c r="K749" s="14">
        <v>1365</v>
      </c>
      <c r="L749" s="15">
        <v>45361</v>
      </c>
      <c r="M749" s="16">
        <v>4</v>
      </c>
      <c r="N74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49" s="31" t="str">
        <f>IF(Table64[[#This Row],[date validity flag]]&lt;&gt;"Valid","",Table64[[#This Row],[shipment date ]]-Table64[[#This Row],[Order date]])</f>
        <v/>
      </c>
      <c r="P749" s="27" t="str">
        <f>TEXT(Table64[[#This Row],[Order date]],"mmm-yyyy")</f>
        <v>Apr-2024</v>
      </c>
      <c r="Q749" s="16" t="str">
        <f t="shared" si="11"/>
        <v/>
      </c>
    </row>
    <row r="750" spans="1:17" x14ac:dyDescent="0.3">
      <c r="A750" s="12">
        <v>10749</v>
      </c>
      <c r="B750" s="1">
        <v>5413</v>
      </c>
      <c r="C750" s="1" t="s">
        <v>16</v>
      </c>
      <c r="D750" s="2">
        <v>55087.54</v>
      </c>
      <c r="E750" s="1">
        <v>59</v>
      </c>
      <c r="F750" s="1" t="s">
        <v>22</v>
      </c>
      <c r="G750" s="3">
        <v>45306</v>
      </c>
      <c r="H750" s="2">
        <v>36610.199999999997</v>
      </c>
      <c r="I750" s="13" t="s">
        <v>14</v>
      </c>
      <c r="J750" s="14" t="s">
        <v>15</v>
      </c>
      <c r="K750" s="14">
        <v>73</v>
      </c>
      <c r="L750" s="15">
        <v>45397</v>
      </c>
      <c r="M750" s="16">
        <v>9</v>
      </c>
      <c r="N7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50" s="31">
        <f>IF(Table64[[#This Row],[date validity flag]]&lt;&gt;"Valid","",Table64[[#This Row],[shipment date ]]-Table64[[#This Row],[Order date]])</f>
        <v>91</v>
      </c>
      <c r="P750" s="27" t="str">
        <f>TEXT(Table64[[#This Row],[Order date]],"mmm-yyyy")</f>
        <v>Jan-2024</v>
      </c>
      <c r="Q750" s="16" t="str">
        <f t="shared" si="11"/>
        <v>Delayed</v>
      </c>
    </row>
    <row r="751" spans="1:17" x14ac:dyDescent="0.3">
      <c r="A751" s="17">
        <v>10750</v>
      </c>
      <c r="B751" s="4">
        <v>6400</v>
      </c>
      <c r="C751" s="4" t="s">
        <v>16</v>
      </c>
      <c r="D751" s="5">
        <v>62835.34</v>
      </c>
      <c r="E751" s="4">
        <v>47</v>
      </c>
      <c r="F751" s="4" t="s">
        <v>21</v>
      </c>
      <c r="G751" s="6">
        <v>45383</v>
      </c>
      <c r="H751" s="5">
        <v>44232.26</v>
      </c>
      <c r="I751" s="18" t="s">
        <v>20</v>
      </c>
      <c r="J751" s="14" t="s">
        <v>19</v>
      </c>
      <c r="K751" s="14">
        <v>1005</v>
      </c>
      <c r="L751" s="15">
        <v>45361</v>
      </c>
      <c r="M751" s="16">
        <v>7</v>
      </c>
      <c r="N7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51" s="31" t="str">
        <f>IF(Table64[[#This Row],[date validity flag]]&lt;&gt;"Valid","",Table64[[#This Row],[shipment date ]]-Table64[[#This Row],[Order date]])</f>
        <v/>
      </c>
      <c r="P751" s="27" t="str">
        <f>TEXT(Table64[[#This Row],[Order date]],"mmm-yyyy")</f>
        <v>Apr-2024</v>
      </c>
      <c r="Q751" s="16" t="str">
        <f t="shared" si="11"/>
        <v/>
      </c>
    </row>
    <row r="752" spans="1:17" x14ac:dyDescent="0.3">
      <c r="A752" s="12">
        <v>10751</v>
      </c>
      <c r="B752" s="1">
        <v>6444</v>
      </c>
      <c r="C752" s="1" t="s">
        <v>16</v>
      </c>
      <c r="D752" s="2">
        <v>80786.19</v>
      </c>
      <c r="E752" s="1">
        <v>17</v>
      </c>
      <c r="F752" s="1" t="s">
        <v>21</v>
      </c>
      <c r="G752" s="3">
        <v>45383</v>
      </c>
      <c r="H752" s="2">
        <v>63846.44</v>
      </c>
      <c r="I752" s="13" t="s">
        <v>14</v>
      </c>
      <c r="J752" s="14" t="s">
        <v>19</v>
      </c>
      <c r="K752" s="14">
        <v>360</v>
      </c>
      <c r="L752" s="15">
        <v>45397</v>
      </c>
      <c r="M752" s="16">
        <v>5</v>
      </c>
      <c r="N75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52" s="31">
        <f>IF(Table64[[#This Row],[date validity flag]]&lt;&gt;"Valid","",Table64[[#This Row],[shipment date ]]-Table64[[#This Row],[Order date]])</f>
        <v>14</v>
      </c>
      <c r="P752" s="27" t="str">
        <f>TEXT(Table64[[#This Row],[Order date]],"mmm-yyyy")</f>
        <v>Apr-2024</v>
      </c>
      <c r="Q752" s="16" t="str">
        <f t="shared" si="11"/>
        <v>Delayed</v>
      </c>
    </row>
    <row r="753" spans="1:17" x14ac:dyDescent="0.3">
      <c r="A753" s="17">
        <v>10752</v>
      </c>
      <c r="B753" s="4">
        <v>5729</v>
      </c>
      <c r="C753" s="4" t="s">
        <v>16</v>
      </c>
      <c r="D753" s="5">
        <v>21775.03</v>
      </c>
      <c r="E753" s="4">
        <v>96</v>
      </c>
      <c r="F753" s="4" t="s">
        <v>22</v>
      </c>
      <c r="G753" s="6">
        <v>45383</v>
      </c>
      <c r="H753" s="5">
        <v>84606.21</v>
      </c>
      <c r="I753" s="18" t="s">
        <v>17</v>
      </c>
      <c r="J753" s="14" t="s">
        <v>15</v>
      </c>
      <c r="K753" s="14">
        <v>1281</v>
      </c>
      <c r="L753" s="15">
        <v>45397</v>
      </c>
      <c r="M753" s="16">
        <v>5</v>
      </c>
      <c r="N7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53" s="31">
        <f>IF(Table64[[#This Row],[date validity flag]]&lt;&gt;"Valid","",Table64[[#This Row],[shipment date ]]-Table64[[#This Row],[Order date]])</f>
        <v>14</v>
      </c>
      <c r="P753" s="27" t="str">
        <f>TEXT(Table64[[#This Row],[Order date]],"mmm-yyyy")</f>
        <v>Apr-2024</v>
      </c>
      <c r="Q753" s="16" t="str">
        <f t="shared" si="11"/>
        <v>Delayed</v>
      </c>
    </row>
    <row r="754" spans="1:17" x14ac:dyDescent="0.3">
      <c r="A754" s="12">
        <v>10753</v>
      </c>
      <c r="B754" s="1">
        <v>6301</v>
      </c>
      <c r="C754" s="1" t="s">
        <v>16</v>
      </c>
      <c r="D754" s="2">
        <v>34187.03</v>
      </c>
      <c r="E754" s="1">
        <v>22</v>
      </c>
      <c r="F754" s="1" t="s">
        <v>22</v>
      </c>
      <c r="G754" s="3">
        <v>45337</v>
      </c>
      <c r="H754" s="2">
        <v>30789.88</v>
      </c>
      <c r="I754" s="13" t="s">
        <v>20</v>
      </c>
      <c r="J754" s="14" t="s">
        <v>19</v>
      </c>
      <c r="K754" s="14">
        <v>713</v>
      </c>
      <c r="L754" s="15">
        <v>45332</v>
      </c>
      <c r="M754" s="16">
        <v>1</v>
      </c>
      <c r="N7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54" s="31" t="str">
        <f>IF(Table64[[#This Row],[date validity flag]]&lt;&gt;"Valid","",Table64[[#This Row],[shipment date ]]-Table64[[#This Row],[Order date]])</f>
        <v/>
      </c>
      <c r="P754" s="27" t="str">
        <f>TEXT(Table64[[#This Row],[Order date]],"mmm-yyyy")</f>
        <v>Feb-2024</v>
      </c>
      <c r="Q754" s="16" t="str">
        <f t="shared" si="11"/>
        <v/>
      </c>
    </row>
    <row r="755" spans="1:17" x14ac:dyDescent="0.3">
      <c r="A755" s="17">
        <v>10754</v>
      </c>
      <c r="B755" s="4">
        <v>6021</v>
      </c>
      <c r="C755" s="4" t="s">
        <v>16</v>
      </c>
      <c r="D755" s="5">
        <v>33766.17</v>
      </c>
      <c r="E755" s="4">
        <v>68</v>
      </c>
      <c r="F755" s="4" t="s">
        <v>21</v>
      </c>
      <c r="G755" s="6">
        <v>45361</v>
      </c>
      <c r="H755" s="5">
        <v>49369.47</v>
      </c>
      <c r="I755" s="18" t="s">
        <v>17</v>
      </c>
      <c r="J755" s="14" t="s">
        <v>19</v>
      </c>
      <c r="K755" s="14">
        <v>487</v>
      </c>
      <c r="L755" s="15">
        <v>45361</v>
      </c>
      <c r="M755" s="16">
        <v>2</v>
      </c>
      <c r="N7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55" s="31">
        <f>IF(Table64[[#This Row],[date validity flag]]&lt;&gt;"Valid","",Table64[[#This Row],[shipment date ]]-Table64[[#This Row],[Order date]])</f>
        <v>0</v>
      </c>
      <c r="P755" s="27" t="str">
        <f>TEXT(Table64[[#This Row],[Order date]],"mmm-yyyy")</f>
        <v>Mar-2024</v>
      </c>
      <c r="Q755" s="16" t="str">
        <f t="shared" si="11"/>
        <v>On Time</v>
      </c>
    </row>
    <row r="756" spans="1:17" x14ac:dyDescent="0.3">
      <c r="A756" s="12">
        <v>10755</v>
      </c>
      <c r="B756" s="1">
        <v>5761</v>
      </c>
      <c r="C756" s="1" t="s">
        <v>16</v>
      </c>
      <c r="D756" s="2">
        <v>40671.410000000003</v>
      </c>
      <c r="E756" s="1">
        <v>69</v>
      </c>
      <c r="F756" s="1" t="s">
        <v>13</v>
      </c>
      <c r="G756" s="3">
        <v>45306</v>
      </c>
      <c r="H756" s="2">
        <v>170750.74</v>
      </c>
      <c r="I756" s="13" t="s">
        <v>17</v>
      </c>
      <c r="J756" s="14" t="s">
        <v>19</v>
      </c>
      <c r="K756" s="14">
        <v>755</v>
      </c>
      <c r="L756" s="15">
        <v>45332</v>
      </c>
      <c r="M756" s="16">
        <v>10</v>
      </c>
      <c r="N7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56" s="31">
        <f>IF(Table64[[#This Row],[date validity flag]]&lt;&gt;"Valid","",Table64[[#This Row],[shipment date ]]-Table64[[#This Row],[Order date]])</f>
        <v>26</v>
      </c>
      <c r="P756" s="27" t="str">
        <f>TEXT(Table64[[#This Row],[Order date]],"mmm-yyyy")</f>
        <v>Jan-2024</v>
      </c>
      <c r="Q756" s="16" t="str">
        <f t="shared" si="11"/>
        <v>Delayed</v>
      </c>
    </row>
    <row r="757" spans="1:17" x14ac:dyDescent="0.3">
      <c r="A757" s="17">
        <v>10756</v>
      </c>
      <c r="B757" s="4">
        <v>5676</v>
      </c>
      <c r="C757" s="4" t="s">
        <v>16</v>
      </c>
      <c r="D757" s="5">
        <v>45738.239999999998</v>
      </c>
      <c r="E757" s="4">
        <v>37</v>
      </c>
      <c r="F757" s="4" t="s">
        <v>23</v>
      </c>
      <c r="G757" s="6">
        <v>45361</v>
      </c>
      <c r="H757" s="5">
        <v>69967.22</v>
      </c>
      <c r="I757" s="18" t="s">
        <v>17</v>
      </c>
      <c r="J757" s="14" t="s">
        <v>19</v>
      </c>
      <c r="K757" s="14">
        <v>1409</v>
      </c>
      <c r="L757" s="15">
        <v>45332</v>
      </c>
      <c r="M757" s="16">
        <v>3</v>
      </c>
      <c r="N75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57" s="31" t="str">
        <f>IF(Table64[[#This Row],[date validity flag]]&lt;&gt;"Valid","",Table64[[#This Row],[shipment date ]]-Table64[[#This Row],[Order date]])</f>
        <v/>
      </c>
      <c r="P757" s="27" t="str">
        <f>TEXT(Table64[[#This Row],[Order date]],"mmm-yyyy")</f>
        <v>Mar-2024</v>
      </c>
      <c r="Q757" s="16" t="str">
        <f t="shared" si="11"/>
        <v/>
      </c>
    </row>
    <row r="758" spans="1:17" x14ac:dyDescent="0.3">
      <c r="A758" s="12">
        <v>10757</v>
      </c>
      <c r="B758" s="1">
        <v>6418</v>
      </c>
      <c r="C758" s="1" t="s">
        <v>12</v>
      </c>
      <c r="D758" s="2">
        <v>39071.51</v>
      </c>
      <c r="E758" s="1">
        <v>49</v>
      </c>
      <c r="F758" s="1" t="s">
        <v>23</v>
      </c>
      <c r="G758" s="3">
        <v>45361</v>
      </c>
      <c r="H758" s="2">
        <v>95936.6</v>
      </c>
      <c r="I758" s="13" t="s">
        <v>20</v>
      </c>
      <c r="J758" s="14" t="s">
        <v>18</v>
      </c>
      <c r="K758" s="14">
        <v>471</v>
      </c>
      <c r="L758" s="15">
        <v>45361</v>
      </c>
      <c r="M758" s="16">
        <v>14</v>
      </c>
      <c r="N7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58" s="31">
        <f>IF(Table64[[#This Row],[date validity flag]]&lt;&gt;"Valid","",Table64[[#This Row],[shipment date ]]-Table64[[#This Row],[Order date]])</f>
        <v>0</v>
      </c>
      <c r="P758" s="27" t="str">
        <f>TEXT(Table64[[#This Row],[Order date]],"mmm-yyyy")</f>
        <v>Mar-2024</v>
      </c>
      <c r="Q758" s="16" t="str">
        <f t="shared" si="11"/>
        <v>On Time</v>
      </c>
    </row>
    <row r="759" spans="1:17" x14ac:dyDescent="0.3">
      <c r="A759" s="17">
        <v>10758</v>
      </c>
      <c r="B759" s="4">
        <v>6893</v>
      </c>
      <c r="C759" s="4" t="s">
        <v>16</v>
      </c>
      <c r="D759" s="5">
        <v>74181.990000000005</v>
      </c>
      <c r="E759" s="4">
        <v>13</v>
      </c>
      <c r="F759" s="4" t="s">
        <v>22</v>
      </c>
      <c r="G759" s="6">
        <v>45383</v>
      </c>
      <c r="H759" s="5">
        <v>85809.64</v>
      </c>
      <c r="I759" s="18" t="s">
        <v>14</v>
      </c>
      <c r="J759" s="14" t="s">
        <v>19</v>
      </c>
      <c r="K759" s="14">
        <v>370</v>
      </c>
      <c r="L759" s="15">
        <v>45332</v>
      </c>
      <c r="M759" s="16">
        <v>14</v>
      </c>
      <c r="N75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59" s="31" t="str">
        <f>IF(Table64[[#This Row],[date validity flag]]&lt;&gt;"Valid","",Table64[[#This Row],[shipment date ]]-Table64[[#This Row],[Order date]])</f>
        <v/>
      </c>
      <c r="P759" s="27" t="str">
        <f>TEXT(Table64[[#This Row],[Order date]],"mmm-yyyy")</f>
        <v>Apr-2024</v>
      </c>
      <c r="Q759" s="16" t="str">
        <f t="shared" si="11"/>
        <v/>
      </c>
    </row>
    <row r="760" spans="1:17" x14ac:dyDescent="0.3">
      <c r="A760" s="12">
        <v>10759</v>
      </c>
      <c r="B760" s="1">
        <v>5457</v>
      </c>
      <c r="C760" s="1" t="s">
        <v>16</v>
      </c>
      <c r="D760" s="2">
        <v>60073.31</v>
      </c>
      <c r="E760" s="1">
        <v>34</v>
      </c>
      <c r="F760" s="1" t="s">
        <v>13</v>
      </c>
      <c r="G760" s="3">
        <v>45306</v>
      </c>
      <c r="H760" s="2">
        <v>143262.89000000001</v>
      </c>
      <c r="I760" s="13" t="s">
        <v>17</v>
      </c>
      <c r="J760" s="14" t="s">
        <v>19</v>
      </c>
      <c r="K760" s="14">
        <v>636</v>
      </c>
      <c r="L760" s="15">
        <v>45397</v>
      </c>
      <c r="M760" s="16">
        <v>8</v>
      </c>
      <c r="N7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60" s="31">
        <f>IF(Table64[[#This Row],[date validity flag]]&lt;&gt;"Valid","",Table64[[#This Row],[shipment date ]]-Table64[[#This Row],[Order date]])</f>
        <v>91</v>
      </c>
      <c r="P760" s="27" t="str">
        <f>TEXT(Table64[[#This Row],[Order date]],"mmm-yyyy")</f>
        <v>Jan-2024</v>
      </c>
      <c r="Q760" s="16" t="str">
        <f t="shared" si="11"/>
        <v>Delayed</v>
      </c>
    </row>
    <row r="761" spans="1:17" x14ac:dyDescent="0.3">
      <c r="A761" s="17">
        <v>10760</v>
      </c>
      <c r="B761" s="4">
        <v>5920</v>
      </c>
      <c r="C761" s="4" t="s">
        <v>12</v>
      </c>
      <c r="D761" s="5">
        <v>68292.41</v>
      </c>
      <c r="E761" s="4">
        <v>86</v>
      </c>
      <c r="F761" s="4" t="s">
        <v>21</v>
      </c>
      <c r="G761" s="6">
        <v>45361</v>
      </c>
      <c r="H761" s="5">
        <v>36406.39</v>
      </c>
      <c r="I761" s="18" t="s">
        <v>14</v>
      </c>
      <c r="J761" s="14" t="s">
        <v>15</v>
      </c>
      <c r="K761" s="14">
        <v>996</v>
      </c>
      <c r="L761" s="15">
        <v>45397</v>
      </c>
      <c r="M761" s="16">
        <v>6</v>
      </c>
      <c r="N7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61" s="31">
        <f>IF(Table64[[#This Row],[date validity flag]]&lt;&gt;"Valid","",Table64[[#This Row],[shipment date ]]-Table64[[#This Row],[Order date]])</f>
        <v>36</v>
      </c>
      <c r="P761" s="27" t="str">
        <f>TEXT(Table64[[#This Row],[Order date]],"mmm-yyyy")</f>
        <v>Mar-2024</v>
      </c>
      <c r="Q761" s="16" t="str">
        <f t="shared" si="11"/>
        <v>Delayed</v>
      </c>
    </row>
    <row r="762" spans="1:17" x14ac:dyDescent="0.3">
      <c r="A762" s="12">
        <v>10761</v>
      </c>
      <c r="B762" s="1">
        <v>5192</v>
      </c>
      <c r="C762" s="1" t="s">
        <v>16</v>
      </c>
      <c r="D762" s="2">
        <v>94035.61</v>
      </c>
      <c r="E762" s="1">
        <v>53</v>
      </c>
      <c r="F762" s="1" t="s">
        <v>22</v>
      </c>
      <c r="G762" s="3">
        <v>45361</v>
      </c>
      <c r="H762" s="2">
        <v>102236.74</v>
      </c>
      <c r="I762" s="13" t="s">
        <v>17</v>
      </c>
      <c r="J762" s="14" t="s">
        <v>18</v>
      </c>
      <c r="K762" s="14">
        <v>1236</v>
      </c>
      <c r="L762" s="15">
        <v>45397</v>
      </c>
      <c r="M762" s="16">
        <v>12</v>
      </c>
      <c r="N7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62" s="31">
        <f>IF(Table64[[#This Row],[date validity flag]]&lt;&gt;"Valid","",Table64[[#This Row],[shipment date ]]-Table64[[#This Row],[Order date]])</f>
        <v>36</v>
      </c>
      <c r="P762" s="27" t="str">
        <f>TEXT(Table64[[#This Row],[Order date]],"mmm-yyyy")</f>
        <v>Mar-2024</v>
      </c>
      <c r="Q762" s="16" t="str">
        <f t="shared" si="11"/>
        <v>Delayed</v>
      </c>
    </row>
    <row r="763" spans="1:17" x14ac:dyDescent="0.3">
      <c r="A763" s="17">
        <v>10762</v>
      </c>
      <c r="B763" s="4">
        <v>5739</v>
      </c>
      <c r="C763" s="4" t="s">
        <v>12</v>
      </c>
      <c r="D763" s="5">
        <v>51961.23</v>
      </c>
      <c r="E763" s="4">
        <v>87</v>
      </c>
      <c r="F763" s="4" t="s">
        <v>13</v>
      </c>
      <c r="G763" s="6">
        <v>45306</v>
      </c>
      <c r="H763" s="5">
        <v>70810.22</v>
      </c>
      <c r="I763" s="18" t="s">
        <v>17</v>
      </c>
      <c r="J763" s="14" t="s">
        <v>15</v>
      </c>
      <c r="K763" s="14">
        <v>1238</v>
      </c>
      <c r="L763" s="15">
        <v>45397</v>
      </c>
      <c r="M763" s="16">
        <v>10</v>
      </c>
      <c r="N7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63" s="31">
        <f>IF(Table64[[#This Row],[date validity flag]]&lt;&gt;"Valid","",Table64[[#This Row],[shipment date ]]-Table64[[#This Row],[Order date]])</f>
        <v>91</v>
      </c>
      <c r="P763" s="27" t="str">
        <f>TEXT(Table64[[#This Row],[Order date]],"mmm-yyyy")</f>
        <v>Jan-2024</v>
      </c>
      <c r="Q763" s="16" t="str">
        <f t="shared" si="11"/>
        <v>Delayed</v>
      </c>
    </row>
    <row r="764" spans="1:17" x14ac:dyDescent="0.3">
      <c r="A764" s="12">
        <v>10763</v>
      </c>
      <c r="B764" s="1">
        <v>6713</v>
      </c>
      <c r="C764" s="1" t="s">
        <v>16</v>
      </c>
      <c r="D764" s="2">
        <v>8430.16</v>
      </c>
      <c r="E764" s="1">
        <v>51</v>
      </c>
      <c r="F764" s="1" t="s">
        <v>13</v>
      </c>
      <c r="G764" s="3">
        <v>45383</v>
      </c>
      <c r="H764" s="2">
        <v>179845</v>
      </c>
      <c r="I764" s="13" t="s">
        <v>20</v>
      </c>
      <c r="J764" s="14" t="s">
        <v>15</v>
      </c>
      <c r="K764" s="14">
        <v>898</v>
      </c>
      <c r="L764" s="15">
        <v>45397</v>
      </c>
      <c r="M764" s="16">
        <v>11</v>
      </c>
      <c r="N7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64" s="31">
        <f>IF(Table64[[#This Row],[date validity flag]]&lt;&gt;"Valid","",Table64[[#This Row],[shipment date ]]-Table64[[#This Row],[Order date]])</f>
        <v>14</v>
      </c>
      <c r="P764" s="27" t="str">
        <f>TEXT(Table64[[#This Row],[Order date]],"mmm-yyyy")</f>
        <v>Apr-2024</v>
      </c>
      <c r="Q764" s="16" t="str">
        <f t="shared" si="11"/>
        <v>Delayed</v>
      </c>
    </row>
    <row r="765" spans="1:17" x14ac:dyDescent="0.3">
      <c r="A765" s="17">
        <v>10764</v>
      </c>
      <c r="B765" s="4">
        <v>6123</v>
      </c>
      <c r="C765" s="4" t="s">
        <v>16</v>
      </c>
      <c r="D765" s="5">
        <v>86070.97</v>
      </c>
      <c r="E765" s="4">
        <v>3</v>
      </c>
      <c r="F765" s="4" t="s">
        <v>13</v>
      </c>
      <c r="G765" s="6">
        <v>45361</v>
      </c>
      <c r="H765" s="5">
        <v>118039.91</v>
      </c>
      <c r="I765" s="18" t="s">
        <v>17</v>
      </c>
      <c r="J765" s="14" t="s">
        <v>15</v>
      </c>
      <c r="K765" s="14">
        <v>1368</v>
      </c>
      <c r="L765" s="15">
        <v>45332</v>
      </c>
      <c r="M765" s="16">
        <v>13</v>
      </c>
      <c r="N76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65" s="31" t="str">
        <f>IF(Table64[[#This Row],[date validity flag]]&lt;&gt;"Valid","",Table64[[#This Row],[shipment date ]]-Table64[[#This Row],[Order date]])</f>
        <v/>
      </c>
      <c r="P765" s="27" t="str">
        <f>TEXT(Table64[[#This Row],[Order date]],"mmm-yyyy")</f>
        <v>Mar-2024</v>
      </c>
      <c r="Q765" s="16" t="str">
        <f t="shared" si="11"/>
        <v/>
      </c>
    </row>
    <row r="766" spans="1:17" x14ac:dyDescent="0.3">
      <c r="A766" s="12">
        <v>10765</v>
      </c>
      <c r="B766" s="1">
        <v>6572</v>
      </c>
      <c r="C766" s="1" t="s">
        <v>16</v>
      </c>
      <c r="D766" s="2">
        <v>28308.29</v>
      </c>
      <c r="E766" s="1">
        <v>42</v>
      </c>
      <c r="F766" s="1" t="s">
        <v>21</v>
      </c>
      <c r="G766" s="3">
        <v>45337</v>
      </c>
      <c r="H766" s="2">
        <v>56141.919999999998</v>
      </c>
      <c r="I766" s="13" t="s">
        <v>17</v>
      </c>
      <c r="J766" s="14" t="s">
        <v>18</v>
      </c>
      <c r="K766" s="14">
        <v>91</v>
      </c>
      <c r="L766" s="15">
        <v>45332</v>
      </c>
      <c r="M766" s="16">
        <v>14</v>
      </c>
      <c r="N76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66" s="31" t="str">
        <f>IF(Table64[[#This Row],[date validity flag]]&lt;&gt;"Valid","",Table64[[#This Row],[shipment date ]]-Table64[[#This Row],[Order date]])</f>
        <v/>
      </c>
      <c r="P766" s="27" t="str">
        <f>TEXT(Table64[[#This Row],[Order date]],"mmm-yyyy")</f>
        <v>Feb-2024</v>
      </c>
      <c r="Q766" s="16" t="str">
        <f t="shared" si="11"/>
        <v/>
      </c>
    </row>
    <row r="767" spans="1:17" x14ac:dyDescent="0.3">
      <c r="A767" s="17">
        <v>10766</v>
      </c>
      <c r="B767" s="4">
        <v>5978</v>
      </c>
      <c r="C767" s="4" t="s">
        <v>16</v>
      </c>
      <c r="D767" s="5">
        <v>74432.509999999995</v>
      </c>
      <c r="E767" s="4">
        <v>98</v>
      </c>
      <c r="F767" s="4" t="s">
        <v>21</v>
      </c>
      <c r="G767" s="6">
        <v>45361</v>
      </c>
      <c r="H767" s="5">
        <v>112721.54</v>
      </c>
      <c r="I767" s="18" t="s">
        <v>14</v>
      </c>
      <c r="J767" s="14" t="s">
        <v>15</v>
      </c>
      <c r="K767" s="14">
        <v>1358</v>
      </c>
      <c r="L767" s="15">
        <v>45397</v>
      </c>
      <c r="M767" s="16">
        <v>5</v>
      </c>
      <c r="N7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67" s="31">
        <f>IF(Table64[[#This Row],[date validity flag]]&lt;&gt;"Valid","",Table64[[#This Row],[shipment date ]]-Table64[[#This Row],[Order date]])</f>
        <v>36</v>
      </c>
      <c r="P767" s="27" t="str">
        <f>TEXT(Table64[[#This Row],[Order date]],"mmm-yyyy")</f>
        <v>Mar-2024</v>
      </c>
      <c r="Q767" s="16" t="str">
        <f t="shared" si="11"/>
        <v>Delayed</v>
      </c>
    </row>
    <row r="768" spans="1:17" x14ac:dyDescent="0.3">
      <c r="A768" s="12">
        <v>10767</v>
      </c>
      <c r="B768" s="1">
        <v>6009</v>
      </c>
      <c r="C768" s="1" t="s">
        <v>16</v>
      </c>
      <c r="D768" s="2">
        <v>96674.54</v>
      </c>
      <c r="E768" s="1">
        <v>32</v>
      </c>
      <c r="F768" s="1" t="s">
        <v>23</v>
      </c>
      <c r="G768" s="3">
        <v>45337</v>
      </c>
      <c r="H768" s="2">
        <v>136631.70000000001</v>
      </c>
      <c r="I768" s="13" t="s">
        <v>17</v>
      </c>
      <c r="J768" s="14" t="s">
        <v>15</v>
      </c>
      <c r="K768" s="14">
        <v>988</v>
      </c>
      <c r="L768" s="15">
        <v>45397</v>
      </c>
      <c r="M768" s="16">
        <v>13</v>
      </c>
      <c r="N7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68" s="31">
        <f>IF(Table64[[#This Row],[date validity flag]]&lt;&gt;"Valid","",Table64[[#This Row],[shipment date ]]-Table64[[#This Row],[Order date]])</f>
        <v>60</v>
      </c>
      <c r="P768" s="27" t="str">
        <f>TEXT(Table64[[#This Row],[Order date]],"mmm-yyyy")</f>
        <v>Feb-2024</v>
      </c>
      <c r="Q768" s="16" t="str">
        <f t="shared" si="11"/>
        <v>Delayed</v>
      </c>
    </row>
    <row r="769" spans="1:17" x14ac:dyDescent="0.3">
      <c r="A769" s="17">
        <v>10768</v>
      </c>
      <c r="B769" s="4">
        <v>5096</v>
      </c>
      <c r="C769" s="4" t="s">
        <v>16</v>
      </c>
      <c r="D769" s="5">
        <v>82507.75</v>
      </c>
      <c r="E769" s="4">
        <v>51</v>
      </c>
      <c r="F769" s="4" t="s">
        <v>23</v>
      </c>
      <c r="G769" s="6">
        <v>45383</v>
      </c>
      <c r="H769" s="5">
        <v>95050.64</v>
      </c>
      <c r="I769" s="18" t="s">
        <v>17</v>
      </c>
      <c r="J769" s="14" t="s">
        <v>15</v>
      </c>
      <c r="K769" s="14">
        <v>436</v>
      </c>
      <c r="L769" s="15">
        <v>45332</v>
      </c>
      <c r="M769" s="16">
        <v>1</v>
      </c>
      <c r="N76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69" s="31" t="str">
        <f>IF(Table64[[#This Row],[date validity flag]]&lt;&gt;"Valid","",Table64[[#This Row],[shipment date ]]-Table64[[#This Row],[Order date]])</f>
        <v/>
      </c>
      <c r="P769" s="27" t="str">
        <f>TEXT(Table64[[#This Row],[Order date]],"mmm-yyyy")</f>
        <v>Apr-2024</v>
      </c>
      <c r="Q769" s="16" t="str">
        <f t="shared" si="11"/>
        <v/>
      </c>
    </row>
    <row r="770" spans="1:17" x14ac:dyDescent="0.3">
      <c r="A770" s="12">
        <v>10769</v>
      </c>
      <c r="B770" s="1">
        <v>6688</v>
      </c>
      <c r="C770" s="1" t="s">
        <v>16</v>
      </c>
      <c r="D770" s="2">
        <v>9863.42</v>
      </c>
      <c r="E770" s="1">
        <v>85</v>
      </c>
      <c r="F770" s="1" t="s">
        <v>13</v>
      </c>
      <c r="G770" s="3">
        <v>45361</v>
      </c>
      <c r="H770" s="2">
        <v>142715.82999999999</v>
      </c>
      <c r="I770" s="13" t="s">
        <v>17</v>
      </c>
      <c r="J770" s="14" t="s">
        <v>19</v>
      </c>
      <c r="K770" s="14">
        <v>1211</v>
      </c>
      <c r="L770" s="15">
        <v>45361</v>
      </c>
      <c r="M770" s="16">
        <v>12</v>
      </c>
      <c r="N7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0" s="31">
        <f>IF(Table64[[#This Row],[date validity flag]]&lt;&gt;"Valid","",Table64[[#This Row],[shipment date ]]-Table64[[#This Row],[Order date]])</f>
        <v>0</v>
      </c>
      <c r="P770" s="27" t="str">
        <f>TEXT(Table64[[#This Row],[Order date]],"mmm-yyyy")</f>
        <v>Mar-2024</v>
      </c>
      <c r="Q770" s="16" t="str">
        <f t="shared" ref="Q770:Q833" si="12">IF(O770="","",IF(O770&gt;0,"Delayed","On Time"))</f>
        <v>On Time</v>
      </c>
    </row>
    <row r="771" spans="1:17" x14ac:dyDescent="0.3">
      <c r="A771" s="17">
        <v>10770</v>
      </c>
      <c r="B771" s="4">
        <v>5663</v>
      </c>
      <c r="C771" s="4" t="s">
        <v>12</v>
      </c>
      <c r="D771" s="5">
        <v>10493.7</v>
      </c>
      <c r="E771" s="4">
        <v>46</v>
      </c>
      <c r="F771" s="4" t="s">
        <v>13</v>
      </c>
      <c r="G771" s="6">
        <v>45306</v>
      </c>
      <c r="H771" s="5">
        <v>74027.34</v>
      </c>
      <c r="I771" s="18" t="s">
        <v>17</v>
      </c>
      <c r="J771" s="14" t="s">
        <v>15</v>
      </c>
      <c r="K771" s="14">
        <v>1260</v>
      </c>
      <c r="L771" s="15">
        <v>45332</v>
      </c>
      <c r="M771" s="16">
        <v>11</v>
      </c>
      <c r="N7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1" s="31">
        <f>IF(Table64[[#This Row],[date validity flag]]&lt;&gt;"Valid","",Table64[[#This Row],[shipment date ]]-Table64[[#This Row],[Order date]])</f>
        <v>26</v>
      </c>
      <c r="P771" s="27" t="str">
        <f>TEXT(Table64[[#This Row],[Order date]],"mmm-yyyy")</f>
        <v>Jan-2024</v>
      </c>
      <c r="Q771" s="16" t="str">
        <f t="shared" si="12"/>
        <v>Delayed</v>
      </c>
    </row>
    <row r="772" spans="1:17" x14ac:dyDescent="0.3">
      <c r="A772" s="12">
        <v>10771</v>
      </c>
      <c r="B772" s="1">
        <v>6214</v>
      </c>
      <c r="C772" s="1" t="s">
        <v>12</v>
      </c>
      <c r="D772" s="2">
        <v>76903.11</v>
      </c>
      <c r="E772" s="1">
        <v>21</v>
      </c>
      <c r="F772" s="1" t="s">
        <v>21</v>
      </c>
      <c r="G772" s="3">
        <v>45306</v>
      </c>
      <c r="H772" s="2">
        <v>34522.36</v>
      </c>
      <c r="I772" s="13" t="s">
        <v>17</v>
      </c>
      <c r="J772" s="14" t="s">
        <v>18</v>
      </c>
      <c r="K772" s="14">
        <v>959</v>
      </c>
      <c r="L772" s="15">
        <v>45332</v>
      </c>
      <c r="M772" s="16">
        <v>12</v>
      </c>
      <c r="N7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2" s="31">
        <f>IF(Table64[[#This Row],[date validity flag]]&lt;&gt;"Valid","",Table64[[#This Row],[shipment date ]]-Table64[[#This Row],[Order date]])</f>
        <v>26</v>
      </c>
      <c r="P772" s="27" t="str">
        <f>TEXT(Table64[[#This Row],[Order date]],"mmm-yyyy")</f>
        <v>Jan-2024</v>
      </c>
      <c r="Q772" s="16" t="str">
        <f t="shared" si="12"/>
        <v>Delayed</v>
      </c>
    </row>
    <row r="773" spans="1:17" x14ac:dyDescent="0.3">
      <c r="A773" s="17">
        <v>10772</v>
      </c>
      <c r="B773" s="4">
        <v>6760</v>
      </c>
      <c r="C773" s="4" t="s">
        <v>12</v>
      </c>
      <c r="D773" s="5">
        <v>54602.96</v>
      </c>
      <c r="E773" s="4">
        <v>44</v>
      </c>
      <c r="F773" s="4" t="s">
        <v>23</v>
      </c>
      <c r="G773" s="6">
        <v>45361</v>
      </c>
      <c r="H773" s="5">
        <v>86879.06</v>
      </c>
      <c r="I773" s="18" t="s">
        <v>17</v>
      </c>
      <c r="J773" s="14" t="s">
        <v>18</v>
      </c>
      <c r="K773" s="14">
        <v>765</v>
      </c>
      <c r="L773" s="15">
        <v>45332</v>
      </c>
      <c r="M773" s="16">
        <v>9</v>
      </c>
      <c r="N77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73" s="31" t="str">
        <f>IF(Table64[[#This Row],[date validity flag]]&lt;&gt;"Valid","",Table64[[#This Row],[shipment date ]]-Table64[[#This Row],[Order date]])</f>
        <v/>
      </c>
      <c r="P773" s="27" t="str">
        <f>TEXT(Table64[[#This Row],[Order date]],"mmm-yyyy")</f>
        <v>Mar-2024</v>
      </c>
      <c r="Q773" s="16" t="str">
        <f t="shared" si="12"/>
        <v/>
      </c>
    </row>
    <row r="774" spans="1:17" x14ac:dyDescent="0.3">
      <c r="A774" s="12">
        <v>10773</v>
      </c>
      <c r="B774" s="1">
        <v>5037</v>
      </c>
      <c r="C774" s="1" t="s">
        <v>16</v>
      </c>
      <c r="D774" s="2">
        <v>63579.38</v>
      </c>
      <c r="E774" s="1">
        <v>11</v>
      </c>
      <c r="F774" s="1" t="s">
        <v>13</v>
      </c>
      <c r="G774" s="3">
        <v>45383</v>
      </c>
      <c r="H774" s="2">
        <v>117086.87</v>
      </c>
      <c r="I774" s="13" t="s">
        <v>17</v>
      </c>
      <c r="J774" s="14" t="s">
        <v>19</v>
      </c>
      <c r="K774" s="14">
        <v>480</v>
      </c>
      <c r="L774" s="15">
        <v>45332</v>
      </c>
      <c r="M774" s="16">
        <v>3</v>
      </c>
      <c r="N77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74" s="31" t="str">
        <f>IF(Table64[[#This Row],[date validity flag]]&lt;&gt;"Valid","",Table64[[#This Row],[shipment date ]]-Table64[[#This Row],[Order date]])</f>
        <v/>
      </c>
      <c r="P774" s="27" t="str">
        <f>TEXT(Table64[[#This Row],[Order date]],"mmm-yyyy")</f>
        <v>Apr-2024</v>
      </c>
      <c r="Q774" s="16" t="str">
        <f t="shared" si="12"/>
        <v/>
      </c>
    </row>
    <row r="775" spans="1:17" x14ac:dyDescent="0.3">
      <c r="A775" s="17">
        <v>10774</v>
      </c>
      <c r="B775" s="4">
        <v>6804</v>
      </c>
      <c r="C775" s="4" t="s">
        <v>16</v>
      </c>
      <c r="D775" s="5">
        <v>14879.42</v>
      </c>
      <c r="E775" s="4">
        <v>68</v>
      </c>
      <c r="F775" s="4" t="s">
        <v>23</v>
      </c>
      <c r="G775" s="6">
        <v>45383</v>
      </c>
      <c r="H775" s="5">
        <v>38770.699999999997</v>
      </c>
      <c r="I775" s="18" t="s">
        <v>20</v>
      </c>
      <c r="J775" s="14" t="s">
        <v>18</v>
      </c>
      <c r="K775" s="14">
        <v>603</v>
      </c>
      <c r="L775" s="15">
        <v>45332</v>
      </c>
      <c r="M775" s="16">
        <v>3</v>
      </c>
      <c r="N7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75" s="31" t="str">
        <f>IF(Table64[[#This Row],[date validity flag]]&lt;&gt;"Valid","",Table64[[#This Row],[shipment date ]]-Table64[[#This Row],[Order date]])</f>
        <v/>
      </c>
      <c r="P775" s="27" t="str">
        <f>TEXT(Table64[[#This Row],[Order date]],"mmm-yyyy")</f>
        <v>Apr-2024</v>
      </c>
      <c r="Q775" s="16" t="str">
        <f t="shared" si="12"/>
        <v/>
      </c>
    </row>
    <row r="776" spans="1:17" x14ac:dyDescent="0.3">
      <c r="A776" s="12">
        <v>10775</v>
      </c>
      <c r="B776" s="1">
        <v>6393</v>
      </c>
      <c r="C776" s="1" t="s">
        <v>12</v>
      </c>
      <c r="D776" s="2">
        <v>31342.25</v>
      </c>
      <c r="E776" s="1">
        <v>1</v>
      </c>
      <c r="F776" s="1" t="s">
        <v>23</v>
      </c>
      <c r="G776" s="3">
        <v>45306</v>
      </c>
      <c r="H776" s="2">
        <v>95658.9</v>
      </c>
      <c r="I776" s="13" t="s">
        <v>20</v>
      </c>
      <c r="J776" s="14" t="s">
        <v>18</v>
      </c>
      <c r="K776" s="14">
        <v>1489</v>
      </c>
      <c r="L776" s="15">
        <v>45361</v>
      </c>
      <c r="M776" s="16">
        <v>2</v>
      </c>
      <c r="N7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6" s="31">
        <f>IF(Table64[[#This Row],[date validity flag]]&lt;&gt;"Valid","",Table64[[#This Row],[shipment date ]]-Table64[[#This Row],[Order date]])</f>
        <v>55</v>
      </c>
      <c r="P776" s="27" t="str">
        <f>TEXT(Table64[[#This Row],[Order date]],"mmm-yyyy")</f>
        <v>Jan-2024</v>
      </c>
      <c r="Q776" s="16" t="str">
        <f t="shared" si="12"/>
        <v>Delayed</v>
      </c>
    </row>
    <row r="777" spans="1:17" x14ac:dyDescent="0.3">
      <c r="A777" s="17">
        <v>10776</v>
      </c>
      <c r="B777" s="4">
        <v>6719</v>
      </c>
      <c r="C777" s="4" t="s">
        <v>16</v>
      </c>
      <c r="D777" s="5">
        <v>29638.62</v>
      </c>
      <c r="E777" s="4">
        <v>92</v>
      </c>
      <c r="F777" s="4" t="s">
        <v>13</v>
      </c>
      <c r="G777" s="6">
        <v>45361</v>
      </c>
      <c r="H777" s="5">
        <v>110137.55</v>
      </c>
      <c r="I777" s="18" t="s">
        <v>17</v>
      </c>
      <c r="J777" s="14" t="s">
        <v>19</v>
      </c>
      <c r="K777" s="14">
        <v>849</v>
      </c>
      <c r="L777" s="15">
        <v>45397</v>
      </c>
      <c r="M777" s="16">
        <v>4</v>
      </c>
      <c r="N7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7" s="31">
        <f>IF(Table64[[#This Row],[date validity flag]]&lt;&gt;"Valid","",Table64[[#This Row],[shipment date ]]-Table64[[#This Row],[Order date]])</f>
        <v>36</v>
      </c>
      <c r="P777" s="27" t="str">
        <f>TEXT(Table64[[#This Row],[Order date]],"mmm-yyyy")</f>
        <v>Mar-2024</v>
      </c>
      <c r="Q777" s="16" t="str">
        <f t="shared" si="12"/>
        <v>Delayed</v>
      </c>
    </row>
    <row r="778" spans="1:17" x14ac:dyDescent="0.3">
      <c r="A778" s="12">
        <v>10777</v>
      </c>
      <c r="B778" s="1">
        <v>6549</v>
      </c>
      <c r="C778" s="1" t="s">
        <v>16</v>
      </c>
      <c r="D778" s="2">
        <v>99700.54</v>
      </c>
      <c r="E778" s="1">
        <v>63</v>
      </c>
      <c r="F778" s="1" t="s">
        <v>21</v>
      </c>
      <c r="G778" s="3">
        <v>45383</v>
      </c>
      <c r="H778" s="2">
        <v>100234.54</v>
      </c>
      <c r="I778" s="13" t="s">
        <v>17</v>
      </c>
      <c r="J778" s="14" t="s">
        <v>15</v>
      </c>
      <c r="K778" s="14">
        <v>475</v>
      </c>
      <c r="L778" s="15">
        <v>45397</v>
      </c>
      <c r="M778" s="16">
        <v>12</v>
      </c>
      <c r="N7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8" s="31">
        <f>IF(Table64[[#This Row],[date validity flag]]&lt;&gt;"Valid","",Table64[[#This Row],[shipment date ]]-Table64[[#This Row],[Order date]])</f>
        <v>14</v>
      </c>
      <c r="P778" s="27" t="str">
        <f>TEXT(Table64[[#This Row],[Order date]],"mmm-yyyy")</f>
        <v>Apr-2024</v>
      </c>
      <c r="Q778" s="16" t="str">
        <f t="shared" si="12"/>
        <v>Delayed</v>
      </c>
    </row>
    <row r="779" spans="1:17" x14ac:dyDescent="0.3">
      <c r="A779" s="17">
        <v>10778</v>
      </c>
      <c r="B779" s="4">
        <v>5279</v>
      </c>
      <c r="C779" s="4" t="s">
        <v>16</v>
      </c>
      <c r="D779" s="5">
        <v>73366.06</v>
      </c>
      <c r="E779" s="4">
        <v>24</v>
      </c>
      <c r="F779" s="4" t="s">
        <v>13</v>
      </c>
      <c r="G779" s="6">
        <v>45306</v>
      </c>
      <c r="H779" s="5">
        <v>74986.95</v>
      </c>
      <c r="I779" s="18" t="s">
        <v>14</v>
      </c>
      <c r="J779" s="14" t="s">
        <v>19</v>
      </c>
      <c r="K779" s="14">
        <v>1489</v>
      </c>
      <c r="L779" s="15">
        <v>45361</v>
      </c>
      <c r="M779" s="16">
        <v>2</v>
      </c>
      <c r="N7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79" s="31">
        <f>IF(Table64[[#This Row],[date validity flag]]&lt;&gt;"Valid","",Table64[[#This Row],[shipment date ]]-Table64[[#This Row],[Order date]])</f>
        <v>55</v>
      </c>
      <c r="P779" s="27" t="str">
        <f>TEXT(Table64[[#This Row],[Order date]],"mmm-yyyy")</f>
        <v>Jan-2024</v>
      </c>
      <c r="Q779" s="16" t="str">
        <f t="shared" si="12"/>
        <v>Delayed</v>
      </c>
    </row>
    <row r="780" spans="1:17" x14ac:dyDescent="0.3">
      <c r="A780" s="12">
        <v>10779</v>
      </c>
      <c r="B780" s="1">
        <v>5217</v>
      </c>
      <c r="C780" s="1" t="s">
        <v>16</v>
      </c>
      <c r="D780" s="2">
        <v>82426.94</v>
      </c>
      <c r="E780" s="1">
        <v>99</v>
      </c>
      <c r="F780" s="1" t="s">
        <v>13</v>
      </c>
      <c r="G780" s="3">
        <v>45337</v>
      </c>
      <c r="H780" s="2">
        <v>96125.4</v>
      </c>
      <c r="I780" s="13" t="s">
        <v>20</v>
      </c>
      <c r="J780" s="14" t="s">
        <v>15</v>
      </c>
      <c r="K780" s="14">
        <v>75</v>
      </c>
      <c r="L780" s="15">
        <v>45397</v>
      </c>
      <c r="M780" s="16">
        <v>13</v>
      </c>
      <c r="N7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80" s="31">
        <f>IF(Table64[[#This Row],[date validity flag]]&lt;&gt;"Valid","",Table64[[#This Row],[shipment date ]]-Table64[[#This Row],[Order date]])</f>
        <v>60</v>
      </c>
      <c r="P780" s="27" t="str">
        <f>TEXT(Table64[[#This Row],[Order date]],"mmm-yyyy")</f>
        <v>Feb-2024</v>
      </c>
      <c r="Q780" s="16" t="str">
        <f t="shared" si="12"/>
        <v>Delayed</v>
      </c>
    </row>
    <row r="781" spans="1:17" x14ac:dyDescent="0.3">
      <c r="A781" s="17">
        <v>10780</v>
      </c>
      <c r="B781" s="4">
        <v>5867</v>
      </c>
      <c r="C781" s="4" t="s">
        <v>16</v>
      </c>
      <c r="D781" s="5">
        <v>72242.490000000005</v>
      </c>
      <c r="E781" s="4">
        <v>13</v>
      </c>
      <c r="F781" s="4" t="s">
        <v>23</v>
      </c>
      <c r="G781" s="6">
        <v>45361</v>
      </c>
      <c r="H781" s="5">
        <v>96866.78</v>
      </c>
      <c r="I781" s="18" t="s">
        <v>14</v>
      </c>
      <c r="J781" s="14" t="s">
        <v>15</v>
      </c>
      <c r="K781" s="14">
        <v>1444</v>
      </c>
      <c r="L781" s="15">
        <v>45397</v>
      </c>
      <c r="M781" s="16">
        <v>9</v>
      </c>
      <c r="N7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81" s="31">
        <f>IF(Table64[[#This Row],[date validity flag]]&lt;&gt;"Valid","",Table64[[#This Row],[shipment date ]]-Table64[[#This Row],[Order date]])</f>
        <v>36</v>
      </c>
      <c r="P781" s="27" t="str">
        <f>TEXT(Table64[[#This Row],[Order date]],"mmm-yyyy")</f>
        <v>Mar-2024</v>
      </c>
      <c r="Q781" s="16" t="str">
        <f t="shared" si="12"/>
        <v>Delayed</v>
      </c>
    </row>
    <row r="782" spans="1:17" x14ac:dyDescent="0.3">
      <c r="A782" s="12">
        <v>10781</v>
      </c>
      <c r="B782" s="1">
        <v>5873</v>
      </c>
      <c r="C782" s="1" t="s">
        <v>16</v>
      </c>
      <c r="D782" s="2">
        <v>44930.92</v>
      </c>
      <c r="E782" s="1">
        <v>98</v>
      </c>
      <c r="F782" s="1" t="s">
        <v>13</v>
      </c>
      <c r="G782" s="3">
        <v>45337</v>
      </c>
      <c r="H782" s="2">
        <v>146136.23000000001</v>
      </c>
      <c r="I782" s="13" t="s">
        <v>20</v>
      </c>
      <c r="J782" s="14" t="s">
        <v>18</v>
      </c>
      <c r="K782" s="14">
        <v>434</v>
      </c>
      <c r="L782" s="15">
        <v>45397</v>
      </c>
      <c r="M782" s="16">
        <v>12</v>
      </c>
      <c r="N7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82" s="31">
        <f>IF(Table64[[#This Row],[date validity flag]]&lt;&gt;"Valid","",Table64[[#This Row],[shipment date ]]-Table64[[#This Row],[Order date]])</f>
        <v>60</v>
      </c>
      <c r="P782" s="27" t="str">
        <f>TEXT(Table64[[#This Row],[Order date]],"mmm-yyyy")</f>
        <v>Feb-2024</v>
      </c>
      <c r="Q782" s="16" t="str">
        <f t="shared" si="12"/>
        <v>Delayed</v>
      </c>
    </row>
    <row r="783" spans="1:17" x14ac:dyDescent="0.3">
      <c r="A783" s="17">
        <v>10782</v>
      </c>
      <c r="B783" s="4">
        <v>6822</v>
      </c>
      <c r="C783" s="4" t="s">
        <v>16</v>
      </c>
      <c r="D783" s="5">
        <v>14498.13</v>
      </c>
      <c r="E783" s="4">
        <v>11</v>
      </c>
      <c r="F783" s="4" t="s">
        <v>21</v>
      </c>
      <c r="G783" s="6">
        <v>45337</v>
      </c>
      <c r="H783" s="5">
        <v>94178.07</v>
      </c>
      <c r="I783" s="18" t="s">
        <v>20</v>
      </c>
      <c r="J783" s="14" t="s">
        <v>19</v>
      </c>
      <c r="K783" s="14">
        <v>105</v>
      </c>
      <c r="L783" s="15">
        <v>45361</v>
      </c>
      <c r="M783" s="16">
        <v>10</v>
      </c>
      <c r="N7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83" s="31">
        <f>IF(Table64[[#This Row],[date validity flag]]&lt;&gt;"Valid","",Table64[[#This Row],[shipment date ]]-Table64[[#This Row],[Order date]])</f>
        <v>24</v>
      </c>
      <c r="P783" s="27" t="str">
        <f>TEXT(Table64[[#This Row],[Order date]],"mmm-yyyy")</f>
        <v>Feb-2024</v>
      </c>
      <c r="Q783" s="16" t="str">
        <f t="shared" si="12"/>
        <v>Delayed</v>
      </c>
    </row>
    <row r="784" spans="1:17" x14ac:dyDescent="0.3">
      <c r="A784" s="12">
        <v>10783</v>
      </c>
      <c r="B784" s="1">
        <v>6297</v>
      </c>
      <c r="C784" s="1" t="s">
        <v>16</v>
      </c>
      <c r="D784" s="2">
        <v>69285.8</v>
      </c>
      <c r="E784" s="1">
        <v>51</v>
      </c>
      <c r="F784" s="1" t="s">
        <v>13</v>
      </c>
      <c r="G784" s="3">
        <v>45383</v>
      </c>
      <c r="H784" s="2">
        <v>98944.77</v>
      </c>
      <c r="I784" s="13" t="s">
        <v>17</v>
      </c>
      <c r="J784" s="14" t="s">
        <v>18</v>
      </c>
      <c r="K784" s="14">
        <v>1326</v>
      </c>
      <c r="L784" s="15">
        <v>45361</v>
      </c>
      <c r="M784" s="16">
        <v>7</v>
      </c>
      <c r="N78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84" s="31" t="str">
        <f>IF(Table64[[#This Row],[date validity flag]]&lt;&gt;"Valid","",Table64[[#This Row],[shipment date ]]-Table64[[#This Row],[Order date]])</f>
        <v/>
      </c>
      <c r="P784" s="27" t="str">
        <f>TEXT(Table64[[#This Row],[Order date]],"mmm-yyyy")</f>
        <v>Apr-2024</v>
      </c>
      <c r="Q784" s="16" t="str">
        <f t="shared" si="12"/>
        <v/>
      </c>
    </row>
    <row r="785" spans="1:17" x14ac:dyDescent="0.3">
      <c r="A785" s="17">
        <v>10784</v>
      </c>
      <c r="B785" s="4">
        <v>6905</v>
      </c>
      <c r="C785" s="4" t="s">
        <v>16</v>
      </c>
      <c r="D785" s="5">
        <v>15286.47</v>
      </c>
      <c r="E785" s="4">
        <v>17</v>
      </c>
      <c r="F785" s="4" t="s">
        <v>21</v>
      </c>
      <c r="G785" s="6">
        <v>45383</v>
      </c>
      <c r="H785" s="5">
        <v>74698.2</v>
      </c>
      <c r="I785" s="18" t="s">
        <v>20</v>
      </c>
      <c r="J785" s="14" t="s">
        <v>18</v>
      </c>
      <c r="K785" s="14">
        <v>683</v>
      </c>
      <c r="L785" s="15">
        <v>45397</v>
      </c>
      <c r="M785" s="16">
        <v>8</v>
      </c>
      <c r="N7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85" s="31">
        <f>IF(Table64[[#This Row],[date validity flag]]&lt;&gt;"Valid","",Table64[[#This Row],[shipment date ]]-Table64[[#This Row],[Order date]])</f>
        <v>14</v>
      </c>
      <c r="P785" s="27" t="str">
        <f>TEXT(Table64[[#This Row],[Order date]],"mmm-yyyy")</f>
        <v>Apr-2024</v>
      </c>
      <c r="Q785" s="16" t="str">
        <f t="shared" si="12"/>
        <v>Delayed</v>
      </c>
    </row>
    <row r="786" spans="1:17" x14ac:dyDescent="0.3">
      <c r="A786" s="12">
        <v>10785</v>
      </c>
      <c r="B786" s="1">
        <v>5062</v>
      </c>
      <c r="C786" s="1" t="s">
        <v>16</v>
      </c>
      <c r="D786" s="2">
        <v>69552.210000000006</v>
      </c>
      <c r="E786" s="1">
        <v>99</v>
      </c>
      <c r="F786" s="1" t="s">
        <v>21</v>
      </c>
      <c r="G786" s="3">
        <v>45383</v>
      </c>
      <c r="H786" s="2">
        <v>113010.47</v>
      </c>
      <c r="I786" s="13" t="s">
        <v>14</v>
      </c>
      <c r="J786" s="14" t="s">
        <v>15</v>
      </c>
      <c r="K786" s="14">
        <v>155</v>
      </c>
      <c r="L786" s="15">
        <v>45397</v>
      </c>
      <c r="M786" s="16">
        <v>3</v>
      </c>
      <c r="N78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86" s="31">
        <f>IF(Table64[[#This Row],[date validity flag]]&lt;&gt;"Valid","",Table64[[#This Row],[shipment date ]]-Table64[[#This Row],[Order date]])</f>
        <v>14</v>
      </c>
      <c r="P786" s="27" t="str">
        <f>TEXT(Table64[[#This Row],[Order date]],"mmm-yyyy")</f>
        <v>Apr-2024</v>
      </c>
      <c r="Q786" s="16" t="str">
        <f t="shared" si="12"/>
        <v>Delayed</v>
      </c>
    </row>
    <row r="787" spans="1:17" x14ac:dyDescent="0.3">
      <c r="A787" s="17">
        <v>10786</v>
      </c>
      <c r="B787" s="4">
        <v>5596</v>
      </c>
      <c r="C787" s="4" t="s">
        <v>12</v>
      </c>
      <c r="D787" s="5">
        <v>16442.54</v>
      </c>
      <c r="E787" s="4">
        <v>82</v>
      </c>
      <c r="F787" s="4" t="s">
        <v>23</v>
      </c>
      <c r="G787" s="6">
        <v>45361</v>
      </c>
      <c r="H787" s="5">
        <v>94616.49</v>
      </c>
      <c r="I787" s="18" t="s">
        <v>20</v>
      </c>
      <c r="J787" s="14" t="s">
        <v>18</v>
      </c>
      <c r="K787" s="14">
        <v>1203</v>
      </c>
      <c r="L787" s="15">
        <v>45397</v>
      </c>
      <c r="M787" s="16">
        <v>6</v>
      </c>
      <c r="N7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87" s="31">
        <f>IF(Table64[[#This Row],[date validity flag]]&lt;&gt;"Valid","",Table64[[#This Row],[shipment date ]]-Table64[[#This Row],[Order date]])</f>
        <v>36</v>
      </c>
      <c r="P787" s="27" t="str">
        <f>TEXT(Table64[[#This Row],[Order date]],"mmm-yyyy")</f>
        <v>Mar-2024</v>
      </c>
      <c r="Q787" s="16" t="str">
        <f t="shared" si="12"/>
        <v>Delayed</v>
      </c>
    </row>
    <row r="788" spans="1:17" x14ac:dyDescent="0.3">
      <c r="A788" s="12">
        <v>10787</v>
      </c>
      <c r="B788" s="1">
        <v>6904</v>
      </c>
      <c r="C788" s="1" t="s">
        <v>12</v>
      </c>
      <c r="D788" s="2">
        <v>65029.41</v>
      </c>
      <c r="E788" s="1">
        <v>86</v>
      </c>
      <c r="F788" s="1" t="s">
        <v>22</v>
      </c>
      <c r="G788" s="3">
        <v>45337</v>
      </c>
      <c r="H788" s="2">
        <v>32421.39</v>
      </c>
      <c r="I788" s="13" t="s">
        <v>17</v>
      </c>
      <c r="J788" s="14" t="s">
        <v>19</v>
      </c>
      <c r="K788" s="14">
        <v>898</v>
      </c>
      <c r="L788" s="15">
        <v>45332</v>
      </c>
      <c r="M788" s="16">
        <v>10</v>
      </c>
      <c r="N78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88" s="31" t="str">
        <f>IF(Table64[[#This Row],[date validity flag]]&lt;&gt;"Valid","",Table64[[#This Row],[shipment date ]]-Table64[[#This Row],[Order date]])</f>
        <v/>
      </c>
      <c r="P788" s="27" t="str">
        <f>TEXT(Table64[[#This Row],[Order date]],"mmm-yyyy")</f>
        <v>Feb-2024</v>
      </c>
      <c r="Q788" s="16" t="str">
        <f t="shared" si="12"/>
        <v/>
      </c>
    </row>
    <row r="789" spans="1:17" x14ac:dyDescent="0.3">
      <c r="A789" s="17">
        <v>10788</v>
      </c>
      <c r="B789" s="4">
        <v>5729</v>
      </c>
      <c r="C789" s="4" t="s">
        <v>16</v>
      </c>
      <c r="D789" s="5">
        <v>33315.72</v>
      </c>
      <c r="E789" s="4">
        <v>24</v>
      </c>
      <c r="F789" s="4" t="s">
        <v>22</v>
      </c>
      <c r="G789" s="6">
        <v>45361</v>
      </c>
      <c r="H789" s="5">
        <v>11401.5</v>
      </c>
      <c r="I789" s="18" t="s">
        <v>17</v>
      </c>
      <c r="J789" s="14" t="s">
        <v>18</v>
      </c>
      <c r="K789" s="14">
        <v>719</v>
      </c>
      <c r="L789" s="15">
        <v>45332</v>
      </c>
      <c r="M789" s="16">
        <v>6</v>
      </c>
      <c r="N78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89" s="31" t="str">
        <f>IF(Table64[[#This Row],[date validity flag]]&lt;&gt;"Valid","",Table64[[#This Row],[shipment date ]]-Table64[[#This Row],[Order date]])</f>
        <v/>
      </c>
      <c r="P789" s="27" t="str">
        <f>TEXT(Table64[[#This Row],[Order date]],"mmm-yyyy")</f>
        <v>Mar-2024</v>
      </c>
      <c r="Q789" s="16" t="str">
        <f t="shared" si="12"/>
        <v/>
      </c>
    </row>
    <row r="790" spans="1:17" x14ac:dyDescent="0.3">
      <c r="A790" s="12">
        <v>10789</v>
      </c>
      <c r="B790" s="1">
        <v>6366</v>
      </c>
      <c r="C790" s="1" t="s">
        <v>16</v>
      </c>
      <c r="D790" s="2">
        <v>23594.04</v>
      </c>
      <c r="E790" s="1">
        <v>19</v>
      </c>
      <c r="F790" s="1" t="s">
        <v>23</v>
      </c>
      <c r="G790" s="3">
        <v>45383</v>
      </c>
      <c r="H790" s="2">
        <v>81654.92</v>
      </c>
      <c r="I790" s="13" t="s">
        <v>17</v>
      </c>
      <c r="J790" s="14" t="s">
        <v>18</v>
      </c>
      <c r="K790" s="14">
        <v>425</v>
      </c>
      <c r="L790" s="15">
        <v>45332</v>
      </c>
      <c r="M790" s="16">
        <v>13</v>
      </c>
      <c r="N79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90" s="31" t="str">
        <f>IF(Table64[[#This Row],[date validity flag]]&lt;&gt;"Valid","",Table64[[#This Row],[shipment date ]]-Table64[[#This Row],[Order date]])</f>
        <v/>
      </c>
      <c r="P790" s="27" t="str">
        <f>TEXT(Table64[[#This Row],[Order date]],"mmm-yyyy")</f>
        <v>Apr-2024</v>
      </c>
      <c r="Q790" s="16" t="str">
        <f t="shared" si="12"/>
        <v/>
      </c>
    </row>
    <row r="791" spans="1:17" x14ac:dyDescent="0.3">
      <c r="A791" s="17">
        <v>10790</v>
      </c>
      <c r="B791" s="4">
        <v>5397</v>
      </c>
      <c r="C791" s="4" t="s">
        <v>16</v>
      </c>
      <c r="D791" s="5">
        <v>43887.11</v>
      </c>
      <c r="E791" s="4">
        <v>37</v>
      </c>
      <c r="F791" s="4" t="s">
        <v>13</v>
      </c>
      <c r="G791" s="6">
        <v>45337</v>
      </c>
      <c r="H791" s="5">
        <v>122287.61</v>
      </c>
      <c r="I791" s="18" t="s">
        <v>17</v>
      </c>
      <c r="J791" s="14" t="s">
        <v>15</v>
      </c>
      <c r="K791" s="14">
        <v>792</v>
      </c>
      <c r="L791" s="15">
        <v>45361</v>
      </c>
      <c r="M791" s="16">
        <v>1</v>
      </c>
      <c r="N7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1" s="31">
        <f>IF(Table64[[#This Row],[date validity flag]]&lt;&gt;"Valid","",Table64[[#This Row],[shipment date ]]-Table64[[#This Row],[Order date]])</f>
        <v>24</v>
      </c>
      <c r="P791" s="27" t="str">
        <f>TEXT(Table64[[#This Row],[Order date]],"mmm-yyyy")</f>
        <v>Feb-2024</v>
      </c>
      <c r="Q791" s="16" t="str">
        <f t="shared" si="12"/>
        <v>Delayed</v>
      </c>
    </row>
    <row r="792" spans="1:17" x14ac:dyDescent="0.3">
      <c r="A792" s="12">
        <v>10791</v>
      </c>
      <c r="B792" s="1">
        <v>5699</v>
      </c>
      <c r="C792" s="1" t="s">
        <v>12</v>
      </c>
      <c r="D792" s="2">
        <v>56570</v>
      </c>
      <c r="E792" s="1">
        <v>85</v>
      </c>
      <c r="F792" s="1" t="s">
        <v>23</v>
      </c>
      <c r="G792" s="3">
        <v>45361</v>
      </c>
      <c r="H792" s="2">
        <v>77559.11</v>
      </c>
      <c r="I792" s="13" t="s">
        <v>17</v>
      </c>
      <c r="J792" s="14" t="s">
        <v>19</v>
      </c>
      <c r="K792" s="14">
        <v>1016</v>
      </c>
      <c r="L792" s="15">
        <v>45397</v>
      </c>
      <c r="M792" s="16">
        <v>6</v>
      </c>
      <c r="N7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2" s="31">
        <f>IF(Table64[[#This Row],[date validity flag]]&lt;&gt;"Valid","",Table64[[#This Row],[shipment date ]]-Table64[[#This Row],[Order date]])</f>
        <v>36</v>
      </c>
      <c r="P792" s="27" t="str">
        <f>TEXT(Table64[[#This Row],[Order date]],"mmm-yyyy")</f>
        <v>Mar-2024</v>
      </c>
      <c r="Q792" s="16" t="str">
        <f t="shared" si="12"/>
        <v>Delayed</v>
      </c>
    </row>
    <row r="793" spans="1:17" x14ac:dyDescent="0.3">
      <c r="A793" s="17">
        <v>10792</v>
      </c>
      <c r="B793" s="4">
        <v>6043</v>
      </c>
      <c r="C793" s="4" t="s">
        <v>16</v>
      </c>
      <c r="D793" s="5">
        <v>76351.62</v>
      </c>
      <c r="E793" s="4">
        <v>8</v>
      </c>
      <c r="F793" s="4" t="s">
        <v>21</v>
      </c>
      <c r="G793" s="6">
        <v>45361</v>
      </c>
      <c r="H793" s="5">
        <v>116132.62</v>
      </c>
      <c r="I793" s="18" t="s">
        <v>17</v>
      </c>
      <c r="J793" s="14" t="s">
        <v>18</v>
      </c>
      <c r="K793" s="14">
        <v>357</v>
      </c>
      <c r="L793" s="15">
        <v>45361</v>
      </c>
      <c r="M793" s="16">
        <v>13</v>
      </c>
      <c r="N7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3" s="31">
        <f>IF(Table64[[#This Row],[date validity flag]]&lt;&gt;"Valid","",Table64[[#This Row],[shipment date ]]-Table64[[#This Row],[Order date]])</f>
        <v>0</v>
      </c>
      <c r="P793" s="27" t="str">
        <f>TEXT(Table64[[#This Row],[Order date]],"mmm-yyyy")</f>
        <v>Mar-2024</v>
      </c>
      <c r="Q793" s="16" t="str">
        <f t="shared" si="12"/>
        <v>On Time</v>
      </c>
    </row>
    <row r="794" spans="1:17" x14ac:dyDescent="0.3">
      <c r="A794" s="12">
        <v>10793</v>
      </c>
      <c r="B794" s="1">
        <v>5177</v>
      </c>
      <c r="C794" s="1" t="s">
        <v>16</v>
      </c>
      <c r="D794" s="2">
        <v>77165.17</v>
      </c>
      <c r="E794" s="1">
        <v>28</v>
      </c>
      <c r="F794" s="1" t="s">
        <v>22</v>
      </c>
      <c r="G794" s="3">
        <v>45306</v>
      </c>
      <c r="H794" s="2">
        <v>167595.13</v>
      </c>
      <c r="I794" s="13" t="s">
        <v>20</v>
      </c>
      <c r="J794" s="14" t="s">
        <v>15</v>
      </c>
      <c r="K794" s="14">
        <v>140</v>
      </c>
      <c r="L794" s="15">
        <v>45361</v>
      </c>
      <c r="M794" s="16">
        <v>14</v>
      </c>
      <c r="N7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4" s="31">
        <f>IF(Table64[[#This Row],[date validity flag]]&lt;&gt;"Valid","",Table64[[#This Row],[shipment date ]]-Table64[[#This Row],[Order date]])</f>
        <v>55</v>
      </c>
      <c r="P794" s="27" t="str">
        <f>TEXT(Table64[[#This Row],[Order date]],"mmm-yyyy")</f>
        <v>Jan-2024</v>
      </c>
      <c r="Q794" s="16" t="str">
        <f t="shared" si="12"/>
        <v>Delayed</v>
      </c>
    </row>
    <row r="795" spans="1:17" x14ac:dyDescent="0.3">
      <c r="A795" s="17">
        <v>10794</v>
      </c>
      <c r="B795" s="4">
        <v>6636</v>
      </c>
      <c r="C795" s="4" t="s">
        <v>16</v>
      </c>
      <c r="D795" s="5">
        <v>63588.11</v>
      </c>
      <c r="E795" s="4">
        <v>5</v>
      </c>
      <c r="F795" s="4" t="s">
        <v>23</v>
      </c>
      <c r="G795" s="6">
        <v>45361</v>
      </c>
      <c r="H795" s="5">
        <v>96502.24</v>
      </c>
      <c r="I795" s="18" t="s">
        <v>17</v>
      </c>
      <c r="J795" s="14" t="s">
        <v>18</v>
      </c>
      <c r="K795" s="14">
        <v>1466</v>
      </c>
      <c r="L795" s="15">
        <v>45361</v>
      </c>
      <c r="M795" s="16">
        <v>3</v>
      </c>
      <c r="N7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5" s="31">
        <f>IF(Table64[[#This Row],[date validity flag]]&lt;&gt;"Valid","",Table64[[#This Row],[shipment date ]]-Table64[[#This Row],[Order date]])</f>
        <v>0</v>
      </c>
      <c r="P795" s="27" t="str">
        <f>TEXT(Table64[[#This Row],[Order date]],"mmm-yyyy")</f>
        <v>Mar-2024</v>
      </c>
      <c r="Q795" s="16" t="str">
        <f t="shared" si="12"/>
        <v>On Time</v>
      </c>
    </row>
    <row r="796" spans="1:17" x14ac:dyDescent="0.3">
      <c r="A796" s="12">
        <v>10795</v>
      </c>
      <c r="B796" s="1">
        <v>5396</v>
      </c>
      <c r="C796" s="1" t="s">
        <v>16</v>
      </c>
      <c r="D796" s="2">
        <v>67144.460000000006</v>
      </c>
      <c r="E796" s="1">
        <v>17</v>
      </c>
      <c r="F796" s="1" t="s">
        <v>13</v>
      </c>
      <c r="G796" s="3">
        <v>45383</v>
      </c>
      <c r="H796" s="2">
        <v>60550.86</v>
      </c>
      <c r="I796" s="13" t="s">
        <v>17</v>
      </c>
      <c r="J796" s="14" t="s">
        <v>19</v>
      </c>
      <c r="K796" s="14">
        <v>851</v>
      </c>
      <c r="L796" s="15">
        <v>45397</v>
      </c>
      <c r="M796" s="16">
        <v>11</v>
      </c>
      <c r="N7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6" s="31">
        <f>IF(Table64[[#This Row],[date validity flag]]&lt;&gt;"Valid","",Table64[[#This Row],[shipment date ]]-Table64[[#This Row],[Order date]])</f>
        <v>14</v>
      </c>
      <c r="P796" s="27" t="str">
        <f>TEXT(Table64[[#This Row],[Order date]],"mmm-yyyy")</f>
        <v>Apr-2024</v>
      </c>
      <c r="Q796" s="16" t="str">
        <f t="shared" si="12"/>
        <v>Delayed</v>
      </c>
    </row>
    <row r="797" spans="1:17" x14ac:dyDescent="0.3">
      <c r="A797" s="17">
        <v>10796</v>
      </c>
      <c r="B797" s="4">
        <v>5445</v>
      </c>
      <c r="C797" s="4" t="s">
        <v>12</v>
      </c>
      <c r="D797" s="5">
        <v>35697.75</v>
      </c>
      <c r="E797" s="4">
        <v>36</v>
      </c>
      <c r="F797" s="4" t="s">
        <v>23</v>
      </c>
      <c r="G797" s="6">
        <v>45361</v>
      </c>
      <c r="H797" s="5">
        <v>163091.54</v>
      </c>
      <c r="I797" s="18" t="s">
        <v>20</v>
      </c>
      <c r="J797" s="14" t="s">
        <v>18</v>
      </c>
      <c r="K797" s="14">
        <v>159</v>
      </c>
      <c r="L797" s="15">
        <v>45332</v>
      </c>
      <c r="M797" s="16">
        <v>3</v>
      </c>
      <c r="N79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797" s="31" t="str">
        <f>IF(Table64[[#This Row],[date validity flag]]&lt;&gt;"Valid","",Table64[[#This Row],[shipment date ]]-Table64[[#This Row],[Order date]])</f>
        <v/>
      </c>
      <c r="P797" s="27" t="str">
        <f>TEXT(Table64[[#This Row],[Order date]],"mmm-yyyy")</f>
        <v>Mar-2024</v>
      </c>
      <c r="Q797" s="16" t="str">
        <f t="shared" si="12"/>
        <v/>
      </c>
    </row>
    <row r="798" spans="1:17" x14ac:dyDescent="0.3">
      <c r="A798" s="12">
        <v>10797</v>
      </c>
      <c r="B798" s="1">
        <v>6257</v>
      </c>
      <c r="C798" s="1" t="s">
        <v>16</v>
      </c>
      <c r="D798" s="2">
        <v>43800.959999999999</v>
      </c>
      <c r="E798" s="1">
        <v>19</v>
      </c>
      <c r="F798" s="1" t="s">
        <v>22</v>
      </c>
      <c r="G798" s="3">
        <v>45337</v>
      </c>
      <c r="H798" s="2">
        <v>157425.26999999999</v>
      </c>
      <c r="I798" s="13" t="s">
        <v>17</v>
      </c>
      <c r="J798" s="14" t="s">
        <v>18</v>
      </c>
      <c r="K798" s="14">
        <v>634</v>
      </c>
      <c r="L798" s="15">
        <v>45397</v>
      </c>
      <c r="M798" s="16">
        <v>3</v>
      </c>
      <c r="N7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8" s="31">
        <f>IF(Table64[[#This Row],[date validity flag]]&lt;&gt;"Valid","",Table64[[#This Row],[shipment date ]]-Table64[[#This Row],[Order date]])</f>
        <v>60</v>
      </c>
      <c r="P798" s="27" t="str">
        <f>TEXT(Table64[[#This Row],[Order date]],"mmm-yyyy")</f>
        <v>Feb-2024</v>
      </c>
      <c r="Q798" s="16" t="str">
        <f t="shared" si="12"/>
        <v>Delayed</v>
      </c>
    </row>
    <row r="799" spans="1:17" x14ac:dyDescent="0.3">
      <c r="A799" s="17">
        <v>10798</v>
      </c>
      <c r="B799" s="4">
        <v>6939</v>
      </c>
      <c r="C799" s="4" t="s">
        <v>16</v>
      </c>
      <c r="D799" s="5">
        <v>22620.82</v>
      </c>
      <c r="E799" s="4">
        <v>64</v>
      </c>
      <c r="F799" s="4" t="s">
        <v>23</v>
      </c>
      <c r="G799" s="6">
        <v>45361</v>
      </c>
      <c r="H799" s="5">
        <v>12399.35</v>
      </c>
      <c r="I799" s="18" t="s">
        <v>14</v>
      </c>
      <c r="J799" s="14" t="s">
        <v>15</v>
      </c>
      <c r="K799" s="14">
        <v>389</v>
      </c>
      <c r="L799" s="15">
        <v>45397</v>
      </c>
      <c r="M799" s="16">
        <v>10</v>
      </c>
      <c r="N7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799" s="31">
        <f>IF(Table64[[#This Row],[date validity flag]]&lt;&gt;"Valid","",Table64[[#This Row],[shipment date ]]-Table64[[#This Row],[Order date]])</f>
        <v>36</v>
      </c>
      <c r="P799" s="27" t="str">
        <f>TEXT(Table64[[#This Row],[Order date]],"mmm-yyyy")</f>
        <v>Mar-2024</v>
      </c>
      <c r="Q799" s="16" t="str">
        <f t="shared" si="12"/>
        <v>Delayed</v>
      </c>
    </row>
    <row r="800" spans="1:17" x14ac:dyDescent="0.3">
      <c r="A800" s="12">
        <v>10799</v>
      </c>
      <c r="B800" s="1">
        <v>5076</v>
      </c>
      <c r="C800" s="1" t="s">
        <v>16</v>
      </c>
      <c r="D800" s="2">
        <v>73069.17</v>
      </c>
      <c r="E800" s="1">
        <v>91</v>
      </c>
      <c r="F800" s="1" t="s">
        <v>23</v>
      </c>
      <c r="G800" s="3">
        <v>45306</v>
      </c>
      <c r="H800" s="2">
        <v>117933.29</v>
      </c>
      <c r="I800" s="13" t="s">
        <v>14</v>
      </c>
      <c r="J800" s="14" t="s">
        <v>18</v>
      </c>
      <c r="K800" s="14">
        <v>1028</v>
      </c>
      <c r="L800" s="15">
        <v>45361</v>
      </c>
      <c r="M800" s="16">
        <v>11</v>
      </c>
      <c r="N8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0" s="31">
        <f>IF(Table64[[#This Row],[date validity flag]]&lt;&gt;"Valid","",Table64[[#This Row],[shipment date ]]-Table64[[#This Row],[Order date]])</f>
        <v>55</v>
      </c>
      <c r="P800" s="27" t="str">
        <f>TEXT(Table64[[#This Row],[Order date]],"mmm-yyyy")</f>
        <v>Jan-2024</v>
      </c>
      <c r="Q800" s="16" t="str">
        <f t="shared" si="12"/>
        <v>Delayed</v>
      </c>
    </row>
    <row r="801" spans="1:17" x14ac:dyDescent="0.3">
      <c r="A801" s="17">
        <v>10800</v>
      </c>
      <c r="B801" s="4">
        <v>5265</v>
      </c>
      <c r="C801" s="4" t="s">
        <v>16</v>
      </c>
      <c r="D801" s="5">
        <v>45853.59</v>
      </c>
      <c r="E801" s="4">
        <v>98</v>
      </c>
      <c r="F801" s="4" t="s">
        <v>22</v>
      </c>
      <c r="G801" s="6">
        <v>45337</v>
      </c>
      <c r="H801" s="5">
        <v>74316.55</v>
      </c>
      <c r="I801" s="18" t="s">
        <v>17</v>
      </c>
      <c r="J801" s="14" t="s">
        <v>15</v>
      </c>
      <c r="K801" s="14">
        <v>405</v>
      </c>
      <c r="L801" s="15">
        <v>45361</v>
      </c>
      <c r="M801" s="16">
        <v>11</v>
      </c>
      <c r="N8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1" s="31">
        <f>IF(Table64[[#This Row],[date validity flag]]&lt;&gt;"Valid","",Table64[[#This Row],[shipment date ]]-Table64[[#This Row],[Order date]])</f>
        <v>24</v>
      </c>
      <c r="P801" s="27" t="str">
        <f>TEXT(Table64[[#This Row],[Order date]],"mmm-yyyy")</f>
        <v>Feb-2024</v>
      </c>
      <c r="Q801" s="16" t="str">
        <f t="shared" si="12"/>
        <v>Delayed</v>
      </c>
    </row>
    <row r="802" spans="1:17" x14ac:dyDescent="0.3">
      <c r="A802" s="12">
        <v>10801</v>
      </c>
      <c r="B802" s="1">
        <v>5455</v>
      </c>
      <c r="C802" s="1" t="s">
        <v>12</v>
      </c>
      <c r="D802" s="2">
        <v>43151.24</v>
      </c>
      <c r="E802" s="1">
        <v>11</v>
      </c>
      <c r="F802" s="1" t="s">
        <v>21</v>
      </c>
      <c r="G802" s="3">
        <v>45337</v>
      </c>
      <c r="H802" s="2">
        <v>20420.27</v>
      </c>
      <c r="I802" s="13" t="s">
        <v>20</v>
      </c>
      <c r="J802" s="14" t="s">
        <v>19</v>
      </c>
      <c r="K802" s="14">
        <v>217</v>
      </c>
      <c r="L802" s="15">
        <v>45361</v>
      </c>
      <c r="M802" s="16">
        <v>10</v>
      </c>
      <c r="N8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2" s="31">
        <f>IF(Table64[[#This Row],[date validity flag]]&lt;&gt;"Valid","",Table64[[#This Row],[shipment date ]]-Table64[[#This Row],[Order date]])</f>
        <v>24</v>
      </c>
      <c r="P802" s="27" t="str">
        <f>TEXT(Table64[[#This Row],[Order date]],"mmm-yyyy")</f>
        <v>Feb-2024</v>
      </c>
      <c r="Q802" s="16" t="str">
        <f t="shared" si="12"/>
        <v>Delayed</v>
      </c>
    </row>
    <row r="803" spans="1:17" x14ac:dyDescent="0.3">
      <c r="A803" s="17">
        <v>10802</v>
      </c>
      <c r="B803" s="4">
        <v>6820</v>
      </c>
      <c r="C803" s="4" t="s">
        <v>16</v>
      </c>
      <c r="D803" s="5">
        <v>13468.09</v>
      </c>
      <c r="E803" s="4">
        <v>54</v>
      </c>
      <c r="F803" s="4" t="s">
        <v>21</v>
      </c>
      <c r="G803" s="6">
        <v>45306</v>
      </c>
      <c r="H803" s="5">
        <v>92603.5</v>
      </c>
      <c r="I803" s="18" t="s">
        <v>14</v>
      </c>
      <c r="J803" s="14" t="s">
        <v>18</v>
      </c>
      <c r="K803" s="14">
        <v>606</v>
      </c>
      <c r="L803" s="15">
        <v>45332</v>
      </c>
      <c r="M803" s="16">
        <v>11</v>
      </c>
      <c r="N8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3" s="31">
        <f>IF(Table64[[#This Row],[date validity flag]]&lt;&gt;"Valid","",Table64[[#This Row],[shipment date ]]-Table64[[#This Row],[Order date]])</f>
        <v>26</v>
      </c>
      <c r="P803" s="27" t="str">
        <f>TEXT(Table64[[#This Row],[Order date]],"mmm-yyyy")</f>
        <v>Jan-2024</v>
      </c>
      <c r="Q803" s="16" t="str">
        <f t="shared" si="12"/>
        <v>Delayed</v>
      </c>
    </row>
    <row r="804" spans="1:17" x14ac:dyDescent="0.3">
      <c r="A804" s="12">
        <v>10803</v>
      </c>
      <c r="B804" s="1">
        <v>5718</v>
      </c>
      <c r="C804" s="1" t="s">
        <v>16</v>
      </c>
      <c r="D804" s="2">
        <v>75949.69</v>
      </c>
      <c r="E804" s="1">
        <v>45</v>
      </c>
      <c r="F804" s="1" t="s">
        <v>22</v>
      </c>
      <c r="G804" s="3">
        <v>45383</v>
      </c>
      <c r="H804" s="2">
        <v>101170.33</v>
      </c>
      <c r="I804" s="13" t="s">
        <v>14</v>
      </c>
      <c r="J804" s="14" t="s">
        <v>19</v>
      </c>
      <c r="K804" s="14">
        <v>954</v>
      </c>
      <c r="L804" s="15">
        <v>45332</v>
      </c>
      <c r="M804" s="16">
        <v>8</v>
      </c>
      <c r="N80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04" s="31" t="str">
        <f>IF(Table64[[#This Row],[date validity flag]]&lt;&gt;"Valid","",Table64[[#This Row],[shipment date ]]-Table64[[#This Row],[Order date]])</f>
        <v/>
      </c>
      <c r="P804" s="27" t="str">
        <f>TEXT(Table64[[#This Row],[Order date]],"mmm-yyyy")</f>
        <v>Apr-2024</v>
      </c>
      <c r="Q804" s="16" t="str">
        <f t="shared" si="12"/>
        <v/>
      </c>
    </row>
    <row r="805" spans="1:17" x14ac:dyDescent="0.3">
      <c r="A805" s="17">
        <v>10804</v>
      </c>
      <c r="B805" s="4">
        <v>5735</v>
      </c>
      <c r="C805" s="4" t="s">
        <v>16</v>
      </c>
      <c r="D805" s="5">
        <v>83029.179999999993</v>
      </c>
      <c r="E805" s="4">
        <v>47</v>
      </c>
      <c r="F805" s="4" t="s">
        <v>23</v>
      </c>
      <c r="G805" s="6">
        <v>45337</v>
      </c>
      <c r="H805" s="5">
        <v>164667.87</v>
      </c>
      <c r="I805" s="18" t="s">
        <v>20</v>
      </c>
      <c r="J805" s="14" t="s">
        <v>19</v>
      </c>
      <c r="K805" s="14">
        <v>154</v>
      </c>
      <c r="L805" s="15">
        <v>45332</v>
      </c>
      <c r="M805" s="16">
        <v>13</v>
      </c>
      <c r="N80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05" s="31" t="str">
        <f>IF(Table64[[#This Row],[date validity flag]]&lt;&gt;"Valid","",Table64[[#This Row],[shipment date ]]-Table64[[#This Row],[Order date]])</f>
        <v/>
      </c>
      <c r="P805" s="27" t="str">
        <f>TEXT(Table64[[#This Row],[Order date]],"mmm-yyyy")</f>
        <v>Feb-2024</v>
      </c>
      <c r="Q805" s="16" t="str">
        <f t="shared" si="12"/>
        <v/>
      </c>
    </row>
    <row r="806" spans="1:17" x14ac:dyDescent="0.3">
      <c r="A806" s="12">
        <v>10805</v>
      </c>
      <c r="B806" s="1">
        <v>6408</v>
      </c>
      <c r="C806" s="1" t="s">
        <v>16</v>
      </c>
      <c r="D806" s="2">
        <v>52704.29</v>
      </c>
      <c r="E806" s="1">
        <v>12</v>
      </c>
      <c r="F806" s="1" t="s">
        <v>22</v>
      </c>
      <c r="G806" s="3">
        <v>45383</v>
      </c>
      <c r="H806" s="2">
        <v>79729.710000000006</v>
      </c>
      <c r="I806" s="13" t="s">
        <v>17</v>
      </c>
      <c r="J806" s="14" t="s">
        <v>18</v>
      </c>
      <c r="K806" s="14">
        <v>199</v>
      </c>
      <c r="L806" s="15">
        <v>45397</v>
      </c>
      <c r="M806" s="16">
        <v>5</v>
      </c>
      <c r="N8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6" s="31">
        <f>IF(Table64[[#This Row],[date validity flag]]&lt;&gt;"Valid","",Table64[[#This Row],[shipment date ]]-Table64[[#This Row],[Order date]])</f>
        <v>14</v>
      </c>
      <c r="P806" s="27" t="str">
        <f>TEXT(Table64[[#This Row],[Order date]],"mmm-yyyy")</f>
        <v>Apr-2024</v>
      </c>
      <c r="Q806" s="16" t="str">
        <f t="shared" si="12"/>
        <v>Delayed</v>
      </c>
    </row>
    <row r="807" spans="1:17" x14ac:dyDescent="0.3">
      <c r="A807" s="17">
        <v>10806</v>
      </c>
      <c r="B807" s="4">
        <v>6588</v>
      </c>
      <c r="C807" s="4" t="s">
        <v>16</v>
      </c>
      <c r="D807" s="5">
        <v>96257.43</v>
      </c>
      <c r="E807" s="4">
        <v>21</v>
      </c>
      <c r="F807" s="4" t="s">
        <v>21</v>
      </c>
      <c r="G807" s="6">
        <v>45337</v>
      </c>
      <c r="H807" s="5">
        <v>88490.02</v>
      </c>
      <c r="I807" s="18" t="s">
        <v>20</v>
      </c>
      <c r="J807" s="14" t="s">
        <v>15</v>
      </c>
      <c r="K807" s="14">
        <v>195</v>
      </c>
      <c r="L807" s="15">
        <v>45361</v>
      </c>
      <c r="M807" s="16">
        <v>4</v>
      </c>
      <c r="N8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7" s="31">
        <f>IF(Table64[[#This Row],[date validity flag]]&lt;&gt;"Valid","",Table64[[#This Row],[shipment date ]]-Table64[[#This Row],[Order date]])</f>
        <v>24</v>
      </c>
      <c r="P807" s="27" t="str">
        <f>TEXT(Table64[[#This Row],[Order date]],"mmm-yyyy")</f>
        <v>Feb-2024</v>
      </c>
      <c r="Q807" s="16" t="str">
        <f t="shared" si="12"/>
        <v>Delayed</v>
      </c>
    </row>
    <row r="808" spans="1:17" x14ac:dyDescent="0.3">
      <c r="A808" s="12">
        <v>10807</v>
      </c>
      <c r="B808" s="1">
        <v>5851</v>
      </c>
      <c r="C808" s="1" t="s">
        <v>16</v>
      </c>
      <c r="D808" s="2">
        <v>88977.83</v>
      </c>
      <c r="E808" s="1">
        <v>11</v>
      </c>
      <c r="F808" s="1" t="s">
        <v>13</v>
      </c>
      <c r="G808" s="3">
        <v>45337</v>
      </c>
      <c r="H808" s="2">
        <v>80445.490000000005</v>
      </c>
      <c r="I808" s="13" t="s">
        <v>17</v>
      </c>
      <c r="J808" s="14" t="s">
        <v>19</v>
      </c>
      <c r="K808" s="14">
        <v>765</v>
      </c>
      <c r="L808" s="15">
        <v>45397</v>
      </c>
      <c r="M808" s="16">
        <v>13</v>
      </c>
      <c r="N80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08" s="31">
        <f>IF(Table64[[#This Row],[date validity flag]]&lt;&gt;"Valid","",Table64[[#This Row],[shipment date ]]-Table64[[#This Row],[Order date]])</f>
        <v>60</v>
      </c>
      <c r="P808" s="27" t="str">
        <f>TEXT(Table64[[#This Row],[Order date]],"mmm-yyyy")</f>
        <v>Feb-2024</v>
      </c>
      <c r="Q808" s="16" t="str">
        <f t="shared" si="12"/>
        <v>Delayed</v>
      </c>
    </row>
    <row r="809" spans="1:17" x14ac:dyDescent="0.3">
      <c r="A809" s="17">
        <v>10808</v>
      </c>
      <c r="B809" s="4">
        <v>6530</v>
      </c>
      <c r="C809" s="4" t="s">
        <v>16</v>
      </c>
      <c r="D809" s="5">
        <v>10350.549999999999</v>
      </c>
      <c r="E809" s="4">
        <v>92</v>
      </c>
      <c r="F809" s="4" t="s">
        <v>23</v>
      </c>
      <c r="G809" s="6">
        <v>45383</v>
      </c>
      <c r="H809" s="5">
        <v>85060.39</v>
      </c>
      <c r="I809" s="18" t="s">
        <v>14</v>
      </c>
      <c r="J809" s="14" t="s">
        <v>19</v>
      </c>
      <c r="K809" s="14">
        <v>923</v>
      </c>
      <c r="L809" s="15">
        <v>45332</v>
      </c>
      <c r="M809" s="16">
        <v>9</v>
      </c>
      <c r="N80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09" s="31" t="str">
        <f>IF(Table64[[#This Row],[date validity flag]]&lt;&gt;"Valid","",Table64[[#This Row],[shipment date ]]-Table64[[#This Row],[Order date]])</f>
        <v/>
      </c>
      <c r="P809" s="27" t="str">
        <f>TEXT(Table64[[#This Row],[Order date]],"mmm-yyyy")</f>
        <v>Apr-2024</v>
      </c>
      <c r="Q809" s="16" t="str">
        <f t="shared" si="12"/>
        <v/>
      </c>
    </row>
    <row r="810" spans="1:17" x14ac:dyDescent="0.3">
      <c r="A810" s="12">
        <v>10809</v>
      </c>
      <c r="B810" s="1">
        <v>6391</v>
      </c>
      <c r="C810" s="1" t="s">
        <v>16</v>
      </c>
      <c r="D810" s="2">
        <v>76813.48</v>
      </c>
      <c r="E810" s="1">
        <v>5</v>
      </c>
      <c r="F810" s="1" t="s">
        <v>21</v>
      </c>
      <c r="G810" s="3">
        <v>45337</v>
      </c>
      <c r="H810" s="2">
        <v>118782.67</v>
      </c>
      <c r="I810" s="13" t="s">
        <v>14</v>
      </c>
      <c r="J810" s="14" t="s">
        <v>18</v>
      </c>
      <c r="K810" s="14">
        <v>348</v>
      </c>
      <c r="L810" s="15">
        <v>45361</v>
      </c>
      <c r="M810" s="16">
        <v>9</v>
      </c>
      <c r="N8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0" s="31">
        <f>IF(Table64[[#This Row],[date validity flag]]&lt;&gt;"Valid","",Table64[[#This Row],[shipment date ]]-Table64[[#This Row],[Order date]])</f>
        <v>24</v>
      </c>
      <c r="P810" s="27" t="str">
        <f>TEXT(Table64[[#This Row],[Order date]],"mmm-yyyy")</f>
        <v>Feb-2024</v>
      </c>
      <c r="Q810" s="16" t="str">
        <f t="shared" si="12"/>
        <v>Delayed</v>
      </c>
    </row>
    <row r="811" spans="1:17" x14ac:dyDescent="0.3">
      <c r="A811" s="17">
        <v>10810</v>
      </c>
      <c r="B811" s="4">
        <v>5144</v>
      </c>
      <c r="C811" s="4" t="s">
        <v>16</v>
      </c>
      <c r="D811" s="5">
        <v>74571.09</v>
      </c>
      <c r="E811" s="4">
        <v>81</v>
      </c>
      <c r="F811" s="4" t="s">
        <v>23</v>
      </c>
      <c r="G811" s="6">
        <v>45383</v>
      </c>
      <c r="H811" s="5">
        <v>28439.83</v>
      </c>
      <c r="I811" s="18" t="s">
        <v>14</v>
      </c>
      <c r="J811" s="14" t="s">
        <v>18</v>
      </c>
      <c r="K811" s="14">
        <v>1240</v>
      </c>
      <c r="L811" s="15">
        <v>45332</v>
      </c>
      <c r="M811" s="16">
        <v>1</v>
      </c>
      <c r="N81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11" s="31" t="str">
        <f>IF(Table64[[#This Row],[date validity flag]]&lt;&gt;"Valid","",Table64[[#This Row],[shipment date ]]-Table64[[#This Row],[Order date]])</f>
        <v/>
      </c>
      <c r="P811" s="27" t="str">
        <f>TEXT(Table64[[#This Row],[Order date]],"mmm-yyyy")</f>
        <v>Apr-2024</v>
      </c>
      <c r="Q811" s="16" t="str">
        <f t="shared" si="12"/>
        <v/>
      </c>
    </row>
    <row r="812" spans="1:17" x14ac:dyDescent="0.3">
      <c r="A812" s="12">
        <v>10811</v>
      </c>
      <c r="B812" s="1">
        <v>5885</v>
      </c>
      <c r="C812" s="1" t="s">
        <v>12</v>
      </c>
      <c r="D812" s="2">
        <v>95773.01</v>
      </c>
      <c r="E812" s="1">
        <v>56</v>
      </c>
      <c r="F812" s="1" t="s">
        <v>22</v>
      </c>
      <c r="G812" s="3">
        <v>45306</v>
      </c>
      <c r="H812" s="2">
        <v>135091.85</v>
      </c>
      <c r="I812" s="13" t="s">
        <v>17</v>
      </c>
      <c r="J812" s="14" t="s">
        <v>18</v>
      </c>
      <c r="K812" s="14">
        <v>695</v>
      </c>
      <c r="L812" s="15">
        <v>45361</v>
      </c>
      <c r="M812" s="16">
        <v>2</v>
      </c>
      <c r="N8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2" s="31">
        <f>IF(Table64[[#This Row],[date validity flag]]&lt;&gt;"Valid","",Table64[[#This Row],[shipment date ]]-Table64[[#This Row],[Order date]])</f>
        <v>55</v>
      </c>
      <c r="P812" s="27" t="str">
        <f>TEXT(Table64[[#This Row],[Order date]],"mmm-yyyy")</f>
        <v>Jan-2024</v>
      </c>
      <c r="Q812" s="16" t="str">
        <f t="shared" si="12"/>
        <v>Delayed</v>
      </c>
    </row>
    <row r="813" spans="1:17" x14ac:dyDescent="0.3">
      <c r="A813" s="17">
        <v>10812</v>
      </c>
      <c r="B813" s="4">
        <v>6093</v>
      </c>
      <c r="C813" s="4" t="s">
        <v>12</v>
      </c>
      <c r="D813" s="5">
        <v>78499.990000000005</v>
      </c>
      <c r="E813" s="4">
        <v>20</v>
      </c>
      <c r="F813" s="4" t="s">
        <v>13</v>
      </c>
      <c r="G813" s="6">
        <v>45383</v>
      </c>
      <c r="H813" s="5">
        <v>64817.89</v>
      </c>
      <c r="I813" s="18" t="s">
        <v>17</v>
      </c>
      <c r="J813" s="14" t="s">
        <v>18</v>
      </c>
      <c r="K813" s="14">
        <v>772</v>
      </c>
      <c r="L813" s="15">
        <v>45361</v>
      </c>
      <c r="M813" s="16">
        <v>8</v>
      </c>
      <c r="N81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13" s="31" t="str">
        <f>IF(Table64[[#This Row],[date validity flag]]&lt;&gt;"Valid","",Table64[[#This Row],[shipment date ]]-Table64[[#This Row],[Order date]])</f>
        <v/>
      </c>
      <c r="P813" s="27" t="str">
        <f>TEXT(Table64[[#This Row],[Order date]],"mmm-yyyy")</f>
        <v>Apr-2024</v>
      </c>
      <c r="Q813" s="16" t="str">
        <f t="shared" si="12"/>
        <v/>
      </c>
    </row>
    <row r="814" spans="1:17" x14ac:dyDescent="0.3">
      <c r="A814" s="12">
        <v>10813</v>
      </c>
      <c r="B814" s="1">
        <v>6123</v>
      </c>
      <c r="C814" s="1" t="s">
        <v>16</v>
      </c>
      <c r="D814" s="2">
        <v>69223.39</v>
      </c>
      <c r="E814" s="1">
        <v>41</v>
      </c>
      <c r="F814" s="1" t="s">
        <v>22</v>
      </c>
      <c r="G814" s="3">
        <v>45306</v>
      </c>
      <c r="H814" s="2">
        <v>138395.32999999999</v>
      </c>
      <c r="I814" s="13" t="s">
        <v>17</v>
      </c>
      <c r="J814" s="14" t="s">
        <v>18</v>
      </c>
      <c r="K814" s="14">
        <v>1121</v>
      </c>
      <c r="L814" s="15">
        <v>45397</v>
      </c>
      <c r="M814" s="16">
        <v>5</v>
      </c>
      <c r="N8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4" s="31">
        <f>IF(Table64[[#This Row],[date validity flag]]&lt;&gt;"Valid","",Table64[[#This Row],[shipment date ]]-Table64[[#This Row],[Order date]])</f>
        <v>91</v>
      </c>
      <c r="P814" s="27" t="str">
        <f>TEXT(Table64[[#This Row],[Order date]],"mmm-yyyy")</f>
        <v>Jan-2024</v>
      </c>
      <c r="Q814" s="16" t="str">
        <f t="shared" si="12"/>
        <v>Delayed</v>
      </c>
    </row>
    <row r="815" spans="1:17" x14ac:dyDescent="0.3">
      <c r="A815" s="17">
        <v>10814</v>
      </c>
      <c r="B815" s="4">
        <v>5396</v>
      </c>
      <c r="C815" s="4" t="s">
        <v>12</v>
      </c>
      <c r="D815" s="5">
        <v>69468.25</v>
      </c>
      <c r="E815" s="4">
        <v>46</v>
      </c>
      <c r="F815" s="4" t="s">
        <v>13</v>
      </c>
      <c r="G815" s="6">
        <v>45337</v>
      </c>
      <c r="H815" s="5">
        <v>125071.2</v>
      </c>
      <c r="I815" s="18" t="s">
        <v>20</v>
      </c>
      <c r="J815" s="14" t="s">
        <v>18</v>
      </c>
      <c r="K815" s="14">
        <v>687</v>
      </c>
      <c r="L815" s="15">
        <v>45397</v>
      </c>
      <c r="M815" s="16">
        <v>7</v>
      </c>
      <c r="N8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5" s="31">
        <f>IF(Table64[[#This Row],[date validity flag]]&lt;&gt;"Valid","",Table64[[#This Row],[shipment date ]]-Table64[[#This Row],[Order date]])</f>
        <v>60</v>
      </c>
      <c r="P815" s="27" t="str">
        <f>TEXT(Table64[[#This Row],[Order date]],"mmm-yyyy")</f>
        <v>Feb-2024</v>
      </c>
      <c r="Q815" s="16" t="str">
        <f t="shared" si="12"/>
        <v>Delayed</v>
      </c>
    </row>
    <row r="816" spans="1:17" x14ac:dyDescent="0.3">
      <c r="A816" s="12">
        <v>10815</v>
      </c>
      <c r="B816" s="1">
        <v>6049</v>
      </c>
      <c r="C816" s="1" t="s">
        <v>16</v>
      </c>
      <c r="D816" s="2">
        <v>50401.1</v>
      </c>
      <c r="E816" s="1">
        <v>12</v>
      </c>
      <c r="F816" s="1" t="s">
        <v>23</v>
      </c>
      <c r="G816" s="3">
        <v>45383</v>
      </c>
      <c r="H816" s="2">
        <v>67581.69</v>
      </c>
      <c r="I816" s="13" t="s">
        <v>14</v>
      </c>
      <c r="J816" s="14" t="s">
        <v>15</v>
      </c>
      <c r="K816" s="14">
        <v>288</v>
      </c>
      <c r="L816" s="15">
        <v>45332</v>
      </c>
      <c r="M816" s="16">
        <v>1</v>
      </c>
      <c r="N81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16" s="31" t="str">
        <f>IF(Table64[[#This Row],[date validity flag]]&lt;&gt;"Valid","",Table64[[#This Row],[shipment date ]]-Table64[[#This Row],[Order date]])</f>
        <v/>
      </c>
      <c r="P816" s="27" t="str">
        <f>TEXT(Table64[[#This Row],[Order date]],"mmm-yyyy")</f>
        <v>Apr-2024</v>
      </c>
      <c r="Q816" s="16" t="str">
        <f t="shared" si="12"/>
        <v/>
      </c>
    </row>
    <row r="817" spans="1:17" x14ac:dyDescent="0.3">
      <c r="A817" s="17">
        <v>10816</v>
      </c>
      <c r="B817" s="4">
        <v>5948</v>
      </c>
      <c r="C817" s="4" t="s">
        <v>16</v>
      </c>
      <c r="D817" s="5">
        <v>47722.27</v>
      </c>
      <c r="E817" s="4">
        <v>70</v>
      </c>
      <c r="F817" s="4" t="s">
        <v>23</v>
      </c>
      <c r="G817" s="6">
        <v>45337</v>
      </c>
      <c r="H817" s="5">
        <v>76952.78</v>
      </c>
      <c r="I817" s="18" t="s">
        <v>14</v>
      </c>
      <c r="J817" s="14" t="s">
        <v>19</v>
      </c>
      <c r="K817" s="14">
        <v>1080</v>
      </c>
      <c r="L817" s="15">
        <v>45397</v>
      </c>
      <c r="M817" s="16">
        <v>12</v>
      </c>
      <c r="N8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7" s="31">
        <f>IF(Table64[[#This Row],[date validity flag]]&lt;&gt;"Valid","",Table64[[#This Row],[shipment date ]]-Table64[[#This Row],[Order date]])</f>
        <v>60</v>
      </c>
      <c r="P817" s="27" t="str">
        <f>TEXT(Table64[[#This Row],[Order date]],"mmm-yyyy")</f>
        <v>Feb-2024</v>
      </c>
      <c r="Q817" s="16" t="str">
        <f t="shared" si="12"/>
        <v>Delayed</v>
      </c>
    </row>
    <row r="818" spans="1:17" x14ac:dyDescent="0.3">
      <c r="A818" s="12">
        <v>10817</v>
      </c>
      <c r="B818" s="1">
        <v>5891</v>
      </c>
      <c r="C818" s="1" t="s">
        <v>16</v>
      </c>
      <c r="D818" s="2">
        <v>15710.43</v>
      </c>
      <c r="E818" s="1">
        <v>17</v>
      </c>
      <c r="F818" s="1" t="s">
        <v>22</v>
      </c>
      <c r="G818" s="3">
        <v>45383</v>
      </c>
      <c r="H818" s="2">
        <v>95938.4</v>
      </c>
      <c r="I818" s="13" t="s">
        <v>20</v>
      </c>
      <c r="J818" s="14" t="s">
        <v>15</v>
      </c>
      <c r="K818" s="14">
        <v>513</v>
      </c>
      <c r="L818" s="15">
        <v>45397</v>
      </c>
      <c r="M818" s="16">
        <v>10</v>
      </c>
      <c r="N8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8" s="31">
        <f>IF(Table64[[#This Row],[date validity flag]]&lt;&gt;"Valid","",Table64[[#This Row],[shipment date ]]-Table64[[#This Row],[Order date]])</f>
        <v>14</v>
      </c>
      <c r="P818" s="27" t="str">
        <f>TEXT(Table64[[#This Row],[Order date]],"mmm-yyyy")</f>
        <v>Apr-2024</v>
      </c>
      <c r="Q818" s="16" t="str">
        <f t="shared" si="12"/>
        <v>Delayed</v>
      </c>
    </row>
    <row r="819" spans="1:17" x14ac:dyDescent="0.3">
      <c r="A819" s="17">
        <v>10818</v>
      </c>
      <c r="B819" s="4">
        <v>6493</v>
      </c>
      <c r="C819" s="4" t="s">
        <v>16</v>
      </c>
      <c r="D819" s="5">
        <v>85700.66</v>
      </c>
      <c r="E819" s="4">
        <v>19</v>
      </c>
      <c r="F819" s="4" t="s">
        <v>13</v>
      </c>
      <c r="G819" s="6">
        <v>45306</v>
      </c>
      <c r="H819" s="5">
        <v>163898.01</v>
      </c>
      <c r="I819" s="18" t="s">
        <v>17</v>
      </c>
      <c r="J819" s="14" t="s">
        <v>15</v>
      </c>
      <c r="K819" s="14">
        <v>502</v>
      </c>
      <c r="L819" s="15">
        <v>45397</v>
      </c>
      <c r="M819" s="16">
        <v>12</v>
      </c>
      <c r="N8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19" s="31">
        <f>IF(Table64[[#This Row],[date validity flag]]&lt;&gt;"Valid","",Table64[[#This Row],[shipment date ]]-Table64[[#This Row],[Order date]])</f>
        <v>91</v>
      </c>
      <c r="P819" s="27" t="str">
        <f>TEXT(Table64[[#This Row],[Order date]],"mmm-yyyy")</f>
        <v>Jan-2024</v>
      </c>
      <c r="Q819" s="16" t="str">
        <f t="shared" si="12"/>
        <v>Delayed</v>
      </c>
    </row>
    <row r="820" spans="1:17" x14ac:dyDescent="0.3">
      <c r="A820" s="12">
        <v>10819</v>
      </c>
      <c r="B820" s="1">
        <v>6508</v>
      </c>
      <c r="C820" s="1" t="s">
        <v>16</v>
      </c>
      <c r="D820" s="2">
        <v>70352.27</v>
      </c>
      <c r="E820" s="1">
        <v>26</v>
      </c>
      <c r="F820" s="1" t="s">
        <v>13</v>
      </c>
      <c r="G820" s="3">
        <v>45306</v>
      </c>
      <c r="H820" s="2">
        <v>82205.27</v>
      </c>
      <c r="I820" s="13" t="s">
        <v>20</v>
      </c>
      <c r="J820" s="14" t="s">
        <v>18</v>
      </c>
      <c r="K820" s="14">
        <v>833</v>
      </c>
      <c r="L820" s="15">
        <v>45361</v>
      </c>
      <c r="M820" s="16">
        <v>5</v>
      </c>
      <c r="N8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0" s="31">
        <f>IF(Table64[[#This Row],[date validity flag]]&lt;&gt;"Valid","",Table64[[#This Row],[shipment date ]]-Table64[[#This Row],[Order date]])</f>
        <v>55</v>
      </c>
      <c r="P820" s="27" t="str">
        <f>TEXT(Table64[[#This Row],[Order date]],"mmm-yyyy")</f>
        <v>Jan-2024</v>
      </c>
      <c r="Q820" s="16" t="str">
        <f t="shared" si="12"/>
        <v>Delayed</v>
      </c>
    </row>
    <row r="821" spans="1:17" x14ac:dyDescent="0.3">
      <c r="A821" s="17">
        <v>10820</v>
      </c>
      <c r="B821" s="4">
        <v>6589</v>
      </c>
      <c r="C821" s="4" t="s">
        <v>16</v>
      </c>
      <c r="D821" s="5">
        <v>73137.899999999994</v>
      </c>
      <c r="E821" s="4">
        <v>48</v>
      </c>
      <c r="F821" s="4" t="s">
        <v>23</v>
      </c>
      <c r="G821" s="6">
        <v>45383</v>
      </c>
      <c r="H821" s="5">
        <v>84506.42</v>
      </c>
      <c r="I821" s="18" t="s">
        <v>17</v>
      </c>
      <c r="J821" s="14" t="s">
        <v>19</v>
      </c>
      <c r="K821" s="14">
        <v>946</v>
      </c>
      <c r="L821" s="15">
        <v>45397</v>
      </c>
      <c r="M821" s="16">
        <v>11</v>
      </c>
      <c r="N8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1" s="31">
        <f>IF(Table64[[#This Row],[date validity flag]]&lt;&gt;"Valid","",Table64[[#This Row],[shipment date ]]-Table64[[#This Row],[Order date]])</f>
        <v>14</v>
      </c>
      <c r="P821" s="27" t="str">
        <f>TEXT(Table64[[#This Row],[Order date]],"mmm-yyyy")</f>
        <v>Apr-2024</v>
      </c>
      <c r="Q821" s="16" t="str">
        <f t="shared" si="12"/>
        <v>Delayed</v>
      </c>
    </row>
    <row r="822" spans="1:17" x14ac:dyDescent="0.3">
      <c r="A822" s="12">
        <v>10821</v>
      </c>
      <c r="B822" s="1">
        <v>6175</v>
      </c>
      <c r="C822" s="1" t="s">
        <v>12</v>
      </c>
      <c r="D822" s="2">
        <v>28985.599999999999</v>
      </c>
      <c r="E822" s="1">
        <v>52</v>
      </c>
      <c r="F822" s="1" t="s">
        <v>22</v>
      </c>
      <c r="G822" s="3">
        <v>45306</v>
      </c>
      <c r="H822" s="2">
        <v>111135.94</v>
      </c>
      <c r="I822" s="13" t="s">
        <v>14</v>
      </c>
      <c r="J822" s="14" t="s">
        <v>15</v>
      </c>
      <c r="K822" s="14">
        <v>420</v>
      </c>
      <c r="L822" s="15">
        <v>45332</v>
      </c>
      <c r="M822" s="16">
        <v>12</v>
      </c>
      <c r="N8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2" s="31">
        <f>IF(Table64[[#This Row],[date validity flag]]&lt;&gt;"Valid","",Table64[[#This Row],[shipment date ]]-Table64[[#This Row],[Order date]])</f>
        <v>26</v>
      </c>
      <c r="P822" s="27" t="str">
        <f>TEXT(Table64[[#This Row],[Order date]],"mmm-yyyy")</f>
        <v>Jan-2024</v>
      </c>
      <c r="Q822" s="16" t="str">
        <f t="shared" si="12"/>
        <v>Delayed</v>
      </c>
    </row>
    <row r="823" spans="1:17" x14ac:dyDescent="0.3">
      <c r="A823" s="17">
        <v>10822</v>
      </c>
      <c r="B823" s="4">
        <v>6168</v>
      </c>
      <c r="C823" s="4" t="s">
        <v>16</v>
      </c>
      <c r="D823" s="5">
        <v>37111.08</v>
      </c>
      <c r="E823" s="4">
        <v>96</v>
      </c>
      <c r="F823" s="4" t="s">
        <v>13</v>
      </c>
      <c r="G823" s="6">
        <v>45337</v>
      </c>
      <c r="H823" s="5">
        <v>36294.9</v>
      </c>
      <c r="I823" s="18" t="s">
        <v>17</v>
      </c>
      <c r="J823" s="14" t="s">
        <v>18</v>
      </c>
      <c r="K823" s="14">
        <v>536</v>
      </c>
      <c r="L823" s="15">
        <v>45361</v>
      </c>
      <c r="M823" s="16">
        <v>3</v>
      </c>
      <c r="N8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3" s="31">
        <f>IF(Table64[[#This Row],[date validity flag]]&lt;&gt;"Valid","",Table64[[#This Row],[shipment date ]]-Table64[[#This Row],[Order date]])</f>
        <v>24</v>
      </c>
      <c r="P823" s="27" t="str">
        <f>TEXT(Table64[[#This Row],[Order date]],"mmm-yyyy")</f>
        <v>Feb-2024</v>
      </c>
      <c r="Q823" s="16" t="str">
        <f t="shared" si="12"/>
        <v>Delayed</v>
      </c>
    </row>
    <row r="824" spans="1:17" x14ac:dyDescent="0.3">
      <c r="A824" s="12">
        <v>10823</v>
      </c>
      <c r="B824" s="1">
        <v>5569</v>
      </c>
      <c r="C824" s="1" t="s">
        <v>16</v>
      </c>
      <c r="D824" s="2">
        <v>72849.070000000007</v>
      </c>
      <c r="E824" s="1">
        <v>70</v>
      </c>
      <c r="F824" s="1" t="s">
        <v>23</v>
      </c>
      <c r="G824" s="3">
        <v>45337</v>
      </c>
      <c r="H824" s="2">
        <v>77725.94</v>
      </c>
      <c r="I824" s="13" t="s">
        <v>17</v>
      </c>
      <c r="J824" s="14" t="s">
        <v>18</v>
      </c>
      <c r="K824" s="14">
        <v>1284</v>
      </c>
      <c r="L824" s="15">
        <v>45361</v>
      </c>
      <c r="M824" s="16">
        <v>10</v>
      </c>
      <c r="N8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4" s="31">
        <f>IF(Table64[[#This Row],[date validity flag]]&lt;&gt;"Valid","",Table64[[#This Row],[shipment date ]]-Table64[[#This Row],[Order date]])</f>
        <v>24</v>
      </c>
      <c r="P824" s="27" t="str">
        <f>TEXT(Table64[[#This Row],[Order date]],"mmm-yyyy")</f>
        <v>Feb-2024</v>
      </c>
      <c r="Q824" s="16" t="str">
        <f t="shared" si="12"/>
        <v>Delayed</v>
      </c>
    </row>
    <row r="825" spans="1:17" x14ac:dyDescent="0.3">
      <c r="A825" s="17">
        <v>10824</v>
      </c>
      <c r="B825" s="4">
        <v>6063</v>
      </c>
      <c r="C825" s="4" t="s">
        <v>16</v>
      </c>
      <c r="D825" s="5">
        <v>65472.9</v>
      </c>
      <c r="E825" s="4">
        <v>55</v>
      </c>
      <c r="F825" s="4" t="s">
        <v>21</v>
      </c>
      <c r="G825" s="6">
        <v>45361</v>
      </c>
      <c r="H825" s="5">
        <v>51740.27</v>
      </c>
      <c r="I825" s="18" t="s">
        <v>14</v>
      </c>
      <c r="J825" s="14" t="s">
        <v>19</v>
      </c>
      <c r="K825" s="14">
        <v>214</v>
      </c>
      <c r="L825" s="15">
        <v>45397</v>
      </c>
      <c r="M825" s="16">
        <v>12</v>
      </c>
      <c r="N8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5" s="31">
        <f>IF(Table64[[#This Row],[date validity flag]]&lt;&gt;"Valid","",Table64[[#This Row],[shipment date ]]-Table64[[#This Row],[Order date]])</f>
        <v>36</v>
      </c>
      <c r="P825" s="27" t="str">
        <f>TEXT(Table64[[#This Row],[Order date]],"mmm-yyyy")</f>
        <v>Mar-2024</v>
      </c>
      <c r="Q825" s="16" t="str">
        <f t="shared" si="12"/>
        <v>Delayed</v>
      </c>
    </row>
    <row r="826" spans="1:17" x14ac:dyDescent="0.3">
      <c r="A826" s="12">
        <v>10825</v>
      </c>
      <c r="B826" s="1">
        <v>5109</v>
      </c>
      <c r="C826" s="1" t="s">
        <v>16</v>
      </c>
      <c r="D826" s="2">
        <v>66388.58</v>
      </c>
      <c r="E826" s="1">
        <v>75</v>
      </c>
      <c r="F826" s="1" t="s">
        <v>22</v>
      </c>
      <c r="G826" s="3">
        <v>45306</v>
      </c>
      <c r="H826" s="2">
        <v>86026.98</v>
      </c>
      <c r="I826" s="13" t="s">
        <v>14</v>
      </c>
      <c r="J826" s="14" t="s">
        <v>15</v>
      </c>
      <c r="K826" s="14">
        <v>1198</v>
      </c>
      <c r="L826" s="15">
        <v>45361</v>
      </c>
      <c r="M826" s="16">
        <v>12</v>
      </c>
      <c r="N8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6" s="31">
        <f>IF(Table64[[#This Row],[date validity flag]]&lt;&gt;"Valid","",Table64[[#This Row],[shipment date ]]-Table64[[#This Row],[Order date]])</f>
        <v>55</v>
      </c>
      <c r="P826" s="27" t="str">
        <f>TEXT(Table64[[#This Row],[Order date]],"mmm-yyyy")</f>
        <v>Jan-2024</v>
      </c>
      <c r="Q826" s="16" t="str">
        <f t="shared" si="12"/>
        <v>Delayed</v>
      </c>
    </row>
    <row r="827" spans="1:17" x14ac:dyDescent="0.3">
      <c r="A827" s="17">
        <v>10826</v>
      </c>
      <c r="B827" s="4">
        <v>6717</v>
      </c>
      <c r="C827" s="4" t="s">
        <v>12</v>
      </c>
      <c r="D827" s="5">
        <v>13241.98</v>
      </c>
      <c r="E827" s="4">
        <v>33</v>
      </c>
      <c r="F827" s="4" t="s">
        <v>21</v>
      </c>
      <c r="G827" s="6">
        <v>45337</v>
      </c>
      <c r="H827" s="5">
        <v>62061.84</v>
      </c>
      <c r="I827" s="18" t="s">
        <v>17</v>
      </c>
      <c r="J827" s="14" t="s">
        <v>15</v>
      </c>
      <c r="K827" s="14">
        <v>1410</v>
      </c>
      <c r="L827" s="15">
        <v>45332</v>
      </c>
      <c r="M827" s="16">
        <v>14</v>
      </c>
      <c r="N82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27" s="31" t="str">
        <f>IF(Table64[[#This Row],[date validity flag]]&lt;&gt;"Valid","",Table64[[#This Row],[shipment date ]]-Table64[[#This Row],[Order date]])</f>
        <v/>
      </c>
      <c r="P827" s="27" t="str">
        <f>TEXT(Table64[[#This Row],[Order date]],"mmm-yyyy")</f>
        <v>Feb-2024</v>
      </c>
      <c r="Q827" s="16" t="str">
        <f t="shared" si="12"/>
        <v/>
      </c>
    </row>
    <row r="828" spans="1:17" x14ac:dyDescent="0.3">
      <c r="A828" s="12">
        <v>10827</v>
      </c>
      <c r="B828" s="1">
        <v>6066</v>
      </c>
      <c r="C828" s="1" t="s">
        <v>16</v>
      </c>
      <c r="D828" s="2">
        <v>20124.68</v>
      </c>
      <c r="E828" s="1">
        <v>62</v>
      </c>
      <c r="F828" s="1" t="s">
        <v>22</v>
      </c>
      <c r="G828" s="3">
        <v>45383</v>
      </c>
      <c r="H828" s="2">
        <v>163492.82</v>
      </c>
      <c r="I828" s="13" t="s">
        <v>14</v>
      </c>
      <c r="J828" s="14" t="s">
        <v>15</v>
      </c>
      <c r="K828" s="14">
        <v>241</v>
      </c>
      <c r="L828" s="15">
        <v>45332</v>
      </c>
      <c r="M828" s="16">
        <v>2</v>
      </c>
      <c r="N82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28" s="31" t="str">
        <f>IF(Table64[[#This Row],[date validity flag]]&lt;&gt;"Valid","",Table64[[#This Row],[shipment date ]]-Table64[[#This Row],[Order date]])</f>
        <v/>
      </c>
      <c r="P828" s="27" t="str">
        <f>TEXT(Table64[[#This Row],[Order date]],"mmm-yyyy")</f>
        <v>Apr-2024</v>
      </c>
      <c r="Q828" s="16" t="str">
        <f t="shared" si="12"/>
        <v/>
      </c>
    </row>
    <row r="829" spans="1:17" x14ac:dyDescent="0.3">
      <c r="A829" s="17">
        <v>10828</v>
      </c>
      <c r="B829" s="4">
        <v>6210</v>
      </c>
      <c r="C829" s="4" t="s">
        <v>16</v>
      </c>
      <c r="D829" s="5">
        <v>73979.77</v>
      </c>
      <c r="E829" s="4">
        <v>88</v>
      </c>
      <c r="F829" s="4" t="s">
        <v>23</v>
      </c>
      <c r="G829" s="6">
        <v>45306</v>
      </c>
      <c r="H829" s="5">
        <v>87932.23</v>
      </c>
      <c r="I829" s="18" t="s">
        <v>14</v>
      </c>
      <c r="J829" s="14" t="s">
        <v>18</v>
      </c>
      <c r="K829" s="14">
        <v>779</v>
      </c>
      <c r="L829" s="15">
        <v>45361</v>
      </c>
      <c r="M829" s="16">
        <v>2</v>
      </c>
      <c r="N8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29" s="31">
        <f>IF(Table64[[#This Row],[date validity flag]]&lt;&gt;"Valid","",Table64[[#This Row],[shipment date ]]-Table64[[#This Row],[Order date]])</f>
        <v>55</v>
      </c>
      <c r="P829" s="27" t="str">
        <f>TEXT(Table64[[#This Row],[Order date]],"mmm-yyyy")</f>
        <v>Jan-2024</v>
      </c>
      <c r="Q829" s="16" t="str">
        <f t="shared" si="12"/>
        <v>Delayed</v>
      </c>
    </row>
    <row r="830" spans="1:17" x14ac:dyDescent="0.3">
      <c r="A830" s="12">
        <v>10829</v>
      </c>
      <c r="B830" s="1">
        <v>5935</v>
      </c>
      <c r="C830" s="1" t="s">
        <v>12</v>
      </c>
      <c r="D830" s="2">
        <v>70455.69</v>
      </c>
      <c r="E830" s="1">
        <v>23</v>
      </c>
      <c r="F830" s="1" t="s">
        <v>13</v>
      </c>
      <c r="G830" s="3">
        <v>45337</v>
      </c>
      <c r="H830" s="2">
        <v>145550.10999999999</v>
      </c>
      <c r="I830" s="13" t="s">
        <v>17</v>
      </c>
      <c r="J830" s="14" t="s">
        <v>19</v>
      </c>
      <c r="K830" s="14">
        <v>263</v>
      </c>
      <c r="L830" s="15">
        <v>45397</v>
      </c>
      <c r="M830" s="16">
        <v>9</v>
      </c>
      <c r="N8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30" s="31">
        <f>IF(Table64[[#This Row],[date validity flag]]&lt;&gt;"Valid","",Table64[[#This Row],[shipment date ]]-Table64[[#This Row],[Order date]])</f>
        <v>60</v>
      </c>
      <c r="P830" s="27" t="str">
        <f>TEXT(Table64[[#This Row],[Order date]],"mmm-yyyy")</f>
        <v>Feb-2024</v>
      </c>
      <c r="Q830" s="16" t="str">
        <f t="shared" si="12"/>
        <v>Delayed</v>
      </c>
    </row>
    <row r="831" spans="1:17" x14ac:dyDescent="0.3">
      <c r="A831" s="17">
        <v>10830</v>
      </c>
      <c r="B831" s="4">
        <v>5398</v>
      </c>
      <c r="C831" s="4" t="s">
        <v>16</v>
      </c>
      <c r="D831" s="5">
        <v>22114.38</v>
      </c>
      <c r="E831" s="4">
        <v>15</v>
      </c>
      <c r="F831" s="4" t="s">
        <v>13</v>
      </c>
      <c r="G831" s="6">
        <v>45306</v>
      </c>
      <c r="H831" s="5">
        <v>123254.94</v>
      </c>
      <c r="I831" s="18" t="s">
        <v>17</v>
      </c>
      <c r="J831" s="14" t="s">
        <v>19</v>
      </c>
      <c r="K831" s="14">
        <v>623</v>
      </c>
      <c r="L831" s="15">
        <v>45397</v>
      </c>
      <c r="M831" s="16">
        <v>13</v>
      </c>
      <c r="N8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31" s="31">
        <f>IF(Table64[[#This Row],[date validity flag]]&lt;&gt;"Valid","",Table64[[#This Row],[shipment date ]]-Table64[[#This Row],[Order date]])</f>
        <v>91</v>
      </c>
      <c r="P831" s="27" t="str">
        <f>TEXT(Table64[[#This Row],[Order date]],"mmm-yyyy")</f>
        <v>Jan-2024</v>
      </c>
      <c r="Q831" s="16" t="str">
        <f t="shared" si="12"/>
        <v>Delayed</v>
      </c>
    </row>
    <row r="832" spans="1:17" x14ac:dyDescent="0.3">
      <c r="A832" s="12">
        <v>10831</v>
      </c>
      <c r="B832" s="1">
        <v>6247</v>
      </c>
      <c r="C832" s="1" t="s">
        <v>16</v>
      </c>
      <c r="D832" s="2">
        <v>54532.89</v>
      </c>
      <c r="E832" s="1">
        <v>27</v>
      </c>
      <c r="F832" s="1" t="s">
        <v>13</v>
      </c>
      <c r="G832" s="3">
        <v>45383</v>
      </c>
      <c r="H832" s="2">
        <v>151628.85</v>
      </c>
      <c r="I832" s="13" t="s">
        <v>17</v>
      </c>
      <c r="J832" s="14" t="s">
        <v>15</v>
      </c>
      <c r="K832" s="14">
        <v>1401</v>
      </c>
      <c r="L832" s="15">
        <v>45361</v>
      </c>
      <c r="M832" s="16">
        <v>4</v>
      </c>
      <c r="N8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32" s="31" t="str">
        <f>IF(Table64[[#This Row],[date validity flag]]&lt;&gt;"Valid","",Table64[[#This Row],[shipment date ]]-Table64[[#This Row],[Order date]])</f>
        <v/>
      </c>
      <c r="P832" s="27" t="str">
        <f>TEXT(Table64[[#This Row],[Order date]],"mmm-yyyy")</f>
        <v>Apr-2024</v>
      </c>
      <c r="Q832" s="16" t="str">
        <f t="shared" si="12"/>
        <v/>
      </c>
    </row>
    <row r="833" spans="1:17" x14ac:dyDescent="0.3">
      <c r="A833" s="17">
        <v>10832</v>
      </c>
      <c r="B833" s="4">
        <v>5634</v>
      </c>
      <c r="C833" s="4" t="s">
        <v>12</v>
      </c>
      <c r="D833" s="5">
        <v>39370.370000000003</v>
      </c>
      <c r="E833" s="4">
        <v>75</v>
      </c>
      <c r="F833" s="4" t="s">
        <v>22</v>
      </c>
      <c r="G833" s="6">
        <v>45337</v>
      </c>
      <c r="H833" s="5">
        <v>165076.54999999999</v>
      </c>
      <c r="I833" s="18" t="s">
        <v>17</v>
      </c>
      <c r="J833" s="14" t="s">
        <v>18</v>
      </c>
      <c r="K833" s="14">
        <v>1006</v>
      </c>
      <c r="L833" s="15">
        <v>45332</v>
      </c>
      <c r="M833" s="16">
        <v>4</v>
      </c>
      <c r="N8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33" s="31" t="str">
        <f>IF(Table64[[#This Row],[date validity flag]]&lt;&gt;"Valid","",Table64[[#This Row],[shipment date ]]-Table64[[#This Row],[Order date]])</f>
        <v/>
      </c>
      <c r="P833" s="27" t="str">
        <f>TEXT(Table64[[#This Row],[Order date]],"mmm-yyyy")</f>
        <v>Feb-2024</v>
      </c>
      <c r="Q833" s="16" t="str">
        <f t="shared" si="12"/>
        <v/>
      </c>
    </row>
    <row r="834" spans="1:17" x14ac:dyDescent="0.3">
      <c r="A834" s="12">
        <v>10833</v>
      </c>
      <c r="B834" s="1">
        <v>6157</v>
      </c>
      <c r="C834" s="1" t="s">
        <v>12</v>
      </c>
      <c r="D834" s="2">
        <v>13951.61</v>
      </c>
      <c r="E834" s="1">
        <v>64</v>
      </c>
      <c r="F834" s="1" t="s">
        <v>23</v>
      </c>
      <c r="G834" s="3">
        <v>45361</v>
      </c>
      <c r="H834" s="2">
        <v>170379.46</v>
      </c>
      <c r="I834" s="13" t="s">
        <v>14</v>
      </c>
      <c r="J834" s="14" t="s">
        <v>15</v>
      </c>
      <c r="K834" s="14">
        <v>430</v>
      </c>
      <c r="L834" s="15">
        <v>45361</v>
      </c>
      <c r="M834" s="16">
        <v>7</v>
      </c>
      <c r="N8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34" s="31">
        <f>IF(Table64[[#This Row],[date validity flag]]&lt;&gt;"Valid","",Table64[[#This Row],[shipment date ]]-Table64[[#This Row],[Order date]])</f>
        <v>0</v>
      </c>
      <c r="P834" s="27" t="str">
        <f>TEXT(Table64[[#This Row],[Order date]],"mmm-yyyy")</f>
        <v>Mar-2024</v>
      </c>
      <c r="Q834" s="16" t="str">
        <f t="shared" ref="Q834:Q897" si="13">IF(O834="","",IF(O834&gt;0,"Delayed","On Time"))</f>
        <v>On Time</v>
      </c>
    </row>
    <row r="835" spans="1:17" x14ac:dyDescent="0.3">
      <c r="A835" s="17">
        <v>10834</v>
      </c>
      <c r="B835" s="4">
        <v>6187</v>
      </c>
      <c r="C835" s="4" t="s">
        <v>16</v>
      </c>
      <c r="D835" s="5">
        <v>19194.86</v>
      </c>
      <c r="E835" s="4">
        <v>81</v>
      </c>
      <c r="F835" s="4" t="s">
        <v>21</v>
      </c>
      <c r="G835" s="6">
        <v>45361</v>
      </c>
      <c r="H835" s="5">
        <v>53994.02</v>
      </c>
      <c r="I835" s="18" t="s">
        <v>17</v>
      </c>
      <c r="J835" s="14" t="s">
        <v>19</v>
      </c>
      <c r="K835" s="14">
        <v>722</v>
      </c>
      <c r="L835" s="15">
        <v>45397</v>
      </c>
      <c r="M835" s="16">
        <v>10</v>
      </c>
      <c r="N8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35" s="31">
        <f>IF(Table64[[#This Row],[date validity flag]]&lt;&gt;"Valid","",Table64[[#This Row],[shipment date ]]-Table64[[#This Row],[Order date]])</f>
        <v>36</v>
      </c>
      <c r="P835" s="27" t="str">
        <f>TEXT(Table64[[#This Row],[Order date]],"mmm-yyyy")</f>
        <v>Mar-2024</v>
      </c>
      <c r="Q835" s="16" t="str">
        <f t="shared" si="13"/>
        <v>Delayed</v>
      </c>
    </row>
    <row r="836" spans="1:17" x14ac:dyDescent="0.3">
      <c r="A836" s="12">
        <v>10835</v>
      </c>
      <c r="B836" s="1">
        <v>6239</v>
      </c>
      <c r="C836" s="1" t="s">
        <v>12</v>
      </c>
      <c r="D836" s="2">
        <v>20294.34</v>
      </c>
      <c r="E836" s="1">
        <v>51</v>
      </c>
      <c r="F836" s="1" t="s">
        <v>23</v>
      </c>
      <c r="G836" s="3">
        <v>45306</v>
      </c>
      <c r="H836" s="2">
        <v>158270.09</v>
      </c>
      <c r="I836" s="13" t="s">
        <v>17</v>
      </c>
      <c r="J836" s="14" t="s">
        <v>18</v>
      </c>
      <c r="K836" s="14">
        <v>847</v>
      </c>
      <c r="L836" s="15">
        <v>45397</v>
      </c>
      <c r="M836" s="16">
        <v>10</v>
      </c>
      <c r="N8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36" s="31">
        <f>IF(Table64[[#This Row],[date validity flag]]&lt;&gt;"Valid","",Table64[[#This Row],[shipment date ]]-Table64[[#This Row],[Order date]])</f>
        <v>91</v>
      </c>
      <c r="P836" s="27" t="str">
        <f>TEXT(Table64[[#This Row],[Order date]],"mmm-yyyy")</f>
        <v>Jan-2024</v>
      </c>
      <c r="Q836" s="16" t="str">
        <f t="shared" si="13"/>
        <v>Delayed</v>
      </c>
    </row>
    <row r="837" spans="1:17" x14ac:dyDescent="0.3">
      <c r="A837" s="17">
        <v>10836</v>
      </c>
      <c r="B837" s="4">
        <v>5733</v>
      </c>
      <c r="C837" s="4" t="s">
        <v>16</v>
      </c>
      <c r="D837" s="5">
        <v>14085.47</v>
      </c>
      <c r="E837" s="4">
        <v>53</v>
      </c>
      <c r="F837" s="4" t="s">
        <v>21</v>
      </c>
      <c r="G837" s="6">
        <v>45383</v>
      </c>
      <c r="H837" s="5">
        <v>103341.34</v>
      </c>
      <c r="I837" s="18" t="s">
        <v>17</v>
      </c>
      <c r="J837" s="14" t="s">
        <v>15</v>
      </c>
      <c r="K837" s="14">
        <v>288</v>
      </c>
      <c r="L837" s="15">
        <v>45361</v>
      </c>
      <c r="M837" s="16">
        <v>13</v>
      </c>
      <c r="N8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37" s="31" t="str">
        <f>IF(Table64[[#This Row],[date validity flag]]&lt;&gt;"Valid","",Table64[[#This Row],[shipment date ]]-Table64[[#This Row],[Order date]])</f>
        <v/>
      </c>
      <c r="P837" s="27" t="str">
        <f>TEXT(Table64[[#This Row],[Order date]],"mmm-yyyy")</f>
        <v>Apr-2024</v>
      </c>
      <c r="Q837" s="16" t="str">
        <f t="shared" si="13"/>
        <v/>
      </c>
    </row>
    <row r="838" spans="1:17" x14ac:dyDescent="0.3">
      <c r="A838" s="12">
        <v>10837</v>
      </c>
      <c r="B838" s="1">
        <v>5235</v>
      </c>
      <c r="C838" s="1" t="s">
        <v>16</v>
      </c>
      <c r="D838" s="2">
        <v>88204.49</v>
      </c>
      <c r="E838" s="1">
        <v>78</v>
      </c>
      <c r="F838" s="1" t="s">
        <v>22</v>
      </c>
      <c r="G838" s="3">
        <v>45337</v>
      </c>
      <c r="H838" s="2">
        <v>48192.45</v>
      </c>
      <c r="I838" s="13" t="s">
        <v>20</v>
      </c>
      <c r="J838" s="14" t="s">
        <v>15</v>
      </c>
      <c r="K838" s="14">
        <v>749</v>
      </c>
      <c r="L838" s="15">
        <v>45332</v>
      </c>
      <c r="M838" s="16">
        <v>2</v>
      </c>
      <c r="N8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38" s="31" t="str">
        <f>IF(Table64[[#This Row],[date validity flag]]&lt;&gt;"Valid","",Table64[[#This Row],[shipment date ]]-Table64[[#This Row],[Order date]])</f>
        <v/>
      </c>
      <c r="P838" s="27" t="str">
        <f>TEXT(Table64[[#This Row],[Order date]],"mmm-yyyy")</f>
        <v>Feb-2024</v>
      </c>
      <c r="Q838" s="16" t="str">
        <f t="shared" si="13"/>
        <v/>
      </c>
    </row>
    <row r="839" spans="1:17" x14ac:dyDescent="0.3">
      <c r="A839" s="17">
        <v>10838</v>
      </c>
      <c r="B839" s="4">
        <v>6867</v>
      </c>
      <c r="C839" s="4" t="s">
        <v>16</v>
      </c>
      <c r="D839" s="5">
        <v>31514.799999999999</v>
      </c>
      <c r="E839" s="4">
        <v>91</v>
      </c>
      <c r="F839" s="4" t="s">
        <v>22</v>
      </c>
      <c r="G839" s="6">
        <v>45383</v>
      </c>
      <c r="H839" s="5">
        <v>158553.57</v>
      </c>
      <c r="I839" s="18" t="s">
        <v>17</v>
      </c>
      <c r="J839" s="14" t="s">
        <v>18</v>
      </c>
      <c r="K839" s="14">
        <v>1155</v>
      </c>
      <c r="L839" s="15">
        <v>45361</v>
      </c>
      <c r="M839" s="16">
        <v>3</v>
      </c>
      <c r="N8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39" s="31" t="str">
        <f>IF(Table64[[#This Row],[date validity flag]]&lt;&gt;"Valid","",Table64[[#This Row],[shipment date ]]-Table64[[#This Row],[Order date]])</f>
        <v/>
      </c>
      <c r="P839" s="27" t="str">
        <f>TEXT(Table64[[#This Row],[Order date]],"mmm-yyyy")</f>
        <v>Apr-2024</v>
      </c>
      <c r="Q839" s="16" t="str">
        <f t="shared" si="13"/>
        <v/>
      </c>
    </row>
    <row r="840" spans="1:17" x14ac:dyDescent="0.3">
      <c r="A840" s="12">
        <v>10839</v>
      </c>
      <c r="B840" s="1">
        <v>5658</v>
      </c>
      <c r="C840" s="1" t="s">
        <v>16</v>
      </c>
      <c r="D840" s="2">
        <v>87558.99</v>
      </c>
      <c r="E840" s="1">
        <v>82</v>
      </c>
      <c r="F840" s="1" t="s">
        <v>21</v>
      </c>
      <c r="G840" s="3">
        <v>45337</v>
      </c>
      <c r="H840" s="2">
        <v>25166.23</v>
      </c>
      <c r="I840" s="13" t="s">
        <v>14</v>
      </c>
      <c r="J840" s="14" t="s">
        <v>19</v>
      </c>
      <c r="K840" s="14">
        <v>1436</v>
      </c>
      <c r="L840" s="15">
        <v>45332</v>
      </c>
      <c r="M840" s="16">
        <v>3</v>
      </c>
      <c r="N84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40" s="31" t="str">
        <f>IF(Table64[[#This Row],[date validity flag]]&lt;&gt;"Valid","",Table64[[#This Row],[shipment date ]]-Table64[[#This Row],[Order date]])</f>
        <v/>
      </c>
      <c r="P840" s="27" t="str">
        <f>TEXT(Table64[[#This Row],[Order date]],"mmm-yyyy")</f>
        <v>Feb-2024</v>
      </c>
      <c r="Q840" s="16" t="str">
        <f t="shared" si="13"/>
        <v/>
      </c>
    </row>
    <row r="841" spans="1:17" x14ac:dyDescent="0.3">
      <c r="A841" s="17">
        <v>10840</v>
      </c>
      <c r="B841" s="4">
        <v>5751</v>
      </c>
      <c r="C841" s="4" t="s">
        <v>16</v>
      </c>
      <c r="D841" s="5">
        <v>14861.25</v>
      </c>
      <c r="E841" s="4">
        <v>92</v>
      </c>
      <c r="F841" s="4" t="s">
        <v>21</v>
      </c>
      <c r="G841" s="6">
        <v>45306</v>
      </c>
      <c r="H841" s="5">
        <v>41024.61</v>
      </c>
      <c r="I841" s="18" t="s">
        <v>17</v>
      </c>
      <c r="J841" s="14" t="s">
        <v>18</v>
      </c>
      <c r="K841" s="14">
        <v>554</v>
      </c>
      <c r="L841" s="15">
        <v>45332</v>
      </c>
      <c r="M841" s="16">
        <v>6</v>
      </c>
      <c r="N8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41" s="31">
        <f>IF(Table64[[#This Row],[date validity flag]]&lt;&gt;"Valid","",Table64[[#This Row],[shipment date ]]-Table64[[#This Row],[Order date]])</f>
        <v>26</v>
      </c>
      <c r="P841" s="27" t="str">
        <f>TEXT(Table64[[#This Row],[Order date]],"mmm-yyyy")</f>
        <v>Jan-2024</v>
      </c>
      <c r="Q841" s="16" t="str">
        <f t="shared" si="13"/>
        <v>Delayed</v>
      </c>
    </row>
    <row r="842" spans="1:17" x14ac:dyDescent="0.3">
      <c r="A842" s="12">
        <v>10841</v>
      </c>
      <c r="B842" s="1">
        <v>5588</v>
      </c>
      <c r="C842" s="1" t="s">
        <v>16</v>
      </c>
      <c r="D842" s="2">
        <v>84676.54</v>
      </c>
      <c r="E842" s="1">
        <v>51</v>
      </c>
      <c r="F842" s="1" t="s">
        <v>21</v>
      </c>
      <c r="G842" s="3">
        <v>45337</v>
      </c>
      <c r="H842" s="2">
        <v>81839.78</v>
      </c>
      <c r="I842" s="13" t="s">
        <v>17</v>
      </c>
      <c r="J842" s="14" t="s">
        <v>15</v>
      </c>
      <c r="K842" s="14">
        <v>251</v>
      </c>
      <c r="L842" s="15">
        <v>45361</v>
      </c>
      <c r="M842" s="16">
        <v>3</v>
      </c>
      <c r="N8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42" s="31">
        <f>IF(Table64[[#This Row],[date validity flag]]&lt;&gt;"Valid","",Table64[[#This Row],[shipment date ]]-Table64[[#This Row],[Order date]])</f>
        <v>24</v>
      </c>
      <c r="P842" s="27" t="str">
        <f>TEXT(Table64[[#This Row],[Order date]],"mmm-yyyy")</f>
        <v>Feb-2024</v>
      </c>
      <c r="Q842" s="16" t="str">
        <f t="shared" si="13"/>
        <v>Delayed</v>
      </c>
    </row>
    <row r="843" spans="1:17" x14ac:dyDescent="0.3">
      <c r="A843" s="17">
        <v>10842</v>
      </c>
      <c r="B843" s="4">
        <v>6033</v>
      </c>
      <c r="C843" s="4" t="s">
        <v>12</v>
      </c>
      <c r="D843" s="5">
        <v>57657.95</v>
      </c>
      <c r="E843" s="4">
        <v>47</v>
      </c>
      <c r="F843" s="4" t="s">
        <v>23</v>
      </c>
      <c r="G843" s="6">
        <v>45383</v>
      </c>
      <c r="H843" s="5">
        <v>112543.06</v>
      </c>
      <c r="I843" s="18" t="s">
        <v>20</v>
      </c>
      <c r="J843" s="14" t="s">
        <v>15</v>
      </c>
      <c r="K843" s="14">
        <v>969</v>
      </c>
      <c r="L843" s="15">
        <v>45361</v>
      </c>
      <c r="M843" s="16">
        <v>11</v>
      </c>
      <c r="N84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43" s="31" t="str">
        <f>IF(Table64[[#This Row],[date validity flag]]&lt;&gt;"Valid","",Table64[[#This Row],[shipment date ]]-Table64[[#This Row],[Order date]])</f>
        <v/>
      </c>
      <c r="P843" s="27" t="str">
        <f>TEXT(Table64[[#This Row],[Order date]],"mmm-yyyy")</f>
        <v>Apr-2024</v>
      </c>
      <c r="Q843" s="16" t="str">
        <f t="shared" si="13"/>
        <v/>
      </c>
    </row>
    <row r="844" spans="1:17" x14ac:dyDescent="0.3">
      <c r="A844" s="12">
        <v>10843</v>
      </c>
      <c r="B844" s="1">
        <v>6098</v>
      </c>
      <c r="C844" s="1" t="s">
        <v>16</v>
      </c>
      <c r="D844" s="2">
        <v>86787.19</v>
      </c>
      <c r="E844" s="1">
        <v>4</v>
      </c>
      <c r="F844" s="1" t="s">
        <v>21</v>
      </c>
      <c r="G844" s="3">
        <v>45383</v>
      </c>
      <c r="H844" s="2">
        <v>12057.22</v>
      </c>
      <c r="I844" s="13" t="s">
        <v>17</v>
      </c>
      <c r="J844" s="14" t="s">
        <v>15</v>
      </c>
      <c r="K844" s="14">
        <v>86</v>
      </c>
      <c r="L844" s="15">
        <v>45332</v>
      </c>
      <c r="M844" s="16">
        <v>5</v>
      </c>
      <c r="N84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44" s="31" t="str">
        <f>IF(Table64[[#This Row],[date validity flag]]&lt;&gt;"Valid","",Table64[[#This Row],[shipment date ]]-Table64[[#This Row],[Order date]])</f>
        <v/>
      </c>
      <c r="P844" s="27" t="str">
        <f>TEXT(Table64[[#This Row],[Order date]],"mmm-yyyy")</f>
        <v>Apr-2024</v>
      </c>
      <c r="Q844" s="16" t="str">
        <f t="shared" si="13"/>
        <v/>
      </c>
    </row>
    <row r="845" spans="1:17" x14ac:dyDescent="0.3">
      <c r="A845" s="17">
        <v>10844</v>
      </c>
      <c r="B845" s="4">
        <v>5954</v>
      </c>
      <c r="C845" s="4" t="s">
        <v>16</v>
      </c>
      <c r="D845" s="5">
        <v>50538.18</v>
      </c>
      <c r="E845" s="4">
        <v>7</v>
      </c>
      <c r="F845" s="4" t="s">
        <v>22</v>
      </c>
      <c r="G845" s="6">
        <v>45306</v>
      </c>
      <c r="H845" s="5">
        <v>114075.4</v>
      </c>
      <c r="I845" s="18" t="s">
        <v>17</v>
      </c>
      <c r="J845" s="14" t="s">
        <v>15</v>
      </c>
      <c r="K845" s="14">
        <v>693</v>
      </c>
      <c r="L845" s="15">
        <v>45332</v>
      </c>
      <c r="M845" s="16">
        <v>4</v>
      </c>
      <c r="N8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45" s="31">
        <f>IF(Table64[[#This Row],[date validity flag]]&lt;&gt;"Valid","",Table64[[#This Row],[shipment date ]]-Table64[[#This Row],[Order date]])</f>
        <v>26</v>
      </c>
      <c r="P845" s="27" t="str">
        <f>TEXT(Table64[[#This Row],[Order date]],"mmm-yyyy")</f>
        <v>Jan-2024</v>
      </c>
      <c r="Q845" s="16" t="str">
        <f t="shared" si="13"/>
        <v>Delayed</v>
      </c>
    </row>
    <row r="846" spans="1:17" x14ac:dyDescent="0.3">
      <c r="A846" s="12">
        <v>10845</v>
      </c>
      <c r="B846" s="1">
        <v>5492</v>
      </c>
      <c r="C846" s="1" t="s">
        <v>16</v>
      </c>
      <c r="D846" s="2">
        <v>23110.84</v>
      </c>
      <c r="E846" s="1">
        <v>35</v>
      </c>
      <c r="F846" s="1" t="s">
        <v>22</v>
      </c>
      <c r="G846" s="3">
        <v>45383</v>
      </c>
      <c r="H846" s="2">
        <v>29426.78</v>
      </c>
      <c r="I846" s="13" t="s">
        <v>20</v>
      </c>
      <c r="J846" s="14" t="s">
        <v>19</v>
      </c>
      <c r="K846" s="14">
        <v>1475</v>
      </c>
      <c r="L846" s="15">
        <v>45332</v>
      </c>
      <c r="M846" s="16">
        <v>3</v>
      </c>
      <c r="N84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46" s="31" t="str">
        <f>IF(Table64[[#This Row],[date validity flag]]&lt;&gt;"Valid","",Table64[[#This Row],[shipment date ]]-Table64[[#This Row],[Order date]])</f>
        <v/>
      </c>
      <c r="P846" s="27" t="str">
        <f>TEXT(Table64[[#This Row],[Order date]],"mmm-yyyy")</f>
        <v>Apr-2024</v>
      </c>
      <c r="Q846" s="16" t="str">
        <f t="shared" si="13"/>
        <v/>
      </c>
    </row>
    <row r="847" spans="1:17" x14ac:dyDescent="0.3">
      <c r="A847" s="17">
        <v>10846</v>
      </c>
      <c r="B847" s="4">
        <v>5913</v>
      </c>
      <c r="C847" s="4" t="s">
        <v>16</v>
      </c>
      <c r="D847" s="5">
        <v>10976.36</v>
      </c>
      <c r="E847" s="4">
        <v>48</v>
      </c>
      <c r="F847" s="4" t="s">
        <v>13</v>
      </c>
      <c r="G847" s="6">
        <v>45337</v>
      </c>
      <c r="H847" s="5">
        <v>149425.25</v>
      </c>
      <c r="I847" s="18" t="s">
        <v>17</v>
      </c>
      <c r="J847" s="14" t="s">
        <v>19</v>
      </c>
      <c r="K847" s="14">
        <v>814</v>
      </c>
      <c r="L847" s="15">
        <v>45332</v>
      </c>
      <c r="M847" s="16">
        <v>8</v>
      </c>
      <c r="N84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47" s="31" t="str">
        <f>IF(Table64[[#This Row],[date validity flag]]&lt;&gt;"Valid","",Table64[[#This Row],[shipment date ]]-Table64[[#This Row],[Order date]])</f>
        <v/>
      </c>
      <c r="P847" s="27" t="str">
        <f>TEXT(Table64[[#This Row],[Order date]],"mmm-yyyy")</f>
        <v>Feb-2024</v>
      </c>
      <c r="Q847" s="16" t="str">
        <f t="shared" si="13"/>
        <v/>
      </c>
    </row>
    <row r="848" spans="1:17" x14ac:dyDescent="0.3">
      <c r="A848" s="12">
        <v>10847</v>
      </c>
      <c r="B848" s="1">
        <v>6277</v>
      </c>
      <c r="C848" s="1" t="s">
        <v>16</v>
      </c>
      <c r="D848" s="2">
        <v>77245.460000000006</v>
      </c>
      <c r="E848" s="1">
        <v>73</v>
      </c>
      <c r="F848" s="1" t="s">
        <v>21</v>
      </c>
      <c r="G848" s="3">
        <v>45306</v>
      </c>
      <c r="H848" s="2">
        <v>20691.580000000002</v>
      </c>
      <c r="I848" s="13" t="s">
        <v>17</v>
      </c>
      <c r="J848" s="14" t="s">
        <v>15</v>
      </c>
      <c r="K848" s="14">
        <v>755</v>
      </c>
      <c r="L848" s="15">
        <v>45397</v>
      </c>
      <c r="M848" s="16">
        <v>14</v>
      </c>
      <c r="N8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48" s="31">
        <f>IF(Table64[[#This Row],[date validity flag]]&lt;&gt;"Valid","",Table64[[#This Row],[shipment date ]]-Table64[[#This Row],[Order date]])</f>
        <v>91</v>
      </c>
      <c r="P848" s="27" t="str">
        <f>TEXT(Table64[[#This Row],[Order date]],"mmm-yyyy")</f>
        <v>Jan-2024</v>
      </c>
      <c r="Q848" s="16" t="str">
        <f t="shared" si="13"/>
        <v>Delayed</v>
      </c>
    </row>
    <row r="849" spans="1:17" x14ac:dyDescent="0.3">
      <c r="A849" s="17">
        <v>10848</v>
      </c>
      <c r="B849" s="4">
        <v>6254</v>
      </c>
      <c r="C849" s="4" t="s">
        <v>16</v>
      </c>
      <c r="D849" s="5">
        <v>11442.85</v>
      </c>
      <c r="E849" s="4">
        <v>72</v>
      </c>
      <c r="F849" s="4" t="s">
        <v>23</v>
      </c>
      <c r="G849" s="6">
        <v>45337</v>
      </c>
      <c r="H849" s="5">
        <v>144872.62</v>
      </c>
      <c r="I849" s="18" t="s">
        <v>17</v>
      </c>
      <c r="J849" s="14" t="s">
        <v>19</v>
      </c>
      <c r="K849" s="14">
        <v>1249</v>
      </c>
      <c r="L849" s="15">
        <v>45361</v>
      </c>
      <c r="M849" s="16">
        <v>10</v>
      </c>
      <c r="N8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49" s="31">
        <f>IF(Table64[[#This Row],[date validity flag]]&lt;&gt;"Valid","",Table64[[#This Row],[shipment date ]]-Table64[[#This Row],[Order date]])</f>
        <v>24</v>
      </c>
      <c r="P849" s="27" t="str">
        <f>TEXT(Table64[[#This Row],[Order date]],"mmm-yyyy")</f>
        <v>Feb-2024</v>
      </c>
      <c r="Q849" s="16" t="str">
        <f t="shared" si="13"/>
        <v>Delayed</v>
      </c>
    </row>
    <row r="850" spans="1:17" x14ac:dyDescent="0.3">
      <c r="A850" s="12">
        <v>10849</v>
      </c>
      <c r="B850" s="1">
        <v>6543</v>
      </c>
      <c r="C850" s="1" t="s">
        <v>12</v>
      </c>
      <c r="D850" s="2">
        <v>67245.64</v>
      </c>
      <c r="E850" s="1">
        <v>45</v>
      </c>
      <c r="F850" s="1" t="s">
        <v>23</v>
      </c>
      <c r="G850" s="3">
        <v>45383</v>
      </c>
      <c r="H850" s="2">
        <v>90952.21</v>
      </c>
      <c r="I850" s="13" t="s">
        <v>17</v>
      </c>
      <c r="J850" s="14" t="s">
        <v>19</v>
      </c>
      <c r="K850" s="14">
        <v>594</v>
      </c>
      <c r="L850" s="15">
        <v>45332</v>
      </c>
      <c r="M850" s="16">
        <v>3</v>
      </c>
      <c r="N85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50" s="31" t="str">
        <f>IF(Table64[[#This Row],[date validity flag]]&lt;&gt;"Valid","",Table64[[#This Row],[shipment date ]]-Table64[[#This Row],[Order date]])</f>
        <v/>
      </c>
      <c r="P850" s="27" t="str">
        <f>TEXT(Table64[[#This Row],[Order date]],"mmm-yyyy")</f>
        <v>Apr-2024</v>
      </c>
      <c r="Q850" s="16" t="str">
        <f t="shared" si="13"/>
        <v/>
      </c>
    </row>
    <row r="851" spans="1:17" x14ac:dyDescent="0.3">
      <c r="A851" s="17">
        <v>10850</v>
      </c>
      <c r="B851" s="4">
        <v>6198</v>
      </c>
      <c r="C851" s="4" t="s">
        <v>16</v>
      </c>
      <c r="D851" s="5">
        <v>57948.5</v>
      </c>
      <c r="E851" s="4">
        <v>81</v>
      </c>
      <c r="F851" s="4" t="s">
        <v>23</v>
      </c>
      <c r="G851" s="6">
        <v>45306</v>
      </c>
      <c r="H851" s="5">
        <v>48015.09</v>
      </c>
      <c r="I851" s="18" t="s">
        <v>14</v>
      </c>
      <c r="J851" s="14" t="s">
        <v>19</v>
      </c>
      <c r="K851" s="14">
        <v>1274</v>
      </c>
      <c r="L851" s="15">
        <v>45361</v>
      </c>
      <c r="M851" s="16">
        <v>6</v>
      </c>
      <c r="N85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51" s="31">
        <f>IF(Table64[[#This Row],[date validity flag]]&lt;&gt;"Valid","",Table64[[#This Row],[shipment date ]]-Table64[[#This Row],[Order date]])</f>
        <v>55</v>
      </c>
      <c r="P851" s="27" t="str">
        <f>TEXT(Table64[[#This Row],[Order date]],"mmm-yyyy")</f>
        <v>Jan-2024</v>
      </c>
      <c r="Q851" s="16" t="str">
        <f t="shared" si="13"/>
        <v>Delayed</v>
      </c>
    </row>
    <row r="852" spans="1:17" x14ac:dyDescent="0.3">
      <c r="A852" s="12">
        <v>10851</v>
      </c>
      <c r="B852" s="1">
        <v>6677</v>
      </c>
      <c r="C852" s="1" t="s">
        <v>16</v>
      </c>
      <c r="D852" s="2">
        <v>43206.41</v>
      </c>
      <c r="E852" s="1">
        <v>81</v>
      </c>
      <c r="F852" s="1" t="s">
        <v>13</v>
      </c>
      <c r="G852" s="3">
        <v>45337</v>
      </c>
      <c r="H852" s="2">
        <v>40041.86</v>
      </c>
      <c r="I852" s="13" t="s">
        <v>17</v>
      </c>
      <c r="J852" s="14" t="s">
        <v>15</v>
      </c>
      <c r="K852" s="14">
        <v>589</v>
      </c>
      <c r="L852" s="15">
        <v>45332</v>
      </c>
      <c r="M852" s="16">
        <v>13</v>
      </c>
      <c r="N8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52" s="31" t="str">
        <f>IF(Table64[[#This Row],[date validity flag]]&lt;&gt;"Valid","",Table64[[#This Row],[shipment date ]]-Table64[[#This Row],[Order date]])</f>
        <v/>
      </c>
      <c r="P852" s="27" t="str">
        <f>TEXT(Table64[[#This Row],[Order date]],"mmm-yyyy")</f>
        <v>Feb-2024</v>
      </c>
      <c r="Q852" s="16" t="str">
        <f t="shared" si="13"/>
        <v/>
      </c>
    </row>
    <row r="853" spans="1:17" x14ac:dyDescent="0.3">
      <c r="A853" s="17">
        <v>10852</v>
      </c>
      <c r="B853" s="4">
        <v>6192</v>
      </c>
      <c r="C853" s="4" t="s">
        <v>16</v>
      </c>
      <c r="D853" s="5">
        <v>15900.23</v>
      </c>
      <c r="E853" s="4">
        <v>97</v>
      </c>
      <c r="F853" s="4" t="s">
        <v>22</v>
      </c>
      <c r="G853" s="6">
        <v>45383</v>
      </c>
      <c r="H853" s="5">
        <v>154913.51999999999</v>
      </c>
      <c r="I853" s="18" t="s">
        <v>14</v>
      </c>
      <c r="J853" s="14" t="s">
        <v>18</v>
      </c>
      <c r="K853" s="14">
        <v>1066</v>
      </c>
      <c r="L853" s="15">
        <v>45361</v>
      </c>
      <c r="M853" s="16">
        <v>7</v>
      </c>
      <c r="N85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53" s="31" t="str">
        <f>IF(Table64[[#This Row],[date validity flag]]&lt;&gt;"Valid","",Table64[[#This Row],[shipment date ]]-Table64[[#This Row],[Order date]])</f>
        <v/>
      </c>
      <c r="P853" s="27" t="str">
        <f>TEXT(Table64[[#This Row],[Order date]],"mmm-yyyy")</f>
        <v>Apr-2024</v>
      </c>
      <c r="Q853" s="16" t="str">
        <f t="shared" si="13"/>
        <v/>
      </c>
    </row>
    <row r="854" spans="1:17" x14ac:dyDescent="0.3">
      <c r="A854" s="12">
        <v>10853</v>
      </c>
      <c r="B854" s="1">
        <v>5170</v>
      </c>
      <c r="C854" s="1" t="s">
        <v>16</v>
      </c>
      <c r="D854" s="2">
        <v>81728.41</v>
      </c>
      <c r="E854" s="1">
        <v>96</v>
      </c>
      <c r="F854" s="1" t="s">
        <v>23</v>
      </c>
      <c r="G854" s="3">
        <v>45383</v>
      </c>
      <c r="H854" s="2">
        <v>63732.73</v>
      </c>
      <c r="I854" s="13" t="s">
        <v>17</v>
      </c>
      <c r="J854" s="14" t="s">
        <v>18</v>
      </c>
      <c r="K854" s="14">
        <v>443</v>
      </c>
      <c r="L854" s="15">
        <v>45361</v>
      </c>
      <c r="M854" s="16">
        <v>7</v>
      </c>
      <c r="N8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54" s="31" t="str">
        <f>IF(Table64[[#This Row],[date validity flag]]&lt;&gt;"Valid","",Table64[[#This Row],[shipment date ]]-Table64[[#This Row],[Order date]])</f>
        <v/>
      </c>
      <c r="P854" s="27" t="str">
        <f>TEXT(Table64[[#This Row],[Order date]],"mmm-yyyy")</f>
        <v>Apr-2024</v>
      </c>
      <c r="Q854" s="16" t="str">
        <f t="shared" si="13"/>
        <v/>
      </c>
    </row>
    <row r="855" spans="1:17" x14ac:dyDescent="0.3">
      <c r="A855" s="17">
        <v>10854</v>
      </c>
      <c r="B855" s="4">
        <v>6417</v>
      </c>
      <c r="C855" s="4" t="s">
        <v>16</v>
      </c>
      <c r="D855" s="5">
        <v>64041.52</v>
      </c>
      <c r="E855" s="4">
        <v>72</v>
      </c>
      <c r="F855" s="4" t="s">
        <v>22</v>
      </c>
      <c r="G855" s="6">
        <v>45361</v>
      </c>
      <c r="H855" s="5">
        <v>48885.919999999998</v>
      </c>
      <c r="I855" s="18" t="s">
        <v>20</v>
      </c>
      <c r="J855" s="14" t="s">
        <v>18</v>
      </c>
      <c r="K855" s="14">
        <v>882</v>
      </c>
      <c r="L855" s="15">
        <v>45332</v>
      </c>
      <c r="M855" s="16">
        <v>2</v>
      </c>
      <c r="N85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55" s="31" t="str">
        <f>IF(Table64[[#This Row],[date validity flag]]&lt;&gt;"Valid","",Table64[[#This Row],[shipment date ]]-Table64[[#This Row],[Order date]])</f>
        <v/>
      </c>
      <c r="P855" s="27" t="str">
        <f>TEXT(Table64[[#This Row],[Order date]],"mmm-yyyy")</f>
        <v>Mar-2024</v>
      </c>
      <c r="Q855" s="16" t="str">
        <f t="shared" si="13"/>
        <v/>
      </c>
    </row>
    <row r="856" spans="1:17" x14ac:dyDescent="0.3">
      <c r="A856" s="12">
        <v>10855</v>
      </c>
      <c r="B856" s="1">
        <v>5946</v>
      </c>
      <c r="C856" s="1" t="s">
        <v>12</v>
      </c>
      <c r="D856" s="2">
        <v>45268.44</v>
      </c>
      <c r="E856" s="1">
        <v>19</v>
      </c>
      <c r="F856" s="1" t="s">
        <v>13</v>
      </c>
      <c r="G856" s="3">
        <v>45383</v>
      </c>
      <c r="H856" s="2">
        <v>44992.92</v>
      </c>
      <c r="I856" s="13" t="s">
        <v>17</v>
      </c>
      <c r="J856" s="14" t="s">
        <v>15</v>
      </c>
      <c r="K856" s="14">
        <v>1115</v>
      </c>
      <c r="L856" s="15">
        <v>45332</v>
      </c>
      <c r="M856" s="16">
        <v>14</v>
      </c>
      <c r="N85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56" s="31" t="str">
        <f>IF(Table64[[#This Row],[date validity flag]]&lt;&gt;"Valid","",Table64[[#This Row],[shipment date ]]-Table64[[#This Row],[Order date]])</f>
        <v/>
      </c>
      <c r="P856" s="27" t="str">
        <f>TEXT(Table64[[#This Row],[Order date]],"mmm-yyyy")</f>
        <v>Apr-2024</v>
      </c>
      <c r="Q856" s="16" t="str">
        <f t="shared" si="13"/>
        <v/>
      </c>
    </row>
    <row r="857" spans="1:17" x14ac:dyDescent="0.3">
      <c r="A857" s="17">
        <v>10856</v>
      </c>
      <c r="B857" s="4">
        <v>5795</v>
      </c>
      <c r="C857" s="4" t="s">
        <v>16</v>
      </c>
      <c r="D857" s="5">
        <v>95284.9</v>
      </c>
      <c r="E857" s="4">
        <v>63</v>
      </c>
      <c r="F857" s="4" t="s">
        <v>21</v>
      </c>
      <c r="G857" s="6">
        <v>45337</v>
      </c>
      <c r="H857" s="5">
        <v>44419.64</v>
      </c>
      <c r="I857" s="18" t="s">
        <v>14</v>
      </c>
      <c r="J857" s="14" t="s">
        <v>19</v>
      </c>
      <c r="K857" s="14">
        <v>646</v>
      </c>
      <c r="L857" s="15">
        <v>45361</v>
      </c>
      <c r="M857" s="16">
        <v>3</v>
      </c>
      <c r="N8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57" s="31">
        <f>IF(Table64[[#This Row],[date validity flag]]&lt;&gt;"Valid","",Table64[[#This Row],[shipment date ]]-Table64[[#This Row],[Order date]])</f>
        <v>24</v>
      </c>
      <c r="P857" s="27" t="str">
        <f>TEXT(Table64[[#This Row],[Order date]],"mmm-yyyy")</f>
        <v>Feb-2024</v>
      </c>
      <c r="Q857" s="16" t="str">
        <f t="shared" si="13"/>
        <v>Delayed</v>
      </c>
    </row>
    <row r="858" spans="1:17" x14ac:dyDescent="0.3">
      <c r="A858" s="12">
        <v>10857</v>
      </c>
      <c r="B858" s="1">
        <v>5634</v>
      </c>
      <c r="C858" s="1" t="s">
        <v>16</v>
      </c>
      <c r="D858" s="2">
        <v>65748.56</v>
      </c>
      <c r="E858" s="1">
        <v>38</v>
      </c>
      <c r="F858" s="1" t="s">
        <v>21</v>
      </c>
      <c r="G858" s="3">
        <v>45306</v>
      </c>
      <c r="H858" s="2">
        <v>111051.97</v>
      </c>
      <c r="I858" s="13" t="s">
        <v>17</v>
      </c>
      <c r="J858" s="14" t="s">
        <v>19</v>
      </c>
      <c r="K858" s="14">
        <v>442</v>
      </c>
      <c r="L858" s="15">
        <v>45361</v>
      </c>
      <c r="M858" s="16">
        <v>12</v>
      </c>
      <c r="N8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58" s="31">
        <f>IF(Table64[[#This Row],[date validity flag]]&lt;&gt;"Valid","",Table64[[#This Row],[shipment date ]]-Table64[[#This Row],[Order date]])</f>
        <v>55</v>
      </c>
      <c r="P858" s="27" t="str">
        <f>TEXT(Table64[[#This Row],[Order date]],"mmm-yyyy")</f>
        <v>Jan-2024</v>
      </c>
      <c r="Q858" s="16" t="str">
        <f t="shared" si="13"/>
        <v>Delayed</v>
      </c>
    </row>
    <row r="859" spans="1:17" x14ac:dyDescent="0.3">
      <c r="A859" s="17">
        <v>10858</v>
      </c>
      <c r="B859" s="4">
        <v>6218</v>
      </c>
      <c r="C859" s="4" t="s">
        <v>16</v>
      </c>
      <c r="D859" s="5">
        <v>28406.09</v>
      </c>
      <c r="E859" s="4">
        <v>67</v>
      </c>
      <c r="F859" s="4" t="s">
        <v>21</v>
      </c>
      <c r="G859" s="6">
        <v>45361</v>
      </c>
      <c r="H859" s="5">
        <v>117292.7</v>
      </c>
      <c r="I859" s="18" t="s">
        <v>20</v>
      </c>
      <c r="J859" s="14" t="s">
        <v>15</v>
      </c>
      <c r="K859" s="14">
        <v>749</v>
      </c>
      <c r="L859" s="15">
        <v>45361</v>
      </c>
      <c r="M859" s="16">
        <v>10</v>
      </c>
      <c r="N8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59" s="31">
        <f>IF(Table64[[#This Row],[date validity flag]]&lt;&gt;"Valid","",Table64[[#This Row],[shipment date ]]-Table64[[#This Row],[Order date]])</f>
        <v>0</v>
      </c>
      <c r="P859" s="27" t="str">
        <f>TEXT(Table64[[#This Row],[Order date]],"mmm-yyyy")</f>
        <v>Mar-2024</v>
      </c>
      <c r="Q859" s="16" t="str">
        <f t="shared" si="13"/>
        <v>On Time</v>
      </c>
    </row>
    <row r="860" spans="1:17" x14ac:dyDescent="0.3">
      <c r="A860" s="12">
        <v>10859</v>
      </c>
      <c r="B860" s="1">
        <v>6541</v>
      </c>
      <c r="C860" s="1" t="s">
        <v>16</v>
      </c>
      <c r="D860" s="2">
        <v>78433.94</v>
      </c>
      <c r="E860" s="1">
        <v>59</v>
      </c>
      <c r="F860" s="1" t="s">
        <v>23</v>
      </c>
      <c r="G860" s="3">
        <v>45383</v>
      </c>
      <c r="H860" s="2">
        <v>178495.23</v>
      </c>
      <c r="I860" s="13" t="s">
        <v>14</v>
      </c>
      <c r="J860" s="14" t="s">
        <v>15</v>
      </c>
      <c r="K860" s="14">
        <v>490</v>
      </c>
      <c r="L860" s="15">
        <v>45397</v>
      </c>
      <c r="M860" s="16">
        <v>10</v>
      </c>
      <c r="N8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60" s="31">
        <f>IF(Table64[[#This Row],[date validity flag]]&lt;&gt;"Valid","",Table64[[#This Row],[shipment date ]]-Table64[[#This Row],[Order date]])</f>
        <v>14</v>
      </c>
      <c r="P860" s="27" t="str">
        <f>TEXT(Table64[[#This Row],[Order date]],"mmm-yyyy")</f>
        <v>Apr-2024</v>
      </c>
      <c r="Q860" s="16" t="str">
        <f t="shared" si="13"/>
        <v>Delayed</v>
      </c>
    </row>
    <row r="861" spans="1:17" x14ac:dyDescent="0.3">
      <c r="A861" s="17">
        <v>10860</v>
      </c>
      <c r="B861" s="4">
        <v>5029</v>
      </c>
      <c r="C861" s="4" t="s">
        <v>16</v>
      </c>
      <c r="D861" s="5">
        <v>89541.48</v>
      </c>
      <c r="E861" s="4">
        <v>69</v>
      </c>
      <c r="F861" s="4" t="s">
        <v>21</v>
      </c>
      <c r="G861" s="6">
        <v>45383</v>
      </c>
      <c r="H861" s="5">
        <v>99956.82</v>
      </c>
      <c r="I861" s="18" t="s">
        <v>17</v>
      </c>
      <c r="J861" s="14" t="s">
        <v>18</v>
      </c>
      <c r="K861" s="14">
        <v>967</v>
      </c>
      <c r="L861" s="15">
        <v>45332</v>
      </c>
      <c r="M861" s="16">
        <v>4</v>
      </c>
      <c r="N86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61" s="31" t="str">
        <f>IF(Table64[[#This Row],[date validity flag]]&lt;&gt;"Valid","",Table64[[#This Row],[shipment date ]]-Table64[[#This Row],[Order date]])</f>
        <v/>
      </c>
      <c r="P861" s="27" t="str">
        <f>TEXT(Table64[[#This Row],[Order date]],"mmm-yyyy")</f>
        <v>Apr-2024</v>
      </c>
      <c r="Q861" s="16" t="str">
        <f t="shared" si="13"/>
        <v/>
      </c>
    </row>
    <row r="862" spans="1:17" x14ac:dyDescent="0.3">
      <c r="A862" s="12">
        <v>10861</v>
      </c>
      <c r="B862" s="1">
        <v>6189</v>
      </c>
      <c r="C862" s="1" t="s">
        <v>12</v>
      </c>
      <c r="D862" s="2">
        <v>34136.050000000003</v>
      </c>
      <c r="E862" s="1">
        <v>13</v>
      </c>
      <c r="F862" s="1" t="s">
        <v>23</v>
      </c>
      <c r="G862" s="3">
        <v>45383</v>
      </c>
      <c r="H862" s="2">
        <v>156502.39999999999</v>
      </c>
      <c r="I862" s="13" t="s">
        <v>14</v>
      </c>
      <c r="J862" s="14" t="s">
        <v>18</v>
      </c>
      <c r="K862" s="14">
        <v>369</v>
      </c>
      <c r="L862" s="15">
        <v>45397</v>
      </c>
      <c r="M862" s="16">
        <v>7</v>
      </c>
      <c r="N8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62" s="31">
        <f>IF(Table64[[#This Row],[date validity flag]]&lt;&gt;"Valid","",Table64[[#This Row],[shipment date ]]-Table64[[#This Row],[Order date]])</f>
        <v>14</v>
      </c>
      <c r="P862" s="27" t="str">
        <f>TEXT(Table64[[#This Row],[Order date]],"mmm-yyyy")</f>
        <v>Apr-2024</v>
      </c>
      <c r="Q862" s="16" t="str">
        <f t="shared" si="13"/>
        <v>Delayed</v>
      </c>
    </row>
    <row r="863" spans="1:17" x14ac:dyDescent="0.3">
      <c r="A863" s="17">
        <v>10862</v>
      </c>
      <c r="B863" s="4">
        <v>6446</v>
      </c>
      <c r="C863" s="4" t="s">
        <v>16</v>
      </c>
      <c r="D863" s="5">
        <v>80997.429999999993</v>
      </c>
      <c r="E863" s="4">
        <v>47</v>
      </c>
      <c r="F863" s="4" t="s">
        <v>13</v>
      </c>
      <c r="G863" s="6">
        <v>45337</v>
      </c>
      <c r="H863" s="5">
        <v>89887.25</v>
      </c>
      <c r="I863" s="18" t="s">
        <v>17</v>
      </c>
      <c r="J863" s="14" t="s">
        <v>15</v>
      </c>
      <c r="K863" s="14">
        <v>602</v>
      </c>
      <c r="L863" s="15">
        <v>45397</v>
      </c>
      <c r="M863" s="16">
        <v>2</v>
      </c>
      <c r="N8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63" s="31">
        <f>IF(Table64[[#This Row],[date validity flag]]&lt;&gt;"Valid","",Table64[[#This Row],[shipment date ]]-Table64[[#This Row],[Order date]])</f>
        <v>60</v>
      </c>
      <c r="P863" s="27" t="str">
        <f>TEXT(Table64[[#This Row],[Order date]],"mmm-yyyy")</f>
        <v>Feb-2024</v>
      </c>
      <c r="Q863" s="16" t="str">
        <f t="shared" si="13"/>
        <v>Delayed</v>
      </c>
    </row>
    <row r="864" spans="1:17" x14ac:dyDescent="0.3">
      <c r="A864" s="12">
        <v>10863</v>
      </c>
      <c r="B864" s="1">
        <v>5339</v>
      </c>
      <c r="C864" s="1" t="s">
        <v>12</v>
      </c>
      <c r="D864" s="2">
        <v>40658.39</v>
      </c>
      <c r="E864" s="1">
        <v>61</v>
      </c>
      <c r="F864" s="1" t="s">
        <v>13</v>
      </c>
      <c r="G864" s="3">
        <v>45361</v>
      </c>
      <c r="H864" s="2">
        <v>24853.31</v>
      </c>
      <c r="I864" s="13" t="s">
        <v>17</v>
      </c>
      <c r="J864" s="14" t="s">
        <v>18</v>
      </c>
      <c r="K864" s="14">
        <v>1288</v>
      </c>
      <c r="L864" s="15">
        <v>45332</v>
      </c>
      <c r="M864" s="16">
        <v>3</v>
      </c>
      <c r="N86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64" s="31" t="str">
        <f>IF(Table64[[#This Row],[date validity flag]]&lt;&gt;"Valid","",Table64[[#This Row],[shipment date ]]-Table64[[#This Row],[Order date]])</f>
        <v/>
      </c>
      <c r="P864" s="27" t="str">
        <f>TEXT(Table64[[#This Row],[Order date]],"mmm-yyyy")</f>
        <v>Mar-2024</v>
      </c>
      <c r="Q864" s="16" t="str">
        <f t="shared" si="13"/>
        <v/>
      </c>
    </row>
    <row r="865" spans="1:17" x14ac:dyDescent="0.3">
      <c r="A865" s="17">
        <v>10864</v>
      </c>
      <c r="B865" s="4">
        <v>6672</v>
      </c>
      <c r="C865" s="4" t="s">
        <v>12</v>
      </c>
      <c r="D865" s="5">
        <v>18504.330000000002</v>
      </c>
      <c r="E865" s="4">
        <v>31</v>
      </c>
      <c r="F865" s="4" t="s">
        <v>23</v>
      </c>
      <c r="G865" s="6">
        <v>45337</v>
      </c>
      <c r="H865" s="5">
        <v>16265.25</v>
      </c>
      <c r="I865" s="18" t="s">
        <v>17</v>
      </c>
      <c r="J865" s="14" t="s">
        <v>19</v>
      </c>
      <c r="K865" s="14">
        <v>1144</v>
      </c>
      <c r="L865" s="15">
        <v>45332</v>
      </c>
      <c r="M865" s="16">
        <v>7</v>
      </c>
      <c r="N86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65" s="31" t="str">
        <f>IF(Table64[[#This Row],[date validity flag]]&lt;&gt;"Valid","",Table64[[#This Row],[shipment date ]]-Table64[[#This Row],[Order date]])</f>
        <v/>
      </c>
      <c r="P865" s="27" t="str">
        <f>TEXT(Table64[[#This Row],[Order date]],"mmm-yyyy")</f>
        <v>Feb-2024</v>
      </c>
      <c r="Q865" s="16" t="str">
        <f t="shared" si="13"/>
        <v/>
      </c>
    </row>
    <row r="866" spans="1:17" x14ac:dyDescent="0.3">
      <c r="A866" s="12">
        <v>10865</v>
      </c>
      <c r="B866" s="1">
        <v>6520</v>
      </c>
      <c r="C866" s="1" t="s">
        <v>16</v>
      </c>
      <c r="D866" s="2">
        <v>53607.31</v>
      </c>
      <c r="E866" s="1">
        <v>80</v>
      </c>
      <c r="F866" s="1" t="s">
        <v>22</v>
      </c>
      <c r="G866" s="3">
        <v>45361</v>
      </c>
      <c r="H866" s="2">
        <v>146323.41</v>
      </c>
      <c r="I866" s="13" t="s">
        <v>17</v>
      </c>
      <c r="J866" s="14" t="s">
        <v>15</v>
      </c>
      <c r="K866" s="14">
        <v>617</v>
      </c>
      <c r="L866" s="15">
        <v>45397</v>
      </c>
      <c r="M866" s="16">
        <v>7</v>
      </c>
      <c r="N8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66" s="31">
        <f>IF(Table64[[#This Row],[date validity flag]]&lt;&gt;"Valid","",Table64[[#This Row],[shipment date ]]-Table64[[#This Row],[Order date]])</f>
        <v>36</v>
      </c>
      <c r="P866" s="27" t="str">
        <f>TEXT(Table64[[#This Row],[Order date]],"mmm-yyyy")</f>
        <v>Mar-2024</v>
      </c>
      <c r="Q866" s="16" t="str">
        <f t="shared" si="13"/>
        <v>Delayed</v>
      </c>
    </row>
    <row r="867" spans="1:17" x14ac:dyDescent="0.3">
      <c r="A867" s="17">
        <v>10866</v>
      </c>
      <c r="B867" s="4">
        <v>6389</v>
      </c>
      <c r="C867" s="4" t="s">
        <v>16</v>
      </c>
      <c r="D867" s="5">
        <v>11899.01</v>
      </c>
      <c r="E867" s="4">
        <v>96</v>
      </c>
      <c r="F867" s="4" t="s">
        <v>21</v>
      </c>
      <c r="G867" s="6">
        <v>45306</v>
      </c>
      <c r="H867" s="5">
        <v>90283.13</v>
      </c>
      <c r="I867" s="18" t="s">
        <v>17</v>
      </c>
      <c r="J867" s="14" t="s">
        <v>15</v>
      </c>
      <c r="K867" s="14">
        <v>968</v>
      </c>
      <c r="L867" s="15">
        <v>45332</v>
      </c>
      <c r="M867" s="16">
        <v>10</v>
      </c>
      <c r="N8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67" s="31">
        <f>IF(Table64[[#This Row],[date validity flag]]&lt;&gt;"Valid","",Table64[[#This Row],[shipment date ]]-Table64[[#This Row],[Order date]])</f>
        <v>26</v>
      </c>
      <c r="P867" s="27" t="str">
        <f>TEXT(Table64[[#This Row],[Order date]],"mmm-yyyy")</f>
        <v>Jan-2024</v>
      </c>
      <c r="Q867" s="16" t="str">
        <f t="shared" si="13"/>
        <v>Delayed</v>
      </c>
    </row>
    <row r="868" spans="1:17" x14ac:dyDescent="0.3">
      <c r="A868" s="12">
        <v>10867</v>
      </c>
      <c r="B868" s="1">
        <v>6857</v>
      </c>
      <c r="C868" s="1" t="s">
        <v>16</v>
      </c>
      <c r="D868" s="2">
        <v>80274.73</v>
      </c>
      <c r="E868" s="1">
        <v>22</v>
      </c>
      <c r="F868" s="1" t="s">
        <v>21</v>
      </c>
      <c r="G868" s="3">
        <v>45337</v>
      </c>
      <c r="H868" s="2">
        <v>160487.62</v>
      </c>
      <c r="I868" s="13" t="s">
        <v>14</v>
      </c>
      <c r="J868" s="14" t="s">
        <v>19</v>
      </c>
      <c r="K868" s="14">
        <v>285</v>
      </c>
      <c r="L868" s="15">
        <v>45361</v>
      </c>
      <c r="M868" s="16">
        <v>3</v>
      </c>
      <c r="N8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68" s="31">
        <f>IF(Table64[[#This Row],[date validity flag]]&lt;&gt;"Valid","",Table64[[#This Row],[shipment date ]]-Table64[[#This Row],[Order date]])</f>
        <v>24</v>
      </c>
      <c r="P868" s="27" t="str">
        <f>TEXT(Table64[[#This Row],[Order date]],"mmm-yyyy")</f>
        <v>Feb-2024</v>
      </c>
      <c r="Q868" s="16" t="str">
        <f t="shared" si="13"/>
        <v>Delayed</v>
      </c>
    </row>
    <row r="869" spans="1:17" x14ac:dyDescent="0.3">
      <c r="A869" s="17">
        <v>10868</v>
      </c>
      <c r="B869" s="4">
        <v>6366</v>
      </c>
      <c r="C869" s="4" t="s">
        <v>16</v>
      </c>
      <c r="D869" s="5">
        <v>41472.43</v>
      </c>
      <c r="E869" s="4">
        <v>93</v>
      </c>
      <c r="F869" s="4" t="s">
        <v>21</v>
      </c>
      <c r="G869" s="6">
        <v>45337</v>
      </c>
      <c r="H869" s="5">
        <v>105531.99</v>
      </c>
      <c r="I869" s="18" t="s">
        <v>17</v>
      </c>
      <c r="J869" s="14" t="s">
        <v>19</v>
      </c>
      <c r="K869" s="14">
        <v>1354</v>
      </c>
      <c r="L869" s="15">
        <v>45361</v>
      </c>
      <c r="M869" s="16">
        <v>12</v>
      </c>
      <c r="N8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69" s="31">
        <f>IF(Table64[[#This Row],[date validity flag]]&lt;&gt;"Valid","",Table64[[#This Row],[shipment date ]]-Table64[[#This Row],[Order date]])</f>
        <v>24</v>
      </c>
      <c r="P869" s="27" t="str">
        <f>TEXT(Table64[[#This Row],[Order date]],"mmm-yyyy")</f>
        <v>Feb-2024</v>
      </c>
      <c r="Q869" s="16" t="str">
        <f t="shared" si="13"/>
        <v>Delayed</v>
      </c>
    </row>
    <row r="870" spans="1:17" x14ac:dyDescent="0.3">
      <c r="A870" s="12">
        <v>10869</v>
      </c>
      <c r="B870" s="1">
        <v>5500</v>
      </c>
      <c r="C870" s="1" t="s">
        <v>16</v>
      </c>
      <c r="D870" s="2">
        <v>20336.5</v>
      </c>
      <c r="E870" s="1">
        <v>86</v>
      </c>
      <c r="F870" s="1" t="s">
        <v>23</v>
      </c>
      <c r="G870" s="3">
        <v>45306</v>
      </c>
      <c r="H870" s="2">
        <v>50124.5</v>
      </c>
      <c r="I870" s="13" t="s">
        <v>17</v>
      </c>
      <c r="J870" s="14" t="s">
        <v>19</v>
      </c>
      <c r="K870" s="14">
        <v>1036</v>
      </c>
      <c r="L870" s="15">
        <v>45397</v>
      </c>
      <c r="M870" s="16">
        <v>1</v>
      </c>
      <c r="N8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0" s="31">
        <f>IF(Table64[[#This Row],[date validity flag]]&lt;&gt;"Valid","",Table64[[#This Row],[shipment date ]]-Table64[[#This Row],[Order date]])</f>
        <v>91</v>
      </c>
      <c r="P870" s="27" t="str">
        <f>TEXT(Table64[[#This Row],[Order date]],"mmm-yyyy")</f>
        <v>Jan-2024</v>
      </c>
      <c r="Q870" s="16" t="str">
        <f t="shared" si="13"/>
        <v>Delayed</v>
      </c>
    </row>
    <row r="871" spans="1:17" x14ac:dyDescent="0.3">
      <c r="A871" s="17">
        <v>10870</v>
      </c>
      <c r="B871" s="4">
        <v>6681</v>
      </c>
      <c r="C871" s="4" t="s">
        <v>16</v>
      </c>
      <c r="D871" s="5">
        <v>30016.15</v>
      </c>
      <c r="E871" s="4">
        <v>43</v>
      </c>
      <c r="F871" s="4" t="s">
        <v>13</v>
      </c>
      <c r="G871" s="6">
        <v>45361</v>
      </c>
      <c r="H871" s="5">
        <v>100251.67</v>
      </c>
      <c r="I871" s="18" t="s">
        <v>17</v>
      </c>
      <c r="J871" s="14" t="s">
        <v>18</v>
      </c>
      <c r="K871" s="14">
        <v>1235</v>
      </c>
      <c r="L871" s="15">
        <v>45397</v>
      </c>
      <c r="M871" s="16">
        <v>12</v>
      </c>
      <c r="N8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1" s="31">
        <f>IF(Table64[[#This Row],[date validity flag]]&lt;&gt;"Valid","",Table64[[#This Row],[shipment date ]]-Table64[[#This Row],[Order date]])</f>
        <v>36</v>
      </c>
      <c r="P871" s="27" t="str">
        <f>TEXT(Table64[[#This Row],[Order date]],"mmm-yyyy")</f>
        <v>Mar-2024</v>
      </c>
      <c r="Q871" s="16" t="str">
        <f t="shared" si="13"/>
        <v>Delayed</v>
      </c>
    </row>
    <row r="872" spans="1:17" x14ac:dyDescent="0.3">
      <c r="A872" s="12">
        <v>10871</v>
      </c>
      <c r="B872" s="1">
        <v>5511</v>
      </c>
      <c r="C872" s="1" t="s">
        <v>16</v>
      </c>
      <c r="D872" s="2">
        <v>15625.03</v>
      </c>
      <c r="E872" s="1">
        <v>67</v>
      </c>
      <c r="F872" s="1" t="s">
        <v>21</v>
      </c>
      <c r="G872" s="3">
        <v>45383</v>
      </c>
      <c r="H872" s="2">
        <v>48506.3</v>
      </c>
      <c r="I872" s="13" t="s">
        <v>17</v>
      </c>
      <c r="J872" s="14" t="s">
        <v>15</v>
      </c>
      <c r="K872" s="14">
        <v>1264</v>
      </c>
      <c r="L872" s="15">
        <v>45332</v>
      </c>
      <c r="M872" s="16">
        <v>3</v>
      </c>
      <c r="N87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72" s="31" t="str">
        <f>IF(Table64[[#This Row],[date validity flag]]&lt;&gt;"Valid","",Table64[[#This Row],[shipment date ]]-Table64[[#This Row],[Order date]])</f>
        <v/>
      </c>
      <c r="P872" s="27" t="str">
        <f>TEXT(Table64[[#This Row],[Order date]],"mmm-yyyy")</f>
        <v>Apr-2024</v>
      </c>
      <c r="Q872" s="16" t="str">
        <f t="shared" si="13"/>
        <v/>
      </c>
    </row>
    <row r="873" spans="1:17" x14ac:dyDescent="0.3">
      <c r="A873" s="17">
        <v>10872</v>
      </c>
      <c r="B873" s="4">
        <v>6351</v>
      </c>
      <c r="C873" s="4" t="s">
        <v>16</v>
      </c>
      <c r="D873" s="5">
        <v>89468.79</v>
      </c>
      <c r="E873" s="4">
        <v>54</v>
      </c>
      <c r="F873" s="4" t="s">
        <v>13</v>
      </c>
      <c r="G873" s="6">
        <v>45306</v>
      </c>
      <c r="H873" s="5">
        <v>111009.16</v>
      </c>
      <c r="I873" s="18" t="s">
        <v>17</v>
      </c>
      <c r="J873" s="14" t="s">
        <v>18</v>
      </c>
      <c r="K873" s="14">
        <v>1082</v>
      </c>
      <c r="L873" s="15">
        <v>45332</v>
      </c>
      <c r="M873" s="16">
        <v>5</v>
      </c>
      <c r="N8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3" s="31">
        <f>IF(Table64[[#This Row],[date validity flag]]&lt;&gt;"Valid","",Table64[[#This Row],[shipment date ]]-Table64[[#This Row],[Order date]])</f>
        <v>26</v>
      </c>
      <c r="P873" s="27" t="str">
        <f>TEXT(Table64[[#This Row],[Order date]],"mmm-yyyy")</f>
        <v>Jan-2024</v>
      </c>
      <c r="Q873" s="16" t="str">
        <f t="shared" si="13"/>
        <v>Delayed</v>
      </c>
    </row>
    <row r="874" spans="1:17" x14ac:dyDescent="0.3">
      <c r="A874" s="12">
        <v>10873</v>
      </c>
      <c r="B874" s="1">
        <v>5217</v>
      </c>
      <c r="C874" s="1" t="s">
        <v>16</v>
      </c>
      <c r="D874" s="2">
        <v>55971.37</v>
      </c>
      <c r="E874" s="1">
        <v>10</v>
      </c>
      <c r="F874" s="1" t="s">
        <v>21</v>
      </c>
      <c r="G874" s="3">
        <v>45383</v>
      </c>
      <c r="H874" s="2">
        <v>143042.35</v>
      </c>
      <c r="I874" s="13" t="s">
        <v>17</v>
      </c>
      <c r="J874" s="14" t="s">
        <v>19</v>
      </c>
      <c r="K874" s="14">
        <v>109</v>
      </c>
      <c r="L874" s="15">
        <v>45397</v>
      </c>
      <c r="M874" s="16">
        <v>7</v>
      </c>
      <c r="N8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4" s="31">
        <f>IF(Table64[[#This Row],[date validity flag]]&lt;&gt;"Valid","",Table64[[#This Row],[shipment date ]]-Table64[[#This Row],[Order date]])</f>
        <v>14</v>
      </c>
      <c r="P874" s="27" t="str">
        <f>TEXT(Table64[[#This Row],[Order date]],"mmm-yyyy")</f>
        <v>Apr-2024</v>
      </c>
      <c r="Q874" s="16" t="str">
        <f t="shared" si="13"/>
        <v>Delayed</v>
      </c>
    </row>
    <row r="875" spans="1:17" x14ac:dyDescent="0.3">
      <c r="A875" s="17">
        <v>10874</v>
      </c>
      <c r="B875" s="4">
        <v>6325</v>
      </c>
      <c r="C875" s="4" t="s">
        <v>16</v>
      </c>
      <c r="D875" s="5">
        <v>52213.93</v>
      </c>
      <c r="E875" s="4">
        <v>42</v>
      </c>
      <c r="F875" s="4" t="s">
        <v>21</v>
      </c>
      <c r="G875" s="6">
        <v>45383</v>
      </c>
      <c r="H875" s="5">
        <v>69000.429999999993</v>
      </c>
      <c r="I875" s="18" t="s">
        <v>14</v>
      </c>
      <c r="J875" s="14" t="s">
        <v>18</v>
      </c>
      <c r="K875" s="14">
        <v>942</v>
      </c>
      <c r="L875" s="15">
        <v>45397</v>
      </c>
      <c r="M875" s="16">
        <v>4</v>
      </c>
      <c r="N87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5" s="31">
        <f>IF(Table64[[#This Row],[date validity flag]]&lt;&gt;"Valid","",Table64[[#This Row],[shipment date ]]-Table64[[#This Row],[Order date]])</f>
        <v>14</v>
      </c>
      <c r="P875" s="27" t="str">
        <f>TEXT(Table64[[#This Row],[Order date]],"mmm-yyyy")</f>
        <v>Apr-2024</v>
      </c>
      <c r="Q875" s="16" t="str">
        <f t="shared" si="13"/>
        <v>Delayed</v>
      </c>
    </row>
    <row r="876" spans="1:17" x14ac:dyDescent="0.3">
      <c r="A876" s="12">
        <v>10875</v>
      </c>
      <c r="B876" s="1">
        <v>6156</v>
      </c>
      <c r="C876" s="1" t="s">
        <v>16</v>
      </c>
      <c r="D876" s="2">
        <v>9489.36</v>
      </c>
      <c r="E876" s="1">
        <v>64</v>
      </c>
      <c r="F876" s="1" t="s">
        <v>23</v>
      </c>
      <c r="G876" s="3">
        <v>45306</v>
      </c>
      <c r="H876" s="2">
        <v>83267.25</v>
      </c>
      <c r="I876" s="13" t="s">
        <v>20</v>
      </c>
      <c r="J876" s="14" t="s">
        <v>19</v>
      </c>
      <c r="K876" s="14">
        <v>274</v>
      </c>
      <c r="L876" s="15">
        <v>45361</v>
      </c>
      <c r="M876" s="16">
        <v>13</v>
      </c>
      <c r="N8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6" s="31">
        <f>IF(Table64[[#This Row],[date validity flag]]&lt;&gt;"Valid","",Table64[[#This Row],[shipment date ]]-Table64[[#This Row],[Order date]])</f>
        <v>55</v>
      </c>
      <c r="P876" s="27" t="str">
        <f>TEXT(Table64[[#This Row],[Order date]],"mmm-yyyy")</f>
        <v>Jan-2024</v>
      </c>
      <c r="Q876" s="16" t="str">
        <f t="shared" si="13"/>
        <v>Delayed</v>
      </c>
    </row>
    <row r="877" spans="1:17" x14ac:dyDescent="0.3">
      <c r="A877" s="17">
        <v>10876</v>
      </c>
      <c r="B877" s="4">
        <v>6828</v>
      </c>
      <c r="C877" s="4" t="s">
        <v>16</v>
      </c>
      <c r="D877" s="5">
        <v>38402.559999999998</v>
      </c>
      <c r="E877" s="4">
        <v>21</v>
      </c>
      <c r="F877" s="4" t="s">
        <v>22</v>
      </c>
      <c r="G877" s="6">
        <v>45361</v>
      </c>
      <c r="H877" s="5">
        <v>38897.94</v>
      </c>
      <c r="I877" s="18" t="s">
        <v>17</v>
      </c>
      <c r="J877" s="14" t="s">
        <v>18</v>
      </c>
      <c r="K877" s="14">
        <v>749</v>
      </c>
      <c r="L877" s="15">
        <v>45361</v>
      </c>
      <c r="M877" s="16">
        <v>13</v>
      </c>
      <c r="N8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7" s="31">
        <f>IF(Table64[[#This Row],[date validity flag]]&lt;&gt;"Valid","",Table64[[#This Row],[shipment date ]]-Table64[[#This Row],[Order date]])</f>
        <v>0</v>
      </c>
      <c r="P877" s="27" t="str">
        <f>TEXT(Table64[[#This Row],[Order date]],"mmm-yyyy")</f>
        <v>Mar-2024</v>
      </c>
      <c r="Q877" s="16" t="str">
        <f t="shared" si="13"/>
        <v>On Time</v>
      </c>
    </row>
    <row r="878" spans="1:17" x14ac:dyDescent="0.3">
      <c r="A878" s="12">
        <v>10877</v>
      </c>
      <c r="B878" s="1">
        <v>6094</v>
      </c>
      <c r="C878" s="1" t="s">
        <v>16</v>
      </c>
      <c r="D878" s="2">
        <v>67100.42</v>
      </c>
      <c r="E878" s="1">
        <v>80</v>
      </c>
      <c r="F878" s="1" t="s">
        <v>23</v>
      </c>
      <c r="G878" s="3">
        <v>45383</v>
      </c>
      <c r="H878" s="2">
        <v>59472.639999999999</v>
      </c>
      <c r="I878" s="13" t="s">
        <v>14</v>
      </c>
      <c r="J878" s="14" t="s">
        <v>18</v>
      </c>
      <c r="K878" s="14">
        <v>631</v>
      </c>
      <c r="L878" s="15">
        <v>45332</v>
      </c>
      <c r="M878" s="16">
        <v>11</v>
      </c>
      <c r="N87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78" s="31" t="str">
        <f>IF(Table64[[#This Row],[date validity flag]]&lt;&gt;"Valid","",Table64[[#This Row],[shipment date ]]-Table64[[#This Row],[Order date]])</f>
        <v/>
      </c>
      <c r="P878" s="27" t="str">
        <f>TEXT(Table64[[#This Row],[Order date]],"mmm-yyyy")</f>
        <v>Apr-2024</v>
      </c>
      <c r="Q878" s="16" t="str">
        <f t="shared" si="13"/>
        <v/>
      </c>
    </row>
    <row r="879" spans="1:17" x14ac:dyDescent="0.3">
      <c r="A879" s="17">
        <v>10878</v>
      </c>
      <c r="B879" s="4">
        <v>6276</v>
      </c>
      <c r="C879" s="4" t="s">
        <v>16</v>
      </c>
      <c r="D879" s="5">
        <v>64873.66</v>
      </c>
      <c r="E879" s="4">
        <v>76</v>
      </c>
      <c r="F879" s="4" t="s">
        <v>21</v>
      </c>
      <c r="G879" s="6">
        <v>45306</v>
      </c>
      <c r="H879" s="5">
        <v>128531.98</v>
      </c>
      <c r="I879" s="18" t="s">
        <v>17</v>
      </c>
      <c r="J879" s="14" t="s">
        <v>19</v>
      </c>
      <c r="K879" s="14">
        <v>1360</v>
      </c>
      <c r="L879" s="15">
        <v>45361</v>
      </c>
      <c r="M879" s="16">
        <v>11</v>
      </c>
      <c r="N8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79" s="31">
        <f>IF(Table64[[#This Row],[date validity flag]]&lt;&gt;"Valid","",Table64[[#This Row],[shipment date ]]-Table64[[#This Row],[Order date]])</f>
        <v>55</v>
      </c>
      <c r="P879" s="27" t="str">
        <f>TEXT(Table64[[#This Row],[Order date]],"mmm-yyyy")</f>
        <v>Jan-2024</v>
      </c>
      <c r="Q879" s="16" t="str">
        <f t="shared" si="13"/>
        <v>Delayed</v>
      </c>
    </row>
    <row r="880" spans="1:17" x14ac:dyDescent="0.3">
      <c r="A880" s="12">
        <v>10879</v>
      </c>
      <c r="B880" s="1">
        <v>6439</v>
      </c>
      <c r="C880" s="1" t="s">
        <v>16</v>
      </c>
      <c r="D880" s="2">
        <v>42664.19</v>
      </c>
      <c r="E880" s="1">
        <v>66</v>
      </c>
      <c r="F880" s="1" t="s">
        <v>21</v>
      </c>
      <c r="G880" s="3">
        <v>45337</v>
      </c>
      <c r="H880" s="2">
        <v>158062.49</v>
      </c>
      <c r="I880" s="13" t="s">
        <v>17</v>
      </c>
      <c r="J880" s="14" t="s">
        <v>18</v>
      </c>
      <c r="K880" s="14">
        <v>1043</v>
      </c>
      <c r="L880" s="15">
        <v>45332</v>
      </c>
      <c r="M880" s="16">
        <v>1</v>
      </c>
      <c r="N88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80" s="31" t="str">
        <f>IF(Table64[[#This Row],[date validity flag]]&lt;&gt;"Valid","",Table64[[#This Row],[shipment date ]]-Table64[[#This Row],[Order date]])</f>
        <v/>
      </c>
      <c r="P880" s="27" t="str">
        <f>TEXT(Table64[[#This Row],[Order date]],"mmm-yyyy")</f>
        <v>Feb-2024</v>
      </c>
      <c r="Q880" s="16" t="str">
        <f t="shared" si="13"/>
        <v/>
      </c>
    </row>
    <row r="881" spans="1:17" x14ac:dyDescent="0.3">
      <c r="A881" s="17">
        <v>10880</v>
      </c>
      <c r="B881" s="4">
        <v>6811</v>
      </c>
      <c r="C881" s="4" t="s">
        <v>16</v>
      </c>
      <c r="D881" s="5">
        <v>79261.95</v>
      </c>
      <c r="E881" s="4">
        <v>41</v>
      </c>
      <c r="F881" s="4" t="s">
        <v>22</v>
      </c>
      <c r="G881" s="6">
        <v>45337</v>
      </c>
      <c r="H881" s="5">
        <v>137138.44</v>
      </c>
      <c r="I881" s="18" t="s">
        <v>17</v>
      </c>
      <c r="J881" s="14" t="s">
        <v>15</v>
      </c>
      <c r="K881" s="14">
        <v>218</v>
      </c>
      <c r="L881" s="15">
        <v>45332</v>
      </c>
      <c r="M881" s="16">
        <v>6</v>
      </c>
      <c r="N88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81" s="31" t="str">
        <f>IF(Table64[[#This Row],[date validity flag]]&lt;&gt;"Valid","",Table64[[#This Row],[shipment date ]]-Table64[[#This Row],[Order date]])</f>
        <v/>
      </c>
      <c r="P881" s="27" t="str">
        <f>TEXT(Table64[[#This Row],[Order date]],"mmm-yyyy")</f>
        <v>Feb-2024</v>
      </c>
      <c r="Q881" s="16" t="str">
        <f t="shared" si="13"/>
        <v/>
      </c>
    </row>
    <row r="882" spans="1:17" x14ac:dyDescent="0.3">
      <c r="A882" s="12">
        <v>10881</v>
      </c>
      <c r="B882" s="1">
        <v>5445</v>
      </c>
      <c r="C882" s="1" t="s">
        <v>16</v>
      </c>
      <c r="D882" s="2">
        <v>23357.22</v>
      </c>
      <c r="E882" s="1">
        <v>24</v>
      </c>
      <c r="F882" s="1" t="s">
        <v>13</v>
      </c>
      <c r="G882" s="3">
        <v>45337</v>
      </c>
      <c r="H882" s="2">
        <v>134956.9</v>
      </c>
      <c r="I882" s="13" t="s">
        <v>17</v>
      </c>
      <c r="J882" s="14" t="s">
        <v>18</v>
      </c>
      <c r="K882" s="14">
        <v>1135</v>
      </c>
      <c r="L882" s="15">
        <v>45332</v>
      </c>
      <c r="M882" s="16">
        <v>2</v>
      </c>
      <c r="N88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82" s="31" t="str">
        <f>IF(Table64[[#This Row],[date validity flag]]&lt;&gt;"Valid","",Table64[[#This Row],[shipment date ]]-Table64[[#This Row],[Order date]])</f>
        <v/>
      </c>
      <c r="P882" s="27" t="str">
        <f>TEXT(Table64[[#This Row],[Order date]],"mmm-yyyy")</f>
        <v>Feb-2024</v>
      </c>
      <c r="Q882" s="16" t="str">
        <f t="shared" si="13"/>
        <v/>
      </c>
    </row>
    <row r="883" spans="1:17" x14ac:dyDescent="0.3">
      <c r="A883" s="17">
        <v>10882</v>
      </c>
      <c r="B883" s="4">
        <v>5876</v>
      </c>
      <c r="C883" s="4" t="s">
        <v>12</v>
      </c>
      <c r="D883" s="5">
        <v>51286.52</v>
      </c>
      <c r="E883" s="4">
        <v>35</v>
      </c>
      <c r="F883" s="4" t="s">
        <v>13</v>
      </c>
      <c r="G883" s="6">
        <v>45306</v>
      </c>
      <c r="H883" s="5">
        <v>127825.94</v>
      </c>
      <c r="I883" s="18" t="s">
        <v>17</v>
      </c>
      <c r="J883" s="14" t="s">
        <v>18</v>
      </c>
      <c r="K883" s="14">
        <v>1422</v>
      </c>
      <c r="L883" s="15">
        <v>45361</v>
      </c>
      <c r="M883" s="16">
        <v>12</v>
      </c>
      <c r="N8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83" s="31">
        <f>IF(Table64[[#This Row],[date validity flag]]&lt;&gt;"Valid","",Table64[[#This Row],[shipment date ]]-Table64[[#This Row],[Order date]])</f>
        <v>55</v>
      </c>
      <c r="P883" s="27" t="str">
        <f>TEXT(Table64[[#This Row],[Order date]],"mmm-yyyy")</f>
        <v>Jan-2024</v>
      </c>
      <c r="Q883" s="16" t="str">
        <f t="shared" si="13"/>
        <v>Delayed</v>
      </c>
    </row>
    <row r="884" spans="1:17" x14ac:dyDescent="0.3">
      <c r="A884" s="12">
        <v>10883</v>
      </c>
      <c r="B884" s="1">
        <v>6206</v>
      </c>
      <c r="C884" s="1" t="s">
        <v>12</v>
      </c>
      <c r="D884" s="2">
        <v>44608.53</v>
      </c>
      <c r="E884" s="1">
        <v>56</v>
      </c>
      <c r="F884" s="1" t="s">
        <v>21</v>
      </c>
      <c r="G884" s="3">
        <v>45337</v>
      </c>
      <c r="H884" s="2">
        <v>42249.36</v>
      </c>
      <c r="I884" s="13" t="s">
        <v>14</v>
      </c>
      <c r="J884" s="14" t="s">
        <v>15</v>
      </c>
      <c r="K884" s="14">
        <v>63</v>
      </c>
      <c r="L884" s="15">
        <v>45397</v>
      </c>
      <c r="M884" s="16">
        <v>3</v>
      </c>
      <c r="N8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84" s="31">
        <f>IF(Table64[[#This Row],[date validity flag]]&lt;&gt;"Valid","",Table64[[#This Row],[shipment date ]]-Table64[[#This Row],[Order date]])</f>
        <v>60</v>
      </c>
      <c r="P884" s="27" t="str">
        <f>TEXT(Table64[[#This Row],[Order date]],"mmm-yyyy")</f>
        <v>Feb-2024</v>
      </c>
      <c r="Q884" s="16" t="str">
        <f t="shared" si="13"/>
        <v>Delayed</v>
      </c>
    </row>
    <row r="885" spans="1:17" x14ac:dyDescent="0.3">
      <c r="A885" s="17">
        <v>10884</v>
      </c>
      <c r="B885" s="4">
        <v>5167</v>
      </c>
      <c r="C885" s="4" t="s">
        <v>16</v>
      </c>
      <c r="D885" s="5">
        <v>51662.13</v>
      </c>
      <c r="E885" s="4">
        <v>30</v>
      </c>
      <c r="F885" s="4" t="s">
        <v>13</v>
      </c>
      <c r="G885" s="6">
        <v>45383</v>
      </c>
      <c r="H885" s="5">
        <v>122616.91</v>
      </c>
      <c r="I885" s="18" t="s">
        <v>20</v>
      </c>
      <c r="J885" s="14" t="s">
        <v>19</v>
      </c>
      <c r="K885" s="14">
        <v>213</v>
      </c>
      <c r="L885" s="15">
        <v>45397</v>
      </c>
      <c r="M885" s="16">
        <v>4</v>
      </c>
      <c r="N8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85" s="31">
        <f>IF(Table64[[#This Row],[date validity flag]]&lt;&gt;"Valid","",Table64[[#This Row],[shipment date ]]-Table64[[#This Row],[Order date]])</f>
        <v>14</v>
      </c>
      <c r="P885" s="27" t="str">
        <f>TEXT(Table64[[#This Row],[Order date]],"mmm-yyyy")</f>
        <v>Apr-2024</v>
      </c>
      <c r="Q885" s="16" t="str">
        <f t="shared" si="13"/>
        <v>Delayed</v>
      </c>
    </row>
    <row r="886" spans="1:17" x14ac:dyDescent="0.3">
      <c r="A886" s="12">
        <v>10885</v>
      </c>
      <c r="B886" s="1">
        <v>5091</v>
      </c>
      <c r="C886" s="1" t="s">
        <v>16</v>
      </c>
      <c r="D886" s="2">
        <v>63879.97</v>
      </c>
      <c r="E886" s="1">
        <v>57</v>
      </c>
      <c r="F886" s="1" t="s">
        <v>21</v>
      </c>
      <c r="G886" s="3">
        <v>45337</v>
      </c>
      <c r="H886" s="2">
        <v>74744.23</v>
      </c>
      <c r="I886" s="13" t="s">
        <v>20</v>
      </c>
      <c r="J886" s="14" t="s">
        <v>15</v>
      </c>
      <c r="K886" s="14">
        <v>1493</v>
      </c>
      <c r="L886" s="15">
        <v>45361</v>
      </c>
      <c r="M886" s="16">
        <v>6</v>
      </c>
      <c r="N88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86" s="31">
        <f>IF(Table64[[#This Row],[date validity flag]]&lt;&gt;"Valid","",Table64[[#This Row],[shipment date ]]-Table64[[#This Row],[Order date]])</f>
        <v>24</v>
      </c>
      <c r="P886" s="27" t="str">
        <f>TEXT(Table64[[#This Row],[Order date]],"mmm-yyyy")</f>
        <v>Feb-2024</v>
      </c>
      <c r="Q886" s="16" t="str">
        <f t="shared" si="13"/>
        <v>Delayed</v>
      </c>
    </row>
    <row r="887" spans="1:17" x14ac:dyDescent="0.3">
      <c r="A887" s="17">
        <v>10886</v>
      </c>
      <c r="B887" s="4">
        <v>5714</v>
      </c>
      <c r="C887" s="4" t="s">
        <v>16</v>
      </c>
      <c r="D887" s="5">
        <v>9993.19</v>
      </c>
      <c r="E887" s="4">
        <v>94</v>
      </c>
      <c r="F887" s="4" t="s">
        <v>22</v>
      </c>
      <c r="G887" s="6">
        <v>45337</v>
      </c>
      <c r="H887" s="5">
        <v>84932.77</v>
      </c>
      <c r="I887" s="18" t="s">
        <v>14</v>
      </c>
      <c r="J887" s="14" t="s">
        <v>18</v>
      </c>
      <c r="K887" s="14">
        <v>806</v>
      </c>
      <c r="L887" s="15">
        <v>45397</v>
      </c>
      <c r="M887" s="16">
        <v>6</v>
      </c>
      <c r="N8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87" s="31">
        <f>IF(Table64[[#This Row],[date validity flag]]&lt;&gt;"Valid","",Table64[[#This Row],[shipment date ]]-Table64[[#This Row],[Order date]])</f>
        <v>60</v>
      </c>
      <c r="P887" s="27" t="str">
        <f>TEXT(Table64[[#This Row],[Order date]],"mmm-yyyy")</f>
        <v>Feb-2024</v>
      </c>
      <c r="Q887" s="16" t="str">
        <f t="shared" si="13"/>
        <v>Delayed</v>
      </c>
    </row>
    <row r="888" spans="1:17" x14ac:dyDescent="0.3">
      <c r="A888" s="12">
        <v>10887</v>
      </c>
      <c r="B888" s="1">
        <v>6882</v>
      </c>
      <c r="C888" s="1" t="s">
        <v>16</v>
      </c>
      <c r="D888" s="2">
        <v>51143.07</v>
      </c>
      <c r="E888" s="1">
        <v>47</v>
      </c>
      <c r="F888" s="1" t="s">
        <v>22</v>
      </c>
      <c r="G888" s="3">
        <v>45383</v>
      </c>
      <c r="H888" s="2">
        <v>86263.07</v>
      </c>
      <c r="I888" s="13" t="s">
        <v>17</v>
      </c>
      <c r="J888" s="14" t="s">
        <v>19</v>
      </c>
      <c r="K888" s="14">
        <v>1101</v>
      </c>
      <c r="L888" s="15">
        <v>45332</v>
      </c>
      <c r="M888" s="16">
        <v>7</v>
      </c>
      <c r="N88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88" s="31" t="str">
        <f>IF(Table64[[#This Row],[date validity flag]]&lt;&gt;"Valid","",Table64[[#This Row],[shipment date ]]-Table64[[#This Row],[Order date]])</f>
        <v/>
      </c>
      <c r="P888" s="27" t="str">
        <f>TEXT(Table64[[#This Row],[Order date]],"mmm-yyyy")</f>
        <v>Apr-2024</v>
      </c>
      <c r="Q888" s="16" t="str">
        <f t="shared" si="13"/>
        <v/>
      </c>
    </row>
    <row r="889" spans="1:17" x14ac:dyDescent="0.3">
      <c r="A889" s="17">
        <v>10888</v>
      </c>
      <c r="B889" s="4">
        <v>6555</v>
      </c>
      <c r="C889" s="4" t="s">
        <v>16</v>
      </c>
      <c r="D889" s="5">
        <v>29827.25</v>
      </c>
      <c r="E889" s="4">
        <v>35</v>
      </c>
      <c r="F889" s="4" t="s">
        <v>21</v>
      </c>
      <c r="G889" s="6">
        <v>45337</v>
      </c>
      <c r="H889" s="5">
        <v>94262.73</v>
      </c>
      <c r="I889" s="18" t="s">
        <v>14</v>
      </c>
      <c r="J889" s="14" t="s">
        <v>18</v>
      </c>
      <c r="K889" s="14">
        <v>495</v>
      </c>
      <c r="L889" s="15">
        <v>45397</v>
      </c>
      <c r="M889" s="16">
        <v>5</v>
      </c>
      <c r="N8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89" s="31">
        <f>IF(Table64[[#This Row],[date validity flag]]&lt;&gt;"Valid","",Table64[[#This Row],[shipment date ]]-Table64[[#This Row],[Order date]])</f>
        <v>60</v>
      </c>
      <c r="P889" s="27" t="str">
        <f>TEXT(Table64[[#This Row],[Order date]],"mmm-yyyy")</f>
        <v>Feb-2024</v>
      </c>
      <c r="Q889" s="16" t="str">
        <f t="shared" si="13"/>
        <v>Delayed</v>
      </c>
    </row>
    <row r="890" spans="1:17" x14ac:dyDescent="0.3">
      <c r="A890" s="12">
        <v>10889</v>
      </c>
      <c r="B890" s="1">
        <v>5039</v>
      </c>
      <c r="C890" s="1" t="s">
        <v>16</v>
      </c>
      <c r="D890" s="2">
        <v>20912.96</v>
      </c>
      <c r="E890" s="1">
        <v>19</v>
      </c>
      <c r="F890" s="1" t="s">
        <v>22</v>
      </c>
      <c r="G890" s="3">
        <v>45383</v>
      </c>
      <c r="H890" s="2">
        <v>50317.66</v>
      </c>
      <c r="I890" s="13" t="s">
        <v>17</v>
      </c>
      <c r="J890" s="14" t="s">
        <v>18</v>
      </c>
      <c r="K890" s="14">
        <v>1281</v>
      </c>
      <c r="L890" s="15">
        <v>45361</v>
      </c>
      <c r="M890" s="16">
        <v>7</v>
      </c>
      <c r="N89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90" s="31" t="str">
        <f>IF(Table64[[#This Row],[date validity flag]]&lt;&gt;"Valid","",Table64[[#This Row],[shipment date ]]-Table64[[#This Row],[Order date]])</f>
        <v/>
      </c>
      <c r="P890" s="27" t="str">
        <f>TEXT(Table64[[#This Row],[Order date]],"mmm-yyyy")</f>
        <v>Apr-2024</v>
      </c>
      <c r="Q890" s="16" t="str">
        <f t="shared" si="13"/>
        <v/>
      </c>
    </row>
    <row r="891" spans="1:17" x14ac:dyDescent="0.3">
      <c r="A891" s="17">
        <v>10890</v>
      </c>
      <c r="B891" s="4">
        <v>6150</v>
      </c>
      <c r="C891" s="4" t="s">
        <v>16</v>
      </c>
      <c r="D891" s="5">
        <v>26801.7</v>
      </c>
      <c r="E891" s="4">
        <v>8</v>
      </c>
      <c r="F891" s="4" t="s">
        <v>23</v>
      </c>
      <c r="G891" s="6">
        <v>45337</v>
      </c>
      <c r="H891" s="5">
        <v>62440.69</v>
      </c>
      <c r="I891" s="18" t="s">
        <v>14</v>
      </c>
      <c r="J891" s="14" t="s">
        <v>15</v>
      </c>
      <c r="K891" s="14">
        <v>765</v>
      </c>
      <c r="L891" s="15">
        <v>45397</v>
      </c>
      <c r="M891" s="16">
        <v>2</v>
      </c>
      <c r="N8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91" s="31">
        <f>IF(Table64[[#This Row],[date validity flag]]&lt;&gt;"Valid","",Table64[[#This Row],[shipment date ]]-Table64[[#This Row],[Order date]])</f>
        <v>60</v>
      </c>
      <c r="P891" s="27" t="str">
        <f>TEXT(Table64[[#This Row],[Order date]],"mmm-yyyy")</f>
        <v>Feb-2024</v>
      </c>
      <c r="Q891" s="16" t="str">
        <f t="shared" si="13"/>
        <v>Delayed</v>
      </c>
    </row>
    <row r="892" spans="1:17" x14ac:dyDescent="0.3">
      <c r="A892" s="12">
        <v>10891</v>
      </c>
      <c r="B892" s="1">
        <v>6475</v>
      </c>
      <c r="C892" s="1" t="s">
        <v>16</v>
      </c>
      <c r="D892" s="2">
        <v>74033.2</v>
      </c>
      <c r="E892" s="1">
        <v>26</v>
      </c>
      <c r="F892" s="1" t="s">
        <v>23</v>
      </c>
      <c r="G892" s="3">
        <v>45383</v>
      </c>
      <c r="H892" s="2">
        <v>37144.980000000003</v>
      </c>
      <c r="I892" s="13" t="s">
        <v>14</v>
      </c>
      <c r="J892" s="14" t="s">
        <v>15</v>
      </c>
      <c r="K892" s="14">
        <v>1025</v>
      </c>
      <c r="L892" s="15">
        <v>45332</v>
      </c>
      <c r="M892" s="16">
        <v>1</v>
      </c>
      <c r="N89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92" s="31" t="str">
        <f>IF(Table64[[#This Row],[date validity flag]]&lt;&gt;"Valid","",Table64[[#This Row],[shipment date ]]-Table64[[#This Row],[Order date]])</f>
        <v/>
      </c>
      <c r="P892" s="27" t="str">
        <f>TEXT(Table64[[#This Row],[Order date]],"mmm-yyyy")</f>
        <v>Apr-2024</v>
      </c>
      <c r="Q892" s="16" t="str">
        <f t="shared" si="13"/>
        <v/>
      </c>
    </row>
    <row r="893" spans="1:17" x14ac:dyDescent="0.3">
      <c r="A893" s="17">
        <v>10892</v>
      </c>
      <c r="B893" s="4">
        <v>5173</v>
      </c>
      <c r="C893" s="4" t="s">
        <v>16</v>
      </c>
      <c r="D893" s="5">
        <v>58575.51</v>
      </c>
      <c r="E893" s="4">
        <v>71</v>
      </c>
      <c r="F893" s="4" t="s">
        <v>22</v>
      </c>
      <c r="G893" s="6">
        <v>45337</v>
      </c>
      <c r="H893" s="5">
        <v>35284.75</v>
      </c>
      <c r="I893" s="18" t="s">
        <v>14</v>
      </c>
      <c r="J893" s="14" t="s">
        <v>19</v>
      </c>
      <c r="K893" s="14">
        <v>868</v>
      </c>
      <c r="L893" s="15">
        <v>45332</v>
      </c>
      <c r="M893" s="16">
        <v>12</v>
      </c>
      <c r="N89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93" s="31" t="str">
        <f>IF(Table64[[#This Row],[date validity flag]]&lt;&gt;"Valid","",Table64[[#This Row],[shipment date ]]-Table64[[#This Row],[Order date]])</f>
        <v/>
      </c>
      <c r="P893" s="27" t="str">
        <f>TEXT(Table64[[#This Row],[Order date]],"mmm-yyyy")</f>
        <v>Feb-2024</v>
      </c>
      <c r="Q893" s="16" t="str">
        <f t="shared" si="13"/>
        <v/>
      </c>
    </row>
    <row r="894" spans="1:17" x14ac:dyDescent="0.3">
      <c r="A894" s="12">
        <v>10893</v>
      </c>
      <c r="B894" s="1">
        <v>5653</v>
      </c>
      <c r="C894" s="1" t="s">
        <v>12</v>
      </c>
      <c r="D894" s="2">
        <v>44659.21</v>
      </c>
      <c r="E894" s="1">
        <v>30</v>
      </c>
      <c r="F894" s="1" t="s">
        <v>21</v>
      </c>
      <c r="G894" s="3">
        <v>45383</v>
      </c>
      <c r="H894" s="2">
        <v>138050.56</v>
      </c>
      <c r="I894" s="13" t="s">
        <v>20</v>
      </c>
      <c r="J894" s="14" t="s">
        <v>19</v>
      </c>
      <c r="K894" s="14">
        <v>153</v>
      </c>
      <c r="L894" s="15">
        <v>45361</v>
      </c>
      <c r="M894" s="16">
        <v>10</v>
      </c>
      <c r="N89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94" s="31" t="str">
        <f>IF(Table64[[#This Row],[date validity flag]]&lt;&gt;"Valid","",Table64[[#This Row],[shipment date ]]-Table64[[#This Row],[Order date]])</f>
        <v/>
      </c>
      <c r="P894" s="27" t="str">
        <f>TEXT(Table64[[#This Row],[Order date]],"mmm-yyyy")</f>
        <v>Apr-2024</v>
      </c>
      <c r="Q894" s="16" t="str">
        <f t="shared" si="13"/>
        <v/>
      </c>
    </row>
    <row r="895" spans="1:17" x14ac:dyDescent="0.3">
      <c r="A895" s="17">
        <v>10894</v>
      </c>
      <c r="B895" s="4">
        <v>5754</v>
      </c>
      <c r="C895" s="4" t="s">
        <v>16</v>
      </c>
      <c r="D895" s="5">
        <v>97856.09</v>
      </c>
      <c r="E895" s="4">
        <v>7</v>
      </c>
      <c r="F895" s="4" t="s">
        <v>21</v>
      </c>
      <c r="G895" s="6">
        <v>45306</v>
      </c>
      <c r="H895" s="5">
        <v>116472.02</v>
      </c>
      <c r="I895" s="18" t="s">
        <v>17</v>
      </c>
      <c r="J895" s="14" t="s">
        <v>19</v>
      </c>
      <c r="K895" s="14">
        <v>791</v>
      </c>
      <c r="L895" s="15">
        <v>45361</v>
      </c>
      <c r="M895" s="16">
        <v>8</v>
      </c>
      <c r="N8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95" s="31">
        <f>IF(Table64[[#This Row],[date validity flag]]&lt;&gt;"Valid","",Table64[[#This Row],[shipment date ]]-Table64[[#This Row],[Order date]])</f>
        <v>55</v>
      </c>
      <c r="P895" s="27" t="str">
        <f>TEXT(Table64[[#This Row],[Order date]],"mmm-yyyy")</f>
        <v>Jan-2024</v>
      </c>
      <c r="Q895" s="16" t="str">
        <f t="shared" si="13"/>
        <v>Delayed</v>
      </c>
    </row>
    <row r="896" spans="1:17" x14ac:dyDescent="0.3">
      <c r="A896" s="12">
        <v>10895</v>
      </c>
      <c r="B896" s="1">
        <v>6244</v>
      </c>
      <c r="C896" s="1" t="s">
        <v>12</v>
      </c>
      <c r="D896" s="2">
        <v>57398.98</v>
      </c>
      <c r="E896" s="1">
        <v>67</v>
      </c>
      <c r="F896" s="1" t="s">
        <v>22</v>
      </c>
      <c r="G896" s="3">
        <v>45383</v>
      </c>
      <c r="H896" s="2">
        <v>114197.25</v>
      </c>
      <c r="I896" s="13" t="s">
        <v>14</v>
      </c>
      <c r="J896" s="14" t="s">
        <v>18</v>
      </c>
      <c r="K896" s="14">
        <v>475</v>
      </c>
      <c r="L896" s="15">
        <v>45361</v>
      </c>
      <c r="M896" s="16">
        <v>1</v>
      </c>
      <c r="N89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96" s="31" t="str">
        <f>IF(Table64[[#This Row],[date validity flag]]&lt;&gt;"Valid","",Table64[[#This Row],[shipment date ]]-Table64[[#This Row],[Order date]])</f>
        <v/>
      </c>
      <c r="P896" s="27" t="str">
        <f>TEXT(Table64[[#This Row],[Order date]],"mmm-yyyy")</f>
        <v>Apr-2024</v>
      </c>
      <c r="Q896" s="16" t="str">
        <f t="shared" si="13"/>
        <v/>
      </c>
    </row>
    <row r="897" spans="1:17" x14ac:dyDescent="0.3">
      <c r="A897" s="17">
        <v>10896</v>
      </c>
      <c r="B897" s="4">
        <v>6662</v>
      </c>
      <c r="C897" s="4" t="s">
        <v>12</v>
      </c>
      <c r="D897" s="5">
        <v>11671.86</v>
      </c>
      <c r="E897" s="4">
        <v>65</v>
      </c>
      <c r="F897" s="4" t="s">
        <v>13</v>
      </c>
      <c r="G897" s="6">
        <v>45337</v>
      </c>
      <c r="H897" s="5">
        <v>110276.28</v>
      </c>
      <c r="I897" s="18" t="s">
        <v>20</v>
      </c>
      <c r="J897" s="14" t="s">
        <v>15</v>
      </c>
      <c r="K897" s="14">
        <v>1174</v>
      </c>
      <c r="L897" s="15">
        <v>45332</v>
      </c>
      <c r="M897" s="16">
        <v>12</v>
      </c>
      <c r="N89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897" s="31" t="str">
        <f>IF(Table64[[#This Row],[date validity flag]]&lt;&gt;"Valid","",Table64[[#This Row],[shipment date ]]-Table64[[#This Row],[Order date]])</f>
        <v/>
      </c>
      <c r="P897" s="27" t="str">
        <f>TEXT(Table64[[#This Row],[Order date]],"mmm-yyyy")</f>
        <v>Feb-2024</v>
      </c>
      <c r="Q897" s="16" t="str">
        <f t="shared" si="13"/>
        <v/>
      </c>
    </row>
    <row r="898" spans="1:17" x14ac:dyDescent="0.3">
      <c r="A898" s="12">
        <v>10897</v>
      </c>
      <c r="B898" s="1">
        <v>6082</v>
      </c>
      <c r="C898" s="1" t="s">
        <v>16</v>
      </c>
      <c r="D898" s="2">
        <v>71976.34</v>
      </c>
      <c r="E898" s="1">
        <v>36</v>
      </c>
      <c r="F898" s="1" t="s">
        <v>23</v>
      </c>
      <c r="G898" s="3">
        <v>45337</v>
      </c>
      <c r="H898" s="2">
        <v>171587.76</v>
      </c>
      <c r="I898" s="13" t="s">
        <v>17</v>
      </c>
      <c r="J898" s="14" t="s">
        <v>15</v>
      </c>
      <c r="K898" s="14">
        <v>688</v>
      </c>
      <c r="L898" s="15">
        <v>45397</v>
      </c>
      <c r="M898" s="16">
        <v>2</v>
      </c>
      <c r="N8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98" s="31">
        <f>IF(Table64[[#This Row],[date validity flag]]&lt;&gt;"Valid","",Table64[[#This Row],[shipment date ]]-Table64[[#This Row],[Order date]])</f>
        <v>60</v>
      </c>
      <c r="P898" s="27" t="str">
        <f>TEXT(Table64[[#This Row],[Order date]],"mmm-yyyy")</f>
        <v>Feb-2024</v>
      </c>
      <c r="Q898" s="16" t="str">
        <f t="shared" ref="Q898:Q961" si="14">IF(O898="","",IF(O898&gt;0,"Delayed","On Time"))</f>
        <v>Delayed</v>
      </c>
    </row>
    <row r="899" spans="1:17" x14ac:dyDescent="0.3">
      <c r="A899" s="17">
        <v>10898</v>
      </c>
      <c r="B899" s="4">
        <v>6684</v>
      </c>
      <c r="C899" s="4" t="s">
        <v>16</v>
      </c>
      <c r="D899" s="5">
        <v>39883.97</v>
      </c>
      <c r="E899" s="4">
        <v>25</v>
      </c>
      <c r="F899" s="4" t="s">
        <v>13</v>
      </c>
      <c r="G899" s="6">
        <v>45361</v>
      </c>
      <c r="H899" s="5">
        <v>89680.84</v>
      </c>
      <c r="I899" s="18" t="s">
        <v>17</v>
      </c>
      <c r="J899" s="14" t="s">
        <v>15</v>
      </c>
      <c r="K899" s="14">
        <v>899</v>
      </c>
      <c r="L899" s="15">
        <v>45397</v>
      </c>
      <c r="M899" s="16">
        <v>11</v>
      </c>
      <c r="N8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899" s="31">
        <f>IF(Table64[[#This Row],[date validity flag]]&lt;&gt;"Valid","",Table64[[#This Row],[shipment date ]]-Table64[[#This Row],[Order date]])</f>
        <v>36</v>
      </c>
      <c r="P899" s="27" t="str">
        <f>TEXT(Table64[[#This Row],[Order date]],"mmm-yyyy")</f>
        <v>Mar-2024</v>
      </c>
      <c r="Q899" s="16" t="str">
        <f t="shared" si="14"/>
        <v>Delayed</v>
      </c>
    </row>
    <row r="900" spans="1:17" x14ac:dyDescent="0.3">
      <c r="A900" s="12">
        <v>10899</v>
      </c>
      <c r="B900" s="1">
        <v>5476</v>
      </c>
      <c r="C900" s="1" t="s">
        <v>16</v>
      </c>
      <c r="D900" s="2">
        <v>70216.19</v>
      </c>
      <c r="E900" s="1">
        <v>37</v>
      </c>
      <c r="F900" s="1" t="s">
        <v>21</v>
      </c>
      <c r="G900" s="3">
        <v>45383</v>
      </c>
      <c r="H900" s="2">
        <v>85519.1</v>
      </c>
      <c r="I900" s="13" t="s">
        <v>14</v>
      </c>
      <c r="J900" s="14" t="s">
        <v>19</v>
      </c>
      <c r="K900" s="14">
        <v>1179</v>
      </c>
      <c r="L900" s="15">
        <v>45361</v>
      </c>
      <c r="M900" s="16">
        <v>12</v>
      </c>
      <c r="N90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00" s="31" t="str">
        <f>IF(Table64[[#This Row],[date validity flag]]&lt;&gt;"Valid","",Table64[[#This Row],[shipment date ]]-Table64[[#This Row],[Order date]])</f>
        <v/>
      </c>
      <c r="P900" s="27" t="str">
        <f>TEXT(Table64[[#This Row],[Order date]],"mmm-yyyy")</f>
        <v>Apr-2024</v>
      </c>
      <c r="Q900" s="16" t="str">
        <f t="shared" si="14"/>
        <v/>
      </c>
    </row>
    <row r="901" spans="1:17" x14ac:dyDescent="0.3">
      <c r="A901" s="17">
        <v>10900</v>
      </c>
      <c r="B901" s="4">
        <v>5456</v>
      </c>
      <c r="C901" s="4" t="s">
        <v>16</v>
      </c>
      <c r="D901" s="5">
        <v>80056.160000000003</v>
      </c>
      <c r="E901" s="4">
        <v>1</v>
      </c>
      <c r="F901" s="4" t="s">
        <v>21</v>
      </c>
      <c r="G901" s="6">
        <v>45306</v>
      </c>
      <c r="H901" s="5">
        <v>73955.009999999995</v>
      </c>
      <c r="I901" s="18" t="s">
        <v>17</v>
      </c>
      <c r="J901" s="14" t="s">
        <v>15</v>
      </c>
      <c r="K901" s="14">
        <v>818</v>
      </c>
      <c r="L901" s="15">
        <v>45397</v>
      </c>
      <c r="M901" s="16">
        <v>10</v>
      </c>
      <c r="N9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01" s="31">
        <f>IF(Table64[[#This Row],[date validity flag]]&lt;&gt;"Valid","",Table64[[#This Row],[shipment date ]]-Table64[[#This Row],[Order date]])</f>
        <v>91</v>
      </c>
      <c r="P901" s="27" t="str">
        <f>TEXT(Table64[[#This Row],[Order date]],"mmm-yyyy")</f>
        <v>Jan-2024</v>
      </c>
      <c r="Q901" s="16" t="str">
        <f t="shared" si="14"/>
        <v>Delayed</v>
      </c>
    </row>
    <row r="902" spans="1:17" x14ac:dyDescent="0.3">
      <c r="A902" s="12">
        <v>10901</v>
      </c>
      <c r="B902" s="1">
        <v>5829</v>
      </c>
      <c r="C902" s="1" t="s">
        <v>12</v>
      </c>
      <c r="D902" s="2">
        <v>47882.36</v>
      </c>
      <c r="E902" s="1">
        <v>15</v>
      </c>
      <c r="F902" s="1" t="s">
        <v>13</v>
      </c>
      <c r="G902" s="3">
        <v>45383</v>
      </c>
      <c r="H902" s="2">
        <v>102504.45</v>
      </c>
      <c r="I902" s="13" t="s">
        <v>17</v>
      </c>
      <c r="J902" s="14" t="s">
        <v>15</v>
      </c>
      <c r="K902" s="14">
        <v>326</v>
      </c>
      <c r="L902" s="15">
        <v>45397</v>
      </c>
      <c r="M902" s="16">
        <v>6</v>
      </c>
      <c r="N9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02" s="31">
        <f>IF(Table64[[#This Row],[date validity flag]]&lt;&gt;"Valid","",Table64[[#This Row],[shipment date ]]-Table64[[#This Row],[Order date]])</f>
        <v>14</v>
      </c>
      <c r="P902" s="27" t="str">
        <f>TEXT(Table64[[#This Row],[Order date]],"mmm-yyyy")</f>
        <v>Apr-2024</v>
      </c>
      <c r="Q902" s="16" t="str">
        <f t="shared" si="14"/>
        <v>Delayed</v>
      </c>
    </row>
    <row r="903" spans="1:17" x14ac:dyDescent="0.3">
      <c r="A903" s="17">
        <v>10902</v>
      </c>
      <c r="B903" s="4">
        <v>5895</v>
      </c>
      <c r="C903" s="4" t="s">
        <v>16</v>
      </c>
      <c r="D903" s="5">
        <v>77569.83</v>
      </c>
      <c r="E903" s="4">
        <v>37</v>
      </c>
      <c r="F903" s="4" t="s">
        <v>22</v>
      </c>
      <c r="G903" s="6">
        <v>45383</v>
      </c>
      <c r="H903" s="5">
        <v>155183.42000000001</v>
      </c>
      <c r="I903" s="18" t="s">
        <v>17</v>
      </c>
      <c r="J903" s="14" t="s">
        <v>15</v>
      </c>
      <c r="K903" s="14">
        <v>1138</v>
      </c>
      <c r="L903" s="15">
        <v>45361</v>
      </c>
      <c r="M903" s="16">
        <v>1</v>
      </c>
      <c r="N90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03" s="31" t="str">
        <f>IF(Table64[[#This Row],[date validity flag]]&lt;&gt;"Valid","",Table64[[#This Row],[shipment date ]]-Table64[[#This Row],[Order date]])</f>
        <v/>
      </c>
      <c r="P903" s="27" t="str">
        <f>TEXT(Table64[[#This Row],[Order date]],"mmm-yyyy")</f>
        <v>Apr-2024</v>
      </c>
      <c r="Q903" s="16" t="str">
        <f t="shared" si="14"/>
        <v/>
      </c>
    </row>
    <row r="904" spans="1:17" x14ac:dyDescent="0.3">
      <c r="A904" s="12">
        <v>10903</v>
      </c>
      <c r="B904" s="1">
        <v>6385</v>
      </c>
      <c r="C904" s="1" t="s">
        <v>16</v>
      </c>
      <c r="D904" s="2">
        <v>12267.35</v>
      </c>
      <c r="E904" s="1">
        <v>13</v>
      </c>
      <c r="F904" s="1" t="s">
        <v>13</v>
      </c>
      <c r="G904" s="3">
        <v>45306</v>
      </c>
      <c r="H904" s="2">
        <v>96496.35</v>
      </c>
      <c r="I904" s="13" t="s">
        <v>14</v>
      </c>
      <c r="J904" s="14" t="s">
        <v>19</v>
      </c>
      <c r="K904" s="14">
        <v>949</v>
      </c>
      <c r="L904" s="15">
        <v>45361</v>
      </c>
      <c r="M904" s="16">
        <v>10</v>
      </c>
      <c r="N9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04" s="31">
        <f>IF(Table64[[#This Row],[date validity flag]]&lt;&gt;"Valid","",Table64[[#This Row],[shipment date ]]-Table64[[#This Row],[Order date]])</f>
        <v>55</v>
      </c>
      <c r="P904" s="27" t="str">
        <f>TEXT(Table64[[#This Row],[Order date]],"mmm-yyyy")</f>
        <v>Jan-2024</v>
      </c>
      <c r="Q904" s="16" t="str">
        <f t="shared" si="14"/>
        <v>Delayed</v>
      </c>
    </row>
    <row r="905" spans="1:17" x14ac:dyDescent="0.3">
      <c r="A905" s="17">
        <v>10904</v>
      </c>
      <c r="B905" s="4">
        <v>6959</v>
      </c>
      <c r="C905" s="4" t="s">
        <v>16</v>
      </c>
      <c r="D905" s="5">
        <v>47939.98</v>
      </c>
      <c r="E905" s="4">
        <v>8</v>
      </c>
      <c r="F905" s="4" t="s">
        <v>13</v>
      </c>
      <c r="G905" s="6">
        <v>45383</v>
      </c>
      <c r="H905" s="5">
        <v>75964.009999999995</v>
      </c>
      <c r="I905" s="18" t="s">
        <v>17</v>
      </c>
      <c r="J905" s="14" t="s">
        <v>15</v>
      </c>
      <c r="K905" s="14">
        <v>237</v>
      </c>
      <c r="L905" s="15">
        <v>45332</v>
      </c>
      <c r="M905" s="16">
        <v>3</v>
      </c>
      <c r="N90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05" s="31" t="str">
        <f>IF(Table64[[#This Row],[date validity flag]]&lt;&gt;"Valid","",Table64[[#This Row],[shipment date ]]-Table64[[#This Row],[Order date]])</f>
        <v/>
      </c>
      <c r="P905" s="27" t="str">
        <f>TEXT(Table64[[#This Row],[Order date]],"mmm-yyyy")</f>
        <v>Apr-2024</v>
      </c>
      <c r="Q905" s="16" t="str">
        <f t="shared" si="14"/>
        <v/>
      </c>
    </row>
    <row r="906" spans="1:17" x14ac:dyDescent="0.3">
      <c r="A906" s="12">
        <v>10905</v>
      </c>
      <c r="B906" s="1">
        <v>6025</v>
      </c>
      <c r="C906" s="1" t="s">
        <v>16</v>
      </c>
      <c r="D906" s="2">
        <v>79060.72</v>
      </c>
      <c r="E906" s="1">
        <v>5</v>
      </c>
      <c r="F906" s="1" t="s">
        <v>23</v>
      </c>
      <c r="G906" s="3">
        <v>45306</v>
      </c>
      <c r="H906" s="2">
        <v>21638.03</v>
      </c>
      <c r="I906" s="13" t="s">
        <v>20</v>
      </c>
      <c r="J906" s="14" t="s">
        <v>19</v>
      </c>
      <c r="K906" s="14">
        <v>1390</v>
      </c>
      <c r="L906" s="15">
        <v>45332</v>
      </c>
      <c r="M906" s="16">
        <v>7</v>
      </c>
      <c r="N9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06" s="31">
        <f>IF(Table64[[#This Row],[date validity flag]]&lt;&gt;"Valid","",Table64[[#This Row],[shipment date ]]-Table64[[#This Row],[Order date]])</f>
        <v>26</v>
      </c>
      <c r="P906" s="27" t="str">
        <f>TEXT(Table64[[#This Row],[Order date]],"mmm-yyyy")</f>
        <v>Jan-2024</v>
      </c>
      <c r="Q906" s="16" t="str">
        <f t="shared" si="14"/>
        <v>Delayed</v>
      </c>
    </row>
    <row r="907" spans="1:17" x14ac:dyDescent="0.3">
      <c r="A907" s="17">
        <v>10906</v>
      </c>
      <c r="B907" s="4">
        <v>5387</v>
      </c>
      <c r="C907" s="4" t="s">
        <v>12</v>
      </c>
      <c r="D907" s="5">
        <v>8538.32</v>
      </c>
      <c r="E907" s="4">
        <v>60</v>
      </c>
      <c r="F907" s="4" t="s">
        <v>23</v>
      </c>
      <c r="G907" s="6">
        <v>45306</v>
      </c>
      <c r="H907" s="5">
        <v>51369.88</v>
      </c>
      <c r="I907" s="18" t="s">
        <v>20</v>
      </c>
      <c r="J907" s="14" t="s">
        <v>15</v>
      </c>
      <c r="K907" s="14">
        <v>1211</v>
      </c>
      <c r="L907" s="15">
        <v>45332</v>
      </c>
      <c r="M907" s="16">
        <v>12</v>
      </c>
      <c r="N9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07" s="31">
        <f>IF(Table64[[#This Row],[date validity flag]]&lt;&gt;"Valid","",Table64[[#This Row],[shipment date ]]-Table64[[#This Row],[Order date]])</f>
        <v>26</v>
      </c>
      <c r="P907" s="27" t="str">
        <f>TEXT(Table64[[#This Row],[Order date]],"mmm-yyyy")</f>
        <v>Jan-2024</v>
      </c>
      <c r="Q907" s="16" t="str">
        <f t="shared" si="14"/>
        <v>Delayed</v>
      </c>
    </row>
    <row r="908" spans="1:17" x14ac:dyDescent="0.3">
      <c r="A908" s="12">
        <v>10907</v>
      </c>
      <c r="B908" s="1">
        <v>6997</v>
      </c>
      <c r="C908" s="1" t="s">
        <v>16</v>
      </c>
      <c r="D908" s="2">
        <v>16059.62</v>
      </c>
      <c r="E908" s="1">
        <v>73</v>
      </c>
      <c r="F908" s="1" t="s">
        <v>13</v>
      </c>
      <c r="G908" s="3">
        <v>45383</v>
      </c>
      <c r="H908" s="2">
        <v>32722.39</v>
      </c>
      <c r="I908" s="13" t="s">
        <v>20</v>
      </c>
      <c r="J908" s="14" t="s">
        <v>15</v>
      </c>
      <c r="K908" s="14">
        <v>1416</v>
      </c>
      <c r="L908" s="15">
        <v>45332</v>
      </c>
      <c r="M908" s="16">
        <v>8</v>
      </c>
      <c r="N90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08" s="31" t="str">
        <f>IF(Table64[[#This Row],[date validity flag]]&lt;&gt;"Valid","",Table64[[#This Row],[shipment date ]]-Table64[[#This Row],[Order date]])</f>
        <v/>
      </c>
      <c r="P908" s="27" t="str">
        <f>TEXT(Table64[[#This Row],[Order date]],"mmm-yyyy")</f>
        <v>Apr-2024</v>
      </c>
      <c r="Q908" s="16" t="str">
        <f t="shared" si="14"/>
        <v/>
      </c>
    </row>
    <row r="909" spans="1:17" x14ac:dyDescent="0.3">
      <c r="A909" s="17">
        <v>10908</v>
      </c>
      <c r="B909" s="4">
        <v>5348</v>
      </c>
      <c r="C909" s="4" t="s">
        <v>16</v>
      </c>
      <c r="D909" s="5">
        <v>44308.51</v>
      </c>
      <c r="E909" s="4">
        <v>1</v>
      </c>
      <c r="F909" s="4" t="s">
        <v>13</v>
      </c>
      <c r="G909" s="6">
        <v>45383</v>
      </c>
      <c r="H909" s="5">
        <v>104002.15</v>
      </c>
      <c r="I909" s="18" t="s">
        <v>20</v>
      </c>
      <c r="J909" s="14" t="s">
        <v>15</v>
      </c>
      <c r="K909" s="14">
        <v>154</v>
      </c>
      <c r="L909" s="15">
        <v>45397</v>
      </c>
      <c r="M909" s="16">
        <v>4</v>
      </c>
      <c r="N9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09" s="31">
        <f>IF(Table64[[#This Row],[date validity flag]]&lt;&gt;"Valid","",Table64[[#This Row],[shipment date ]]-Table64[[#This Row],[Order date]])</f>
        <v>14</v>
      </c>
      <c r="P909" s="27" t="str">
        <f>TEXT(Table64[[#This Row],[Order date]],"mmm-yyyy")</f>
        <v>Apr-2024</v>
      </c>
      <c r="Q909" s="16" t="str">
        <f t="shared" si="14"/>
        <v>Delayed</v>
      </c>
    </row>
    <row r="910" spans="1:17" x14ac:dyDescent="0.3">
      <c r="A910" s="12">
        <v>10909</v>
      </c>
      <c r="B910" s="1">
        <v>5190</v>
      </c>
      <c r="C910" s="1" t="s">
        <v>12</v>
      </c>
      <c r="D910" s="2">
        <v>22936.07</v>
      </c>
      <c r="E910" s="1">
        <v>36</v>
      </c>
      <c r="F910" s="1" t="s">
        <v>21</v>
      </c>
      <c r="G910" s="3">
        <v>45337</v>
      </c>
      <c r="H910" s="2">
        <v>28535.62</v>
      </c>
      <c r="I910" s="13" t="s">
        <v>17</v>
      </c>
      <c r="J910" s="14" t="s">
        <v>19</v>
      </c>
      <c r="K910" s="14">
        <v>595</v>
      </c>
      <c r="L910" s="15">
        <v>45397</v>
      </c>
      <c r="M910" s="16">
        <v>12</v>
      </c>
      <c r="N9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10" s="31">
        <f>IF(Table64[[#This Row],[date validity flag]]&lt;&gt;"Valid","",Table64[[#This Row],[shipment date ]]-Table64[[#This Row],[Order date]])</f>
        <v>60</v>
      </c>
      <c r="P910" s="27" t="str">
        <f>TEXT(Table64[[#This Row],[Order date]],"mmm-yyyy")</f>
        <v>Feb-2024</v>
      </c>
      <c r="Q910" s="16" t="str">
        <f t="shared" si="14"/>
        <v>Delayed</v>
      </c>
    </row>
    <row r="911" spans="1:17" x14ac:dyDescent="0.3">
      <c r="A911" s="17">
        <v>10910</v>
      </c>
      <c r="B911" s="4">
        <v>5505</v>
      </c>
      <c r="C911" s="4" t="s">
        <v>16</v>
      </c>
      <c r="D911" s="5">
        <v>14879.85</v>
      </c>
      <c r="E911" s="4">
        <v>35</v>
      </c>
      <c r="F911" s="4" t="s">
        <v>23</v>
      </c>
      <c r="G911" s="6">
        <v>45337</v>
      </c>
      <c r="H911" s="5">
        <v>81947.56</v>
      </c>
      <c r="I911" s="18" t="s">
        <v>20</v>
      </c>
      <c r="J911" s="14" t="s">
        <v>19</v>
      </c>
      <c r="K911" s="14">
        <v>429</v>
      </c>
      <c r="L911" s="15">
        <v>45332</v>
      </c>
      <c r="M911" s="16">
        <v>3</v>
      </c>
      <c r="N91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11" s="31" t="str">
        <f>IF(Table64[[#This Row],[date validity flag]]&lt;&gt;"Valid","",Table64[[#This Row],[shipment date ]]-Table64[[#This Row],[Order date]])</f>
        <v/>
      </c>
      <c r="P911" s="27" t="str">
        <f>TEXT(Table64[[#This Row],[Order date]],"mmm-yyyy")</f>
        <v>Feb-2024</v>
      </c>
      <c r="Q911" s="16" t="str">
        <f t="shared" si="14"/>
        <v/>
      </c>
    </row>
    <row r="912" spans="1:17" x14ac:dyDescent="0.3">
      <c r="A912" s="12">
        <v>10911</v>
      </c>
      <c r="B912" s="1">
        <v>6215</v>
      </c>
      <c r="C912" s="1" t="s">
        <v>16</v>
      </c>
      <c r="D912" s="2">
        <v>62629.84</v>
      </c>
      <c r="E912" s="1">
        <v>66</v>
      </c>
      <c r="F912" s="1" t="s">
        <v>23</v>
      </c>
      <c r="G912" s="3">
        <v>45361</v>
      </c>
      <c r="H912" s="2">
        <v>117264</v>
      </c>
      <c r="I912" s="13" t="s">
        <v>17</v>
      </c>
      <c r="J912" s="14" t="s">
        <v>15</v>
      </c>
      <c r="K912" s="14">
        <v>159</v>
      </c>
      <c r="L912" s="15">
        <v>45332</v>
      </c>
      <c r="M912" s="16">
        <v>1</v>
      </c>
      <c r="N91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12" s="31" t="str">
        <f>IF(Table64[[#This Row],[date validity flag]]&lt;&gt;"Valid","",Table64[[#This Row],[shipment date ]]-Table64[[#This Row],[Order date]])</f>
        <v/>
      </c>
      <c r="P912" s="27" t="str">
        <f>TEXT(Table64[[#This Row],[Order date]],"mmm-yyyy")</f>
        <v>Mar-2024</v>
      </c>
      <c r="Q912" s="16" t="str">
        <f t="shared" si="14"/>
        <v/>
      </c>
    </row>
    <row r="913" spans="1:17" x14ac:dyDescent="0.3">
      <c r="A913" s="17">
        <v>10912</v>
      </c>
      <c r="B913" s="4">
        <v>6532</v>
      </c>
      <c r="C913" s="4" t="s">
        <v>16</v>
      </c>
      <c r="D913" s="5">
        <v>79510.45</v>
      </c>
      <c r="E913" s="4">
        <v>63</v>
      </c>
      <c r="F913" s="4" t="s">
        <v>21</v>
      </c>
      <c r="G913" s="6">
        <v>45361</v>
      </c>
      <c r="H913" s="5">
        <v>77390.509999999995</v>
      </c>
      <c r="I913" s="18" t="s">
        <v>14</v>
      </c>
      <c r="J913" s="14" t="s">
        <v>18</v>
      </c>
      <c r="K913" s="14">
        <v>594</v>
      </c>
      <c r="L913" s="15">
        <v>45361</v>
      </c>
      <c r="M913" s="16">
        <v>12</v>
      </c>
      <c r="N9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13" s="31">
        <f>IF(Table64[[#This Row],[date validity flag]]&lt;&gt;"Valid","",Table64[[#This Row],[shipment date ]]-Table64[[#This Row],[Order date]])</f>
        <v>0</v>
      </c>
      <c r="P913" s="27" t="str">
        <f>TEXT(Table64[[#This Row],[Order date]],"mmm-yyyy")</f>
        <v>Mar-2024</v>
      </c>
      <c r="Q913" s="16" t="str">
        <f t="shared" si="14"/>
        <v>On Time</v>
      </c>
    </row>
    <row r="914" spans="1:17" x14ac:dyDescent="0.3">
      <c r="A914" s="12">
        <v>10913</v>
      </c>
      <c r="B914" s="1">
        <v>6393</v>
      </c>
      <c r="C914" s="1" t="s">
        <v>12</v>
      </c>
      <c r="D914" s="2">
        <v>55309.8</v>
      </c>
      <c r="E914" s="1">
        <v>23</v>
      </c>
      <c r="F914" s="1" t="s">
        <v>22</v>
      </c>
      <c r="G914" s="3">
        <v>45383</v>
      </c>
      <c r="H914" s="2">
        <v>47109.85</v>
      </c>
      <c r="I914" s="13" t="s">
        <v>17</v>
      </c>
      <c r="J914" s="14" t="s">
        <v>19</v>
      </c>
      <c r="K914" s="14">
        <v>403</v>
      </c>
      <c r="L914" s="15">
        <v>45397</v>
      </c>
      <c r="M914" s="16">
        <v>9</v>
      </c>
      <c r="N9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14" s="31">
        <f>IF(Table64[[#This Row],[date validity flag]]&lt;&gt;"Valid","",Table64[[#This Row],[shipment date ]]-Table64[[#This Row],[Order date]])</f>
        <v>14</v>
      </c>
      <c r="P914" s="27" t="str">
        <f>TEXT(Table64[[#This Row],[Order date]],"mmm-yyyy")</f>
        <v>Apr-2024</v>
      </c>
      <c r="Q914" s="16" t="str">
        <f t="shared" si="14"/>
        <v>Delayed</v>
      </c>
    </row>
    <row r="915" spans="1:17" x14ac:dyDescent="0.3">
      <c r="A915" s="17">
        <v>10914</v>
      </c>
      <c r="B915" s="4">
        <v>6433</v>
      </c>
      <c r="C915" s="4" t="s">
        <v>16</v>
      </c>
      <c r="D915" s="5">
        <v>93038.34</v>
      </c>
      <c r="E915" s="4">
        <v>9</v>
      </c>
      <c r="F915" s="4" t="s">
        <v>23</v>
      </c>
      <c r="G915" s="6">
        <v>45306</v>
      </c>
      <c r="H915" s="5">
        <v>135681.97</v>
      </c>
      <c r="I915" s="18" t="s">
        <v>20</v>
      </c>
      <c r="J915" s="14" t="s">
        <v>19</v>
      </c>
      <c r="K915" s="14">
        <v>792</v>
      </c>
      <c r="L915" s="15">
        <v>45397</v>
      </c>
      <c r="M915" s="16">
        <v>10</v>
      </c>
      <c r="N9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15" s="31">
        <f>IF(Table64[[#This Row],[date validity flag]]&lt;&gt;"Valid","",Table64[[#This Row],[shipment date ]]-Table64[[#This Row],[Order date]])</f>
        <v>91</v>
      </c>
      <c r="P915" s="27" t="str">
        <f>TEXT(Table64[[#This Row],[Order date]],"mmm-yyyy")</f>
        <v>Jan-2024</v>
      </c>
      <c r="Q915" s="16" t="str">
        <f t="shared" si="14"/>
        <v>Delayed</v>
      </c>
    </row>
    <row r="916" spans="1:17" x14ac:dyDescent="0.3">
      <c r="A916" s="12">
        <v>10915</v>
      </c>
      <c r="B916" s="1">
        <v>5824</v>
      </c>
      <c r="C916" s="1" t="s">
        <v>16</v>
      </c>
      <c r="D916" s="2">
        <v>81095.14</v>
      </c>
      <c r="E916" s="1">
        <v>34</v>
      </c>
      <c r="F916" s="1" t="s">
        <v>23</v>
      </c>
      <c r="G916" s="3">
        <v>45361</v>
      </c>
      <c r="H916" s="2">
        <v>37089.879999999997</v>
      </c>
      <c r="I916" s="13" t="s">
        <v>17</v>
      </c>
      <c r="J916" s="14" t="s">
        <v>15</v>
      </c>
      <c r="K916" s="14">
        <v>366</v>
      </c>
      <c r="L916" s="15">
        <v>45332</v>
      </c>
      <c r="M916" s="16">
        <v>6</v>
      </c>
      <c r="N91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16" s="31" t="str">
        <f>IF(Table64[[#This Row],[date validity flag]]&lt;&gt;"Valid","",Table64[[#This Row],[shipment date ]]-Table64[[#This Row],[Order date]])</f>
        <v/>
      </c>
      <c r="P916" s="27" t="str">
        <f>TEXT(Table64[[#This Row],[Order date]],"mmm-yyyy")</f>
        <v>Mar-2024</v>
      </c>
      <c r="Q916" s="16" t="str">
        <f t="shared" si="14"/>
        <v/>
      </c>
    </row>
    <row r="917" spans="1:17" x14ac:dyDescent="0.3">
      <c r="A917" s="17">
        <v>10916</v>
      </c>
      <c r="B917" s="4">
        <v>5929</v>
      </c>
      <c r="C917" s="4" t="s">
        <v>16</v>
      </c>
      <c r="D917" s="5">
        <v>76547.92</v>
      </c>
      <c r="E917" s="4">
        <v>46</v>
      </c>
      <c r="F917" s="4" t="s">
        <v>22</v>
      </c>
      <c r="G917" s="6">
        <v>45383</v>
      </c>
      <c r="H917" s="5">
        <v>134595.92000000001</v>
      </c>
      <c r="I917" s="18" t="s">
        <v>20</v>
      </c>
      <c r="J917" s="14" t="s">
        <v>18</v>
      </c>
      <c r="K917" s="14">
        <v>1339</v>
      </c>
      <c r="L917" s="15">
        <v>45397</v>
      </c>
      <c r="M917" s="16">
        <v>6</v>
      </c>
      <c r="N9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17" s="31">
        <f>IF(Table64[[#This Row],[date validity flag]]&lt;&gt;"Valid","",Table64[[#This Row],[shipment date ]]-Table64[[#This Row],[Order date]])</f>
        <v>14</v>
      </c>
      <c r="P917" s="27" t="str">
        <f>TEXT(Table64[[#This Row],[Order date]],"mmm-yyyy")</f>
        <v>Apr-2024</v>
      </c>
      <c r="Q917" s="16" t="str">
        <f t="shared" si="14"/>
        <v>Delayed</v>
      </c>
    </row>
    <row r="918" spans="1:17" x14ac:dyDescent="0.3">
      <c r="A918" s="12">
        <v>10917</v>
      </c>
      <c r="B918" s="1">
        <v>5934</v>
      </c>
      <c r="C918" s="1" t="s">
        <v>12</v>
      </c>
      <c r="D918" s="2">
        <v>11878.65</v>
      </c>
      <c r="E918" s="1">
        <v>78</v>
      </c>
      <c r="F918" s="1" t="s">
        <v>23</v>
      </c>
      <c r="G918" s="3">
        <v>45361</v>
      </c>
      <c r="H918" s="2">
        <v>10835.9</v>
      </c>
      <c r="I918" s="13" t="s">
        <v>14</v>
      </c>
      <c r="J918" s="14" t="s">
        <v>15</v>
      </c>
      <c r="K918" s="14">
        <v>1138</v>
      </c>
      <c r="L918" s="15">
        <v>45361</v>
      </c>
      <c r="M918" s="16">
        <v>9</v>
      </c>
      <c r="N9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18" s="31">
        <f>IF(Table64[[#This Row],[date validity flag]]&lt;&gt;"Valid","",Table64[[#This Row],[shipment date ]]-Table64[[#This Row],[Order date]])</f>
        <v>0</v>
      </c>
      <c r="P918" s="27" t="str">
        <f>TEXT(Table64[[#This Row],[Order date]],"mmm-yyyy")</f>
        <v>Mar-2024</v>
      </c>
      <c r="Q918" s="16" t="str">
        <f t="shared" si="14"/>
        <v>On Time</v>
      </c>
    </row>
    <row r="919" spans="1:17" x14ac:dyDescent="0.3">
      <c r="A919" s="17">
        <v>10918</v>
      </c>
      <c r="B919" s="4">
        <v>6141</v>
      </c>
      <c r="C919" s="4" t="s">
        <v>16</v>
      </c>
      <c r="D919" s="5">
        <v>71868.19</v>
      </c>
      <c r="E919" s="4">
        <v>4</v>
      </c>
      <c r="F919" s="4" t="s">
        <v>23</v>
      </c>
      <c r="G919" s="6">
        <v>45306</v>
      </c>
      <c r="H919" s="5">
        <v>13513.67</v>
      </c>
      <c r="I919" s="18" t="s">
        <v>17</v>
      </c>
      <c r="J919" s="14" t="s">
        <v>19</v>
      </c>
      <c r="K919" s="14">
        <v>382</v>
      </c>
      <c r="L919" s="15">
        <v>45361</v>
      </c>
      <c r="M919" s="16">
        <v>1</v>
      </c>
      <c r="N9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19" s="31">
        <f>IF(Table64[[#This Row],[date validity flag]]&lt;&gt;"Valid","",Table64[[#This Row],[shipment date ]]-Table64[[#This Row],[Order date]])</f>
        <v>55</v>
      </c>
      <c r="P919" s="27" t="str">
        <f>TEXT(Table64[[#This Row],[Order date]],"mmm-yyyy")</f>
        <v>Jan-2024</v>
      </c>
      <c r="Q919" s="16" t="str">
        <f t="shared" si="14"/>
        <v>Delayed</v>
      </c>
    </row>
    <row r="920" spans="1:17" x14ac:dyDescent="0.3">
      <c r="A920" s="12">
        <v>10919</v>
      </c>
      <c r="B920" s="1">
        <v>5134</v>
      </c>
      <c r="C920" s="1" t="s">
        <v>16</v>
      </c>
      <c r="D920" s="2">
        <v>81842.45</v>
      </c>
      <c r="E920" s="1">
        <v>30</v>
      </c>
      <c r="F920" s="1" t="s">
        <v>22</v>
      </c>
      <c r="G920" s="3">
        <v>45383</v>
      </c>
      <c r="H920" s="2">
        <v>76139.320000000007</v>
      </c>
      <c r="I920" s="13" t="s">
        <v>14</v>
      </c>
      <c r="J920" s="14" t="s">
        <v>19</v>
      </c>
      <c r="K920" s="14">
        <v>1206</v>
      </c>
      <c r="L920" s="15">
        <v>45397</v>
      </c>
      <c r="M920" s="16">
        <v>6</v>
      </c>
      <c r="N9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20" s="31">
        <f>IF(Table64[[#This Row],[date validity flag]]&lt;&gt;"Valid","",Table64[[#This Row],[shipment date ]]-Table64[[#This Row],[Order date]])</f>
        <v>14</v>
      </c>
      <c r="P920" s="27" t="str">
        <f>TEXT(Table64[[#This Row],[Order date]],"mmm-yyyy")</f>
        <v>Apr-2024</v>
      </c>
      <c r="Q920" s="16" t="str">
        <f t="shared" si="14"/>
        <v>Delayed</v>
      </c>
    </row>
    <row r="921" spans="1:17" x14ac:dyDescent="0.3">
      <c r="A921" s="17">
        <v>10920</v>
      </c>
      <c r="B921" s="4">
        <v>5058</v>
      </c>
      <c r="C921" s="4" t="s">
        <v>12</v>
      </c>
      <c r="D921" s="5">
        <v>22076.6</v>
      </c>
      <c r="E921" s="4">
        <v>95</v>
      </c>
      <c r="F921" s="4" t="s">
        <v>22</v>
      </c>
      <c r="G921" s="6">
        <v>45306</v>
      </c>
      <c r="H921" s="5">
        <v>86764.08</v>
      </c>
      <c r="I921" s="18" t="s">
        <v>14</v>
      </c>
      <c r="J921" s="14" t="s">
        <v>15</v>
      </c>
      <c r="K921" s="14">
        <v>641</v>
      </c>
      <c r="L921" s="15">
        <v>45332</v>
      </c>
      <c r="M921" s="16">
        <v>12</v>
      </c>
      <c r="N9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21" s="31">
        <f>IF(Table64[[#This Row],[date validity flag]]&lt;&gt;"Valid","",Table64[[#This Row],[shipment date ]]-Table64[[#This Row],[Order date]])</f>
        <v>26</v>
      </c>
      <c r="P921" s="27" t="str">
        <f>TEXT(Table64[[#This Row],[Order date]],"mmm-yyyy")</f>
        <v>Jan-2024</v>
      </c>
      <c r="Q921" s="16" t="str">
        <f t="shared" si="14"/>
        <v>Delayed</v>
      </c>
    </row>
    <row r="922" spans="1:17" x14ac:dyDescent="0.3">
      <c r="A922" s="12">
        <v>10921</v>
      </c>
      <c r="B922" s="1">
        <v>6580</v>
      </c>
      <c r="C922" s="1" t="s">
        <v>16</v>
      </c>
      <c r="D922" s="2">
        <v>55417.69</v>
      </c>
      <c r="E922" s="1">
        <v>75</v>
      </c>
      <c r="F922" s="1" t="s">
        <v>13</v>
      </c>
      <c r="G922" s="3">
        <v>45383</v>
      </c>
      <c r="H922" s="2">
        <v>51306.12</v>
      </c>
      <c r="I922" s="13" t="s">
        <v>14</v>
      </c>
      <c r="J922" s="14" t="s">
        <v>15</v>
      </c>
      <c r="K922" s="14">
        <v>832</v>
      </c>
      <c r="L922" s="15">
        <v>45397</v>
      </c>
      <c r="M922" s="16">
        <v>5</v>
      </c>
      <c r="N9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22" s="31">
        <f>IF(Table64[[#This Row],[date validity flag]]&lt;&gt;"Valid","",Table64[[#This Row],[shipment date ]]-Table64[[#This Row],[Order date]])</f>
        <v>14</v>
      </c>
      <c r="P922" s="27" t="str">
        <f>TEXT(Table64[[#This Row],[Order date]],"mmm-yyyy")</f>
        <v>Apr-2024</v>
      </c>
      <c r="Q922" s="16" t="str">
        <f t="shared" si="14"/>
        <v>Delayed</v>
      </c>
    </row>
    <row r="923" spans="1:17" x14ac:dyDescent="0.3">
      <c r="A923" s="17">
        <v>10922</v>
      </c>
      <c r="B923" s="4">
        <v>5685</v>
      </c>
      <c r="C923" s="4" t="s">
        <v>16</v>
      </c>
      <c r="D923" s="5">
        <v>61661.94</v>
      </c>
      <c r="E923" s="4">
        <v>99</v>
      </c>
      <c r="F923" s="4" t="s">
        <v>21</v>
      </c>
      <c r="G923" s="6">
        <v>45361</v>
      </c>
      <c r="H923" s="5">
        <v>86925.14</v>
      </c>
      <c r="I923" s="18" t="s">
        <v>17</v>
      </c>
      <c r="J923" s="14" t="s">
        <v>18</v>
      </c>
      <c r="K923" s="14">
        <v>589</v>
      </c>
      <c r="L923" s="15">
        <v>45361</v>
      </c>
      <c r="M923" s="16">
        <v>13</v>
      </c>
      <c r="N9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23" s="31">
        <f>IF(Table64[[#This Row],[date validity flag]]&lt;&gt;"Valid","",Table64[[#This Row],[shipment date ]]-Table64[[#This Row],[Order date]])</f>
        <v>0</v>
      </c>
      <c r="P923" s="27" t="str">
        <f>TEXT(Table64[[#This Row],[Order date]],"mmm-yyyy")</f>
        <v>Mar-2024</v>
      </c>
      <c r="Q923" s="16" t="str">
        <f t="shared" si="14"/>
        <v>On Time</v>
      </c>
    </row>
    <row r="924" spans="1:17" x14ac:dyDescent="0.3">
      <c r="A924" s="12">
        <v>10923</v>
      </c>
      <c r="B924" s="1">
        <v>5672</v>
      </c>
      <c r="C924" s="1" t="s">
        <v>16</v>
      </c>
      <c r="D924" s="2">
        <v>23533.35</v>
      </c>
      <c r="E924" s="1">
        <v>72</v>
      </c>
      <c r="F924" s="1" t="s">
        <v>21</v>
      </c>
      <c r="G924" s="3">
        <v>45337</v>
      </c>
      <c r="H924" s="2">
        <v>105353.96</v>
      </c>
      <c r="I924" s="13" t="s">
        <v>20</v>
      </c>
      <c r="J924" s="14" t="s">
        <v>18</v>
      </c>
      <c r="K924" s="14">
        <v>784</v>
      </c>
      <c r="L924" s="15">
        <v>45332</v>
      </c>
      <c r="M924" s="16">
        <v>11</v>
      </c>
      <c r="N92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24" s="31" t="str">
        <f>IF(Table64[[#This Row],[date validity flag]]&lt;&gt;"Valid","",Table64[[#This Row],[shipment date ]]-Table64[[#This Row],[Order date]])</f>
        <v/>
      </c>
      <c r="P924" s="27" t="str">
        <f>TEXT(Table64[[#This Row],[Order date]],"mmm-yyyy")</f>
        <v>Feb-2024</v>
      </c>
      <c r="Q924" s="16" t="str">
        <f t="shared" si="14"/>
        <v/>
      </c>
    </row>
    <row r="925" spans="1:17" x14ac:dyDescent="0.3">
      <c r="A925" s="17">
        <v>10924</v>
      </c>
      <c r="B925" s="4">
        <v>5173</v>
      </c>
      <c r="C925" s="4" t="s">
        <v>16</v>
      </c>
      <c r="D925" s="5">
        <v>49726.559999999998</v>
      </c>
      <c r="E925" s="4">
        <v>3</v>
      </c>
      <c r="F925" s="4" t="s">
        <v>22</v>
      </c>
      <c r="G925" s="6">
        <v>45361</v>
      </c>
      <c r="H925" s="5">
        <v>160650.04999999999</v>
      </c>
      <c r="I925" s="18" t="s">
        <v>14</v>
      </c>
      <c r="J925" s="14" t="s">
        <v>19</v>
      </c>
      <c r="K925" s="14">
        <v>670</v>
      </c>
      <c r="L925" s="15">
        <v>45397</v>
      </c>
      <c r="M925" s="16">
        <v>6</v>
      </c>
      <c r="N9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25" s="31">
        <f>IF(Table64[[#This Row],[date validity flag]]&lt;&gt;"Valid","",Table64[[#This Row],[shipment date ]]-Table64[[#This Row],[Order date]])</f>
        <v>36</v>
      </c>
      <c r="P925" s="27" t="str">
        <f>TEXT(Table64[[#This Row],[Order date]],"mmm-yyyy")</f>
        <v>Mar-2024</v>
      </c>
      <c r="Q925" s="16" t="str">
        <f t="shared" si="14"/>
        <v>Delayed</v>
      </c>
    </row>
    <row r="926" spans="1:17" x14ac:dyDescent="0.3">
      <c r="A926" s="12">
        <v>10925</v>
      </c>
      <c r="B926" s="1">
        <v>6853</v>
      </c>
      <c r="C926" s="1" t="s">
        <v>16</v>
      </c>
      <c r="D926" s="2">
        <v>57879.26</v>
      </c>
      <c r="E926" s="1">
        <v>14</v>
      </c>
      <c r="F926" s="1" t="s">
        <v>22</v>
      </c>
      <c r="G926" s="3">
        <v>45361</v>
      </c>
      <c r="H926" s="2">
        <v>35808.53</v>
      </c>
      <c r="I926" s="13" t="s">
        <v>17</v>
      </c>
      <c r="J926" s="14" t="s">
        <v>18</v>
      </c>
      <c r="K926" s="14">
        <v>668</v>
      </c>
      <c r="L926" s="15">
        <v>45332</v>
      </c>
      <c r="M926" s="16">
        <v>14</v>
      </c>
      <c r="N92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26" s="31" t="str">
        <f>IF(Table64[[#This Row],[date validity flag]]&lt;&gt;"Valid","",Table64[[#This Row],[shipment date ]]-Table64[[#This Row],[Order date]])</f>
        <v/>
      </c>
      <c r="P926" s="27" t="str">
        <f>TEXT(Table64[[#This Row],[Order date]],"mmm-yyyy")</f>
        <v>Mar-2024</v>
      </c>
      <c r="Q926" s="16" t="str">
        <f t="shared" si="14"/>
        <v/>
      </c>
    </row>
    <row r="927" spans="1:17" x14ac:dyDescent="0.3">
      <c r="A927" s="17">
        <v>10926</v>
      </c>
      <c r="B927" s="4">
        <v>5815</v>
      </c>
      <c r="C927" s="4" t="s">
        <v>16</v>
      </c>
      <c r="D927" s="5">
        <v>40442.82</v>
      </c>
      <c r="E927" s="4">
        <v>60</v>
      </c>
      <c r="F927" s="4" t="s">
        <v>23</v>
      </c>
      <c r="G927" s="6">
        <v>45337</v>
      </c>
      <c r="H927" s="5">
        <v>65141.22</v>
      </c>
      <c r="I927" s="18" t="s">
        <v>17</v>
      </c>
      <c r="J927" s="14" t="s">
        <v>18</v>
      </c>
      <c r="K927" s="14">
        <v>1442</v>
      </c>
      <c r="L927" s="15">
        <v>45332</v>
      </c>
      <c r="M927" s="16">
        <v>11</v>
      </c>
      <c r="N92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27" s="31" t="str">
        <f>IF(Table64[[#This Row],[date validity flag]]&lt;&gt;"Valid","",Table64[[#This Row],[shipment date ]]-Table64[[#This Row],[Order date]])</f>
        <v/>
      </c>
      <c r="P927" s="27" t="str">
        <f>TEXT(Table64[[#This Row],[Order date]],"mmm-yyyy")</f>
        <v>Feb-2024</v>
      </c>
      <c r="Q927" s="16" t="str">
        <f t="shared" si="14"/>
        <v/>
      </c>
    </row>
    <row r="928" spans="1:17" x14ac:dyDescent="0.3">
      <c r="A928" s="12">
        <v>10927</v>
      </c>
      <c r="B928" s="1">
        <v>6173</v>
      </c>
      <c r="C928" s="1" t="s">
        <v>16</v>
      </c>
      <c r="D928" s="2">
        <v>41198.35</v>
      </c>
      <c r="E928" s="1">
        <v>77</v>
      </c>
      <c r="F928" s="1" t="s">
        <v>13</v>
      </c>
      <c r="G928" s="3">
        <v>45337</v>
      </c>
      <c r="H928" s="2">
        <v>119011.21</v>
      </c>
      <c r="I928" s="13" t="s">
        <v>17</v>
      </c>
      <c r="J928" s="14" t="s">
        <v>19</v>
      </c>
      <c r="K928" s="14">
        <v>958</v>
      </c>
      <c r="L928" s="15">
        <v>45361</v>
      </c>
      <c r="M928" s="16">
        <v>8</v>
      </c>
      <c r="N9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28" s="31">
        <f>IF(Table64[[#This Row],[date validity flag]]&lt;&gt;"Valid","",Table64[[#This Row],[shipment date ]]-Table64[[#This Row],[Order date]])</f>
        <v>24</v>
      </c>
      <c r="P928" s="27" t="str">
        <f>TEXT(Table64[[#This Row],[Order date]],"mmm-yyyy")</f>
        <v>Feb-2024</v>
      </c>
      <c r="Q928" s="16" t="str">
        <f t="shared" si="14"/>
        <v>Delayed</v>
      </c>
    </row>
    <row r="929" spans="1:17" x14ac:dyDescent="0.3">
      <c r="A929" s="17">
        <v>10928</v>
      </c>
      <c r="B929" s="4">
        <v>5080</v>
      </c>
      <c r="C929" s="4" t="s">
        <v>16</v>
      </c>
      <c r="D929" s="5">
        <v>64109.49</v>
      </c>
      <c r="E929" s="4">
        <v>45</v>
      </c>
      <c r="F929" s="4" t="s">
        <v>13</v>
      </c>
      <c r="G929" s="6">
        <v>45383</v>
      </c>
      <c r="H929" s="5">
        <v>141169.67000000001</v>
      </c>
      <c r="I929" s="18" t="s">
        <v>17</v>
      </c>
      <c r="J929" s="14" t="s">
        <v>19</v>
      </c>
      <c r="K929" s="14">
        <v>1041</v>
      </c>
      <c r="L929" s="15">
        <v>45332</v>
      </c>
      <c r="M929" s="16">
        <v>5</v>
      </c>
      <c r="N92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29" s="31" t="str">
        <f>IF(Table64[[#This Row],[date validity flag]]&lt;&gt;"Valid","",Table64[[#This Row],[shipment date ]]-Table64[[#This Row],[Order date]])</f>
        <v/>
      </c>
      <c r="P929" s="27" t="str">
        <f>TEXT(Table64[[#This Row],[Order date]],"mmm-yyyy")</f>
        <v>Apr-2024</v>
      </c>
      <c r="Q929" s="16" t="str">
        <f t="shared" si="14"/>
        <v/>
      </c>
    </row>
    <row r="930" spans="1:17" x14ac:dyDescent="0.3">
      <c r="A930" s="12">
        <v>10929</v>
      </c>
      <c r="B930" s="1">
        <v>5886</v>
      </c>
      <c r="C930" s="1" t="s">
        <v>16</v>
      </c>
      <c r="D930" s="2">
        <v>35515.15</v>
      </c>
      <c r="E930" s="1">
        <v>96</v>
      </c>
      <c r="F930" s="1" t="s">
        <v>22</v>
      </c>
      <c r="G930" s="3">
        <v>45383</v>
      </c>
      <c r="H930" s="2">
        <v>55551.32</v>
      </c>
      <c r="I930" s="13" t="s">
        <v>17</v>
      </c>
      <c r="J930" s="14" t="s">
        <v>19</v>
      </c>
      <c r="K930" s="14">
        <v>148</v>
      </c>
      <c r="L930" s="15">
        <v>45397</v>
      </c>
      <c r="M930" s="16">
        <v>2</v>
      </c>
      <c r="N9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0" s="31">
        <f>IF(Table64[[#This Row],[date validity flag]]&lt;&gt;"Valid","",Table64[[#This Row],[shipment date ]]-Table64[[#This Row],[Order date]])</f>
        <v>14</v>
      </c>
      <c r="P930" s="27" t="str">
        <f>TEXT(Table64[[#This Row],[Order date]],"mmm-yyyy")</f>
        <v>Apr-2024</v>
      </c>
      <c r="Q930" s="16" t="str">
        <f t="shared" si="14"/>
        <v>Delayed</v>
      </c>
    </row>
    <row r="931" spans="1:17" x14ac:dyDescent="0.3">
      <c r="A931" s="17">
        <v>10930</v>
      </c>
      <c r="B931" s="4">
        <v>6237</v>
      </c>
      <c r="C931" s="4" t="s">
        <v>16</v>
      </c>
      <c r="D931" s="5">
        <v>12401.32</v>
      </c>
      <c r="E931" s="4">
        <v>34</v>
      </c>
      <c r="F931" s="4" t="s">
        <v>23</v>
      </c>
      <c r="G931" s="6">
        <v>45306</v>
      </c>
      <c r="H931" s="5">
        <v>20014.07</v>
      </c>
      <c r="I931" s="18" t="s">
        <v>20</v>
      </c>
      <c r="J931" s="14" t="s">
        <v>19</v>
      </c>
      <c r="K931" s="14">
        <v>366</v>
      </c>
      <c r="L931" s="15">
        <v>45332</v>
      </c>
      <c r="M931" s="16">
        <v>12</v>
      </c>
      <c r="N9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1" s="31">
        <f>IF(Table64[[#This Row],[date validity flag]]&lt;&gt;"Valid","",Table64[[#This Row],[shipment date ]]-Table64[[#This Row],[Order date]])</f>
        <v>26</v>
      </c>
      <c r="P931" s="27" t="str">
        <f>TEXT(Table64[[#This Row],[Order date]],"mmm-yyyy")</f>
        <v>Jan-2024</v>
      </c>
      <c r="Q931" s="16" t="str">
        <f t="shared" si="14"/>
        <v>Delayed</v>
      </c>
    </row>
    <row r="932" spans="1:17" x14ac:dyDescent="0.3">
      <c r="A932" s="12">
        <v>10931</v>
      </c>
      <c r="B932" s="1">
        <v>5203</v>
      </c>
      <c r="C932" s="1" t="s">
        <v>16</v>
      </c>
      <c r="D932" s="2">
        <v>8874.3799999999992</v>
      </c>
      <c r="E932" s="1">
        <v>45</v>
      </c>
      <c r="F932" s="1" t="s">
        <v>23</v>
      </c>
      <c r="G932" s="3">
        <v>45306</v>
      </c>
      <c r="H932" s="2">
        <v>96514.08</v>
      </c>
      <c r="I932" s="13" t="s">
        <v>14</v>
      </c>
      <c r="J932" s="14" t="s">
        <v>15</v>
      </c>
      <c r="K932" s="14">
        <v>172</v>
      </c>
      <c r="L932" s="15">
        <v>45332</v>
      </c>
      <c r="M932" s="16">
        <v>12</v>
      </c>
      <c r="N93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2" s="31">
        <f>IF(Table64[[#This Row],[date validity flag]]&lt;&gt;"Valid","",Table64[[#This Row],[shipment date ]]-Table64[[#This Row],[Order date]])</f>
        <v>26</v>
      </c>
      <c r="P932" s="27" t="str">
        <f>TEXT(Table64[[#This Row],[Order date]],"mmm-yyyy")</f>
        <v>Jan-2024</v>
      </c>
      <c r="Q932" s="16" t="str">
        <f t="shared" si="14"/>
        <v>Delayed</v>
      </c>
    </row>
    <row r="933" spans="1:17" x14ac:dyDescent="0.3">
      <c r="A933" s="17">
        <v>10932</v>
      </c>
      <c r="B933" s="4">
        <v>5764</v>
      </c>
      <c r="C933" s="4" t="s">
        <v>16</v>
      </c>
      <c r="D933" s="5">
        <v>59859.360000000001</v>
      </c>
      <c r="E933" s="4">
        <v>61</v>
      </c>
      <c r="F933" s="4" t="s">
        <v>21</v>
      </c>
      <c r="G933" s="6">
        <v>45361</v>
      </c>
      <c r="H933" s="5">
        <v>102782.9</v>
      </c>
      <c r="I933" s="18" t="s">
        <v>20</v>
      </c>
      <c r="J933" s="14" t="s">
        <v>19</v>
      </c>
      <c r="K933" s="14">
        <v>1393</v>
      </c>
      <c r="L933" s="15">
        <v>45397</v>
      </c>
      <c r="M933" s="16">
        <v>2</v>
      </c>
      <c r="N93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3" s="31">
        <f>IF(Table64[[#This Row],[date validity flag]]&lt;&gt;"Valid","",Table64[[#This Row],[shipment date ]]-Table64[[#This Row],[Order date]])</f>
        <v>36</v>
      </c>
      <c r="P933" s="27" t="str">
        <f>TEXT(Table64[[#This Row],[Order date]],"mmm-yyyy")</f>
        <v>Mar-2024</v>
      </c>
      <c r="Q933" s="16" t="str">
        <f t="shared" si="14"/>
        <v>Delayed</v>
      </c>
    </row>
    <row r="934" spans="1:17" x14ac:dyDescent="0.3">
      <c r="A934" s="12">
        <v>10933</v>
      </c>
      <c r="B934" s="1">
        <v>6253</v>
      </c>
      <c r="C934" s="1" t="s">
        <v>16</v>
      </c>
      <c r="D934" s="2">
        <v>77601.710000000006</v>
      </c>
      <c r="E934" s="1">
        <v>83</v>
      </c>
      <c r="F934" s="1" t="s">
        <v>21</v>
      </c>
      <c r="G934" s="3">
        <v>45337</v>
      </c>
      <c r="H934" s="2">
        <v>55981.1</v>
      </c>
      <c r="I934" s="13" t="s">
        <v>17</v>
      </c>
      <c r="J934" s="14" t="s">
        <v>19</v>
      </c>
      <c r="K934" s="14">
        <v>848</v>
      </c>
      <c r="L934" s="15">
        <v>45361</v>
      </c>
      <c r="M934" s="16">
        <v>10</v>
      </c>
      <c r="N9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4" s="31">
        <f>IF(Table64[[#This Row],[date validity flag]]&lt;&gt;"Valid","",Table64[[#This Row],[shipment date ]]-Table64[[#This Row],[Order date]])</f>
        <v>24</v>
      </c>
      <c r="P934" s="27" t="str">
        <f>TEXT(Table64[[#This Row],[Order date]],"mmm-yyyy")</f>
        <v>Feb-2024</v>
      </c>
      <c r="Q934" s="16" t="str">
        <f t="shared" si="14"/>
        <v>Delayed</v>
      </c>
    </row>
    <row r="935" spans="1:17" x14ac:dyDescent="0.3">
      <c r="A935" s="17">
        <v>10934</v>
      </c>
      <c r="B935" s="4">
        <v>6700</v>
      </c>
      <c r="C935" s="4" t="s">
        <v>12</v>
      </c>
      <c r="D935" s="5">
        <v>55724.55</v>
      </c>
      <c r="E935" s="4">
        <v>16</v>
      </c>
      <c r="F935" s="4" t="s">
        <v>23</v>
      </c>
      <c r="G935" s="6">
        <v>45306</v>
      </c>
      <c r="H935" s="5">
        <v>105366.63</v>
      </c>
      <c r="I935" s="18" t="s">
        <v>14</v>
      </c>
      <c r="J935" s="14" t="s">
        <v>19</v>
      </c>
      <c r="K935" s="14">
        <v>506</v>
      </c>
      <c r="L935" s="15">
        <v>45361</v>
      </c>
      <c r="M935" s="16">
        <v>5</v>
      </c>
      <c r="N9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5" s="31">
        <f>IF(Table64[[#This Row],[date validity flag]]&lt;&gt;"Valid","",Table64[[#This Row],[shipment date ]]-Table64[[#This Row],[Order date]])</f>
        <v>55</v>
      </c>
      <c r="P935" s="27" t="str">
        <f>TEXT(Table64[[#This Row],[Order date]],"mmm-yyyy")</f>
        <v>Jan-2024</v>
      </c>
      <c r="Q935" s="16" t="str">
        <f t="shared" si="14"/>
        <v>Delayed</v>
      </c>
    </row>
    <row r="936" spans="1:17" x14ac:dyDescent="0.3">
      <c r="A936" s="12">
        <v>10935</v>
      </c>
      <c r="B936" s="1">
        <v>6251</v>
      </c>
      <c r="C936" s="1" t="s">
        <v>16</v>
      </c>
      <c r="D936" s="2">
        <v>39246.25</v>
      </c>
      <c r="E936" s="1">
        <v>66</v>
      </c>
      <c r="F936" s="1" t="s">
        <v>21</v>
      </c>
      <c r="G936" s="3">
        <v>45361</v>
      </c>
      <c r="H936" s="2">
        <v>65484.34</v>
      </c>
      <c r="I936" s="13" t="s">
        <v>17</v>
      </c>
      <c r="J936" s="14" t="s">
        <v>18</v>
      </c>
      <c r="K936" s="14">
        <v>571</v>
      </c>
      <c r="L936" s="15">
        <v>45397</v>
      </c>
      <c r="M936" s="16">
        <v>3</v>
      </c>
      <c r="N9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6" s="31">
        <f>IF(Table64[[#This Row],[date validity flag]]&lt;&gt;"Valid","",Table64[[#This Row],[shipment date ]]-Table64[[#This Row],[Order date]])</f>
        <v>36</v>
      </c>
      <c r="P936" s="27" t="str">
        <f>TEXT(Table64[[#This Row],[Order date]],"mmm-yyyy")</f>
        <v>Mar-2024</v>
      </c>
      <c r="Q936" s="16" t="str">
        <f t="shared" si="14"/>
        <v>Delayed</v>
      </c>
    </row>
    <row r="937" spans="1:17" x14ac:dyDescent="0.3">
      <c r="A937" s="17">
        <v>10936</v>
      </c>
      <c r="B937" s="4">
        <v>6683</v>
      </c>
      <c r="C937" s="4" t="s">
        <v>16</v>
      </c>
      <c r="D937" s="5">
        <v>57561.07</v>
      </c>
      <c r="E937" s="4">
        <v>40</v>
      </c>
      <c r="F937" s="4" t="s">
        <v>22</v>
      </c>
      <c r="G937" s="6">
        <v>45337</v>
      </c>
      <c r="H937" s="5">
        <v>145309.74</v>
      </c>
      <c r="I937" s="18" t="s">
        <v>17</v>
      </c>
      <c r="J937" s="14" t="s">
        <v>19</v>
      </c>
      <c r="K937" s="14">
        <v>569</v>
      </c>
      <c r="L937" s="15">
        <v>45397</v>
      </c>
      <c r="M937" s="16">
        <v>10</v>
      </c>
      <c r="N93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37" s="31">
        <f>IF(Table64[[#This Row],[date validity flag]]&lt;&gt;"Valid","",Table64[[#This Row],[shipment date ]]-Table64[[#This Row],[Order date]])</f>
        <v>60</v>
      </c>
      <c r="P937" s="27" t="str">
        <f>TEXT(Table64[[#This Row],[Order date]],"mmm-yyyy")</f>
        <v>Feb-2024</v>
      </c>
      <c r="Q937" s="16" t="str">
        <f t="shared" si="14"/>
        <v>Delayed</v>
      </c>
    </row>
    <row r="938" spans="1:17" x14ac:dyDescent="0.3">
      <c r="A938" s="12">
        <v>10937</v>
      </c>
      <c r="B938" s="1">
        <v>6556</v>
      </c>
      <c r="C938" s="1" t="s">
        <v>16</v>
      </c>
      <c r="D938" s="2">
        <v>27879.09</v>
      </c>
      <c r="E938" s="1">
        <v>17</v>
      </c>
      <c r="F938" s="1" t="s">
        <v>23</v>
      </c>
      <c r="G938" s="3">
        <v>45383</v>
      </c>
      <c r="H938" s="2">
        <v>84331.91</v>
      </c>
      <c r="I938" s="13" t="s">
        <v>14</v>
      </c>
      <c r="J938" s="14" t="s">
        <v>15</v>
      </c>
      <c r="K938" s="14">
        <v>966</v>
      </c>
      <c r="L938" s="15">
        <v>45361</v>
      </c>
      <c r="M938" s="16">
        <v>3</v>
      </c>
      <c r="N9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38" s="31" t="str">
        <f>IF(Table64[[#This Row],[date validity flag]]&lt;&gt;"Valid","",Table64[[#This Row],[shipment date ]]-Table64[[#This Row],[Order date]])</f>
        <v/>
      </c>
      <c r="P938" s="27" t="str">
        <f>TEXT(Table64[[#This Row],[Order date]],"mmm-yyyy")</f>
        <v>Apr-2024</v>
      </c>
      <c r="Q938" s="16" t="str">
        <f t="shared" si="14"/>
        <v/>
      </c>
    </row>
    <row r="939" spans="1:17" x14ac:dyDescent="0.3">
      <c r="A939" s="17">
        <v>10938</v>
      </c>
      <c r="B939" s="4">
        <v>6465</v>
      </c>
      <c r="C939" s="4" t="s">
        <v>12</v>
      </c>
      <c r="D939" s="5">
        <v>24558.04</v>
      </c>
      <c r="E939" s="4">
        <v>34</v>
      </c>
      <c r="F939" s="4" t="s">
        <v>21</v>
      </c>
      <c r="G939" s="6">
        <v>45361</v>
      </c>
      <c r="H939" s="5">
        <v>25215</v>
      </c>
      <c r="I939" s="18" t="s">
        <v>17</v>
      </c>
      <c r="J939" s="14" t="s">
        <v>15</v>
      </c>
      <c r="K939" s="14">
        <v>766</v>
      </c>
      <c r="L939" s="15">
        <v>45332</v>
      </c>
      <c r="M939" s="16">
        <v>8</v>
      </c>
      <c r="N9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39" s="31" t="str">
        <f>IF(Table64[[#This Row],[date validity flag]]&lt;&gt;"Valid","",Table64[[#This Row],[shipment date ]]-Table64[[#This Row],[Order date]])</f>
        <v/>
      </c>
      <c r="P939" s="27" t="str">
        <f>TEXT(Table64[[#This Row],[Order date]],"mmm-yyyy")</f>
        <v>Mar-2024</v>
      </c>
      <c r="Q939" s="16" t="str">
        <f t="shared" si="14"/>
        <v/>
      </c>
    </row>
    <row r="940" spans="1:17" x14ac:dyDescent="0.3">
      <c r="A940" s="12">
        <v>10939</v>
      </c>
      <c r="B940" s="1">
        <v>6426</v>
      </c>
      <c r="C940" s="1" t="s">
        <v>12</v>
      </c>
      <c r="D940" s="2">
        <v>97138.16</v>
      </c>
      <c r="E940" s="1">
        <v>16</v>
      </c>
      <c r="F940" s="1" t="s">
        <v>13</v>
      </c>
      <c r="G940" s="3">
        <v>45383</v>
      </c>
      <c r="H940" s="2">
        <v>25994.83</v>
      </c>
      <c r="I940" s="13" t="s">
        <v>17</v>
      </c>
      <c r="J940" s="14" t="s">
        <v>19</v>
      </c>
      <c r="K940" s="14">
        <v>364</v>
      </c>
      <c r="L940" s="15">
        <v>45397</v>
      </c>
      <c r="M940" s="16">
        <v>7</v>
      </c>
      <c r="N9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0" s="31">
        <f>IF(Table64[[#This Row],[date validity flag]]&lt;&gt;"Valid","",Table64[[#This Row],[shipment date ]]-Table64[[#This Row],[Order date]])</f>
        <v>14</v>
      </c>
      <c r="P940" s="27" t="str">
        <f>TEXT(Table64[[#This Row],[Order date]],"mmm-yyyy")</f>
        <v>Apr-2024</v>
      </c>
      <c r="Q940" s="16" t="str">
        <f t="shared" si="14"/>
        <v>Delayed</v>
      </c>
    </row>
    <row r="941" spans="1:17" x14ac:dyDescent="0.3">
      <c r="A941" s="17">
        <v>10940</v>
      </c>
      <c r="B941" s="4">
        <v>5047</v>
      </c>
      <c r="C941" s="4" t="s">
        <v>16</v>
      </c>
      <c r="D941" s="5">
        <v>24207.21</v>
      </c>
      <c r="E941" s="4">
        <v>60</v>
      </c>
      <c r="F941" s="4" t="s">
        <v>23</v>
      </c>
      <c r="G941" s="6">
        <v>45306</v>
      </c>
      <c r="H941" s="5">
        <v>116101.51</v>
      </c>
      <c r="I941" s="18" t="s">
        <v>20</v>
      </c>
      <c r="J941" s="14" t="s">
        <v>15</v>
      </c>
      <c r="K941" s="14">
        <v>758</v>
      </c>
      <c r="L941" s="15">
        <v>45332</v>
      </c>
      <c r="M941" s="16">
        <v>1</v>
      </c>
      <c r="N9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1" s="31">
        <f>IF(Table64[[#This Row],[date validity flag]]&lt;&gt;"Valid","",Table64[[#This Row],[shipment date ]]-Table64[[#This Row],[Order date]])</f>
        <v>26</v>
      </c>
      <c r="P941" s="27" t="str">
        <f>TEXT(Table64[[#This Row],[Order date]],"mmm-yyyy")</f>
        <v>Jan-2024</v>
      </c>
      <c r="Q941" s="16" t="str">
        <f t="shared" si="14"/>
        <v>Delayed</v>
      </c>
    </row>
    <row r="942" spans="1:17" x14ac:dyDescent="0.3">
      <c r="A942" s="12">
        <v>10941</v>
      </c>
      <c r="B942" s="1">
        <v>6257</v>
      </c>
      <c r="C942" s="1" t="s">
        <v>16</v>
      </c>
      <c r="D942" s="2">
        <v>57810.28</v>
      </c>
      <c r="E942" s="1">
        <v>66</v>
      </c>
      <c r="F942" s="1" t="s">
        <v>23</v>
      </c>
      <c r="G942" s="3">
        <v>45306</v>
      </c>
      <c r="H942" s="2">
        <v>31394.240000000002</v>
      </c>
      <c r="I942" s="13" t="s">
        <v>17</v>
      </c>
      <c r="J942" s="14" t="s">
        <v>18</v>
      </c>
      <c r="K942" s="14">
        <v>759</v>
      </c>
      <c r="L942" s="15">
        <v>45397</v>
      </c>
      <c r="M942" s="16">
        <v>12</v>
      </c>
      <c r="N9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2" s="31">
        <f>IF(Table64[[#This Row],[date validity flag]]&lt;&gt;"Valid","",Table64[[#This Row],[shipment date ]]-Table64[[#This Row],[Order date]])</f>
        <v>91</v>
      </c>
      <c r="P942" s="27" t="str">
        <f>TEXT(Table64[[#This Row],[Order date]],"mmm-yyyy")</f>
        <v>Jan-2024</v>
      </c>
      <c r="Q942" s="16" t="str">
        <f t="shared" si="14"/>
        <v>Delayed</v>
      </c>
    </row>
    <row r="943" spans="1:17" x14ac:dyDescent="0.3">
      <c r="A943" s="17">
        <v>10942</v>
      </c>
      <c r="B943" s="4">
        <v>6329</v>
      </c>
      <c r="C943" s="4" t="s">
        <v>16</v>
      </c>
      <c r="D943" s="5">
        <v>81795.47</v>
      </c>
      <c r="E943" s="4">
        <v>66</v>
      </c>
      <c r="F943" s="4" t="s">
        <v>13</v>
      </c>
      <c r="G943" s="6">
        <v>45337</v>
      </c>
      <c r="H943" s="5">
        <v>35806.199999999997</v>
      </c>
      <c r="I943" s="18" t="s">
        <v>17</v>
      </c>
      <c r="J943" s="14" t="s">
        <v>19</v>
      </c>
      <c r="K943" s="14">
        <v>1093</v>
      </c>
      <c r="L943" s="15">
        <v>45361</v>
      </c>
      <c r="M943" s="16">
        <v>13</v>
      </c>
      <c r="N9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3" s="31">
        <f>IF(Table64[[#This Row],[date validity flag]]&lt;&gt;"Valid","",Table64[[#This Row],[shipment date ]]-Table64[[#This Row],[Order date]])</f>
        <v>24</v>
      </c>
      <c r="P943" s="27" t="str">
        <f>TEXT(Table64[[#This Row],[Order date]],"mmm-yyyy")</f>
        <v>Feb-2024</v>
      </c>
      <c r="Q943" s="16" t="str">
        <f t="shared" si="14"/>
        <v>Delayed</v>
      </c>
    </row>
    <row r="944" spans="1:17" x14ac:dyDescent="0.3">
      <c r="A944" s="12">
        <v>10943</v>
      </c>
      <c r="B944" s="1">
        <v>6550</v>
      </c>
      <c r="C944" s="1" t="s">
        <v>12</v>
      </c>
      <c r="D944" s="2">
        <v>40500.99</v>
      </c>
      <c r="E944" s="1">
        <v>90</v>
      </c>
      <c r="F944" s="1" t="s">
        <v>22</v>
      </c>
      <c r="G944" s="3">
        <v>45361</v>
      </c>
      <c r="H944" s="2">
        <v>108235.16</v>
      </c>
      <c r="I944" s="13" t="s">
        <v>14</v>
      </c>
      <c r="J944" s="14" t="s">
        <v>15</v>
      </c>
      <c r="K944" s="14">
        <v>609</v>
      </c>
      <c r="L944" s="15">
        <v>45332</v>
      </c>
      <c r="M944" s="16">
        <v>12</v>
      </c>
      <c r="N94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44" s="31" t="str">
        <f>IF(Table64[[#This Row],[date validity flag]]&lt;&gt;"Valid","",Table64[[#This Row],[shipment date ]]-Table64[[#This Row],[Order date]])</f>
        <v/>
      </c>
      <c r="P944" s="27" t="str">
        <f>TEXT(Table64[[#This Row],[Order date]],"mmm-yyyy")</f>
        <v>Mar-2024</v>
      </c>
      <c r="Q944" s="16" t="str">
        <f t="shared" si="14"/>
        <v/>
      </c>
    </row>
    <row r="945" spans="1:17" x14ac:dyDescent="0.3">
      <c r="A945" s="17">
        <v>10944</v>
      </c>
      <c r="B945" s="4">
        <v>6167</v>
      </c>
      <c r="C945" s="4" t="s">
        <v>16</v>
      </c>
      <c r="D945" s="5">
        <v>24279.78</v>
      </c>
      <c r="E945" s="4">
        <v>13</v>
      </c>
      <c r="F945" s="4" t="s">
        <v>13</v>
      </c>
      <c r="G945" s="6">
        <v>45383</v>
      </c>
      <c r="H945" s="5">
        <v>139994.29999999999</v>
      </c>
      <c r="I945" s="18" t="s">
        <v>17</v>
      </c>
      <c r="J945" s="14" t="s">
        <v>15</v>
      </c>
      <c r="K945" s="14">
        <v>1018</v>
      </c>
      <c r="L945" s="15">
        <v>45332</v>
      </c>
      <c r="M945" s="16">
        <v>5</v>
      </c>
      <c r="N94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45" s="31" t="str">
        <f>IF(Table64[[#This Row],[date validity flag]]&lt;&gt;"Valid","",Table64[[#This Row],[shipment date ]]-Table64[[#This Row],[Order date]])</f>
        <v/>
      </c>
      <c r="P945" s="27" t="str">
        <f>TEXT(Table64[[#This Row],[Order date]],"mmm-yyyy")</f>
        <v>Apr-2024</v>
      </c>
      <c r="Q945" s="16" t="str">
        <f t="shared" si="14"/>
        <v/>
      </c>
    </row>
    <row r="946" spans="1:17" x14ac:dyDescent="0.3">
      <c r="A946" s="12">
        <v>10945</v>
      </c>
      <c r="B946" s="1">
        <v>6439</v>
      </c>
      <c r="C946" s="1" t="s">
        <v>12</v>
      </c>
      <c r="D946" s="2">
        <v>71691.81</v>
      </c>
      <c r="E946" s="1">
        <v>56</v>
      </c>
      <c r="F946" s="1" t="s">
        <v>23</v>
      </c>
      <c r="G946" s="3">
        <v>45337</v>
      </c>
      <c r="H946" s="2">
        <v>81263.23</v>
      </c>
      <c r="I946" s="13" t="s">
        <v>17</v>
      </c>
      <c r="J946" s="14" t="s">
        <v>19</v>
      </c>
      <c r="K946" s="14">
        <v>1203</v>
      </c>
      <c r="L946" s="15">
        <v>45397</v>
      </c>
      <c r="M946" s="16">
        <v>9</v>
      </c>
      <c r="N9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6" s="31">
        <f>IF(Table64[[#This Row],[date validity flag]]&lt;&gt;"Valid","",Table64[[#This Row],[shipment date ]]-Table64[[#This Row],[Order date]])</f>
        <v>60</v>
      </c>
      <c r="P946" s="27" t="str">
        <f>TEXT(Table64[[#This Row],[Order date]],"mmm-yyyy")</f>
        <v>Feb-2024</v>
      </c>
      <c r="Q946" s="16" t="str">
        <f t="shared" si="14"/>
        <v>Delayed</v>
      </c>
    </row>
    <row r="947" spans="1:17" x14ac:dyDescent="0.3">
      <c r="A947" s="17">
        <v>10946</v>
      </c>
      <c r="B947" s="4">
        <v>6537</v>
      </c>
      <c r="C947" s="4" t="s">
        <v>16</v>
      </c>
      <c r="D947" s="5">
        <v>41466</v>
      </c>
      <c r="E947" s="4">
        <v>31</v>
      </c>
      <c r="F947" s="4" t="s">
        <v>22</v>
      </c>
      <c r="G947" s="6">
        <v>45306</v>
      </c>
      <c r="H947" s="5">
        <v>146274.23000000001</v>
      </c>
      <c r="I947" s="18" t="s">
        <v>20</v>
      </c>
      <c r="J947" s="14" t="s">
        <v>15</v>
      </c>
      <c r="K947" s="14">
        <v>1366</v>
      </c>
      <c r="L947" s="15">
        <v>45332</v>
      </c>
      <c r="M947" s="16">
        <v>4</v>
      </c>
      <c r="N9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7" s="31">
        <f>IF(Table64[[#This Row],[date validity flag]]&lt;&gt;"Valid","",Table64[[#This Row],[shipment date ]]-Table64[[#This Row],[Order date]])</f>
        <v>26</v>
      </c>
      <c r="P947" s="27" t="str">
        <f>TEXT(Table64[[#This Row],[Order date]],"mmm-yyyy")</f>
        <v>Jan-2024</v>
      </c>
      <c r="Q947" s="16" t="str">
        <f t="shared" si="14"/>
        <v>Delayed</v>
      </c>
    </row>
    <row r="948" spans="1:17" x14ac:dyDescent="0.3">
      <c r="A948" s="12">
        <v>10947</v>
      </c>
      <c r="B948" s="1">
        <v>6397</v>
      </c>
      <c r="C948" s="1" t="s">
        <v>16</v>
      </c>
      <c r="D948" s="2">
        <v>42546.32</v>
      </c>
      <c r="E948" s="1">
        <v>34</v>
      </c>
      <c r="F948" s="1" t="s">
        <v>21</v>
      </c>
      <c r="G948" s="3">
        <v>45306</v>
      </c>
      <c r="H948" s="2">
        <v>129879.12</v>
      </c>
      <c r="I948" s="13" t="s">
        <v>20</v>
      </c>
      <c r="J948" s="14" t="s">
        <v>19</v>
      </c>
      <c r="K948" s="14">
        <v>1205</v>
      </c>
      <c r="L948" s="15">
        <v>45397</v>
      </c>
      <c r="M948" s="16">
        <v>1</v>
      </c>
      <c r="N9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8" s="31">
        <f>IF(Table64[[#This Row],[date validity flag]]&lt;&gt;"Valid","",Table64[[#This Row],[shipment date ]]-Table64[[#This Row],[Order date]])</f>
        <v>91</v>
      </c>
      <c r="P948" s="27" t="str">
        <f>TEXT(Table64[[#This Row],[Order date]],"mmm-yyyy")</f>
        <v>Jan-2024</v>
      </c>
      <c r="Q948" s="16" t="str">
        <f t="shared" si="14"/>
        <v>Delayed</v>
      </c>
    </row>
    <row r="949" spans="1:17" x14ac:dyDescent="0.3">
      <c r="A949" s="17">
        <v>10948</v>
      </c>
      <c r="B949" s="4">
        <v>6590</v>
      </c>
      <c r="C949" s="4" t="s">
        <v>16</v>
      </c>
      <c r="D949" s="5">
        <v>59327.91</v>
      </c>
      <c r="E949" s="4">
        <v>39</v>
      </c>
      <c r="F949" s="4" t="s">
        <v>21</v>
      </c>
      <c r="G949" s="6">
        <v>45361</v>
      </c>
      <c r="H949" s="5">
        <v>34942.93</v>
      </c>
      <c r="I949" s="18" t="s">
        <v>14</v>
      </c>
      <c r="J949" s="14" t="s">
        <v>15</v>
      </c>
      <c r="K949" s="14">
        <v>405</v>
      </c>
      <c r="L949" s="15">
        <v>45361</v>
      </c>
      <c r="M949" s="16">
        <v>8</v>
      </c>
      <c r="N9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49" s="31">
        <f>IF(Table64[[#This Row],[date validity flag]]&lt;&gt;"Valid","",Table64[[#This Row],[shipment date ]]-Table64[[#This Row],[Order date]])</f>
        <v>0</v>
      </c>
      <c r="P949" s="27" t="str">
        <f>TEXT(Table64[[#This Row],[Order date]],"mmm-yyyy")</f>
        <v>Mar-2024</v>
      </c>
      <c r="Q949" s="16" t="str">
        <f t="shared" si="14"/>
        <v>On Time</v>
      </c>
    </row>
    <row r="950" spans="1:17" x14ac:dyDescent="0.3">
      <c r="A950" s="12">
        <v>10949</v>
      </c>
      <c r="B950" s="1">
        <v>6910</v>
      </c>
      <c r="C950" s="1" t="s">
        <v>16</v>
      </c>
      <c r="D950" s="2">
        <v>44467.09</v>
      </c>
      <c r="E950" s="1">
        <v>67</v>
      </c>
      <c r="F950" s="1" t="s">
        <v>21</v>
      </c>
      <c r="G950" s="3">
        <v>45383</v>
      </c>
      <c r="H950" s="2">
        <v>146452.71</v>
      </c>
      <c r="I950" s="13" t="s">
        <v>20</v>
      </c>
      <c r="J950" s="14" t="s">
        <v>18</v>
      </c>
      <c r="K950" s="14">
        <v>1127</v>
      </c>
      <c r="L950" s="15">
        <v>45332</v>
      </c>
      <c r="M950" s="16">
        <v>5</v>
      </c>
      <c r="N95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50" s="31" t="str">
        <f>IF(Table64[[#This Row],[date validity flag]]&lt;&gt;"Valid","",Table64[[#This Row],[shipment date ]]-Table64[[#This Row],[Order date]])</f>
        <v/>
      </c>
      <c r="P950" s="27" t="str">
        <f>TEXT(Table64[[#This Row],[Order date]],"mmm-yyyy")</f>
        <v>Apr-2024</v>
      </c>
      <c r="Q950" s="16" t="str">
        <f t="shared" si="14"/>
        <v/>
      </c>
    </row>
    <row r="951" spans="1:17" x14ac:dyDescent="0.3">
      <c r="A951" s="17">
        <v>10950</v>
      </c>
      <c r="B951" s="4">
        <v>6283</v>
      </c>
      <c r="C951" s="4" t="s">
        <v>16</v>
      </c>
      <c r="D951" s="5">
        <v>49716.9</v>
      </c>
      <c r="E951" s="4">
        <v>8</v>
      </c>
      <c r="F951" s="4" t="s">
        <v>23</v>
      </c>
      <c r="G951" s="6">
        <v>45361</v>
      </c>
      <c r="H951" s="5">
        <v>149534.89000000001</v>
      </c>
      <c r="I951" s="18" t="s">
        <v>17</v>
      </c>
      <c r="J951" s="14" t="s">
        <v>15</v>
      </c>
      <c r="K951" s="14">
        <v>939</v>
      </c>
      <c r="L951" s="15">
        <v>45397</v>
      </c>
      <c r="M951" s="16">
        <v>2</v>
      </c>
      <c r="N95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1" s="31">
        <f>IF(Table64[[#This Row],[date validity flag]]&lt;&gt;"Valid","",Table64[[#This Row],[shipment date ]]-Table64[[#This Row],[Order date]])</f>
        <v>36</v>
      </c>
      <c r="P951" s="27" t="str">
        <f>TEXT(Table64[[#This Row],[Order date]],"mmm-yyyy")</f>
        <v>Mar-2024</v>
      </c>
      <c r="Q951" s="16" t="str">
        <f t="shared" si="14"/>
        <v>Delayed</v>
      </c>
    </row>
    <row r="952" spans="1:17" x14ac:dyDescent="0.3">
      <c r="A952" s="12">
        <v>10951</v>
      </c>
      <c r="B952" s="1">
        <v>5656</v>
      </c>
      <c r="C952" s="1" t="s">
        <v>16</v>
      </c>
      <c r="D952" s="2">
        <v>49285.7</v>
      </c>
      <c r="E952" s="1">
        <v>87</v>
      </c>
      <c r="F952" s="1" t="s">
        <v>13</v>
      </c>
      <c r="G952" s="3">
        <v>45383</v>
      </c>
      <c r="H952" s="2">
        <v>41932.97</v>
      </c>
      <c r="I952" s="13" t="s">
        <v>17</v>
      </c>
      <c r="J952" s="14" t="s">
        <v>15</v>
      </c>
      <c r="K952" s="14">
        <v>842</v>
      </c>
      <c r="L952" s="15">
        <v>45332</v>
      </c>
      <c r="M952" s="16">
        <v>12</v>
      </c>
      <c r="N9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52" s="31" t="str">
        <f>IF(Table64[[#This Row],[date validity flag]]&lt;&gt;"Valid","",Table64[[#This Row],[shipment date ]]-Table64[[#This Row],[Order date]])</f>
        <v/>
      </c>
      <c r="P952" s="27" t="str">
        <f>TEXT(Table64[[#This Row],[Order date]],"mmm-yyyy")</f>
        <v>Apr-2024</v>
      </c>
      <c r="Q952" s="16" t="str">
        <f t="shared" si="14"/>
        <v/>
      </c>
    </row>
    <row r="953" spans="1:17" x14ac:dyDescent="0.3">
      <c r="A953" s="17">
        <v>10952</v>
      </c>
      <c r="B953" s="4">
        <v>5471</v>
      </c>
      <c r="C953" s="4" t="s">
        <v>16</v>
      </c>
      <c r="D953" s="5">
        <v>47976.21</v>
      </c>
      <c r="E953" s="4">
        <v>78</v>
      </c>
      <c r="F953" s="4" t="s">
        <v>22</v>
      </c>
      <c r="G953" s="6">
        <v>45383</v>
      </c>
      <c r="H953" s="5">
        <v>86417.74</v>
      </c>
      <c r="I953" s="18" t="s">
        <v>20</v>
      </c>
      <c r="J953" s="14" t="s">
        <v>19</v>
      </c>
      <c r="K953" s="14">
        <v>1460</v>
      </c>
      <c r="L953" s="15">
        <v>45397</v>
      </c>
      <c r="M953" s="16">
        <v>1</v>
      </c>
      <c r="N9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3" s="31">
        <f>IF(Table64[[#This Row],[date validity flag]]&lt;&gt;"Valid","",Table64[[#This Row],[shipment date ]]-Table64[[#This Row],[Order date]])</f>
        <v>14</v>
      </c>
      <c r="P953" s="27" t="str">
        <f>TEXT(Table64[[#This Row],[Order date]],"mmm-yyyy")</f>
        <v>Apr-2024</v>
      </c>
      <c r="Q953" s="16" t="str">
        <f t="shared" si="14"/>
        <v>Delayed</v>
      </c>
    </row>
    <row r="954" spans="1:17" x14ac:dyDescent="0.3">
      <c r="A954" s="12">
        <v>10953</v>
      </c>
      <c r="B954" s="1">
        <v>6977</v>
      </c>
      <c r="C954" s="1" t="s">
        <v>12</v>
      </c>
      <c r="D954" s="2">
        <v>32350.42</v>
      </c>
      <c r="E954" s="1">
        <v>55</v>
      </c>
      <c r="F954" s="1" t="s">
        <v>21</v>
      </c>
      <c r="G954" s="3">
        <v>45361</v>
      </c>
      <c r="H954" s="2">
        <v>127559.71</v>
      </c>
      <c r="I954" s="13" t="s">
        <v>17</v>
      </c>
      <c r="J954" s="14" t="s">
        <v>15</v>
      </c>
      <c r="K954" s="14">
        <v>314</v>
      </c>
      <c r="L954" s="15">
        <v>45397</v>
      </c>
      <c r="M954" s="16">
        <v>14</v>
      </c>
      <c r="N95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4" s="31">
        <f>IF(Table64[[#This Row],[date validity flag]]&lt;&gt;"Valid","",Table64[[#This Row],[shipment date ]]-Table64[[#This Row],[Order date]])</f>
        <v>36</v>
      </c>
      <c r="P954" s="27" t="str">
        <f>TEXT(Table64[[#This Row],[Order date]],"mmm-yyyy")</f>
        <v>Mar-2024</v>
      </c>
      <c r="Q954" s="16" t="str">
        <f t="shared" si="14"/>
        <v>Delayed</v>
      </c>
    </row>
    <row r="955" spans="1:17" x14ac:dyDescent="0.3">
      <c r="A955" s="17">
        <v>10954</v>
      </c>
      <c r="B955" s="4">
        <v>5971</v>
      </c>
      <c r="C955" s="4" t="s">
        <v>12</v>
      </c>
      <c r="D955" s="5">
        <v>36864.71</v>
      </c>
      <c r="E955" s="4">
        <v>27</v>
      </c>
      <c r="F955" s="4" t="s">
        <v>22</v>
      </c>
      <c r="G955" s="6">
        <v>45337</v>
      </c>
      <c r="H955" s="5">
        <v>15772.87</v>
      </c>
      <c r="I955" s="18" t="s">
        <v>17</v>
      </c>
      <c r="J955" s="14" t="s">
        <v>19</v>
      </c>
      <c r="K955" s="14">
        <v>1031</v>
      </c>
      <c r="L955" s="15">
        <v>45397</v>
      </c>
      <c r="M955" s="16">
        <v>12</v>
      </c>
      <c r="N9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5" s="31">
        <f>IF(Table64[[#This Row],[date validity flag]]&lt;&gt;"Valid","",Table64[[#This Row],[shipment date ]]-Table64[[#This Row],[Order date]])</f>
        <v>60</v>
      </c>
      <c r="P955" s="27" t="str">
        <f>TEXT(Table64[[#This Row],[Order date]],"mmm-yyyy")</f>
        <v>Feb-2024</v>
      </c>
      <c r="Q955" s="16" t="str">
        <f t="shared" si="14"/>
        <v>Delayed</v>
      </c>
    </row>
    <row r="956" spans="1:17" x14ac:dyDescent="0.3">
      <c r="A956" s="12">
        <v>10955</v>
      </c>
      <c r="B956" s="1">
        <v>6036</v>
      </c>
      <c r="C956" s="1" t="s">
        <v>16</v>
      </c>
      <c r="D956" s="2">
        <v>73418</v>
      </c>
      <c r="E956" s="1">
        <v>93</v>
      </c>
      <c r="F956" s="1" t="s">
        <v>23</v>
      </c>
      <c r="G956" s="3">
        <v>45361</v>
      </c>
      <c r="H956" s="2">
        <v>156591.22</v>
      </c>
      <c r="I956" s="13" t="s">
        <v>14</v>
      </c>
      <c r="J956" s="14" t="s">
        <v>18</v>
      </c>
      <c r="K956" s="14">
        <v>1288</v>
      </c>
      <c r="L956" s="15">
        <v>45361</v>
      </c>
      <c r="M956" s="16">
        <v>12</v>
      </c>
      <c r="N9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6" s="31">
        <f>IF(Table64[[#This Row],[date validity flag]]&lt;&gt;"Valid","",Table64[[#This Row],[shipment date ]]-Table64[[#This Row],[Order date]])</f>
        <v>0</v>
      </c>
      <c r="P956" s="27" t="str">
        <f>TEXT(Table64[[#This Row],[Order date]],"mmm-yyyy")</f>
        <v>Mar-2024</v>
      </c>
      <c r="Q956" s="16" t="str">
        <f t="shared" si="14"/>
        <v>On Time</v>
      </c>
    </row>
    <row r="957" spans="1:17" x14ac:dyDescent="0.3">
      <c r="A957" s="17">
        <v>10956</v>
      </c>
      <c r="B957" s="4">
        <v>6354</v>
      </c>
      <c r="C957" s="4" t="s">
        <v>12</v>
      </c>
      <c r="D957" s="5">
        <v>77497.58</v>
      </c>
      <c r="E957" s="4">
        <v>53</v>
      </c>
      <c r="F957" s="4" t="s">
        <v>21</v>
      </c>
      <c r="G957" s="6">
        <v>45361</v>
      </c>
      <c r="H957" s="5">
        <v>25655.93</v>
      </c>
      <c r="I957" s="18" t="s">
        <v>20</v>
      </c>
      <c r="J957" s="14" t="s">
        <v>19</v>
      </c>
      <c r="K957" s="14">
        <v>851</v>
      </c>
      <c r="L957" s="15">
        <v>45332</v>
      </c>
      <c r="M957" s="16">
        <v>12</v>
      </c>
      <c r="N95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57" s="31" t="str">
        <f>IF(Table64[[#This Row],[date validity flag]]&lt;&gt;"Valid","",Table64[[#This Row],[shipment date ]]-Table64[[#This Row],[Order date]])</f>
        <v/>
      </c>
      <c r="P957" s="27" t="str">
        <f>TEXT(Table64[[#This Row],[Order date]],"mmm-yyyy")</f>
        <v>Mar-2024</v>
      </c>
      <c r="Q957" s="16" t="str">
        <f t="shared" si="14"/>
        <v/>
      </c>
    </row>
    <row r="958" spans="1:17" x14ac:dyDescent="0.3">
      <c r="A958" s="12">
        <v>10957</v>
      </c>
      <c r="B958" s="1">
        <v>5736</v>
      </c>
      <c r="C958" s="1" t="s">
        <v>16</v>
      </c>
      <c r="D958" s="2">
        <v>72872.87</v>
      </c>
      <c r="E958" s="1">
        <v>39</v>
      </c>
      <c r="F958" s="1" t="s">
        <v>23</v>
      </c>
      <c r="G958" s="3">
        <v>45306</v>
      </c>
      <c r="H958" s="2">
        <v>136052.10999999999</v>
      </c>
      <c r="I958" s="13" t="s">
        <v>17</v>
      </c>
      <c r="J958" s="14" t="s">
        <v>19</v>
      </c>
      <c r="K958" s="14">
        <v>92</v>
      </c>
      <c r="L958" s="15">
        <v>45361</v>
      </c>
      <c r="M958" s="16">
        <v>3</v>
      </c>
      <c r="N9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8" s="31">
        <f>IF(Table64[[#This Row],[date validity flag]]&lt;&gt;"Valid","",Table64[[#This Row],[shipment date ]]-Table64[[#This Row],[Order date]])</f>
        <v>55</v>
      </c>
      <c r="P958" s="27" t="str">
        <f>TEXT(Table64[[#This Row],[Order date]],"mmm-yyyy")</f>
        <v>Jan-2024</v>
      </c>
      <c r="Q958" s="16" t="str">
        <f t="shared" si="14"/>
        <v>Delayed</v>
      </c>
    </row>
    <row r="959" spans="1:17" x14ac:dyDescent="0.3">
      <c r="A959" s="17">
        <v>10958</v>
      </c>
      <c r="B959" s="4">
        <v>5784</v>
      </c>
      <c r="C959" s="4" t="s">
        <v>16</v>
      </c>
      <c r="D959" s="5">
        <v>20554.169999999998</v>
      </c>
      <c r="E959" s="4">
        <v>65</v>
      </c>
      <c r="F959" s="4" t="s">
        <v>13</v>
      </c>
      <c r="G959" s="6">
        <v>45306</v>
      </c>
      <c r="H959" s="5">
        <v>112662.56</v>
      </c>
      <c r="I959" s="18" t="s">
        <v>20</v>
      </c>
      <c r="J959" s="14" t="s">
        <v>15</v>
      </c>
      <c r="K959" s="14">
        <v>911</v>
      </c>
      <c r="L959" s="15">
        <v>45397</v>
      </c>
      <c r="M959" s="16">
        <v>9</v>
      </c>
      <c r="N9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59" s="31">
        <f>IF(Table64[[#This Row],[date validity flag]]&lt;&gt;"Valid","",Table64[[#This Row],[shipment date ]]-Table64[[#This Row],[Order date]])</f>
        <v>91</v>
      </c>
      <c r="P959" s="27" t="str">
        <f>TEXT(Table64[[#This Row],[Order date]],"mmm-yyyy")</f>
        <v>Jan-2024</v>
      </c>
      <c r="Q959" s="16" t="str">
        <f t="shared" si="14"/>
        <v>Delayed</v>
      </c>
    </row>
    <row r="960" spans="1:17" x14ac:dyDescent="0.3">
      <c r="A960" s="12">
        <v>10959</v>
      </c>
      <c r="B960" s="1">
        <v>5968</v>
      </c>
      <c r="C960" s="1" t="s">
        <v>16</v>
      </c>
      <c r="D960" s="2">
        <v>72765.070000000007</v>
      </c>
      <c r="E960" s="1">
        <v>17</v>
      </c>
      <c r="F960" s="1" t="s">
        <v>23</v>
      </c>
      <c r="G960" s="3">
        <v>45361</v>
      </c>
      <c r="H960" s="2">
        <v>37278.480000000003</v>
      </c>
      <c r="I960" s="13" t="s">
        <v>14</v>
      </c>
      <c r="J960" s="14" t="s">
        <v>18</v>
      </c>
      <c r="K960" s="14">
        <v>1351</v>
      </c>
      <c r="L960" s="15">
        <v>45397</v>
      </c>
      <c r="M960" s="16">
        <v>1</v>
      </c>
      <c r="N9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0" s="31">
        <f>IF(Table64[[#This Row],[date validity flag]]&lt;&gt;"Valid","",Table64[[#This Row],[shipment date ]]-Table64[[#This Row],[Order date]])</f>
        <v>36</v>
      </c>
      <c r="P960" s="27" t="str">
        <f>TEXT(Table64[[#This Row],[Order date]],"mmm-yyyy")</f>
        <v>Mar-2024</v>
      </c>
      <c r="Q960" s="16" t="str">
        <f t="shared" si="14"/>
        <v>Delayed</v>
      </c>
    </row>
    <row r="961" spans="1:17" x14ac:dyDescent="0.3">
      <c r="A961" s="17">
        <v>10960</v>
      </c>
      <c r="B961" s="4">
        <v>5358</v>
      </c>
      <c r="C961" s="4" t="s">
        <v>16</v>
      </c>
      <c r="D961" s="5">
        <v>59465.59</v>
      </c>
      <c r="E961" s="4">
        <v>30</v>
      </c>
      <c r="F961" s="4" t="s">
        <v>23</v>
      </c>
      <c r="G961" s="6">
        <v>45361</v>
      </c>
      <c r="H961" s="5">
        <v>66980.039999999994</v>
      </c>
      <c r="I961" s="18" t="s">
        <v>20</v>
      </c>
      <c r="J961" s="14" t="s">
        <v>19</v>
      </c>
      <c r="K961" s="14">
        <v>1203</v>
      </c>
      <c r="L961" s="15">
        <v>45361</v>
      </c>
      <c r="M961" s="16">
        <v>4</v>
      </c>
      <c r="N9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1" s="31">
        <f>IF(Table64[[#This Row],[date validity flag]]&lt;&gt;"Valid","",Table64[[#This Row],[shipment date ]]-Table64[[#This Row],[Order date]])</f>
        <v>0</v>
      </c>
      <c r="P961" s="27" t="str">
        <f>TEXT(Table64[[#This Row],[Order date]],"mmm-yyyy")</f>
        <v>Mar-2024</v>
      </c>
      <c r="Q961" s="16" t="str">
        <f t="shared" si="14"/>
        <v>On Time</v>
      </c>
    </row>
    <row r="962" spans="1:17" x14ac:dyDescent="0.3">
      <c r="A962" s="12">
        <v>10961</v>
      </c>
      <c r="B962" s="1">
        <v>5972</v>
      </c>
      <c r="C962" s="1" t="s">
        <v>16</v>
      </c>
      <c r="D962" s="2">
        <v>48578.01</v>
      </c>
      <c r="E962" s="1">
        <v>53</v>
      </c>
      <c r="F962" s="1" t="s">
        <v>13</v>
      </c>
      <c r="G962" s="3">
        <v>45306</v>
      </c>
      <c r="H962" s="2">
        <v>67375.960000000006</v>
      </c>
      <c r="I962" s="13" t="s">
        <v>17</v>
      </c>
      <c r="J962" s="14" t="s">
        <v>15</v>
      </c>
      <c r="K962" s="14">
        <v>399</v>
      </c>
      <c r="L962" s="15">
        <v>45361</v>
      </c>
      <c r="M962" s="16">
        <v>8</v>
      </c>
      <c r="N9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2" s="31">
        <f>IF(Table64[[#This Row],[date validity flag]]&lt;&gt;"Valid","",Table64[[#This Row],[shipment date ]]-Table64[[#This Row],[Order date]])</f>
        <v>55</v>
      </c>
      <c r="P962" s="27" t="str">
        <f>TEXT(Table64[[#This Row],[Order date]],"mmm-yyyy")</f>
        <v>Jan-2024</v>
      </c>
      <c r="Q962" s="16" t="str">
        <f t="shared" ref="Q962:Q1025" si="15">IF(O962="","",IF(O962&gt;0,"Delayed","On Time"))</f>
        <v>Delayed</v>
      </c>
    </row>
    <row r="963" spans="1:17" x14ac:dyDescent="0.3">
      <c r="A963" s="17">
        <v>10962</v>
      </c>
      <c r="B963" s="4">
        <v>6432</v>
      </c>
      <c r="C963" s="4" t="s">
        <v>16</v>
      </c>
      <c r="D963" s="5">
        <v>34519.97</v>
      </c>
      <c r="E963" s="4">
        <v>13</v>
      </c>
      <c r="F963" s="4" t="s">
        <v>22</v>
      </c>
      <c r="G963" s="6">
        <v>45383</v>
      </c>
      <c r="H963" s="5">
        <v>151264.35</v>
      </c>
      <c r="I963" s="18" t="s">
        <v>20</v>
      </c>
      <c r="J963" s="14" t="s">
        <v>15</v>
      </c>
      <c r="K963" s="14">
        <v>1179</v>
      </c>
      <c r="L963" s="15">
        <v>45332</v>
      </c>
      <c r="M963" s="16">
        <v>8</v>
      </c>
      <c r="N96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63" s="31" t="str">
        <f>IF(Table64[[#This Row],[date validity flag]]&lt;&gt;"Valid","",Table64[[#This Row],[shipment date ]]-Table64[[#This Row],[Order date]])</f>
        <v/>
      </c>
      <c r="P963" s="27" t="str">
        <f>TEXT(Table64[[#This Row],[Order date]],"mmm-yyyy")</f>
        <v>Apr-2024</v>
      </c>
      <c r="Q963" s="16" t="str">
        <f t="shared" si="15"/>
        <v/>
      </c>
    </row>
    <row r="964" spans="1:17" x14ac:dyDescent="0.3">
      <c r="A964" s="12">
        <v>10963</v>
      </c>
      <c r="B964" s="1">
        <v>5668</v>
      </c>
      <c r="C964" s="1" t="s">
        <v>12</v>
      </c>
      <c r="D964" s="2">
        <v>71160.44</v>
      </c>
      <c r="E964" s="1">
        <v>21</v>
      </c>
      <c r="F964" s="1" t="s">
        <v>13</v>
      </c>
      <c r="G964" s="3">
        <v>45361</v>
      </c>
      <c r="H964" s="2">
        <v>107480.95</v>
      </c>
      <c r="I964" s="13" t="s">
        <v>17</v>
      </c>
      <c r="J964" s="14" t="s">
        <v>19</v>
      </c>
      <c r="K964" s="14">
        <v>961</v>
      </c>
      <c r="L964" s="15">
        <v>45397</v>
      </c>
      <c r="M964" s="16">
        <v>10</v>
      </c>
      <c r="N9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4" s="31">
        <f>IF(Table64[[#This Row],[date validity flag]]&lt;&gt;"Valid","",Table64[[#This Row],[shipment date ]]-Table64[[#This Row],[Order date]])</f>
        <v>36</v>
      </c>
      <c r="P964" s="27" t="str">
        <f>TEXT(Table64[[#This Row],[Order date]],"mmm-yyyy")</f>
        <v>Mar-2024</v>
      </c>
      <c r="Q964" s="16" t="str">
        <f t="shared" si="15"/>
        <v>Delayed</v>
      </c>
    </row>
    <row r="965" spans="1:17" x14ac:dyDescent="0.3">
      <c r="A965" s="17">
        <v>10964</v>
      </c>
      <c r="B965" s="4">
        <v>5373</v>
      </c>
      <c r="C965" s="4" t="s">
        <v>12</v>
      </c>
      <c r="D965" s="5">
        <v>31967.22</v>
      </c>
      <c r="E965" s="4">
        <v>19</v>
      </c>
      <c r="F965" s="4" t="s">
        <v>13</v>
      </c>
      <c r="G965" s="6">
        <v>45337</v>
      </c>
      <c r="H965" s="5">
        <v>23062.28</v>
      </c>
      <c r="I965" s="18" t="s">
        <v>17</v>
      </c>
      <c r="J965" s="14" t="s">
        <v>15</v>
      </c>
      <c r="K965" s="14">
        <v>50</v>
      </c>
      <c r="L965" s="15">
        <v>45361</v>
      </c>
      <c r="M965" s="16">
        <v>12</v>
      </c>
      <c r="N9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5" s="31">
        <f>IF(Table64[[#This Row],[date validity flag]]&lt;&gt;"Valid","",Table64[[#This Row],[shipment date ]]-Table64[[#This Row],[Order date]])</f>
        <v>24</v>
      </c>
      <c r="P965" s="27" t="str">
        <f>TEXT(Table64[[#This Row],[Order date]],"mmm-yyyy")</f>
        <v>Feb-2024</v>
      </c>
      <c r="Q965" s="16" t="str">
        <f t="shared" si="15"/>
        <v>Delayed</v>
      </c>
    </row>
    <row r="966" spans="1:17" x14ac:dyDescent="0.3">
      <c r="A966" s="12">
        <v>10965</v>
      </c>
      <c r="B966" s="1">
        <v>6032</v>
      </c>
      <c r="C966" s="1" t="s">
        <v>16</v>
      </c>
      <c r="D966" s="2">
        <v>51773.42</v>
      </c>
      <c r="E966" s="1">
        <v>53</v>
      </c>
      <c r="F966" s="1" t="s">
        <v>23</v>
      </c>
      <c r="G966" s="3">
        <v>45337</v>
      </c>
      <c r="H966" s="2">
        <v>101067.66</v>
      </c>
      <c r="I966" s="13" t="s">
        <v>17</v>
      </c>
      <c r="J966" s="14" t="s">
        <v>19</v>
      </c>
      <c r="K966" s="14">
        <v>633</v>
      </c>
      <c r="L966" s="15">
        <v>45397</v>
      </c>
      <c r="M966" s="16">
        <v>11</v>
      </c>
      <c r="N9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6" s="31">
        <f>IF(Table64[[#This Row],[date validity flag]]&lt;&gt;"Valid","",Table64[[#This Row],[shipment date ]]-Table64[[#This Row],[Order date]])</f>
        <v>60</v>
      </c>
      <c r="P966" s="27" t="str">
        <f>TEXT(Table64[[#This Row],[Order date]],"mmm-yyyy")</f>
        <v>Feb-2024</v>
      </c>
      <c r="Q966" s="16" t="str">
        <f t="shared" si="15"/>
        <v>Delayed</v>
      </c>
    </row>
    <row r="967" spans="1:17" x14ac:dyDescent="0.3">
      <c r="A967" s="17">
        <v>10966</v>
      </c>
      <c r="B967" s="4">
        <v>6146</v>
      </c>
      <c r="C967" s="4" t="s">
        <v>16</v>
      </c>
      <c r="D967" s="5">
        <v>78180.36</v>
      </c>
      <c r="E967" s="4">
        <v>19</v>
      </c>
      <c r="F967" s="4" t="s">
        <v>22</v>
      </c>
      <c r="G967" s="6">
        <v>45337</v>
      </c>
      <c r="H967" s="5">
        <v>22018.5</v>
      </c>
      <c r="I967" s="18" t="s">
        <v>14</v>
      </c>
      <c r="J967" s="14" t="s">
        <v>19</v>
      </c>
      <c r="K967" s="14">
        <v>481</v>
      </c>
      <c r="L967" s="15">
        <v>45397</v>
      </c>
      <c r="M967" s="16">
        <v>13</v>
      </c>
      <c r="N9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67" s="31">
        <f>IF(Table64[[#This Row],[date validity flag]]&lt;&gt;"Valid","",Table64[[#This Row],[shipment date ]]-Table64[[#This Row],[Order date]])</f>
        <v>60</v>
      </c>
      <c r="P967" s="27" t="str">
        <f>TEXT(Table64[[#This Row],[Order date]],"mmm-yyyy")</f>
        <v>Feb-2024</v>
      </c>
      <c r="Q967" s="16" t="str">
        <f t="shared" si="15"/>
        <v>Delayed</v>
      </c>
    </row>
    <row r="968" spans="1:17" x14ac:dyDescent="0.3">
      <c r="A968" s="12">
        <v>10967</v>
      </c>
      <c r="B968" s="1">
        <v>6372</v>
      </c>
      <c r="C968" s="1" t="s">
        <v>12</v>
      </c>
      <c r="D968" s="2">
        <v>26850.61</v>
      </c>
      <c r="E968" s="1">
        <v>57</v>
      </c>
      <c r="F968" s="1" t="s">
        <v>21</v>
      </c>
      <c r="G968" s="3">
        <v>45361</v>
      </c>
      <c r="H968" s="2">
        <v>76936.36</v>
      </c>
      <c r="I968" s="13" t="s">
        <v>20</v>
      </c>
      <c r="J968" s="14" t="s">
        <v>19</v>
      </c>
      <c r="K968" s="14">
        <v>1379</v>
      </c>
      <c r="L968" s="15">
        <v>45332</v>
      </c>
      <c r="M968" s="16">
        <v>11</v>
      </c>
      <c r="N96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68" s="31" t="str">
        <f>IF(Table64[[#This Row],[date validity flag]]&lt;&gt;"Valid","",Table64[[#This Row],[shipment date ]]-Table64[[#This Row],[Order date]])</f>
        <v/>
      </c>
      <c r="P968" s="27" t="str">
        <f>TEXT(Table64[[#This Row],[Order date]],"mmm-yyyy")</f>
        <v>Mar-2024</v>
      </c>
      <c r="Q968" s="16" t="str">
        <f t="shared" si="15"/>
        <v/>
      </c>
    </row>
    <row r="969" spans="1:17" x14ac:dyDescent="0.3">
      <c r="A969" s="17">
        <v>10968</v>
      </c>
      <c r="B969" s="4">
        <v>5676</v>
      </c>
      <c r="C969" s="4" t="s">
        <v>16</v>
      </c>
      <c r="D969" s="5">
        <v>53864.3</v>
      </c>
      <c r="E969" s="4">
        <v>25</v>
      </c>
      <c r="F969" s="4" t="s">
        <v>13</v>
      </c>
      <c r="G969" s="6">
        <v>45383</v>
      </c>
      <c r="H969" s="5">
        <v>135264.69</v>
      </c>
      <c r="I969" s="18" t="s">
        <v>14</v>
      </c>
      <c r="J969" s="14" t="s">
        <v>18</v>
      </c>
      <c r="K969" s="14">
        <v>102</v>
      </c>
      <c r="L969" s="15">
        <v>45332</v>
      </c>
      <c r="M969" s="16">
        <v>8</v>
      </c>
      <c r="N96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69" s="31" t="str">
        <f>IF(Table64[[#This Row],[date validity flag]]&lt;&gt;"Valid","",Table64[[#This Row],[shipment date ]]-Table64[[#This Row],[Order date]])</f>
        <v/>
      </c>
      <c r="P969" s="27" t="str">
        <f>TEXT(Table64[[#This Row],[Order date]],"mmm-yyyy")</f>
        <v>Apr-2024</v>
      </c>
      <c r="Q969" s="16" t="str">
        <f t="shared" si="15"/>
        <v/>
      </c>
    </row>
    <row r="970" spans="1:17" x14ac:dyDescent="0.3">
      <c r="A970" s="12">
        <v>10969</v>
      </c>
      <c r="B970" s="1">
        <v>5090</v>
      </c>
      <c r="C970" s="1" t="s">
        <v>12</v>
      </c>
      <c r="D970" s="2">
        <v>23550.54</v>
      </c>
      <c r="E970" s="1">
        <v>86</v>
      </c>
      <c r="F970" s="1" t="s">
        <v>22</v>
      </c>
      <c r="G970" s="3">
        <v>45383</v>
      </c>
      <c r="H970" s="2">
        <v>48127.88</v>
      </c>
      <c r="I970" s="13" t="s">
        <v>20</v>
      </c>
      <c r="J970" s="14" t="s">
        <v>19</v>
      </c>
      <c r="K970" s="14">
        <v>989</v>
      </c>
      <c r="L970" s="15">
        <v>45332</v>
      </c>
      <c r="M970" s="16">
        <v>10</v>
      </c>
      <c r="N97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70" s="31" t="str">
        <f>IF(Table64[[#This Row],[date validity flag]]&lt;&gt;"Valid","",Table64[[#This Row],[shipment date ]]-Table64[[#This Row],[Order date]])</f>
        <v/>
      </c>
      <c r="P970" s="27" t="str">
        <f>TEXT(Table64[[#This Row],[Order date]],"mmm-yyyy")</f>
        <v>Apr-2024</v>
      </c>
      <c r="Q970" s="16" t="str">
        <f t="shared" si="15"/>
        <v/>
      </c>
    </row>
    <row r="971" spans="1:17" x14ac:dyDescent="0.3">
      <c r="A971" s="17">
        <v>10970</v>
      </c>
      <c r="B971" s="4">
        <v>6672</v>
      </c>
      <c r="C971" s="4" t="s">
        <v>16</v>
      </c>
      <c r="D971" s="5">
        <v>45581.35</v>
      </c>
      <c r="E971" s="4">
        <v>31</v>
      </c>
      <c r="F971" s="4" t="s">
        <v>13</v>
      </c>
      <c r="G971" s="6">
        <v>45306</v>
      </c>
      <c r="H971" s="5">
        <v>131812.26</v>
      </c>
      <c r="I971" s="18" t="s">
        <v>14</v>
      </c>
      <c r="J971" s="14" t="s">
        <v>15</v>
      </c>
      <c r="K971" s="14">
        <v>569</v>
      </c>
      <c r="L971" s="15">
        <v>45361</v>
      </c>
      <c r="M971" s="16">
        <v>8</v>
      </c>
      <c r="N9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71" s="31">
        <f>IF(Table64[[#This Row],[date validity flag]]&lt;&gt;"Valid","",Table64[[#This Row],[shipment date ]]-Table64[[#This Row],[Order date]])</f>
        <v>55</v>
      </c>
      <c r="P971" s="27" t="str">
        <f>TEXT(Table64[[#This Row],[Order date]],"mmm-yyyy")</f>
        <v>Jan-2024</v>
      </c>
      <c r="Q971" s="16" t="str">
        <f t="shared" si="15"/>
        <v>Delayed</v>
      </c>
    </row>
    <row r="972" spans="1:17" x14ac:dyDescent="0.3">
      <c r="A972" s="12">
        <v>10971</v>
      </c>
      <c r="B972" s="1">
        <v>5698</v>
      </c>
      <c r="C972" s="1" t="s">
        <v>16</v>
      </c>
      <c r="D972" s="2">
        <v>89876.61</v>
      </c>
      <c r="E972" s="1">
        <v>81</v>
      </c>
      <c r="F972" s="1" t="s">
        <v>13</v>
      </c>
      <c r="G972" s="3">
        <v>45361</v>
      </c>
      <c r="H972" s="2">
        <v>141164.92000000001</v>
      </c>
      <c r="I972" s="13" t="s">
        <v>17</v>
      </c>
      <c r="J972" s="14" t="s">
        <v>18</v>
      </c>
      <c r="K972" s="14">
        <v>1403</v>
      </c>
      <c r="L972" s="15">
        <v>45397</v>
      </c>
      <c r="M972" s="16">
        <v>4</v>
      </c>
      <c r="N9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72" s="31">
        <f>IF(Table64[[#This Row],[date validity flag]]&lt;&gt;"Valid","",Table64[[#This Row],[shipment date ]]-Table64[[#This Row],[Order date]])</f>
        <v>36</v>
      </c>
      <c r="P972" s="27" t="str">
        <f>TEXT(Table64[[#This Row],[Order date]],"mmm-yyyy")</f>
        <v>Mar-2024</v>
      </c>
      <c r="Q972" s="16" t="str">
        <f t="shared" si="15"/>
        <v>Delayed</v>
      </c>
    </row>
    <row r="973" spans="1:17" x14ac:dyDescent="0.3">
      <c r="A973" s="17">
        <v>10972</v>
      </c>
      <c r="B973" s="4">
        <v>6340</v>
      </c>
      <c r="C973" s="4" t="s">
        <v>12</v>
      </c>
      <c r="D973" s="5">
        <v>77900.75</v>
      </c>
      <c r="E973" s="4">
        <v>55</v>
      </c>
      <c r="F973" s="4" t="s">
        <v>13</v>
      </c>
      <c r="G973" s="6">
        <v>45383</v>
      </c>
      <c r="H973" s="5">
        <v>33127.050000000003</v>
      </c>
      <c r="I973" s="18" t="s">
        <v>17</v>
      </c>
      <c r="J973" s="14" t="s">
        <v>15</v>
      </c>
      <c r="K973" s="14">
        <v>1398</v>
      </c>
      <c r="L973" s="15">
        <v>45361</v>
      </c>
      <c r="M973" s="16">
        <v>8</v>
      </c>
      <c r="N97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73" s="31" t="str">
        <f>IF(Table64[[#This Row],[date validity flag]]&lt;&gt;"Valid","",Table64[[#This Row],[shipment date ]]-Table64[[#This Row],[Order date]])</f>
        <v/>
      </c>
      <c r="P973" s="27" t="str">
        <f>TEXT(Table64[[#This Row],[Order date]],"mmm-yyyy")</f>
        <v>Apr-2024</v>
      </c>
      <c r="Q973" s="16" t="str">
        <f t="shared" si="15"/>
        <v/>
      </c>
    </row>
    <row r="974" spans="1:17" x14ac:dyDescent="0.3">
      <c r="A974" s="12">
        <v>10973</v>
      </c>
      <c r="B974" s="1">
        <v>6202</v>
      </c>
      <c r="C974" s="1" t="s">
        <v>16</v>
      </c>
      <c r="D974" s="2">
        <v>29189.47</v>
      </c>
      <c r="E974" s="1">
        <v>23</v>
      </c>
      <c r="F974" s="1" t="s">
        <v>13</v>
      </c>
      <c r="G974" s="3">
        <v>45361</v>
      </c>
      <c r="H974" s="2">
        <v>36511.15</v>
      </c>
      <c r="I974" s="13" t="s">
        <v>17</v>
      </c>
      <c r="J974" s="14" t="s">
        <v>18</v>
      </c>
      <c r="K974" s="14">
        <v>1187</v>
      </c>
      <c r="L974" s="15">
        <v>45361</v>
      </c>
      <c r="M974" s="16">
        <v>9</v>
      </c>
      <c r="N9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74" s="31">
        <f>IF(Table64[[#This Row],[date validity flag]]&lt;&gt;"Valid","",Table64[[#This Row],[shipment date ]]-Table64[[#This Row],[Order date]])</f>
        <v>0</v>
      </c>
      <c r="P974" s="27" t="str">
        <f>TEXT(Table64[[#This Row],[Order date]],"mmm-yyyy")</f>
        <v>Mar-2024</v>
      </c>
      <c r="Q974" s="16" t="str">
        <f t="shared" si="15"/>
        <v>On Time</v>
      </c>
    </row>
    <row r="975" spans="1:17" x14ac:dyDescent="0.3">
      <c r="A975" s="17">
        <v>10974</v>
      </c>
      <c r="B975" s="4">
        <v>5540</v>
      </c>
      <c r="C975" s="4" t="s">
        <v>16</v>
      </c>
      <c r="D975" s="5">
        <v>52258.6</v>
      </c>
      <c r="E975" s="4">
        <v>32</v>
      </c>
      <c r="F975" s="4" t="s">
        <v>23</v>
      </c>
      <c r="G975" s="6">
        <v>45306</v>
      </c>
      <c r="H975" s="5">
        <v>91209.36</v>
      </c>
      <c r="I975" s="18" t="s">
        <v>14</v>
      </c>
      <c r="J975" s="14" t="s">
        <v>18</v>
      </c>
      <c r="K975" s="14">
        <v>196</v>
      </c>
      <c r="L975" s="15">
        <v>45332</v>
      </c>
      <c r="M975" s="16">
        <v>7</v>
      </c>
      <c r="N97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75" s="31">
        <f>IF(Table64[[#This Row],[date validity flag]]&lt;&gt;"Valid","",Table64[[#This Row],[shipment date ]]-Table64[[#This Row],[Order date]])</f>
        <v>26</v>
      </c>
      <c r="P975" s="27" t="str">
        <f>TEXT(Table64[[#This Row],[Order date]],"mmm-yyyy")</f>
        <v>Jan-2024</v>
      </c>
      <c r="Q975" s="16" t="str">
        <f t="shared" si="15"/>
        <v>Delayed</v>
      </c>
    </row>
    <row r="976" spans="1:17" x14ac:dyDescent="0.3">
      <c r="A976" s="12">
        <v>10975</v>
      </c>
      <c r="B976" s="1">
        <v>5732</v>
      </c>
      <c r="C976" s="1" t="s">
        <v>16</v>
      </c>
      <c r="D976" s="2">
        <v>66859.22</v>
      </c>
      <c r="E976" s="1">
        <v>62</v>
      </c>
      <c r="F976" s="1" t="s">
        <v>22</v>
      </c>
      <c r="G976" s="3">
        <v>45306</v>
      </c>
      <c r="H976" s="2">
        <v>39752.79</v>
      </c>
      <c r="I976" s="13" t="s">
        <v>17</v>
      </c>
      <c r="J976" s="14" t="s">
        <v>18</v>
      </c>
      <c r="K976" s="14">
        <v>1239</v>
      </c>
      <c r="L976" s="15">
        <v>45397</v>
      </c>
      <c r="M976" s="16">
        <v>14</v>
      </c>
      <c r="N9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76" s="31">
        <f>IF(Table64[[#This Row],[date validity flag]]&lt;&gt;"Valid","",Table64[[#This Row],[shipment date ]]-Table64[[#This Row],[Order date]])</f>
        <v>91</v>
      </c>
      <c r="P976" s="27" t="str">
        <f>TEXT(Table64[[#This Row],[Order date]],"mmm-yyyy")</f>
        <v>Jan-2024</v>
      </c>
      <c r="Q976" s="16" t="str">
        <f t="shared" si="15"/>
        <v>Delayed</v>
      </c>
    </row>
    <row r="977" spans="1:17" x14ac:dyDescent="0.3">
      <c r="A977" s="17">
        <v>10976</v>
      </c>
      <c r="B977" s="4">
        <v>5869</v>
      </c>
      <c r="C977" s="4" t="s">
        <v>16</v>
      </c>
      <c r="D977" s="5">
        <v>54694.31</v>
      </c>
      <c r="E977" s="4">
        <v>74</v>
      </c>
      <c r="F977" s="4" t="s">
        <v>22</v>
      </c>
      <c r="G977" s="6">
        <v>45306</v>
      </c>
      <c r="H977" s="5">
        <v>14734.68</v>
      </c>
      <c r="I977" s="18" t="s">
        <v>17</v>
      </c>
      <c r="J977" s="14" t="s">
        <v>18</v>
      </c>
      <c r="K977" s="14">
        <v>1452</v>
      </c>
      <c r="L977" s="15">
        <v>45397</v>
      </c>
      <c r="M977" s="16">
        <v>12</v>
      </c>
      <c r="N9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77" s="31">
        <f>IF(Table64[[#This Row],[date validity flag]]&lt;&gt;"Valid","",Table64[[#This Row],[shipment date ]]-Table64[[#This Row],[Order date]])</f>
        <v>91</v>
      </c>
      <c r="P977" s="27" t="str">
        <f>TEXT(Table64[[#This Row],[Order date]],"mmm-yyyy")</f>
        <v>Jan-2024</v>
      </c>
      <c r="Q977" s="16" t="str">
        <f t="shared" si="15"/>
        <v>Delayed</v>
      </c>
    </row>
    <row r="978" spans="1:17" x14ac:dyDescent="0.3">
      <c r="A978" s="12">
        <v>10977</v>
      </c>
      <c r="B978" s="1">
        <v>5041</v>
      </c>
      <c r="C978" s="1" t="s">
        <v>16</v>
      </c>
      <c r="D978" s="2">
        <v>19449.13</v>
      </c>
      <c r="E978" s="1">
        <v>10</v>
      </c>
      <c r="F978" s="1" t="s">
        <v>22</v>
      </c>
      <c r="G978" s="3">
        <v>45337</v>
      </c>
      <c r="H978" s="2">
        <v>78026</v>
      </c>
      <c r="I978" s="13" t="s">
        <v>20</v>
      </c>
      <c r="J978" s="14" t="s">
        <v>15</v>
      </c>
      <c r="K978" s="14">
        <v>1212</v>
      </c>
      <c r="L978" s="15">
        <v>45332</v>
      </c>
      <c r="M978" s="16">
        <v>2</v>
      </c>
      <c r="N97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78" s="31" t="str">
        <f>IF(Table64[[#This Row],[date validity flag]]&lt;&gt;"Valid","",Table64[[#This Row],[shipment date ]]-Table64[[#This Row],[Order date]])</f>
        <v/>
      </c>
      <c r="P978" s="27" t="str">
        <f>TEXT(Table64[[#This Row],[Order date]],"mmm-yyyy")</f>
        <v>Feb-2024</v>
      </c>
      <c r="Q978" s="16" t="str">
        <f t="shared" si="15"/>
        <v/>
      </c>
    </row>
    <row r="979" spans="1:17" x14ac:dyDescent="0.3">
      <c r="A979" s="17">
        <v>10978</v>
      </c>
      <c r="B979" s="4">
        <v>5740</v>
      </c>
      <c r="C979" s="4" t="s">
        <v>16</v>
      </c>
      <c r="D979" s="5">
        <v>44685.13</v>
      </c>
      <c r="E979" s="4">
        <v>72</v>
      </c>
      <c r="F979" s="4" t="s">
        <v>13</v>
      </c>
      <c r="G979" s="6">
        <v>45361</v>
      </c>
      <c r="H979" s="5">
        <v>95784.72</v>
      </c>
      <c r="I979" s="18" t="s">
        <v>14</v>
      </c>
      <c r="J979" s="14" t="s">
        <v>19</v>
      </c>
      <c r="K979" s="14">
        <v>678</v>
      </c>
      <c r="L979" s="15">
        <v>45397</v>
      </c>
      <c r="M979" s="16">
        <v>9</v>
      </c>
      <c r="N9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79" s="31">
        <f>IF(Table64[[#This Row],[date validity flag]]&lt;&gt;"Valid","",Table64[[#This Row],[shipment date ]]-Table64[[#This Row],[Order date]])</f>
        <v>36</v>
      </c>
      <c r="P979" s="27" t="str">
        <f>TEXT(Table64[[#This Row],[Order date]],"mmm-yyyy")</f>
        <v>Mar-2024</v>
      </c>
      <c r="Q979" s="16" t="str">
        <f t="shared" si="15"/>
        <v>Delayed</v>
      </c>
    </row>
    <row r="980" spans="1:17" x14ac:dyDescent="0.3">
      <c r="A980" s="12">
        <v>10979</v>
      </c>
      <c r="B980" s="1">
        <v>6728</v>
      </c>
      <c r="C980" s="1" t="s">
        <v>16</v>
      </c>
      <c r="D980" s="2">
        <v>38175.42</v>
      </c>
      <c r="E980" s="1">
        <v>54</v>
      </c>
      <c r="F980" s="1" t="s">
        <v>23</v>
      </c>
      <c r="G980" s="3">
        <v>45306</v>
      </c>
      <c r="H980" s="2">
        <v>141010.91</v>
      </c>
      <c r="I980" s="13" t="s">
        <v>17</v>
      </c>
      <c r="J980" s="14" t="s">
        <v>15</v>
      </c>
      <c r="K980" s="14">
        <v>348</v>
      </c>
      <c r="L980" s="15">
        <v>45332</v>
      </c>
      <c r="M980" s="16">
        <v>11</v>
      </c>
      <c r="N9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80" s="31">
        <f>IF(Table64[[#This Row],[date validity flag]]&lt;&gt;"Valid","",Table64[[#This Row],[shipment date ]]-Table64[[#This Row],[Order date]])</f>
        <v>26</v>
      </c>
      <c r="P980" s="27" t="str">
        <f>TEXT(Table64[[#This Row],[Order date]],"mmm-yyyy")</f>
        <v>Jan-2024</v>
      </c>
      <c r="Q980" s="16" t="str">
        <f t="shared" si="15"/>
        <v>Delayed</v>
      </c>
    </row>
    <row r="981" spans="1:17" x14ac:dyDescent="0.3">
      <c r="A981" s="17">
        <v>10980</v>
      </c>
      <c r="B981" s="4">
        <v>6947</v>
      </c>
      <c r="C981" s="4" t="s">
        <v>12</v>
      </c>
      <c r="D981" s="5">
        <v>79715.73</v>
      </c>
      <c r="E981" s="4">
        <v>52</v>
      </c>
      <c r="F981" s="4" t="s">
        <v>13</v>
      </c>
      <c r="G981" s="6">
        <v>45361</v>
      </c>
      <c r="H981" s="5">
        <v>84273.93</v>
      </c>
      <c r="I981" s="18" t="s">
        <v>17</v>
      </c>
      <c r="J981" s="14" t="s">
        <v>19</v>
      </c>
      <c r="K981" s="14">
        <v>1349</v>
      </c>
      <c r="L981" s="15">
        <v>45361</v>
      </c>
      <c r="M981" s="16">
        <v>8</v>
      </c>
      <c r="N9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81" s="31">
        <f>IF(Table64[[#This Row],[date validity flag]]&lt;&gt;"Valid","",Table64[[#This Row],[shipment date ]]-Table64[[#This Row],[Order date]])</f>
        <v>0</v>
      </c>
      <c r="P981" s="27" t="str">
        <f>TEXT(Table64[[#This Row],[Order date]],"mmm-yyyy")</f>
        <v>Mar-2024</v>
      </c>
      <c r="Q981" s="16" t="str">
        <f t="shared" si="15"/>
        <v>On Time</v>
      </c>
    </row>
    <row r="982" spans="1:17" x14ac:dyDescent="0.3">
      <c r="A982" s="12">
        <v>10981</v>
      </c>
      <c r="B982" s="1">
        <v>5502</v>
      </c>
      <c r="C982" s="1" t="s">
        <v>16</v>
      </c>
      <c r="D982" s="2">
        <v>64416.98</v>
      </c>
      <c r="E982" s="1">
        <v>20</v>
      </c>
      <c r="F982" s="1" t="s">
        <v>13</v>
      </c>
      <c r="G982" s="3">
        <v>45337</v>
      </c>
      <c r="H982" s="2">
        <v>168469.02</v>
      </c>
      <c r="I982" s="13" t="s">
        <v>14</v>
      </c>
      <c r="J982" s="14" t="s">
        <v>15</v>
      </c>
      <c r="K982" s="14">
        <v>838</v>
      </c>
      <c r="L982" s="15">
        <v>45361</v>
      </c>
      <c r="M982" s="16">
        <v>13</v>
      </c>
      <c r="N9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82" s="31">
        <f>IF(Table64[[#This Row],[date validity flag]]&lt;&gt;"Valid","",Table64[[#This Row],[shipment date ]]-Table64[[#This Row],[Order date]])</f>
        <v>24</v>
      </c>
      <c r="P982" s="27" t="str">
        <f>TEXT(Table64[[#This Row],[Order date]],"mmm-yyyy")</f>
        <v>Feb-2024</v>
      </c>
      <c r="Q982" s="16" t="str">
        <f t="shared" si="15"/>
        <v>Delayed</v>
      </c>
    </row>
    <row r="983" spans="1:17" x14ac:dyDescent="0.3">
      <c r="A983" s="17">
        <v>10982</v>
      </c>
      <c r="B983" s="4">
        <v>5959</v>
      </c>
      <c r="C983" s="4" t="s">
        <v>16</v>
      </c>
      <c r="D983" s="5">
        <v>88546.03</v>
      </c>
      <c r="E983" s="4">
        <v>32</v>
      </c>
      <c r="F983" s="4" t="s">
        <v>22</v>
      </c>
      <c r="G983" s="6">
        <v>45337</v>
      </c>
      <c r="H983" s="5">
        <v>142805.54999999999</v>
      </c>
      <c r="I983" s="18" t="s">
        <v>14</v>
      </c>
      <c r="J983" s="14" t="s">
        <v>18</v>
      </c>
      <c r="K983" s="14">
        <v>899</v>
      </c>
      <c r="L983" s="15">
        <v>45332</v>
      </c>
      <c r="M983" s="16">
        <v>5</v>
      </c>
      <c r="N98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83" s="31" t="str">
        <f>IF(Table64[[#This Row],[date validity flag]]&lt;&gt;"Valid","",Table64[[#This Row],[shipment date ]]-Table64[[#This Row],[Order date]])</f>
        <v/>
      </c>
      <c r="P983" s="27" t="str">
        <f>TEXT(Table64[[#This Row],[Order date]],"mmm-yyyy")</f>
        <v>Feb-2024</v>
      </c>
      <c r="Q983" s="16" t="str">
        <f t="shared" si="15"/>
        <v/>
      </c>
    </row>
    <row r="984" spans="1:17" x14ac:dyDescent="0.3">
      <c r="A984" s="12">
        <v>10983</v>
      </c>
      <c r="B984" s="1">
        <v>6169</v>
      </c>
      <c r="C984" s="1" t="s">
        <v>16</v>
      </c>
      <c r="D984" s="2">
        <v>35657.99</v>
      </c>
      <c r="E984" s="1">
        <v>14</v>
      </c>
      <c r="F984" s="1" t="s">
        <v>13</v>
      </c>
      <c r="G984" s="3">
        <v>45306</v>
      </c>
      <c r="H984" s="2">
        <v>128457.28</v>
      </c>
      <c r="I984" s="13" t="s">
        <v>20</v>
      </c>
      <c r="J984" s="14" t="s">
        <v>18</v>
      </c>
      <c r="K984" s="14">
        <v>227</v>
      </c>
      <c r="L984" s="15">
        <v>45361</v>
      </c>
      <c r="M984" s="16">
        <v>12</v>
      </c>
      <c r="N9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84" s="31">
        <f>IF(Table64[[#This Row],[date validity flag]]&lt;&gt;"Valid","",Table64[[#This Row],[shipment date ]]-Table64[[#This Row],[Order date]])</f>
        <v>55</v>
      </c>
      <c r="P984" s="27" t="str">
        <f>TEXT(Table64[[#This Row],[Order date]],"mmm-yyyy")</f>
        <v>Jan-2024</v>
      </c>
      <c r="Q984" s="16" t="str">
        <f t="shared" si="15"/>
        <v>Delayed</v>
      </c>
    </row>
    <row r="985" spans="1:17" x14ac:dyDescent="0.3">
      <c r="A985" s="17">
        <v>10984</v>
      </c>
      <c r="B985" s="4">
        <v>6225</v>
      </c>
      <c r="C985" s="4" t="s">
        <v>16</v>
      </c>
      <c r="D985" s="5">
        <v>66370.28</v>
      </c>
      <c r="E985" s="4">
        <v>50</v>
      </c>
      <c r="F985" s="4" t="s">
        <v>21</v>
      </c>
      <c r="G985" s="6">
        <v>45306</v>
      </c>
      <c r="H985" s="5">
        <v>90995.44</v>
      </c>
      <c r="I985" s="18" t="s">
        <v>20</v>
      </c>
      <c r="J985" s="14" t="s">
        <v>19</v>
      </c>
      <c r="K985" s="14">
        <v>891</v>
      </c>
      <c r="L985" s="15">
        <v>45361</v>
      </c>
      <c r="M985" s="16">
        <v>3</v>
      </c>
      <c r="N9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85" s="31">
        <f>IF(Table64[[#This Row],[date validity flag]]&lt;&gt;"Valid","",Table64[[#This Row],[shipment date ]]-Table64[[#This Row],[Order date]])</f>
        <v>55</v>
      </c>
      <c r="P985" s="27" t="str">
        <f>TEXT(Table64[[#This Row],[Order date]],"mmm-yyyy")</f>
        <v>Jan-2024</v>
      </c>
      <c r="Q985" s="16" t="str">
        <f t="shared" si="15"/>
        <v>Delayed</v>
      </c>
    </row>
    <row r="986" spans="1:17" x14ac:dyDescent="0.3">
      <c r="A986" s="12">
        <v>10985</v>
      </c>
      <c r="B986" s="1">
        <v>5929</v>
      </c>
      <c r="C986" s="1" t="s">
        <v>16</v>
      </c>
      <c r="D986" s="2">
        <v>45727.01</v>
      </c>
      <c r="E986" s="1">
        <v>28</v>
      </c>
      <c r="F986" s="1" t="s">
        <v>13</v>
      </c>
      <c r="G986" s="3">
        <v>45383</v>
      </c>
      <c r="H986" s="2">
        <v>122896.15</v>
      </c>
      <c r="I986" s="13" t="s">
        <v>17</v>
      </c>
      <c r="J986" s="14" t="s">
        <v>19</v>
      </c>
      <c r="K986" s="14">
        <v>1427</v>
      </c>
      <c r="L986" s="15">
        <v>45332</v>
      </c>
      <c r="M986" s="16">
        <v>7</v>
      </c>
      <c r="N9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86" s="31" t="str">
        <f>IF(Table64[[#This Row],[date validity flag]]&lt;&gt;"Valid","",Table64[[#This Row],[shipment date ]]-Table64[[#This Row],[Order date]])</f>
        <v/>
      </c>
      <c r="P986" s="27" t="str">
        <f>TEXT(Table64[[#This Row],[Order date]],"mmm-yyyy")</f>
        <v>Apr-2024</v>
      </c>
      <c r="Q986" s="16" t="str">
        <f t="shared" si="15"/>
        <v/>
      </c>
    </row>
    <row r="987" spans="1:17" x14ac:dyDescent="0.3">
      <c r="A987" s="17">
        <v>10986</v>
      </c>
      <c r="B987" s="4">
        <v>6748</v>
      </c>
      <c r="C987" s="4" t="s">
        <v>16</v>
      </c>
      <c r="D987" s="5">
        <v>88547.42</v>
      </c>
      <c r="E987" s="4">
        <v>53</v>
      </c>
      <c r="F987" s="4" t="s">
        <v>21</v>
      </c>
      <c r="G987" s="6">
        <v>45361</v>
      </c>
      <c r="H987" s="5">
        <v>123569.63</v>
      </c>
      <c r="I987" s="18" t="s">
        <v>17</v>
      </c>
      <c r="J987" s="14" t="s">
        <v>15</v>
      </c>
      <c r="K987" s="14">
        <v>1227</v>
      </c>
      <c r="L987" s="15">
        <v>45361</v>
      </c>
      <c r="M987" s="16">
        <v>14</v>
      </c>
      <c r="N9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87" s="31">
        <f>IF(Table64[[#This Row],[date validity flag]]&lt;&gt;"Valid","",Table64[[#This Row],[shipment date ]]-Table64[[#This Row],[Order date]])</f>
        <v>0</v>
      </c>
      <c r="P987" s="27" t="str">
        <f>TEXT(Table64[[#This Row],[Order date]],"mmm-yyyy")</f>
        <v>Mar-2024</v>
      </c>
      <c r="Q987" s="16" t="str">
        <f t="shared" si="15"/>
        <v>On Time</v>
      </c>
    </row>
    <row r="988" spans="1:17" x14ac:dyDescent="0.3">
      <c r="A988" s="12">
        <v>10987</v>
      </c>
      <c r="B988" s="1">
        <v>5461</v>
      </c>
      <c r="C988" s="1" t="s">
        <v>12</v>
      </c>
      <c r="D988" s="2">
        <v>20336.57</v>
      </c>
      <c r="E988" s="1">
        <v>24</v>
      </c>
      <c r="F988" s="1" t="s">
        <v>13</v>
      </c>
      <c r="G988" s="3">
        <v>45306</v>
      </c>
      <c r="H988" s="2">
        <v>132032.65</v>
      </c>
      <c r="I988" s="13" t="s">
        <v>14</v>
      </c>
      <c r="J988" s="14" t="s">
        <v>19</v>
      </c>
      <c r="K988" s="14">
        <v>1274</v>
      </c>
      <c r="L988" s="15">
        <v>45397</v>
      </c>
      <c r="M988" s="16">
        <v>14</v>
      </c>
      <c r="N9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88" s="31">
        <f>IF(Table64[[#This Row],[date validity flag]]&lt;&gt;"Valid","",Table64[[#This Row],[shipment date ]]-Table64[[#This Row],[Order date]])</f>
        <v>91</v>
      </c>
      <c r="P988" s="27" t="str">
        <f>TEXT(Table64[[#This Row],[Order date]],"mmm-yyyy")</f>
        <v>Jan-2024</v>
      </c>
      <c r="Q988" s="16" t="str">
        <f t="shared" si="15"/>
        <v>Delayed</v>
      </c>
    </row>
    <row r="989" spans="1:17" x14ac:dyDescent="0.3">
      <c r="A989" s="17">
        <v>10988</v>
      </c>
      <c r="B989" s="4">
        <v>5732</v>
      </c>
      <c r="C989" s="4" t="s">
        <v>16</v>
      </c>
      <c r="D989" s="5">
        <v>78633.56</v>
      </c>
      <c r="E989" s="4">
        <v>79</v>
      </c>
      <c r="F989" s="4" t="s">
        <v>23</v>
      </c>
      <c r="G989" s="6">
        <v>45383</v>
      </c>
      <c r="H989" s="5">
        <v>105536.71</v>
      </c>
      <c r="I989" s="18" t="s">
        <v>17</v>
      </c>
      <c r="J989" s="14" t="s">
        <v>15</v>
      </c>
      <c r="K989" s="14">
        <v>927</v>
      </c>
      <c r="L989" s="15">
        <v>45361</v>
      </c>
      <c r="M989" s="16">
        <v>2</v>
      </c>
      <c r="N98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89" s="31" t="str">
        <f>IF(Table64[[#This Row],[date validity flag]]&lt;&gt;"Valid","",Table64[[#This Row],[shipment date ]]-Table64[[#This Row],[Order date]])</f>
        <v/>
      </c>
      <c r="P989" s="27" t="str">
        <f>TEXT(Table64[[#This Row],[Order date]],"mmm-yyyy")</f>
        <v>Apr-2024</v>
      </c>
      <c r="Q989" s="16" t="str">
        <f t="shared" si="15"/>
        <v/>
      </c>
    </row>
    <row r="990" spans="1:17" x14ac:dyDescent="0.3">
      <c r="A990" s="12">
        <v>10989</v>
      </c>
      <c r="B990" s="1">
        <v>5752</v>
      </c>
      <c r="C990" s="1" t="s">
        <v>16</v>
      </c>
      <c r="D990" s="2">
        <v>93953.56</v>
      </c>
      <c r="E990" s="1">
        <v>22</v>
      </c>
      <c r="F990" s="1" t="s">
        <v>23</v>
      </c>
      <c r="G990" s="3">
        <v>45361</v>
      </c>
      <c r="H990" s="2">
        <v>15805.3</v>
      </c>
      <c r="I990" s="13" t="s">
        <v>17</v>
      </c>
      <c r="J990" s="14" t="s">
        <v>19</v>
      </c>
      <c r="K990" s="14">
        <v>1188</v>
      </c>
      <c r="L990" s="15">
        <v>45332</v>
      </c>
      <c r="M990" s="16">
        <v>13</v>
      </c>
      <c r="N99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90" s="31" t="str">
        <f>IF(Table64[[#This Row],[date validity flag]]&lt;&gt;"Valid","",Table64[[#This Row],[shipment date ]]-Table64[[#This Row],[Order date]])</f>
        <v/>
      </c>
      <c r="P990" s="27" t="str">
        <f>TEXT(Table64[[#This Row],[Order date]],"mmm-yyyy")</f>
        <v>Mar-2024</v>
      </c>
      <c r="Q990" s="16" t="str">
        <f t="shared" si="15"/>
        <v/>
      </c>
    </row>
    <row r="991" spans="1:17" x14ac:dyDescent="0.3">
      <c r="A991" s="17">
        <v>10990</v>
      </c>
      <c r="B991" s="4">
        <v>5925</v>
      </c>
      <c r="C991" s="4" t="s">
        <v>12</v>
      </c>
      <c r="D991" s="5">
        <v>82001.42</v>
      </c>
      <c r="E991" s="4">
        <v>30</v>
      </c>
      <c r="F991" s="4" t="s">
        <v>22</v>
      </c>
      <c r="G991" s="6">
        <v>45306</v>
      </c>
      <c r="H991" s="5">
        <v>101331.12</v>
      </c>
      <c r="I991" s="18" t="s">
        <v>14</v>
      </c>
      <c r="J991" s="14" t="s">
        <v>19</v>
      </c>
      <c r="K991" s="14">
        <v>808</v>
      </c>
      <c r="L991" s="15">
        <v>45397</v>
      </c>
      <c r="M991" s="16">
        <v>3</v>
      </c>
      <c r="N9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1" s="31">
        <f>IF(Table64[[#This Row],[date validity flag]]&lt;&gt;"Valid","",Table64[[#This Row],[shipment date ]]-Table64[[#This Row],[Order date]])</f>
        <v>91</v>
      </c>
      <c r="P991" s="27" t="str">
        <f>TEXT(Table64[[#This Row],[Order date]],"mmm-yyyy")</f>
        <v>Jan-2024</v>
      </c>
      <c r="Q991" s="16" t="str">
        <f t="shared" si="15"/>
        <v>Delayed</v>
      </c>
    </row>
    <row r="992" spans="1:17" x14ac:dyDescent="0.3">
      <c r="A992" s="12">
        <v>10991</v>
      </c>
      <c r="B992" s="1">
        <v>5909</v>
      </c>
      <c r="C992" s="1" t="s">
        <v>16</v>
      </c>
      <c r="D992" s="2">
        <v>43539.37</v>
      </c>
      <c r="E992" s="1">
        <v>63</v>
      </c>
      <c r="F992" s="1" t="s">
        <v>13</v>
      </c>
      <c r="G992" s="3">
        <v>45383</v>
      </c>
      <c r="H992" s="2">
        <v>78168.5</v>
      </c>
      <c r="I992" s="13" t="s">
        <v>17</v>
      </c>
      <c r="J992" s="14" t="s">
        <v>19</v>
      </c>
      <c r="K992" s="14">
        <v>1141</v>
      </c>
      <c r="L992" s="15">
        <v>45397</v>
      </c>
      <c r="M992" s="16">
        <v>12</v>
      </c>
      <c r="N9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2" s="31">
        <f>IF(Table64[[#This Row],[date validity flag]]&lt;&gt;"Valid","",Table64[[#This Row],[shipment date ]]-Table64[[#This Row],[Order date]])</f>
        <v>14</v>
      </c>
      <c r="P992" s="27" t="str">
        <f>TEXT(Table64[[#This Row],[Order date]],"mmm-yyyy")</f>
        <v>Apr-2024</v>
      </c>
      <c r="Q992" s="16" t="str">
        <f t="shared" si="15"/>
        <v>Delayed</v>
      </c>
    </row>
    <row r="993" spans="1:17" x14ac:dyDescent="0.3">
      <c r="A993" s="17">
        <v>10992</v>
      </c>
      <c r="B993" s="4">
        <v>6582</v>
      </c>
      <c r="C993" s="4" t="s">
        <v>16</v>
      </c>
      <c r="D993" s="5">
        <v>34111.33</v>
      </c>
      <c r="E993" s="4">
        <v>4</v>
      </c>
      <c r="F993" s="4" t="s">
        <v>21</v>
      </c>
      <c r="G993" s="6">
        <v>45383</v>
      </c>
      <c r="H993" s="5">
        <v>118063.84</v>
      </c>
      <c r="I993" s="18" t="s">
        <v>17</v>
      </c>
      <c r="J993" s="14" t="s">
        <v>18</v>
      </c>
      <c r="K993" s="14">
        <v>494</v>
      </c>
      <c r="L993" s="15">
        <v>45361</v>
      </c>
      <c r="M993" s="16">
        <v>9</v>
      </c>
      <c r="N99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93" s="31" t="str">
        <f>IF(Table64[[#This Row],[date validity flag]]&lt;&gt;"Valid","",Table64[[#This Row],[shipment date ]]-Table64[[#This Row],[Order date]])</f>
        <v/>
      </c>
      <c r="P993" s="27" t="str">
        <f>TEXT(Table64[[#This Row],[Order date]],"mmm-yyyy")</f>
        <v>Apr-2024</v>
      </c>
      <c r="Q993" s="16" t="str">
        <f t="shared" si="15"/>
        <v/>
      </c>
    </row>
    <row r="994" spans="1:17" x14ac:dyDescent="0.3">
      <c r="A994" s="12">
        <v>10993</v>
      </c>
      <c r="B994" s="1">
        <v>6571</v>
      </c>
      <c r="C994" s="1" t="s">
        <v>16</v>
      </c>
      <c r="D994" s="2">
        <v>67005.56</v>
      </c>
      <c r="E994" s="1">
        <v>77</v>
      </c>
      <c r="F994" s="1" t="s">
        <v>21</v>
      </c>
      <c r="G994" s="3">
        <v>45361</v>
      </c>
      <c r="H994" s="2">
        <v>140229.57</v>
      </c>
      <c r="I994" s="13" t="s">
        <v>17</v>
      </c>
      <c r="J994" s="14" t="s">
        <v>18</v>
      </c>
      <c r="K994" s="14">
        <v>1399</v>
      </c>
      <c r="L994" s="15">
        <v>45397</v>
      </c>
      <c r="M994" s="16">
        <v>4</v>
      </c>
      <c r="N9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4" s="31">
        <f>IF(Table64[[#This Row],[date validity flag]]&lt;&gt;"Valid","",Table64[[#This Row],[shipment date ]]-Table64[[#This Row],[Order date]])</f>
        <v>36</v>
      </c>
      <c r="P994" s="27" t="str">
        <f>TEXT(Table64[[#This Row],[Order date]],"mmm-yyyy")</f>
        <v>Mar-2024</v>
      </c>
      <c r="Q994" s="16" t="str">
        <f t="shared" si="15"/>
        <v>Delayed</v>
      </c>
    </row>
    <row r="995" spans="1:17" x14ac:dyDescent="0.3">
      <c r="A995" s="17">
        <v>10994</v>
      </c>
      <c r="B995" s="4">
        <v>6277</v>
      </c>
      <c r="C995" s="4" t="s">
        <v>16</v>
      </c>
      <c r="D995" s="5">
        <v>71401.850000000006</v>
      </c>
      <c r="E995" s="4">
        <v>59</v>
      </c>
      <c r="F995" s="4" t="s">
        <v>13</v>
      </c>
      <c r="G995" s="6">
        <v>45383</v>
      </c>
      <c r="H995" s="5">
        <v>78832.56</v>
      </c>
      <c r="I995" s="18" t="s">
        <v>20</v>
      </c>
      <c r="J995" s="14" t="s">
        <v>15</v>
      </c>
      <c r="K995" s="14">
        <v>757</v>
      </c>
      <c r="L995" s="15">
        <v>45332</v>
      </c>
      <c r="M995" s="16">
        <v>4</v>
      </c>
      <c r="N99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995" s="31" t="str">
        <f>IF(Table64[[#This Row],[date validity flag]]&lt;&gt;"Valid","",Table64[[#This Row],[shipment date ]]-Table64[[#This Row],[Order date]])</f>
        <v/>
      </c>
      <c r="P995" s="27" t="str">
        <f>TEXT(Table64[[#This Row],[Order date]],"mmm-yyyy")</f>
        <v>Apr-2024</v>
      </c>
      <c r="Q995" s="16" t="str">
        <f t="shared" si="15"/>
        <v/>
      </c>
    </row>
    <row r="996" spans="1:17" x14ac:dyDescent="0.3">
      <c r="A996" s="12">
        <v>10995</v>
      </c>
      <c r="B996" s="1">
        <v>5390</v>
      </c>
      <c r="C996" s="1" t="s">
        <v>16</v>
      </c>
      <c r="D996" s="2">
        <v>53982.91</v>
      </c>
      <c r="E996" s="1">
        <v>87</v>
      </c>
      <c r="F996" s="1" t="s">
        <v>21</v>
      </c>
      <c r="G996" s="3">
        <v>45361</v>
      </c>
      <c r="H996" s="2">
        <v>26171.57</v>
      </c>
      <c r="I996" s="13" t="s">
        <v>14</v>
      </c>
      <c r="J996" s="14" t="s">
        <v>19</v>
      </c>
      <c r="K996" s="14">
        <v>651</v>
      </c>
      <c r="L996" s="15">
        <v>45397</v>
      </c>
      <c r="M996" s="16">
        <v>3</v>
      </c>
      <c r="N9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6" s="31">
        <f>IF(Table64[[#This Row],[date validity flag]]&lt;&gt;"Valid","",Table64[[#This Row],[shipment date ]]-Table64[[#This Row],[Order date]])</f>
        <v>36</v>
      </c>
      <c r="P996" s="27" t="str">
        <f>TEXT(Table64[[#This Row],[Order date]],"mmm-yyyy")</f>
        <v>Mar-2024</v>
      </c>
      <c r="Q996" s="16" t="str">
        <f t="shared" si="15"/>
        <v>Delayed</v>
      </c>
    </row>
    <row r="997" spans="1:17" x14ac:dyDescent="0.3">
      <c r="A997" s="17">
        <v>10996</v>
      </c>
      <c r="B997" s="4">
        <v>6618</v>
      </c>
      <c r="C997" s="4" t="s">
        <v>16</v>
      </c>
      <c r="D997" s="5">
        <v>85316.1</v>
      </c>
      <c r="E997" s="4">
        <v>8</v>
      </c>
      <c r="F997" s="4" t="s">
        <v>23</v>
      </c>
      <c r="G997" s="6">
        <v>45361</v>
      </c>
      <c r="H997" s="5">
        <v>138893.15</v>
      </c>
      <c r="I997" s="18" t="s">
        <v>17</v>
      </c>
      <c r="J997" s="14" t="s">
        <v>15</v>
      </c>
      <c r="K997" s="14">
        <v>1432</v>
      </c>
      <c r="L997" s="15">
        <v>45361</v>
      </c>
      <c r="M997" s="16">
        <v>5</v>
      </c>
      <c r="N9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7" s="31">
        <f>IF(Table64[[#This Row],[date validity flag]]&lt;&gt;"Valid","",Table64[[#This Row],[shipment date ]]-Table64[[#This Row],[Order date]])</f>
        <v>0</v>
      </c>
      <c r="P997" s="27" t="str">
        <f>TEXT(Table64[[#This Row],[Order date]],"mmm-yyyy")</f>
        <v>Mar-2024</v>
      </c>
      <c r="Q997" s="16" t="str">
        <f t="shared" si="15"/>
        <v>On Time</v>
      </c>
    </row>
    <row r="998" spans="1:17" x14ac:dyDescent="0.3">
      <c r="A998" s="12">
        <v>10997</v>
      </c>
      <c r="B998" s="1">
        <v>5883</v>
      </c>
      <c r="C998" s="1" t="s">
        <v>12</v>
      </c>
      <c r="D998" s="2">
        <v>75333.100000000006</v>
      </c>
      <c r="E998" s="1">
        <v>82</v>
      </c>
      <c r="F998" s="1" t="s">
        <v>21</v>
      </c>
      <c r="G998" s="3">
        <v>45361</v>
      </c>
      <c r="H998" s="2">
        <v>120587</v>
      </c>
      <c r="I998" s="13" t="s">
        <v>20</v>
      </c>
      <c r="J998" s="14" t="s">
        <v>19</v>
      </c>
      <c r="K998" s="14">
        <v>194</v>
      </c>
      <c r="L998" s="15">
        <v>45361</v>
      </c>
      <c r="M998" s="16">
        <v>3</v>
      </c>
      <c r="N9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8" s="31">
        <f>IF(Table64[[#This Row],[date validity flag]]&lt;&gt;"Valid","",Table64[[#This Row],[shipment date ]]-Table64[[#This Row],[Order date]])</f>
        <v>0</v>
      </c>
      <c r="P998" s="27" t="str">
        <f>TEXT(Table64[[#This Row],[Order date]],"mmm-yyyy")</f>
        <v>Mar-2024</v>
      </c>
      <c r="Q998" s="16" t="str">
        <f t="shared" si="15"/>
        <v>On Time</v>
      </c>
    </row>
    <row r="999" spans="1:17" x14ac:dyDescent="0.3">
      <c r="A999" s="17">
        <v>10998</v>
      </c>
      <c r="B999" s="4">
        <v>5256</v>
      </c>
      <c r="C999" s="4" t="s">
        <v>16</v>
      </c>
      <c r="D999" s="5">
        <v>75133.36</v>
      </c>
      <c r="E999" s="4">
        <v>12</v>
      </c>
      <c r="F999" s="4" t="s">
        <v>22</v>
      </c>
      <c r="G999" s="6">
        <v>45337</v>
      </c>
      <c r="H999" s="5">
        <v>41413.58</v>
      </c>
      <c r="I999" s="18" t="s">
        <v>20</v>
      </c>
      <c r="J999" s="14" t="s">
        <v>18</v>
      </c>
      <c r="K999" s="14">
        <v>324</v>
      </c>
      <c r="L999" s="15">
        <v>45397</v>
      </c>
      <c r="M999" s="16">
        <v>9</v>
      </c>
      <c r="N9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999" s="31">
        <f>IF(Table64[[#This Row],[date validity flag]]&lt;&gt;"Valid","",Table64[[#This Row],[shipment date ]]-Table64[[#This Row],[Order date]])</f>
        <v>60</v>
      </c>
      <c r="P999" s="27" t="str">
        <f>TEXT(Table64[[#This Row],[Order date]],"mmm-yyyy")</f>
        <v>Feb-2024</v>
      </c>
      <c r="Q999" s="16" t="str">
        <f t="shared" si="15"/>
        <v>Delayed</v>
      </c>
    </row>
    <row r="1000" spans="1:17" x14ac:dyDescent="0.3">
      <c r="A1000" s="12">
        <v>10999</v>
      </c>
      <c r="B1000" s="1">
        <v>5709</v>
      </c>
      <c r="C1000" s="1" t="s">
        <v>16</v>
      </c>
      <c r="D1000" s="2">
        <v>98104.49</v>
      </c>
      <c r="E1000" s="1">
        <v>31</v>
      </c>
      <c r="F1000" s="1" t="s">
        <v>23</v>
      </c>
      <c r="G1000" s="3">
        <v>45383</v>
      </c>
      <c r="H1000" s="2">
        <v>105679.55</v>
      </c>
      <c r="I1000" s="13" t="s">
        <v>20</v>
      </c>
      <c r="J1000" s="14" t="s">
        <v>18</v>
      </c>
      <c r="K1000" s="14">
        <v>558</v>
      </c>
      <c r="L1000" s="15">
        <v>45332</v>
      </c>
      <c r="M1000" s="16">
        <v>3</v>
      </c>
      <c r="N100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00" s="31" t="str">
        <f>IF(Table64[[#This Row],[date validity flag]]&lt;&gt;"Valid","",Table64[[#This Row],[shipment date ]]-Table64[[#This Row],[Order date]])</f>
        <v/>
      </c>
      <c r="P1000" s="27" t="str">
        <f>TEXT(Table64[[#This Row],[Order date]],"mmm-yyyy")</f>
        <v>Apr-2024</v>
      </c>
      <c r="Q1000" s="16" t="str">
        <f t="shared" si="15"/>
        <v/>
      </c>
    </row>
    <row r="1001" spans="1:17" x14ac:dyDescent="0.3">
      <c r="A1001" s="17">
        <v>11000</v>
      </c>
      <c r="B1001" s="4">
        <v>6839</v>
      </c>
      <c r="C1001" s="4" t="s">
        <v>12</v>
      </c>
      <c r="D1001" s="5">
        <v>80441.990000000005</v>
      </c>
      <c r="E1001" s="4">
        <v>78</v>
      </c>
      <c r="F1001" s="4" t="s">
        <v>23</v>
      </c>
      <c r="G1001" s="6">
        <v>45361</v>
      </c>
      <c r="H1001" s="5">
        <v>158745.09</v>
      </c>
      <c r="I1001" s="18" t="s">
        <v>17</v>
      </c>
      <c r="J1001" s="14" t="s">
        <v>19</v>
      </c>
      <c r="K1001" s="14">
        <v>1252</v>
      </c>
      <c r="L1001" s="15">
        <v>45332</v>
      </c>
      <c r="M1001" s="16">
        <v>2</v>
      </c>
      <c r="N100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01" s="31" t="str">
        <f>IF(Table64[[#This Row],[date validity flag]]&lt;&gt;"Valid","",Table64[[#This Row],[shipment date ]]-Table64[[#This Row],[Order date]])</f>
        <v/>
      </c>
      <c r="P1001" s="27" t="str">
        <f>TEXT(Table64[[#This Row],[Order date]],"mmm-yyyy")</f>
        <v>Mar-2024</v>
      </c>
      <c r="Q1001" s="16" t="str">
        <f t="shared" si="15"/>
        <v/>
      </c>
    </row>
    <row r="1002" spans="1:17" x14ac:dyDescent="0.3">
      <c r="A1002" s="12">
        <v>11001</v>
      </c>
      <c r="B1002" s="1">
        <v>6945</v>
      </c>
      <c r="C1002" s="1" t="s">
        <v>12</v>
      </c>
      <c r="D1002" s="2">
        <v>91179.94</v>
      </c>
      <c r="E1002" s="1">
        <v>34</v>
      </c>
      <c r="F1002" s="1" t="s">
        <v>23</v>
      </c>
      <c r="G1002" s="3">
        <v>45306</v>
      </c>
      <c r="H1002" s="2">
        <v>116422.8</v>
      </c>
      <c r="I1002" s="13" t="s">
        <v>17</v>
      </c>
      <c r="J1002" s="14" t="s">
        <v>19</v>
      </c>
      <c r="K1002" s="14">
        <v>802</v>
      </c>
      <c r="L1002" s="15">
        <v>45361</v>
      </c>
      <c r="M1002" s="16">
        <v>12</v>
      </c>
      <c r="N10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02" s="31">
        <f>IF(Table64[[#This Row],[date validity flag]]&lt;&gt;"Valid","",Table64[[#This Row],[shipment date ]]-Table64[[#This Row],[Order date]])</f>
        <v>55</v>
      </c>
      <c r="P1002" s="27" t="str">
        <f>TEXT(Table64[[#This Row],[Order date]],"mmm-yyyy")</f>
        <v>Jan-2024</v>
      </c>
      <c r="Q1002" s="16" t="str">
        <f t="shared" si="15"/>
        <v>Delayed</v>
      </c>
    </row>
    <row r="1003" spans="1:17" x14ac:dyDescent="0.3">
      <c r="A1003" s="17">
        <v>11002</v>
      </c>
      <c r="B1003" s="4">
        <v>5450</v>
      </c>
      <c r="C1003" s="4" t="s">
        <v>16</v>
      </c>
      <c r="D1003" s="5">
        <v>44621.05</v>
      </c>
      <c r="E1003" s="4">
        <v>82</v>
      </c>
      <c r="F1003" s="4" t="s">
        <v>13</v>
      </c>
      <c r="G1003" s="6">
        <v>45337</v>
      </c>
      <c r="H1003" s="5">
        <v>176172.08</v>
      </c>
      <c r="I1003" s="18" t="s">
        <v>20</v>
      </c>
      <c r="J1003" s="14" t="s">
        <v>18</v>
      </c>
      <c r="K1003" s="14">
        <v>526</v>
      </c>
      <c r="L1003" s="15">
        <v>45361</v>
      </c>
      <c r="M1003" s="16">
        <v>5</v>
      </c>
      <c r="N10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03" s="31">
        <f>IF(Table64[[#This Row],[date validity flag]]&lt;&gt;"Valid","",Table64[[#This Row],[shipment date ]]-Table64[[#This Row],[Order date]])</f>
        <v>24</v>
      </c>
      <c r="P1003" s="27" t="str">
        <f>TEXT(Table64[[#This Row],[Order date]],"mmm-yyyy")</f>
        <v>Feb-2024</v>
      </c>
      <c r="Q1003" s="16" t="str">
        <f t="shared" si="15"/>
        <v>Delayed</v>
      </c>
    </row>
    <row r="1004" spans="1:17" x14ac:dyDescent="0.3">
      <c r="A1004" s="12">
        <v>11003</v>
      </c>
      <c r="B1004" s="1">
        <v>5010</v>
      </c>
      <c r="C1004" s="1" t="s">
        <v>16</v>
      </c>
      <c r="D1004" s="2">
        <v>62666.49</v>
      </c>
      <c r="E1004" s="1">
        <v>98</v>
      </c>
      <c r="F1004" s="1" t="s">
        <v>13</v>
      </c>
      <c r="G1004" s="3">
        <v>45337</v>
      </c>
      <c r="H1004" s="2">
        <v>32489.87</v>
      </c>
      <c r="I1004" s="13" t="s">
        <v>17</v>
      </c>
      <c r="J1004" s="14" t="s">
        <v>18</v>
      </c>
      <c r="K1004" s="14">
        <v>1487</v>
      </c>
      <c r="L1004" s="15">
        <v>45332</v>
      </c>
      <c r="M1004" s="16">
        <v>6</v>
      </c>
      <c r="N100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04" s="31" t="str">
        <f>IF(Table64[[#This Row],[date validity flag]]&lt;&gt;"Valid","",Table64[[#This Row],[shipment date ]]-Table64[[#This Row],[Order date]])</f>
        <v/>
      </c>
      <c r="P1004" s="27" t="str">
        <f>TEXT(Table64[[#This Row],[Order date]],"mmm-yyyy")</f>
        <v>Feb-2024</v>
      </c>
      <c r="Q1004" s="16" t="str">
        <f t="shared" si="15"/>
        <v/>
      </c>
    </row>
    <row r="1005" spans="1:17" x14ac:dyDescent="0.3">
      <c r="A1005" s="17">
        <v>11004</v>
      </c>
      <c r="B1005" s="4">
        <v>5824</v>
      </c>
      <c r="C1005" s="4" t="s">
        <v>16</v>
      </c>
      <c r="D1005" s="5">
        <v>70244.94</v>
      </c>
      <c r="E1005" s="4">
        <v>75</v>
      </c>
      <c r="F1005" s="4" t="s">
        <v>23</v>
      </c>
      <c r="G1005" s="6">
        <v>45383</v>
      </c>
      <c r="H1005" s="5">
        <v>149602.93</v>
      </c>
      <c r="I1005" s="18" t="s">
        <v>17</v>
      </c>
      <c r="J1005" s="14" t="s">
        <v>15</v>
      </c>
      <c r="K1005" s="14">
        <v>1226</v>
      </c>
      <c r="L1005" s="15">
        <v>45397</v>
      </c>
      <c r="M1005" s="16">
        <v>1</v>
      </c>
      <c r="N10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05" s="31">
        <f>IF(Table64[[#This Row],[date validity flag]]&lt;&gt;"Valid","",Table64[[#This Row],[shipment date ]]-Table64[[#This Row],[Order date]])</f>
        <v>14</v>
      </c>
      <c r="P1005" s="27" t="str">
        <f>TEXT(Table64[[#This Row],[Order date]],"mmm-yyyy")</f>
        <v>Apr-2024</v>
      </c>
      <c r="Q1005" s="16" t="str">
        <f t="shared" si="15"/>
        <v>Delayed</v>
      </c>
    </row>
    <row r="1006" spans="1:17" x14ac:dyDescent="0.3">
      <c r="A1006" s="12">
        <v>11005</v>
      </c>
      <c r="B1006" s="1">
        <v>5798</v>
      </c>
      <c r="C1006" s="1" t="s">
        <v>16</v>
      </c>
      <c r="D1006" s="2">
        <v>51489.26</v>
      </c>
      <c r="E1006" s="1">
        <v>76</v>
      </c>
      <c r="F1006" s="1" t="s">
        <v>13</v>
      </c>
      <c r="G1006" s="3">
        <v>45361</v>
      </c>
      <c r="H1006" s="2">
        <v>79841.86</v>
      </c>
      <c r="I1006" s="13" t="s">
        <v>17</v>
      </c>
      <c r="J1006" s="14" t="s">
        <v>18</v>
      </c>
      <c r="K1006" s="14">
        <v>1177</v>
      </c>
      <c r="L1006" s="15">
        <v>45397</v>
      </c>
      <c r="M1006" s="16">
        <v>14</v>
      </c>
      <c r="N10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06" s="31">
        <f>IF(Table64[[#This Row],[date validity flag]]&lt;&gt;"Valid","",Table64[[#This Row],[shipment date ]]-Table64[[#This Row],[Order date]])</f>
        <v>36</v>
      </c>
      <c r="P1006" s="27" t="str">
        <f>TEXT(Table64[[#This Row],[Order date]],"mmm-yyyy")</f>
        <v>Mar-2024</v>
      </c>
      <c r="Q1006" s="16" t="str">
        <f t="shared" si="15"/>
        <v>Delayed</v>
      </c>
    </row>
    <row r="1007" spans="1:17" x14ac:dyDescent="0.3">
      <c r="A1007" s="17">
        <v>11006</v>
      </c>
      <c r="B1007" s="4">
        <v>6266</v>
      </c>
      <c r="C1007" s="4" t="s">
        <v>16</v>
      </c>
      <c r="D1007" s="5">
        <v>43719.4</v>
      </c>
      <c r="E1007" s="4">
        <v>49</v>
      </c>
      <c r="F1007" s="4" t="s">
        <v>21</v>
      </c>
      <c r="G1007" s="6">
        <v>45383</v>
      </c>
      <c r="H1007" s="5">
        <v>25348.22</v>
      </c>
      <c r="I1007" s="18" t="s">
        <v>17</v>
      </c>
      <c r="J1007" s="14" t="s">
        <v>19</v>
      </c>
      <c r="K1007" s="14">
        <v>1148</v>
      </c>
      <c r="L1007" s="15">
        <v>45397</v>
      </c>
      <c r="M1007" s="16">
        <v>12</v>
      </c>
      <c r="N10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07" s="31">
        <f>IF(Table64[[#This Row],[date validity flag]]&lt;&gt;"Valid","",Table64[[#This Row],[shipment date ]]-Table64[[#This Row],[Order date]])</f>
        <v>14</v>
      </c>
      <c r="P1007" s="27" t="str">
        <f>TEXT(Table64[[#This Row],[Order date]],"mmm-yyyy")</f>
        <v>Apr-2024</v>
      </c>
      <c r="Q1007" s="16" t="str">
        <f t="shared" si="15"/>
        <v>Delayed</v>
      </c>
    </row>
    <row r="1008" spans="1:17" x14ac:dyDescent="0.3">
      <c r="A1008" s="12">
        <v>11007</v>
      </c>
      <c r="B1008" s="1">
        <v>6275</v>
      </c>
      <c r="C1008" s="1" t="s">
        <v>16</v>
      </c>
      <c r="D1008" s="2">
        <v>48229.52</v>
      </c>
      <c r="E1008" s="1">
        <v>79</v>
      </c>
      <c r="F1008" s="1" t="s">
        <v>13</v>
      </c>
      <c r="G1008" s="3">
        <v>45337</v>
      </c>
      <c r="H1008" s="2">
        <v>15399.39</v>
      </c>
      <c r="I1008" s="13" t="s">
        <v>17</v>
      </c>
      <c r="J1008" s="14" t="s">
        <v>15</v>
      </c>
      <c r="K1008" s="14">
        <v>1201</v>
      </c>
      <c r="L1008" s="15">
        <v>45397</v>
      </c>
      <c r="M1008" s="16">
        <v>11</v>
      </c>
      <c r="N100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08" s="31">
        <f>IF(Table64[[#This Row],[date validity flag]]&lt;&gt;"Valid","",Table64[[#This Row],[shipment date ]]-Table64[[#This Row],[Order date]])</f>
        <v>60</v>
      </c>
      <c r="P1008" s="27" t="str">
        <f>TEXT(Table64[[#This Row],[Order date]],"mmm-yyyy")</f>
        <v>Feb-2024</v>
      </c>
      <c r="Q1008" s="16" t="str">
        <f t="shared" si="15"/>
        <v>Delayed</v>
      </c>
    </row>
    <row r="1009" spans="1:17" x14ac:dyDescent="0.3">
      <c r="A1009" s="17">
        <v>11008</v>
      </c>
      <c r="B1009" s="4">
        <v>5877</v>
      </c>
      <c r="C1009" s="4" t="s">
        <v>16</v>
      </c>
      <c r="D1009" s="5">
        <v>77992.34</v>
      </c>
      <c r="E1009" s="4">
        <v>57</v>
      </c>
      <c r="F1009" s="4" t="s">
        <v>13</v>
      </c>
      <c r="G1009" s="6">
        <v>45361</v>
      </c>
      <c r="H1009" s="5">
        <v>87473.32</v>
      </c>
      <c r="I1009" s="18" t="s">
        <v>20</v>
      </c>
      <c r="J1009" s="14" t="s">
        <v>19</v>
      </c>
      <c r="K1009" s="14">
        <v>715</v>
      </c>
      <c r="L1009" s="15">
        <v>45332</v>
      </c>
      <c r="M1009" s="16">
        <v>6</v>
      </c>
      <c r="N100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09" s="31" t="str">
        <f>IF(Table64[[#This Row],[date validity flag]]&lt;&gt;"Valid","",Table64[[#This Row],[shipment date ]]-Table64[[#This Row],[Order date]])</f>
        <v/>
      </c>
      <c r="P1009" s="27" t="str">
        <f>TEXT(Table64[[#This Row],[Order date]],"mmm-yyyy")</f>
        <v>Mar-2024</v>
      </c>
      <c r="Q1009" s="16" t="str">
        <f t="shared" si="15"/>
        <v/>
      </c>
    </row>
    <row r="1010" spans="1:17" x14ac:dyDescent="0.3">
      <c r="A1010" s="12">
        <v>11009</v>
      </c>
      <c r="B1010" s="1">
        <v>6029</v>
      </c>
      <c r="C1010" s="1" t="s">
        <v>12</v>
      </c>
      <c r="D1010" s="2">
        <v>94503.24</v>
      </c>
      <c r="E1010" s="1">
        <v>95</v>
      </c>
      <c r="F1010" s="1" t="s">
        <v>23</v>
      </c>
      <c r="G1010" s="3">
        <v>45306</v>
      </c>
      <c r="H1010" s="2">
        <v>100625.89</v>
      </c>
      <c r="I1010" s="13" t="s">
        <v>17</v>
      </c>
      <c r="J1010" s="14" t="s">
        <v>15</v>
      </c>
      <c r="K1010" s="14">
        <v>617</v>
      </c>
      <c r="L1010" s="15">
        <v>45361</v>
      </c>
      <c r="M1010" s="16">
        <v>10</v>
      </c>
      <c r="N10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0" s="31">
        <f>IF(Table64[[#This Row],[date validity flag]]&lt;&gt;"Valid","",Table64[[#This Row],[shipment date ]]-Table64[[#This Row],[Order date]])</f>
        <v>55</v>
      </c>
      <c r="P1010" s="27" t="str">
        <f>TEXT(Table64[[#This Row],[Order date]],"mmm-yyyy")</f>
        <v>Jan-2024</v>
      </c>
      <c r="Q1010" s="16" t="str">
        <f t="shared" si="15"/>
        <v>Delayed</v>
      </c>
    </row>
    <row r="1011" spans="1:17" x14ac:dyDescent="0.3">
      <c r="A1011" s="17">
        <v>11010</v>
      </c>
      <c r="B1011" s="4">
        <v>6143</v>
      </c>
      <c r="C1011" s="4" t="s">
        <v>16</v>
      </c>
      <c r="D1011" s="5">
        <v>88799.38</v>
      </c>
      <c r="E1011" s="4">
        <v>93</v>
      </c>
      <c r="F1011" s="4" t="s">
        <v>22</v>
      </c>
      <c r="G1011" s="6">
        <v>45361</v>
      </c>
      <c r="H1011" s="5">
        <v>116097.43</v>
      </c>
      <c r="I1011" s="18" t="s">
        <v>17</v>
      </c>
      <c r="J1011" s="14" t="s">
        <v>19</v>
      </c>
      <c r="K1011" s="14">
        <v>1418</v>
      </c>
      <c r="L1011" s="15">
        <v>45361</v>
      </c>
      <c r="M1011" s="16">
        <v>3</v>
      </c>
      <c r="N10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1" s="31">
        <f>IF(Table64[[#This Row],[date validity flag]]&lt;&gt;"Valid","",Table64[[#This Row],[shipment date ]]-Table64[[#This Row],[Order date]])</f>
        <v>0</v>
      </c>
      <c r="P1011" s="27" t="str">
        <f>TEXT(Table64[[#This Row],[Order date]],"mmm-yyyy")</f>
        <v>Mar-2024</v>
      </c>
      <c r="Q1011" s="16" t="str">
        <f t="shared" si="15"/>
        <v>On Time</v>
      </c>
    </row>
    <row r="1012" spans="1:17" x14ac:dyDescent="0.3">
      <c r="A1012" s="12">
        <v>11011</v>
      </c>
      <c r="B1012" s="1">
        <v>6016</v>
      </c>
      <c r="C1012" s="1" t="s">
        <v>16</v>
      </c>
      <c r="D1012" s="2">
        <v>31130.38</v>
      </c>
      <c r="E1012" s="1">
        <v>26</v>
      </c>
      <c r="F1012" s="1" t="s">
        <v>22</v>
      </c>
      <c r="G1012" s="3">
        <v>45337</v>
      </c>
      <c r="H1012" s="2">
        <v>74012.179999999993</v>
      </c>
      <c r="I1012" s="13" t="s">
        <v>17</v>
      </c>
      <c r="J1012" s="14" t="s">
        <v>18</v>
      </c>
      <c r="K1012" s="14">
        <v>580</v>
      </c>
      <c r="L1012" s="15">
        <v>45397</v>
      </c>
      <c r="M1012" s="16">
        <v>4</v>
      </c>
      <c r="N10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2" s="31">
        <f>IF(Table64[[#This Row],[date validity flag]]&lt;&gt;"Valid","",Table64[[#This Row],[shipment date ]]-Table64[[#This Row],[Order date]])</f>
        <v>60</v>
      </c>
      <c r="P1012" s="27" t="str">
        <f>TEXT(Table64[[#This Row],[Order date]],"mmm-yyyy")</f>
        <v>Feb-2024</v>
      </c>
      <c r="Q1012" s="16" t="str">
        <f t="shared" si="15"/>
        <v>Delayed</v>
      </c>
    </row>
    <row r="1013" spans="1:17" x14ac:dyDescent="0.3">
      <c r="A1013" s="17">
        <v>11012</v>
      </c>
      <c r="B1013" s="4">
        <v>6825</v>
      </c>
      <c r="C1013" s="4" t="s">
        <v>16</v>
      </c>
      <c r="D1013" s="5">
        <v>29358.17</v>
      </c>
      <c r="E1013" s="4">
        <v>18</v>
      </c>
      <c r="F1013" s="4" t="s">
        <v>22</v>
      </c>
      <c r="G1013" s="6">
        <v>45306</v>
      </c>
      <c r="H1013" s="5">
        <v>74474.41</v>
      </c>
      <c r="I1013" s="18" t="s">
        <v>14</v>
      </c>
      <c r="J1013" s="14" t="s">
        <v>19</v>
      </c>
      <c r="K1013" s="14">
        <v>208</v>
      </c>
      <c r="L1013" s="15">
        <v>45332</v>
      </c>
      <c r="M1013" s="16">
        <v>6</v>
      </c>
      <c r="N10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3" s="31">
        <f>IF(Table64[[#This Row],[date validity flag]]&lt;&gt;"Valid","",Table64[[#This Row],[shipment date ]]-Table64[[#This Row],[Order date]])</f>
        <v>26</v>
      </c>
      <c r="P1013" s="27" t="str">
        <f>TEXT(Table64[[#This Row],[Order date]],"mmm-yyyy")</f>
        <v>Jan-2024</v>
      </c>
      <c r="Q1013" s="16" t="str">
        <f t="shared" si="15"/>
        <v>Delayed</v>
      </c>
    </row>
    <row r="1014" spans="1:17" x14ac:dyDescent="0.3">
      <c r="A1014" s="12">
        <v>11013</v>
      </c>
      <c r="B1014" s="1">
        <v>5374</v>
      </c>
      <c r="C1014" s="1" t="s">
        <v>16</v>
      </c>
      <c r="D1014" s="2">
        <v>70622.7</v>
      </c>
      <c r="E1014" s="1">
        <v>96</v>
      </c>
      <c r="F1014" s="1" t="s">
        <v>21</v>
      </c>
      <c r="G1014" s="3">
        <v>45361</v>
      </c>
      <c r="H1014" s="2">
        <v>23703.759999999998</v>
      </c>
      <c r="I1014" s="13" t="s">
        <v>20</v>
      </c>
      <c r="J1014" s="14" t="s">
        <v>15</v>
      </c>
      <c r="K1014" s="14">
        <v>1499</v>
      </c>
      <c r="L1014" s="15">
        <v>45332</v>
      </c>
      <c r="M1014" s="16">
        <v>8</v>
      </c>
      <c r="N101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14" s="31" t="str">
        <f>IF(Table64[[#This Row],[date validity flag]]&lt;&gt;"Valid","",Table64[[#This Row],[shipment date ]]-Table64[[#This Row],[Order date]])</f>
        <v/>
      </c>
      <c r="P1014" s="27" t="str">
        <f>TEXT(Table64[[#This Row],[Order date]],"mmm-yyyy")</f>
        <v>Mar-2024</v>
      </c>
      <c r="Q1014" s="16" t="str">
        <f t="shared" si="15"/>
        <v/>
      </c>
    </row>
    <row r="1015" spans="1:17" x14ac:dyDescent="0.3">
      <c r="A1015" s="17">
        <v>11014</v>
      </c>
      <c r="B1015" s="4">
        <v>6089</v>
      </c>
      <c r="C1015" s="4" t="s">
        <v>12</v>
      </c>
      <c r="D1015" s="5">
        <v>55332.3</v>
      </c>
      <c r="E1015" s="4">
        <v>86</v>
      </c>
      <c r="F1015" s="4" t="s">
        <v>13</v>
      </c>
      <c r="G1015" s="6">
        <v>45306</v>
      </c>
      <c r="H1015" s="5">
        <v>17459.41</v>
      </c>
      <c r="I1015" s="18" t="s">
        <v>14</v>
      </c>
      <c r="J1015" s="14" t="s">
        <v>19</v>
      </c>
      <c r="K1015" s="14">
        <v>730</v>
      </c>
      <c r="L1015" s="15">
        <v>45397</v>
      </c>
      <c r="M1015" s="16">
        <v>9</v>
      </c>
      <c r="N10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5" s="31">
        <f>IF(Table64[[#This Row],[date validity flag]]&lt;&gt;"Valid","",Table64[[#This Row],[shipment date ]]-Table64[[#This Row],[Order date]])</f>
        <v>91</v>
      </c>
      <c r="P1015" s="27" t="str">
        <f>TEXT(Table64[[#This Row],[Order date]],"mmm-yyyy")</f>
        <v>Jan-2024</v>
      </c>
      <c r="Q1015" s="16" t="str">
        <f t="shared" si="15"/>
        <v>Delayed</v>
      </c>
    </row>
    <row r="1016" spans="1:17" x14ac:dyDescent="0.3">
      <c r="A1016" s="12">
        <v>11015</v>
      </c>
      <c r="B1016" s="1">
        <v>5146</v>
      </c>
      <c r="C1016" s="1" t="s">
        <v>16</v>
      </c>
      <c r="D1016" s="2">
        <v>22775.95</v>
      </c>
      <c r="E1016" s="1">
        <v>38</v>
      </c>
      <c r="F1016" s="1" t="s">
        <v>22</v>
      </c>
      <c r="G1016" s="3">
        <v>45306</v>
      </c>
      <c r="H1016" s="2">
        <v>51222.78</v>
      </c>
      <c r="I1016" s="13" t="s">
        <v>17</v>
      </c>
      <c r="J1016" s="14" t="s">
        <v>15</v>
      </c>
      <c r="K1016" s="14">
        <v>72</v>
      </c>
      <c r="L1016" s="15">
        <v>45397</v>
      </c>
      <c r="M1016" s="16">
        <v>6</v>
      </c>
      <c r="N10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6" s="31">
        <f>IF(Table64[[#This Row],[date validity flag]]&lt;&gt;"Valid","",Table64[[#This Row],[shipment date ]]-Table64[[#This Row],[Order date]])</f>
        <v>91</v>
      </c>
      <c r="P1016" s="27" t="str">
        <f>TEXT(Table64[[#This Row],[Order date]],"mmm-yyyy")</f>
        <v>Jan-2024</v>
      </c>
      <c r="Q1016" s="16" t="str">
        <f t="shared" si="15"/>
        <v>Delayed</v>
      </c>
    </row>
    <row r="1017" spans="1:17" x14ac:dyDescent="0.3">
      <c r="A1017" s="17">
        <v>11016</v>
      </c>
      <c r="B1017" s="4">
        <v>5224</v>
      </c>
      <c r="C1017" s="4" t="s">
        <v>16</v>
      </c>
      <c r="D1017" s="5">
        <v>68747.89</v>
      </c>
      <c r="E1017" s="4">
        <v>81</v>
      </c>
      <c r="F1017" s="4" t="s">
        <v>23</v>
      </c>
      <c r="G1017" s="6">
        <v>45337</v>
      </c>
      <c r="H1017" s="5">
        <v>146589.17000000001</v>
      </c>
      <c r="I1017" s="18" t="s">
        <v>14</v>
      </c>
      <c r="J1017" s="14" t="s">
        <v>19</v>
      </c>
      <c r="K1017" s="14">
        <v>1120</v>
      </c>
      <c r="L1017" s="15">
        <v>45397</v>
      </c>
      <c r="M1017" s="16">
        <v>7</v>
      </c>
      <c r="N10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7" s="31">
        <f>IF(Table64[[#This Row],[date validity flag]]&lt;&gt;"Valid","",Table64[[#This Row],[shipment date ]]-Table64[[#This Row],[Order date]])</f>
        <v>60</v>
      </c>
      <c r="P1017" s="27" t="str">
        <f>TEXT(Table64[[#This Row],[Order date]],"mmm-yyyy")</f>
        <v>Feb-2024</v>
      </c>
      <c r="Q1017" s="16" t="str">
        <f t="shared" si="15"/>
        <v>Delayed</v>
      </c>
    </row>
    <row r="1018" spans="1:17" x14ac:dyDescent="0.3">
      <c r="A1018" s="12">
        <v>11017</v>
      </c>
      <c r="B1018" s="1">
        <v>6263</v>
      </c>
      <c r="C1018" s="1" t="s">
        <v>16</v>
      </c>
      <c r="D1018" s="2">
        <v>89199.94</v>
      </c>
      <c r="E1018" s="1">
        <v>87</v>
      </c>
      <c r="F1018" s="1" t="s">
        <v>22</v>
      </c>
      <c r="G1018" s="3">
        <v>45306</v>
      </c>
      <c r="H1018" s="2">
        <v>21335.58</v>
      </c>
      <c r="I1018" s="13" t="s">
        <v>14</v>
      </c>
      <c r="J1018" s="14" t="s">
        <v>18</v>
      </c>
      <c r="K1018" s="14">
        <v>574</v>
      </c>
      <c r="L1018" s="15">
        <v>45361</v>
      </c>
      <c r="M1018" s="16">
        <v>14</v>
      </c>
      <c r="N10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8" s="31">
        <f>IF(Table64[[#This Row],[date validity flag]]&lt;&gt;"Valid","",Table64[[#This Row],[shipment date ]]-Table64[[#This Row],[Order date]])</f>
        <v>55</v>
      </c>
      <c r="P1018" s="27" t="str">
        <f>TEXT(Table64[[#This Row],[Order date]],"mmm-yyyy")</f>
        <v>Jan-2024</v>
      </c>
      <c r="Q1018" s="16" t="str">
        <f t="shared" si="15"/>
        <v>Delayed</v>
      </c>
    </row>
    <row r="1019" spans="1:17" x14ac:dyDescent="0.3">
      <c r="A1019" s="17">
        <v>11018</v>
      </c>
      <c r="B1019" s="4">
        <v>5177</v>
      </c>
      <c r="C1019" s="4" t="s">
        <v>16</v>
      </c>
      <c r="D1019" s="5">
        <v>88382.17</v>
      </c>
      <c r="E1019" s="4">
        <v>88</v>
      </c>
      <c r="F1019" s="4" t="s">
        <v>22</v>
      </c>
      <c r="G1019" s="6">
        <v>45383</v>
      </c>
      <c r="H1019" s="5">
        <v>137889.57999999999</v>
      </c>
      <c r="I1019" s="18" t="s">
        <v>14</v>
      </c>
      <c r="J1019" s="14" t="s">
        <v>18</v>
      </c>
      <c r="K1019" s="14">
        <v>778</v>
      </c>
      <c r="L1019" s="15">
        <v>45397</v>
      </c>
      <c r="M1019" s="16">
        <v>5</v>
      </c>
      <c r="N10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19" s="31">
        <f>IF(Table64[[#This Row],[date validity flag]]&lt;&gt;"Valid","",Table64[[#This Row],[shipment date ]]-Table64[[#This Row],[Order date]])</f>
        <v>14</v>
      </c>
      <c r="P1019" s="27" t="str">
        <f>TEXT(Table64[[#This Row],[Order date]],"mmm-yyyy")</f>
        <v>Apr-2024</v>
      </c>
      <c r="Q1019" s="16" t="str">
        <f t="shared" si="15"/>
        <v>Delayed</v>
      </c>
    </row>
    <row r="1020" spans="1:17" x14ac:dyDescent="0.3">
      <c r="A1020" s="12">
        <v>11019</v>
      </c>
      <c r="B1020" s="1">
        <v>6803</v>
      </c>
      <c r="C1020" s="1" t="s">
        <v>16</v>
      </c>
      <c r="D1020" s="2">
        <v>75732.289999999994</v>
      </c>
      <c r="E1020" s="1">
        <v>50</v>
      </c>
      <c r="F1020" s="1" t="s">
        <v>13</v>
      </c>
      <c r="G1020" s="3">
        <v>45337</v>
      </c>
      <c r="H1020" s="2">
        <v>44096.43</v>
      </c>
      <c r="I1020" s="13" t="s">
        <v>20</v>
      </c>
      <c r="J1020" s="14" t="s">
        <v>19</v>
      </c>
      <c r="K1020" s="14">
        <v>193</v>
      </c>
      <c r="L1020" s="15">
        <v>45361</v>
      </c>
      <c r="M1020" s="16">
        <v>14</v>
      </c>
      <c r="N10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20" s="31">
        <f>IF(Table64[[#This Row],[date validity flag]]&lt;&gt;"Valid","",Table64[[#This Row],[shipment date ]]-Table64[[#This Row],[Order date]])</f>
        <v>24</v>
      </c>
      <c r="P1020" s="27" t="str">
        <f>TEXT(Table64[[#This Row],[Order date]],"mmm-yyyy")</f>
        <v>Feb-2024</v>
      </c>
      <c r="Q1020" s="16" t="str">
        <f t="shared" si="15"/>
        <v>Delayed</v>
      </c>
    </row>
    <row r="1021" spans="1:17" x14ac:dyDescent="0.3">
      <c r="A1021" s="17">
        <v>11020</v>
      </c>
      <c r="B1021" s="4">
        <v>5853</v>
      </c>
      <c r="C1021" s="4" t="s">
        <v>16</v>
      </c>
      <c r="D1021" s="5">
        <v>19452.64</v>
      </c>
      <c r="E1021" s="4">
        <v>8</v>
      </c>
      <c r="F1021" s="4" t="s">
        <v>13</v>
      </c>
      <c r="G1021" s="6">
        <v>45383</v>
      </c>
      <c r="H1021" s="5">
        <v>63209.49</v>
      </c>
      <c r="I1021" s="18" t="s">
        <v>17</v>
      </c>
      <c r="J1021" s="14" t="s">
        <v>19</v>
      </c>
      <c r="K1021" s="14">
        <v>717</v>
      </c>
      <c r="L1021" s="15">
        <v>45332</v>
      </c>
      <c r="M1021" s="16">
        <v>12</v>
      </c>
      <c r="N102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21" s="31" t="str">
        <f>IF(Table64[[#This Row],[date validity flag]]&lt;&gt;"Valid","",Table64[[#This Row],[shipment date ]]-Table64[[#This Row],[Order date]])</f>
        <v/>
      </c>
      <c r="P1021" s="27" t="str">
        <f>TEXT(Table64[[#This Row],[Order date]],"mmm-yyyy")</f>
        <v>Apr-2024</v>
      </c>
      <c r="Q1021" s="16" t="str">
        <f t="shared" si="15"/>
        <v/>
      </c>
    </row>
    <row r="1022" spans="1:17" x14ac:dyDescent="0.3">
      <c r="A1022" s="12">
        <v>11021</v>
      </c>
      <c r="B1022" s="1">
        <v>6306</v>
      </c>
      <c r="C1022" s="1" t="s">
        <v>16</v>
      </c>
      <c r="D1022" s="2">
        <v>11555.78</v>
      </c>
      <c r="E1022" s="1">
        <v>41</v>
      </c>
      <c r="F1022" s="1" t="s">
        <v>13</v>
      </c>
      <c r="G1022" s="3">
        <v>45306</v>
      </c>
      <c r="H1022" s="2">
        <v>52673.03</v>
      </c>
      <c r="I1022" s="13" t="s">
        <v>14</v>
      </c>
      <c r="J1022" s="14" t="s">
        <v>19</v>
      </c>
      <c r="K1022" s="14">
        <v>1492</v>
      </c>
      <c r="L1022" s="15">
        <v>45332</v>
      </c>
      <c r="M1022" s="16">
        <v>9</v>
      </c>
      <c r="N10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22" s="31">
        <f>IF(Table64[[#This Row],[date validity flag]]&lt;&gt;"Valid","",Table64[[#This Row],[shipment date ]]-Table64[[#This Row],[Order date]])</f>
        <v>26</v>
      </c>
      <c r="P1022" s="27" t="str">
        <f>TEXT(Table64[[#This Row],[Order date]],"mmm-yyyy")</f>
        <v>Jan-2024</v>
      </c>
      <c r="Q1022" s="16" t="str">
        <f t="shared" si="15"/>
        <v>Delayed</v>
      </c>
    </row>
    <row r="1023" spans="1:17" x14ac:dyDescent="0.3">
      <c r="A1023" s="17">
        <v>11022</v>
      </c>
      <c r="B1023" s="4">
        <v>5063</v>
      </c>
      <c r="C1023" s="4" t="s">
        <v>16</v>
      </c>
      <c r="D1023" s="5">
        <v>9277.74</v>
      </c>
      <c r="E1023" s="4">
        <v>6</v>
      </c>
      <c r="F1023" s="4" t="s">
        <v>21</v>
      </c>
      <c r="G1023" s="6">
        <v>45383</v>
      </c>
      <c r="H1023" s="5">
        <v>121344.48</v>
      </c>
      <c r="I1023" s="18" t="s">
        <v>20</v>
      </c>
      <c r="J1023" s="14" t="s">
        <v>15</v>
      </c>
      <c r="K1023" s="14">
        <v>730</v>
      </c>
      <c r="L1023" s="15">
        <v>45361</v>
      </c>
      <c r="M1023" s="16">
        <v>4</v>
      </c>
      <c r="N102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23" s="31" t="str">
        <f>IF(Table64[[#This Row],[date validity flag]]&lt;&gt;"Valid","",Table64[[#This Row],[shipment date ]]-Table64[[#This Row],[Order date]])</f>
        <v/>
      </c>
      <c r="P1023" s="27" t="str">
        <f>TEXT(Table64[[#This Row],[Order date]],"mmm-yyyy")</f>
        <v>Apr-2024</v>
      </c>
      <c r="Q1023" s="16" t="str">
        <f t="shared" si="15"/>
        <v/>
      </c>
    </row>
    <row r="1024" spans="1:17" x14ac:dyDescent="0.3">
      <c r="A1024" s="12">
        <v>11023</v>
      </c>
      <c r="B1024" s="1">
        <v>6241</v>
      </c>
      <c r="C1024" s="1" t="s">
        <v>16</v>
      </c>
      <c r="D1024" s="2">
        <v>60554.44</v>
      </c>
      <c r="E1024" s="1">
        <v>69</v>
      </c>
      <c r="F1024" s="1" t="s">
        <v>21</v>
      </c>
      <c r="G1024" s="3">
        <v>45361</v>
      </c>
      <c r="H1024" s="2">
        <v>60470.75</v>
      </c>
      <c r="I1024" s="13" t="s">
        <v>17</v>
      </c>
      <c r="J1024" s="14" t="s">
        <v>19</v>
      </c>
      <c r="K1024" s="14">
        <v>1022</v>
      </c>
      <c r="L1024" s="15">
        <v>45361</v>
      </c>
      <c r="M1024" s="16">
        <v>10</v>
      </c>
      <c r="N10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24" s="31">
        <f>IF(Table64[[#This Row],[date validity flag]]&lt;&gt;"Valid","",Table64[[#This Row],[shipment date ]]-Table64[[#This Row],[Order date]])</f>
        <v>0</v>
      </c>
      <c r="P1024" s="27" t="str">
        <f>TEXT(Table64[[#This Row],[Order date]],"mmm-yyyy")</f>
        <v>Mar-2024</v>
      </c>
      <c r="Q1024" s="16" t="str">
        <f t="shared" si="15"/>
        <v>On Time</v>
      </c>
    </row>
    <row r="1025" spans="1:17" x14ac:dyDescent="0.3">
      <c r="A1025" s="17">
        <v>11024</v>
      </c>
      <c r="B1025" s="4">
        <v>6878</v>
      </c>
      <c r="C1025" s="4" t="s">
        <v>16</v>
      </c>
      <c r="D1025" s="5">
        <v>76880.100000000006</v>
      </c>
      <c r="E1025" s="4">
        <v>44</v>
      </c>
      <c r="F1025" s="4" t="s">
        <v>22</v>
      </c>
      <c r="G1025" s="6">
        <v>45306</v>
      </c>
      <c r="H1025" s="5">
        <v>132190.91</v>
      </c>
      <c r="I1025" s="18" t="s">
        <v>17</v>
      </c>
      <c r="J1025" s="14" t="s">
        <v>19</v>
      </c>
      <c r="K1025" s="14">
        <v>848</v>
      </c>
      <c r="L1025" s="15">
        <v>45361</v>
      </c>
      <c r="M1025" s="16">
        <v>11</v>
      </c>
      <c r="N10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25" s="31">
        <f>IF(Table64[[#This Row],[date validity flag]]&lt;&gt;"Valid","",Table64[[#This Row],[shipment date ]]-Table64[[#This Row],[Order date]])</f>
        <v>55</v>
      </c>
      <c r="P1025" s="27" t="str">
        <f>TEXT(Table64[[#This Row],[Order date]],"mmm-yyyy")</f>
        <v>Jan-2024</v>
      </c>
      <c r="Q1025" s="16" t="str">
        <f t="shared" si="15"/>
        <v>Delayed</v>
      </c>
    </row>
    <row r="1026" spans="1:17" x14ac:dyDescent="0.3">
      <c r="A1026" s="12">
        <v>11025</v>
      </c>
      <c r="B1026" s="1">
        <v>5827</v>
      </c>
      <c r="C1026" s="1" t="s">
        <v>16</v>
      </c>
      <c r="D1026" s="2">
        <v>28247.54</v>
      </c>
      <c r="E1026" s="1">
        <v>64</v>
      </c>
      <c r="F1026" s="1" t="s">
        <v>13</v>
      </c>
      <c r="G1026" s="3">
        <v>45361</v>
      </c>
      <c r="H1026" s="2">
        <v>128783.64</v>
      </c>
      <c r="I1026" s="13" t="s">
        <v>14</v>
      </c>
      <c r="J1026" s="14" t="s">
        <v>15</v>
      </c>
      <c r="K1026" s="14">
        <v>134</v>
      </c>
      <c r="L1026" s="15">
        <v>45361</v>
      </c>
      <c r="M1026" s="16">
        <v>6</v>
      </c>
      <c r="N10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26" s="31">
        <f>IF(Table64[[#This Row],[date validity flag]]&lt;&gt;"Valid","",Table64[[#This Row],[shipment date ]]-Table64[[#This Row],[Order date]])</f>
        <v>0</v>
      </c>
      <c r="P1026" s="27" t="str">
        <f>TEXT(Table64[[#This Row],[Order date]],"mmm-yyyy")</f>
        <v>Mar-2024</v>
      </c>
      <c r="Q1026" s="16" t="str">
        <f t="shared" ref="Q1026:Q1089" si="16">IF(O1026="","",IF(O1026&gt;0,"Delayed","On Time"))</f>
        <v>On Time</v>
      </c>
    </row>
    <row r="1027" spans="1:17" x14ac:dyDescent="0.3">
      <c r="A1027" s="17">
        <v>11026</v>
      </c>
      <c r="B1027" s="4">
        <v>5795</v>
      </c>
      <c r="C1027" s="4" t="s">
        <v>16</v>
      </c>
      <c r="D1027" s="5">
        <v>44905.93</v>
      </c>
      <c r="E1027" s="4">
        <v>29</v>
      </c>
      <c r="F1027" s="4" t="s">
        <v>22</v>
      </c>
      <c r="G1027" s="6">
        <v>45383</v>
      </c>
      <c r="H1027" s="5">
        <v>115372.21</v>
      </c>
      <c r="I1027" s="18" t="s">
        <v>17</v>
      </c>
      <c r="J1027" s="14" t="s">
        <v>18</v>
      </c>
      <c r="K1027" s="14">
        <v>465</v>
      </c>
      <c r="L1027" s="15">
        <v>45397</v>
      </c>
      <c r="M1027" s="16">
        <v>5</v>
      </c>
      <c r="N10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27" s="31">
        <f>IF(Table64[[#This Row],[date validity flag]]&lt;&gt;"Valid","",Table64[[#This Row],[shipment date ]]-Table64[[#This Row],[Order date]])</f>
        <v>14</v>
      </c>
      <c r="P1027" s="27" t="str">
        <f>TEXT(Table64[[#This Row],[Order date]],"mmm-yyyy")</f>
        <v>Apr-2024</v>
      </c>
      <c r="Q1027" s="16" t="str">
        <f t="shared" si="16"/>
        <v>Delayed</v>
      </c>
    </row>
    <row r="1028" spans="1:17" x14ac:dyDescent="0.3">
      <c r="A1028" s="12">
        <v>11027</v>
      </c>
      <c r="B1028" s="1">
        <v>5689</v>
      </c>
      <c r="C1028" s="1" t="s">
        <v>16</v>
      </c>
      <c r="D1028" s="2">
        <v>98019.63</v>
      </c>
      <c r="E1028" s="1">
        <v>28</v>
      </c>
      <c r="F1028" s="1" t="s">
        <v>23</v>
      </c>
      <c r="G1028" s="3">
        <v>45361</v>
      </c>
      <c r="H1028" s="2">
        <v>21028.65</v>
      </c>
      <c r="I1028" s="13" t="s">
        <v>14</v>
      </c>
      <c r="J1028" s="14" t="s">
        <v>19</v>
      </c>
      <c r="K1028" s="14">
        <v>743</v>
      </c>
      <c r="L1028" s="15">
        <v>45332</v>
      </c>
      <c r="M1028" s="16">
        <v>1</v>
      </c>
      <c r="N102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28" s="31" t="str">
        <f>IF(Table64[[#This Row],[date validity flag]]&lt;&gt;"Valid","",Table64[[#This Row],[shipment date ]]-Table64[[#This Row],[Order date]])</f>
        <v/>
      </c>
      <c r="P1028" s="27" t="str">
        <f>TEXT(Table64[[#This Row],[Order date]],"mmm-yyyy")</f>
        <v>Mar-2024</v>
      </c>
      <c r="Q1028" s="16" t="str">
        <f t="shared" si="16"/>
        <v/>
      </c>
    </row>
    <row r="1029" spans="1:17" x14ac:dyDescent="0.3">
      <c r="A1029" s="17">
        <v>11028</v>
      </c>
      <c r="B1029" s="4">
        <v>6485</v>
      </c>
      <c r="C1029" s="4" t="s">
        <v>12</v>
      </c>
      <c r="D1029" s="5">
        <v>22515.96</v>
      </c>
      <c r="E1029" s="4">
        <v>11</v>
      </c>
      <c r="F1029" s="4" t="s">
        <v>23</v>
      </c>
      <c r="G1029" s="6">
        <v>45306</v>
      </c>
      <c r="H1029" s="5">
        <v>148284.76</v>
      </c>
      <c r="I1029" s="18" t="s">
        <v>17</v>
      </c>
      <c r="J1029" s="14" t="s">
        <v>19</v>
      </c>
      <c r="K1029" s="14">
        <v>531</v>
      </c>
      <c r="L1029" s="15">
        <v>45397</v>
      </c>
      <c r="M1029" s="16">
        <v>5</v>
      </c>
      <c r="N10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29" s="31">
        <f>IF(Table64[[#This Row],[date validity flag]]&lt;&gt;"Valid","",Table64[[#This Row],[shipment date ]]-Table64[[#This Row],[Order date]])</f>
        <v>91</v>
      </c>
      <c r="P1029" s="27" t="str">
        <f>TEXT(Table64[[#This Row],[Order date]],"mmm-yyyy")</f>
        <v>Jan-2024</v>
      </c>
      <c r="Q1029" s="16" t="str">
        <f t="shared" si="16"/>
        <v>Delayed</v>
      </c>
    </row>
    <row r="1030" spans="1:17" x14ac:dyDescent="0.3">
      <c r="A1030" s="12">
        <v>11029</v>
      </c>
      <c r="B1030" s="1">
        <v>6953</v>
      </c>
      <c r="C1030" s="1" t="s">
        <v>16</v>
      </c>
      <c r="D1030" s="2">
        <v>77444.56</v>
      </c>
      <c r="E1030" s="1">
        <v>65</v>
      </c>
      <c r="F1030" s="1" t="s">
        <v>13</v>
      </c>
      <c r="G1030" s="3">
        <v>45361</v>
      </c>
      <c r="H1030" s="2">
        <v>21256.9</v>
      </c>
      <c r="I1030" s="13" t="s">
        <v>17</v>
      </c>
      <c r="J1030" s="14" t="s">
        <v>18</v>
      </c>
      <c r="K1030" s="14">
        <v>505</v>
      </c>
      <c r="L1030" s="15">
        <v>45361</v>
      </c>
      <c r="M1030" s="16">
        <v>13</v>
      </c>
      <c r="N10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30" s="31">
        <f>IF(Table64[[#This Row],[date validity flag]]&lt;&gt;"Valid","",Table64[[#This Row],[shipment date ]]-Table64[[#This Row],[Order date]])</f>
        <v>0</v>
      </c>
      <c r="P1030" s="27" t="str">
        <f>TEXT(Table64[[#This Row],[Order date]],"mmm-yyyy")</f>
        <v>Mar-2024</v>
      </c>
      <c r="Q1030" s="16" t="str">
        <f t="shared" si="16"/>
        <v>On Time</v>
      </c>
    </row>
    <row r="1031" spans="1:17" x14ac:dyDescent="0.3">
      <c r="A1031" s="17">
        <v>11030</v>
      </c>
      <c r="B1031" s="4">
        <v>6634</v>
      </c>
      <c r="C1031" s="4" t="s">
        <v>16</v>
      </c>
      <c r="D1031" s="5">
        <v>23097.06</v>
      </c>
      <c r="E1031" s="4">
        <v>19</v>
      </c>
      <c r="F1031" s="4" t="s">
        <v>13</v>
      </c>
      <c r="G1031" s="6">
        <v>45383</v>
      </c>
      <c r="H1031" s="5">
        <v>44604.65</v>
      </c>
      <c r="I1031" s="18" t="s">
        <v>20</v>
      </c>
      <c r="J1031" s="14" t="s">
        <v>18</v>
      </c>
      <c r="K1031" s="14">
        <v>876</v>
      </c>
      <c r="L1031" s="15">
        <v>45397</v>
      </c>
      <c r="M1031" s="16">
        <v>5</v>
      </c>
      <c r="N10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31" s="31">
        <f>IF(Table64[[#This Row],[date validity flag]]&lt;&gt;"Valid","",Table64[[#This Row],[shipment date ]]-Table64[[#This Row],[Order date]])</f>
        <v>14</v>
      </c>
      <c r="P1031" s="27" t="str">
        <f>TEXT(Table64[[#This Row],[Order date]],"mmm-yyyy")</f>
        <v>Apr-2024</v>
      </c>
      <c r="Q1031" s="16" t="str">
        <f t="shared" si="16"/>
        <v>Delayed</v>
      </c>
    </row>
    <row r="1032" spans="1:17" x14ac:dyDescent="0.3">
      <c r="A1032" s="12">
        <v>11031</v>
      </c>
      <c r="B1032" s="1">
        <v>5105</v>
      </c>
      <c r="C1032" s="1" t="s">
        <v>16</v>
      </c>
      <c r="D1032" s="2">
        <v>49408.99</v>
      </c>
      <c r="E1032" s="1">
        <v>9</v>
      </c>
      <c r="F1032" s="1" t="s">
        <v>23</v>
      </c>
      <c r="G1032" s="3">
        <v>45383</v>
      </c>
      <c r="H1032" s="2">
        <v>147469.5</v>
      </c>
      <c r="I1032" s="13" t="s">
        <v>17</v>
      </c>
      <c r="J1032" s="14" t="s">
        <v>15</v>
      </c>
      <c r="K1032" s="14">
        <v>346</v>
      </c>
      <c r="L1032" s="15">
        <v>45397</v>
      </c>
      <c r="M1032" s="16">
        <v>14</v>
      </c>
      <c r="N103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32" s="31">
        <f>IF(Table64[[#This Row],[date validity flag]]&lt;&gt;"Valid","",Table64[[#This Row],[shipment date ]]-Table64[[#This Row],[Order date]])</f>
        <v>14</v>
      </c>
      <c r="P1032" s="27" t="str">
        <f>TEXT(Table64[[#This Row],[Order date]],"mmm-yyyy")</f>
        <v>Apr-2024</v>
      </c>
      <c r="Q1032" s="16" t="str">
        <f t="shared" si="16"/>
        <v>Delayed</v>
      </c>
    </row>
    <row r="1033" spans="1:17" x14ac:dyDescent="0.3">
      <c r="A1033" s="17">
        <v>11032</v>
      </c>
      <c r="B1033" s="4">
        <v>6123</v>
      </c>
      <c r="C1033" s="4" t="s">
        <v>16</v>
      </c>
      <c r="D1033" s="5">
        <v>25916.54</v>
      </c>
      <c r="E1033" s="4">
        <v>27</v>
      </c>
      <c r="F1033" s="4" t="s">
        <v>13</v>
      </c>
      <c r="G1033" s="6">
        <v>45383</v>
      </c>
      <c r="H1033" s="5">
        <v>36361.550000000003</v>
      </c>
      <c r="I1033" s="18" t="s">
        <v>20</v>
      </c>
      <c r="J1033" s="14" t="s">
        <v>19</v>
      </c>
      <c r="K1033" s="14">
        <v>1185</v>
      </c>
      <c r="L1033" s="15">
        <v>45332</v>
      </c>
      <c r="M1033" s="16">
        <v>9</v>
      </c>
      <c r="N10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33" s="31" t="str">
        <f>IF(Table64[[#This Row],[date validity flag]]&lt;&gt;"Valid","",Table64[[#This Row],[shipment date ]]-Table64[[#This Row],[Order date]])</f>
        <v/>
      </c>
      <c r="P1033" s="27" t="str">
        <f>TEXT(Table64[[#This Row],[Order date]],"mmm-yyyy")</f>
        <v>Apr-2024</v>
      </c>
      <c r="Q1033" s="16" t="str">
        <f t="shared" si="16"/>
        <v/>
      </c>
    </row>
    <row r="1034" spans="1:17" x14ac:dyDescent="0.3">
      <c r="A1034" s="12">
        <v>11033</v>
      </c>
      <c r="B1034" s="1">
        <v>5511</v>
      </c>
      <c r="C1034" s="1" t="s">
        <v>16</v>
      </c>
      <c r="D1034" s="2">
        <v>59720.49</v>
      </c>
      <c r="E1034" s="1">
        <v>34</v>
      </c>
      <c r="F1034" s="1" t="s">
        <v>21</v>
      </c>
      <c r="G1034" s="3">
        <v>45306</v>
      </c>
      <c r="H1034" s="2">
        <v>56067.19</v>
      </c>
      <c r="I1034" s="13" t="s">
        <v>17</v>
      </c>
      <c r="J1034" s="14" t="s">
        <v>19</v>
      </c>
      <c r="K1034" s="14">
        <v>1303</v>
      </c>
      <c r="L1034" s="15">
        <v>45397</v>
      </c>
      <c r="M1034" s="16">
        <v>1</v>
      </c>
      <c r="N10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34" s="31">
        <f>IF(Table64[[#This Row],[date validity flag]]&lt;&gt;"Valid","",Table64[[#This Row],[shipment date ]]-Table64[[#This Row],[Order date]])</f>
        <v>91</v>
      </c>
      <c r="P1034" s="27" t="str">
        <f>TEXT(Table64[[#This Row],[Order date]],"mmm-yyyy")</f>
        <v>Jan-2024</v>
      </c>
      <c r="Q1034" s="16" t="str">
        <f t="shared" si="16"/>
        <v>Delayed</v>
      </c>
    </row>
    <row r="1035" spans="1:17" x14ac:dyDescent="0.3">
      <c r="A1035" s="17">
        <v>11034</v>
      </c>
      <c r="B1035" s="4">
        <v>5385</v>
      </c>
      <c r="C1035" s="4" t="s">
        <v>12</v>
      </c>
      <c r="D1035" s="5">
        <v>16517.919999999998</v>
      </c>
      <c r="E1035" s="4">
        <v>44</v>
      </c>
      <c r="F1035" s="4" t="s">
        <v>21</v>
      </c>
      <c r="G1035" s="6">
        <v>45383</v>
      </c>
      <c r="H1035" s="5">
        <v>124275.36</v>
      </c>
      <c r="I1035" s="18" t="s">
        <v>20</v>
      </c>
      <c r="J1035" s="14" t="s">
        <v>15</v>
      </c>
      <c r="K1035" s="14">
        <v>1169</v>
      </c>
      <c r="L1035" s="15">
        <v>45332</v>
      </c>
      <c r="M1035" s="16">
        <v>5</v>
      </c>
      <c r="N103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35" s="31" t="str">
        <f>IF(Table64[[#This Row],[date validity flag]]&lt;&gt;"Valid","",Table64[[#This Row],[shipment date ]]-Table64[[#This Row],[Order date]])</f>
        <v/>
      </c>
      <c r="P1035" s="27" t="str">
        <f>TEXT(Table64[[#This Row],[Order date]],"mmm-yyyy")</f>
        <v>Apr-2024</v>
      </c>
      <c r="Q1035" s="16" t="str">
        <f t="shared" si="16"/>
        <v/>
      </c>
    </row>
    <row r="1036" spans="1:17" x14ac:dyDescent="0.3">
      <c r="A1036" s="12">
        <v>11035</v>
      </c>
      <c r="B1036" s="1">
        <v>5405</v>
      </c>
      <c r="C1036" s="1" t="s">
        <v>16</v>
      </c>
      <c r="D1036" s="2">
        <v>90563.29</v>
      </c>
      <c r="E1036" s="1">
        <v>68</v>
      </c>
      <c r="F1036" s="1" t="s">
        <v>13</v>
      </c>
      <c r="G1036" s="3">
        <v>45306</v>
      </c>
      <c r="H1036" s="2">
        <v>60599.18</v>
      </c>
      <c r="I1036" s="13" t="s">
        <v>17</v>
      </c>
      <c r="J1036" s="14" t="s">
        <v>18</v>
      </c>
      <c r="K1036" s="14">
        <v>999</v>
      </c>
      <c r="L1036" s="15">
        <v>45361</v>
      </c>
      <c r="M1036" s="16">
        <v>7</v>
      </c>
      <c r="N10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36" s="31">
        <f>IF(Table64[[#This Row],[date validity flag]]&lt;&gt;"Valid","",Table64[[#This Row],[shipment date ]]-Table64[[#This Row],[Order date]])</f>
        <v>55</v>
      </c>
      <c r="P1036" s="27" t="str">
        <f>TEXT(Table64[[#This Row],[Order date]],"mmm-yyyy")</f>
        <v>Jan-2024</v>
      </c>
      <c r="Q1036" s="16" t="str">
        <f t="shared" si="16"/>
        <v>Delayed</v>
      </c>
    </row>
    <row r="1037" spans="1:17" x14ac:dyDescent="0.3">
      <c r="A1037" s="17">
        <v>11036</v>
      </c>
      <c r="B1037" s="4">
        <v>5823</v>
      </c>
      <c r="C1037" s="4" t="s">
        <v>12</v>
      </c>
      <c r="D1037" s="5">
        <v>24840.25</v>
      </c>
      <c r="E1037" s="4">
        <v>82</v>
      </c>
      <c r="F1037" s="4" t="s">
        <v>23</v>
      </c>
      <c r="G1037" s="6">
        <v>45361</v>
      </c>
      <c r="H1037" s="5">
        <v>96742.09</v>
      </c>
      <c r="I1037" s="18" t="s">
        <v>17</v>
      </c>
      <c r="J1037" s="14" t="s">
        <v>15</v>
      </c>
      <c r="K1037" s="14">
        <v>729</v>
      </c>
      <c r="L1037" s="15">
        <v>45397</v>
      </c>
      <c r="M1037" s="16">
        <v>11</v>
      </c>
      <c r="N103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37" s="31">
        <f>IF(Table64[[#This Row],[date validity flag]]&lt;&gt;"Valid","",Table64[[#This Row],[shipment date ]]-Table64[[#This Row],[Order date]])</f>
        <v>36</v>
      </c>
      <c r="P1037" s="27" t="str">
        <f>TEXT(Table64[[#This Row],[Order date]],"mmm-yyyy")</f>
        <v>Mar-2024</v>
      </c>
      <c r="Q1037" s="16" t="str">
        <f t="shared" si="16"/>
        <v>Delayed</v>
      </c>
    </row>
    <row r="1038" spans="1:17" x14ac:dyDescent="0.3">
      <c r="A1038" s="12">
        <v>11037</v>
      </c>
      <c r="B1038" s="1">
        <v>5518</v>
      </c>
      <c r="C1038" s="1" t="s">
        <v>16</v>
      </c>
      <c r="D1038" s="2">
        <v>82301.919999999998</v>
      </c>
      <c r="E1038" s="1">
        <v>15</v>
      </c>
      <c r="F1038" s="1" t="s">
        <v>22</v>
      </c>
      <c r="G1038" s="3">
        <v>45383</v>
      </c>
      <c r="H1038" s="2">
        <v>74404</v>
      </c>
      <c r="I1038" s="13" t="s">
        <v>17</v>
      </c>
      <c r="J1038" s="14" t="s">
        <v>18</v>
      </c>
      <c r="K1038" s="14">
        <v>427</v>
      </c>
      <c r="L1038" s="15">
        <v>45361</v>
      </c>
      <c r="M1038" s="16">
        <v>6</v>
      </c>
      <c r="N10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38" s="31" t="str">
        <f>IF(Table64[[#This Row],[date validity flag]]&lt;&gt;"Valid","",Table64[[#This Row],[shipment date ]]-Table64[[#This Row],[Order date]])</f>
        <v/>
      </c>
      <c r="P1038" s="27" t="str">
        <f>TEXT(Table64[[#This Row],[Order date]],"mmm-yyyy")</f>
        <v>Apr-2024</v>
      </c>
      <c r="Q1038" s="16" t="str">
        <f t="shared" si="16"/>
        <v/>
      </c>
    </row>
    <row r="1039" spans="1:17" x14ac:dyDescent="0.3">
      <c r="A1039" s="17">
        <v>11038</v>
      </c>
      <c r="B1039" s="4">
        <v>5476</v>
      </c>
      <c r="C1039" s="4" t="s">
        <v>16</v>
      </c>
      <c r="D1039" s="5">
        <v>89953.76</v>
      </c>
      <c r="E1039" s="4">
        <v>51</v>
      </c>
      <c r="F1039" s="4" t="s">
        <v>13</v>
      </c>
      <c r="G1039" s="6">
        <v>45361</v>
      </c>
      <c r="H1039" s="5">
        <v>135533.60999999999</v>
      </c>
      <c r="I1039" s="18" t="s">
        <v>17</v>
      </c>
      <c r="J1039" s="14" t="s">
        <v>15</v>
      </c>
      <c r="K1039" s="14">
        <v>1229</v>
      </c>
      <c r="L1039" s="15">
        <v>45332</v>
      </c>
      <c r="M1039" s="16">
        <v>6</v>
      </c>
      <c r="N10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39" s="31" t="str">
        <f>IF(Table64[[#This Row],[date validity flag]]&lt;&gt;"Valid","",Table64[[#This Row],[shipment date ]]-Table64[[#This Row],[Order date]])</f>
        <v/>
      </c>
      <c r="P1039" s="27" t="str">
        <f>TEXT(Table64[[#This Row],[Order date]],"mmm-yyyy")</f>
        <v>Mar-2024</v>
      </c>
      <c r="Q1039" s="16" t="str">
        <f t="shared" si="16"/>
        <v/>
      </c>
    </row>
    <row r="1040" spans="1:17" x14ac:dyDescent="0.3">
      <c r="A1040" s="12">
        <v>11039</v>
      </c>
      <c r="B1040" s="1">
        <v>5709</v>
      </c>
      <c r="C1040" s="1" t="s">
        <v>16</v>
      </c>
      <c r="D1040" s="2">
        <v>53567.33</v>
      </c>
      <c r="E1040" s="1">
        <v>13</v>
      </c>
      <c r="F1040" s="1" t="s">
        <v>13</v>
      </c>
      <c r="G1040" s="3">
        <v>45337</v>
      </c>
      <c r="H1040" s="2">
        <v>93013.78</v>
      </c>
      <c r="I1040" s="13" t="s">
        <v>17</v>
      </c>
      <c r="J1040" s="14" t="s">
        <v>18</v>
      </c>
      <c r="K1040" s="14">
        <v>470</v>
      </c>
      <c r="L1040" s="15">
        <v>45361</v>
      </c>
      <c r="M1040" s="16">
        <v>12</v>
      </c>
      <c r="N10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0" s="31">
        <f>IF(Table64[[#This Row],[date validity flag]]&lt;&gt;"Valid","",Table64[[#This Row],[shipment date ]]-Table64[[#This Row],[Order date]])</f>
        <v>24</v>
      </c>
      <c r="P1040" s="27" t="str">
        <f>TEXT(Table64[[#This Row],[Order date]],"mmm-yyyy")</f>
        <v>Feb-2024</v>
      </c>
      <c r="Q1040" s="16" t="str">
        <f t="shared" si="16"/>
        <v>Delayed</v>
      </c>
    </row>
    <row r="1041" spans="1:17" x14ac:dyDescent="0.3">
      <c r="A1041" s="17">
        <v>11040</v>
      </c>
      <c r="B1041" s="4">
        <v>6887</v>
      </c>
      <c r="C1041" s="4" t="s">
        <v>16</v>
      </c>
      <c r="D1041" s="5">
        <v>13744.71</v>
      </c>
      <c r="E1041" s="4">
        <v>83</v>
      </c>
      <c r="F1041" s="4" t="s">
        <v>22</v>
      </c>
      <c r="G1041" s="6">
        <v>45361</v>
      </c>
      <c r="H1041" s="5">
        <v>133059.76</v>
      </c>
      <c r="I1041" s="18" t="s">
        <v>14</v>
      </c>
      <c r="J1041" s="14" t="s">
        <v>15</v>
      </c>
      <c r="K1041" s="14">
        <v>154</v>
      </c>
      <c r="L1041" s="15">
        <v>45361</v>
      </c>
      <c r="M1041" s="16">
        <v>7</v>
      </c>
      <c r="N10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1" s="31">
        <f>IF(Table64[[#This Row],[date validity flag]]&lt;&gt;"Valid","",Table64[[#This Row],[shipment date ]]-Table64[[#This Row],[Order date]])</f>
        <v>0</v>
      </c>
      <c r="P1041" s="27" t="str">
        <f>TEXT(Table64[[#This Row],[Order date]],"mmm-yyyy")</f>
        <v>Mar-2024</v>
      </c>
      <c r="Q1041" s="16" t="str">
        <f t="shared" si="16"/>
        <v>On Time</v>
      </c>
    </row>
    <row r="1042" spans="1:17" x14ac:dyDescent="0.3">
      <c r="A1042" s="12">
        <v>11041</v>
      </c>
      <c r="B1042" s="1">
        <v>6669</v>
      </c>
      <c r="C1042" s="1" t="s">
        <v>16</v>
      </c>
      <c r="D1042" s="2">
        <v>16153.37</v>
      </c>
      <c r="E1042" s="1">
        <v>49</v>
      </c>
      <c r="F1042" s="1" t="s">
        <v>13</v>
      </c>
      <c r="G1042" s="3">
        <v>45337</v>
      </c>
      <c r="H1042" s="2">
        <v>32132.18</v>
      </c>
      <c r="I1042" s="13" t="s">
        <v>17</v>
      </c>
      <c r="J1042" s="14" t="s">
        <v>18</v>
      </c>
      <c r="K1042" s="14">
        <v>379</v>
      </c>
      <c r="L1042" s="15">
        <v>45332</v>
      </c>
      <c r="M1042" s="16">
        <v>6</v>
      </c>
      <c r="N104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42" s="31" t="str">
        <f>IF(Table64[[#This Row],[date validity flag]]&lt;&gt;"Valid","",Table64[[#This Row],[shipment date ]]-Table64[[#This Row],[Order date]])</f>
        <v/>
      </c>
      <c r="P1042" s="27" t="str">
        <f>TEXT(Table64[[#This Row],[Order date]],"mmm-yyyy")</f>
        <v>Feb-2024</v>
      </c>
      <c r="Q1042" s="16" t="str">
        <f t="shared" si="16"/>
        <v/>
      </c>
    </row>
    <row r="1043" spans="1:17" x14ac:dyDescent="0.3">
      <c r="A1043" s="17">
        <v>11042</v>
      </c>
      <c r="B1043" s="4">
        <v>6894</v>
      </c>
      <c r="C1043" s="4" t="s">
        <v>12</v>
      </c>
      <c r="D1043" s="5">
        <v>34398.839999999997</v>
      </c>
      <c r="E1043" s="4">
        <v>70</v>
      </c>
      <c r="F1043" s="4" t="s">
        <v>22</v>
      </c>
      <c r="G1043" s="6">
        <v>45361</v>
      </c>
      <c r="H1043" s="5">
        <v>124642.9</v>
      </c>
      <c r="I1043" s="18" t="s">
        <v>20</v>
      </c>
      <c r="J1043" s="14" t="s">
        <v>18</v>
      </c>
      <c r="K1043" s="14">
        <v>488</v>
      </c>
      <c r="L1043" s="15">
        <v>45361</v>
      </c>
      <c r="M1043" s="16">
        <v>5</v>
      </c>
      <c r="N10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3" s="31">
        <f>IF(Table64[[#This Row],[date validity flag]]&lt;&gt;"Valid","",Table64[[#This Row],[shipment date ]]-Table64[[#This Row],[Order date]])</f>
        <v>0</v>
      </c>
      <c r="P1043" s="27" t="str">
        <f>TEXT(Table64[[#This Row],[Order date]],"mmm-yyyy")</f>
        <v>Mar-2024</v>
      </c>
      <c r="Q1043" s="16" t="str">
        <f t="shared" si="16"/>
        <v>On Time</v>
      </c>
    </row>
    <row r="1044" spans="1:17" x14ac:dyDescent="0.3">
      <c r="A1044" s="12">
        <v>11043</v>
      </c>
      <c r="B1044" s="1">
        <v>5771</v>
      </c>
      <c r="C1044" s="1" t="s">
        <v>12</v>
      </c>
      <c r="D1044" s="2">
        <v>46861.29</v>
      </c>
      <c r="E1044" s="1">
        <v>56</v>
      </c>
      <c r="F1044" s="1" t="s">
        <v>23</v>
      </c>
      <c r="G1044" s="3">
        <v>45306</v>
      </c>
      <c r="H1044" s="2">
        <v>55824.39</v>
      </c>
      <c r="I1044" s="13" t="s">
        <v>20</v>
      </c>
      <c r="J1044" s="14" t="s">
        <v>18</v>
      </c>
      <c r="K1044" s="14">
        <v>1205</v>
      </c>
      <c r="L1044" s="15">
        <v>45361</v>
      </c>
      <c r="M1044" s="16">
        <v>10</v>
      </c>
      <c r="N10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4" s="31">
        <f>IF(Table64[[#This Row],[date validity flag]]&lt;&gt;"Valid","",Table64[[#This Row],[shipment date ]]-Table64[[#This Row],[Order date]])</f>
        <v>55</v>
      </c>
      <c r="P1044" s="27" t="str">
        <f>TEXT(Table64[[#This Row],[Order date]],"mmm-yyyy")</f>
        <v>Jan-2024</v>
      </c>
      <c r="Q1044" s="16" t="str">
        <f t="shared" si="16"/>
        <v>Delayed</v>
      </c>
    </row>
    <row r="1045" spans="1:17" x14ac:dyDescent="0.3">
      <c r="A1045" s="17">
        <v>11044</v>
      </c>
      <c r="B1045" s="4">
        <v>6461</v>
      </c>
      <c r="C1045" s="4" t="s">
        <v>16</v>
      </c>
      <c r="D1045" s="5">
        <v>49719.11</v>
      </c>
      <c r="E1045" s="4">
        <v>76</v>
      </c>
      <c r="F1045" s="4" t="s">
        <v>21</v>
      </c>
      <c r="G1045" s="6">
        <v>45361</v>
      </c>
      <c r="H1045" s="5">
        <v>130726.97</v>
      </c>
      <c r="I1045" s="18" t="s">
        <v>20</v>
      </c>
      <c r="J1045" s="14" t="s">
        <v>18</v>
      </c>
      <c r="K1045" s="14">
        <v>431</v>
      </c>
      <c r="L1045" s="15">
        <v>45361</v>
      </c>
      <c r="M1045" s="16">
        <v>5</v>
      </c>
      <c r="N10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5" s="31">
        <f>IF(Table64[[#This Row],[date validity flag]]&lt;&gt;"Valid","",Table64[[#This Row],[shipment date ]]-Table64[[#This Row],[Order date]])</f>
        <v>0</v>
      </c>
      <c r="P1045" s="27" t="str">
        <f>TEXT(Table64[[#This Row],[Order date]],"mmm-yyyy")</f>
        <v>Mar-2024</v>
      </c>
      <c r="Q1045" s="16" t="str">
        <f t="shared" si="16"/>
        <v>On Time</v>
      </c>
    </row>
    <row r="1046" spans="1:17" x14ac:dyDescent="0.3">
      <c r="A1046" s="12">
        <v>11045</v>
      </c>
      <c r="B1046" s="1">
        <v>6047</v>
      </c>
      <c r="C1046" s="1" t="s">
        <v>16</v>
      </c>
      <c r="D1046" s="2">
        <v>97985.89</v>
      </c>
      <c r="E1046" s="1">
        <v>51</v>
      </c>
      <c r="F1046" s="1" t="s">
        <v>23</v>
      </c>
      <c r="G1046" s="3">
        <v>45306</v>
      </c>
      <c r="H1046" s="2">
        <v>87097.919999999998</v>
      </c>
      <c r="I1046" s="13" t="s">
        <v>17</v>
      </c>
      <c r="J1046" s="14" t="s">
        <v>18</v>
      </c>
      <c r="K1046" s="14">
        <v>187</v>
      </c>
      <c r="L1046" s="15">
        <v>45397</v>
      </c>
      <c r="M1046" s="16">
        <v>9</v>
      </c>
      <c r="N10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6" s="31">
        <f>IF(Table64[[#This Row],[date validity flag]]&lt;&gt;"Valid","",Table64[[#This Row],[shipment date ]]-Table64[[#This Row],[Order date]])</f>
        <v>91</v>
      </c>
      <c r="P1046" s="27" t="str">
        <f>TEXT(Table64[[#This Row],[Order date]],"mmm-yyyy")</f>
        <v>Jan-2024</v>
      </c>
      <c r="Q1046" s="16" t="str">
        <f t="shared" si="16"/>
        <v>Delayed</v>
      </c>
    </row>
    <row r="1047" spans="1:17" x14ac:dyDescent="0.3">
      <c r="A1047" s="17">
        <v>11046</v>
      </c>
      <c r="B1047" s="4">
        <v>5997</v>
      </c>
      <c r="C1047" s="4" t="s">
        <v>16</v>
      </c>
      <c r="D1047" s="5">
        <v>41833.85</v>
      </c>
      <c r="E1047" s="4">
        <v>37</v>
      </c>
      <c r="F1047" s="4" t="s">
        <v>21</v>
      </c>
      <c r="G1047" s="6">
        <v>45306</v>
      </c>
      <c r="H1047" s="5">
        <v>120174.79</v>
      </c>
      <c r="I1047" s="18" t="s">
        <v>14</v>
      </c>
      <c r="J1047" s="14" t="s">
        <v>19</v>
      </c>
      <c r="K1047" s="14">
        <v>992</v>
      </c>
      <c r="L1047" s="15">
        <v>45361</v>
      </c>
      <c r="M1047" s="16">
        <v>14</v>
      </c>
      <c r="N10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7" s="31">
        <f>IF(Table64[[#This Row],[date validity flag]]&lt;&gt;"Valid","",Table64[[#This Row],[shipment date ]]-Table64[[#This Row],[Order date]])</f>
        <v>55</v>
      </c>
      <c r="P1047" s="27" t="str">
        <f>TEXT(Table64[[#This Row],[Order date]],"mmm-yyyy")</f>
        <v>Jan-2024</v>
      </c>
      <c r="Q1047" s="16" t="str">
        <f t="shared" si="16"/>
        <v>Delayed</v>
      </c>
    </row>
    <row r="1048" spans="1:17" x14ac:dyDescent="0.3">
      <c r="A1048" s="12">
        <v>11047</v>
      </c>
      <c r="B1048" s="1">
        <v>6589</v>
      </c>
      <c r="C1048" s="1" t="s">
        <v>16</v>
      </c>
      <c r="D1048" s="2">
        <v>46707.95</v>
      </c>
      <c r="E1048" s="1">
        <v>17</v>
      </c>
      <c r="F1048" s="1" t="s">
        <v>22</v>
      </c>
      <c r="G1048" s="3">
        <v>45383</v>
      </c>
      <c r="H1048" s="2">
        <v>26730.94</v>
      </c>
      <c r="I1048" s="13" t="s">
        <v>17</v>
      </c>
      <c r="J1048" s="14" t="s">
        <v>18</v>
      </c>
      <c r="K1048" s="14">
        <v>892</v>
      </c>
      <c r="L1048" s="15">
        <v>45332</v>
      </c>
      <c r="M1048" s="16">
        <v>8</v>
      </c>
      <c r="N104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48" s="31" t="str">
        <f>IF(Table64[[#This Row],[date validity flag]]&lt;&gt;"Valid","",Table64[[#This Row],[shipment date ]]-Table64[[#This Row],[Order date]])</f>
        <v/>
      </c>
      <c r="P1048" s="27" t="str">
        <f>TEXT(Table64[[#This Row],[Order date]],"mmm-yyyy")</f>
        <v>Apr-2024</v>
      </c>
      <c r="Q1048" s="16" t="str">
        <f t="shared" si="16"/>
        <v/>
      </c>
    </row>
    <row r="1049" spans="1:17" x14ac:dyDescent="0.3">
      <c r="A1049" s="17">
        <v>11048</v>
      </c>
      <c r="B1049" s="4">
        <v>5677</v>
      </c>
      <c r="C1049" s="4" t="s">
        <v>12</v>
      </c>
      <c r="D1049" s="5">
        <v>51778.93</v>
      </c>
      <c r="E1049" s="4">
        <v>58</v>
      </c>
      <c r="F1049" s="4" t="s">
        <v>21</v>
      </c>
      <c r="G1049" s="6">
        <v>45306</v>
      </c>
      <c r="H1049" s="5">
        <v>13398.24</v>
      </c>
      <c r="I1049" s="18" t="s">
        <v>14</v>
      </c>
      <c r="J1049" s="14" t="s">
        <v>19</v>
      </c>
      <c r="K1049" s="14">
        <v>319</v>
      </c>
      <c r="L1049" s="15">
        <v>45397</v>
      </c>
      <c r="M1049" s="16">
        <v>14</v>
      </c>
      <c r="N10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49" s="31">
        <f>IF(Table64[[#This Row],[date validity flag]]&lt;&gt;"Valid","",Table64[[#This Row],[shipment date ]]-Table64[[#This Row],[Order date]])</f>
        <v>91</v>
      </c>
      <c r="P1049" s="27" t="str">
        <f>TEXT(Table64[[#This Row],[Order date]],"mmm-yyyy")</f>
        <v>Jan-2024</v>
      </c>
      <c r="Q1049" s="16" t="str">
        <f t="shared" si="16"/>
        <v>Delayed</v>
      </c>
    </row>
    <row r="1050" spans="1:17" x14ac:dyDescent="0.3">
      <c r="A1050" s="12">
        <v>11049</v>
      </c>
      <c r="B1050" s="1">
        <v>5714</v>
      </c>
      <c r="C1050" s="1" t="s">
        <v>16</v>
      </c>
      <c r="D1050" s="2">
        <v>53603.21</v>
      </c>
      <c r="E1050" s="1">
        <v>87</v>
      </c>
      <c r="F1050" s="1" t="s">
        <v>23</v>
      </c>
      <c r="G1050" s="3">
        <v>45337</v>
      </c>
      <c r="H1050" s="2">
        <v>69000.63</v>
      </c>
      <c r="I1050" s="13" t="s">
        <v>14</v>
      </c>
      <c r="J1050" s="14" t="s">
        <v>18</v>
      </c>
      <c r="K1050" s="14">
        <v>445</v>
      </c>
      <c r="L1050" s="15">
        <v>45397</v>
      </c>
      <c r="M1050" s="16">
        <v>12</v>
      </c>
      <c r="N10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50" s="31">
        <f>IF(Table64[[#This Row],[date validity flag]]&lt;&gt;"Valid","",Table64[[#This Row],[shipment date ]]-Table64[[#This Row],[Order date]])</f>
        <v>60</v>
      </c>
      <c r="P1050" s="27" t="str">
        <f>TEXT(Table64[[#This Row],[Order date]],"mmm-yyyy")</f>
        <v>Feb-2024</v>
      </c>
      <c r="Q1050" s="16" t="str">
        <f t="shared" si="16"/>
        <v>Delayed</v>
      </c>
    </row>
    <row r="1051" spans="1:17" x14ac:dyDescent="0.3">
      <c r="A1051" s="17">
        <v>11050</v>
      </c>
      <c r="B1051" s="4">
        <v>6482</v>
      </c>
      <c r="C1051" s="4" t="s">
        <v>16</v>
      </c>
      <c r="D1051" s="5">
        <v>59779.18</v>
      </c>
      <c r="E1051" s="4">
        <v>90</v>
      </c>
      <c r="F1051" s="4" t="s">
        <v>21</v>
      </c>
      <c r="G1051" s="6">
        <v>45383</v>
      </c>
      <c r="H1051" s="5">
        <v>151814.32999999999</v>
      </c>
      <c r="I1051" s="18" t="s">
        <v>20</v>
      </c>
      <c r="J1051" s="14" t="s">
        <v>19</v>
      </c>
      <c r="K1051" s="14">
        <v>962</v>
      </c>
      <c r="L1051" s="15">
        <v>45332</v>
      </c>
      <c r="M1051" s="16">
        <v>10</v>
      </c>
      <c r="N105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51" s="31" t="str">
        <f>IF(Table64[[#This Row],[date validity flag]]&lt;&gt;"Valid","",Table64[[#This Row],[shipment date ]]-Table64[[#This Row],[Order date]])</f>
        <v/>
      </c>
      <c r="P1051" s="27" t="str">
        <f>TEXT(Table64[[#This Row],[Order date]],"mmm-yyyy")</f>
        <v>Apr-2024</v>
      </c>
      <c r="Q1051" s="16" t="str">
        <f t="shared" si="16"/>
        <v/>
      </c>
    </row>
    <row r="1052" spans="1:17" x14ac:dyDescent="0.3">
      <c r="A1052" s="12">
        <v>11051</v>
      </c>
      <c r="B1052" s="1">
        <v>5083</v>
      </c>
      <c r="C1052" s="1" t="s">
        <v>16</v>
      </c>
      <c r="D1052" s="2">
        <v>51809.23</v>
      </c>
      <c r="E1052" s="1">
        <v>29</v>
      </c>
      <c r="F1052" s="1" t="s">
        <v>22</v>
      </c>
      <c r="G1052" s="3">
        <v>45383</v>
      </c>
      <c r="H1052" s="2">
        <v>139477.22</v>
      </c>
      <c r="I1052" s="13" t="s">
        <v>20</v>
      </c>
      <c r="J1052" s="14" t="s">
        <v>19</v>
      </c>
      <c r="K1052" s="14">
        <v>513</v>
      </c>
      <c r="L1052" s="15">
        <v>45361</v>
      </c>
      <c r="M1052" s="16">
        <v>14</v>
      </c>
      <c r="N10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52" s="31" t="str">
        <f>IF(Table64[[#This Row],[date validity flag]]&lt;&gt;"Valid","",Table64[[#This Row],[shipment date ]]-Table64[[#This Row],[Order date]])</f>
        <v/>
      </c>
      <c r="P1052" s="27" t="str">
        <f>TEXT(Table64[[#This Row],[Order date]],"mmm-yyyy")</f>
        <v>Apr-2024</v>
      </c>
      <c r="Q1052" s="16" t="str">
        <f t="shared" si="16"/>
        <v/>
      </c>
    </row>
    <row r="1053" spans="1:17" x14ac:dyDescent="0.3">
      <c r="A1053" s="17">
        <v>11052</v>
      </c>
      <c r="B1053" s="4">
        <v>6169</v>
      </c>
      <c r="C1053" s="4" t="s">
        <v>12</v>
      </c>
      <c r="D1053" s="5">
        <v>87322.22</v>
      </c>
      <c r="E1053" s="4">
        <v>33</v>
      </c>
      <c r="F1053" s="4" t="s">
        <v>21</v>
      </c>
      <c r="G1053" s="6">
        <v>45361</v>
      </c>
      <c r="H1053" s="5">
        <v>87700.84</v>
      </c>
      <c r="I1053" s="18" t="s">
        <v>20</v>
      </c>
      <c r="J1053" s="14" t="s">
        <v>15</v>
      </c>
      <c r="K1053" s="14">
        <v>499</v>
      </c>
      <c r="L1053" s="15">
        <v>45397</v>
      </c>
      <c r="M1053" s="16">
        <v>4</v>
      </c>
      <c r="N10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53" s="31">
        <f>IF(Table64[[#This Row],[date validity flag]]&lt;&gt;"Valid","",Table64[[#This Row],[shipment date ]]-Table64[[#This Row],[Order date]])</f>
        <v>36</v>
      </c>
      <c r="P1053" s="27" t="str">
        <f>TEXT(Table64[[#This Row],[Order date]],"mmm-yyyy")</f>
        <v>Mar-2024</v>
      </c>
      <c r="Q1053" s="16" t="str">
        <f t="shared" si="16"/>
        <v>Delayed</v>
      </c>
    </row>
    <row r="1054" spans="1:17" x14ac:dyDescent="0.3">
      <c r="A1054" s="12">
        <v>11053</v>
      </c>
      <c r="B1054" s="1">
        <v>6109</v>
      </c>
      <c r="C1054" s="1" t="s">
        <v>16</v>
      </c>
      <c r="D1054" s="2">
        <v>43628.3</v>
      </c>
      <c r="E1054" s="1">
        <v>60</v>
      </c>
      <c r="F1054" s="1" t="s">
        <v>13</v>
      </c>
      <c r="G1054" s="3">
        <v>45306</v>
      </c>
      <c r="H1054" s="2">
        <v>85860.07</v>
      </c>
      <c r="I1054" s="13" t="s">
        <v>17</v>
      </c>
      <c r="J1054" s="14" t="s">
        <v>18</v>
      </c>
      <c r="K1054" s="14">
        <v>1404</v>
      </c>
      <c r="L1054" s="15">
        <v>45397</v>
      </c>
      <c r="M1054" s="16">
        <v>4</v>
      </c>
      <c r="N105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54" s="31">
        <f>IF(Table64[[#This Row],[date validity flag]]&lt;&gt;"Valid","",Table64[[#This Row],[shipment date ]]-Table64[[#This Row],[Order date]])</f>
        <v>91</v>
      </c>
      <c r="P1054" s="27" t="str">
        <f>TEXT(Table64[[#This Row],[Order date]],"mmm-yyyy")</f>
        <v>Jan-2024</v>
      </c>
      <c r="Q1054" s="16" t="str">
        <f t="shared" si="16"/>
        <v>Delayed</v>
      </c>
    </row>
    <row r="1055" spans="1:17" x14ac:dyDescent="0.3">
      <c r="A1055" s="17">
        <v>11054</v>
      </c>
      <c r="B1055" s="4">
        <v>6102</v>
      </c>
      <c r="C1055" s="4" t="s">
        <v>16</v>
      </c>
      <c r="D1055" s="5">
        <v>87871.02</v>
      </c>
      <c r="E1055" s="4">
        <v>91</v>
      </c>
      <c r="F1055" s="4" t="s">
        <v>23</v>
      </c>
      <c r="G1055" s="6">
        <v>45306</v>
      </c>
      <c r="H1055" s="5">
        <v>134017.74</v>
      </c>
      <c r="I1055" s="18" t="s">
        <v>14</v>
      </c>
      <c r="J1055" s="14" t="s">
        <v>15</v>
      </c>
      <c r="K1055" s="14">
        <v>1326</v>
      </c>
      <c r="L1055" s="15">
        <v>45397</v>
      </c>
      <c r="M1055" s="16">
        <v>10</v>
      </c>
      <c r="N10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55" s="31">
        <f>IF(Table64[[#This Row],[date validity flag]]&lt;&gt;"Valid","",Table64[[#This Row],[shipment date ]]-Table64[[#This Row],[Order date]])</f>
        <v>91</v>
      </c>
      <c r="P1055" s="27" t="str">
        <f>TEXT(Table64[[#This Row],[Order date]],"mmm-yyyy")</f>
        <v>Jan-2024</v>
      </c>
      <c r="Q1055" s="16" t="str">
        <f t="shared" si="16"/>
        <v>Delayed</v>
      </c>
    </row>
    <row r="1056" spans="1:17" x14ac:dyDescent="0.3">
      <c r="A1056" s="12">
        <v>11055</v>
      </c>
      <c r="B1056" s="1">
        <v>5457</v>
      </c>
      <c r="C1056" s="1" t="s">
        <v>16</v>
      </c>
      <c r="D1056" s="2">
        <v>20485.240000000002</v>
      </c>
      <c r="E1056" s="1">
        <v>89</v>
      </c>
      <c r="F1056" s="1" t="s">
        <v>13</v>
      </c>
      <c r="G1056" s="3">
        <v>45337</v>
      </c>
      <c r="H1056" s="2">
        <v>163858.82999999999</v>
      </c>
      <c r="I1056" s="13" t="s">
        <v>14</v>
      </c>
      <c r="J1056" s="14" t="s">
        <v>15</v>
      </c>
      <c r="K1056" s="14">
        <v>1358</v>
      </c>
      <c r="L1056" s="15">
        <v>45361</v>
      </c>
      <c r="M1056" s="16">
        <v>5</v>
      </c>
      <c r="N10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56" s="31">
        <f>IF(Table64[[#This Row],[date validity flag]]&lt;&gt;"Valid","",Table64[[#This Row],[shipment date ]]-Table64[[#This Row],[Order date]])</f>
        <v>24</v>
      </c>
      <c r="P1056" s="27" t="str">
        <f>TEXT(Table64[[#This Row],[Order date]],"mmm-yyyy")</f>
        <v>Feb-2024</v>
      </c>
      <c r="Q1056" s="16" t="str">
        <f t="shared" si="16"/>
        <v>Delayed</v>
      </c>
    </row>
    <row r="1057" spans="1:17" x14ac:dyDescent="0.3">
      <c r="A1057" s="17">
        <v>11056</v>
      </c>
      <c r="B1057" s="4">
        <v>6902</v>
      </c>
      <c r="C1057" s="4" t="s">
        <v>16</v>
      </c>
      <c r="D1057" s="5">
        <v>79059.47</v>
      </c>
      <c r="E1057" s="4">
        <v>55</v>
      </c>
      <c r="F1057" s="4" t="s">
        <v>22</v>
      </c>
      <c r="G1057" s="6">
        <v>45361</v>
      </c>
      <c r="H1057" s="5">
        <v>140411.76</v>
      </c>
      <c r="I1057" s="18" t="s">
        <v>17</v>
      </c>
      <c r="J1057" s="14" t="s">
        <v>18</v>
      </c>
      <c r="K1057" s="14">
        <v>1347</v>
      </c>
      <c r="L1057" s="15">
        <v>45397</v>
      </c>
      <c r="M1057" s="16">
        <v>13</v>
      </c>
      <c r="N10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57" s="31">
        <f>IF(Table64[[#This Row],[date validity flag]]&lt;&gt;"Valid","",Table64[[#This Row],[shipment date ]]-Table64[[#This Row],[Order date]])</f>
        <v>36</v>
      </c>
      <c r="P1057" s="27" t="str">
        <f>TEXT(Table64[[#This Row],[Order date]],"mmm-yyyy")</f>
        <v>Mar-2024</v>
      </c>
      <c r="Q1057" s="16" t="str">
        <f t="shared" si="16"/>
        <v>Delayed</v>
      </c>
    </row>
    <row r="1058" spans="1:17" x14ac:dyDescent="0.3">
      <c r="A1058" s="12">
        <v>11057</v>
      </c>
      <c r="B1058" s="1">
        <v>5001</v>
      </c>
      <c r="C1058" s="1" t="s">
        <v>16</v>
      </c>
      <c r="D1058" s="2">
        <v>99463.76</v>
      </c>
      <c r="E1058" s="1">
        <v>10</v>
      </c>
      <c r="F1058" s="1" t="s">
        <v>21</v>
      </c>
      <c r="G1058" s="3">
        <v>45361</v>
      </c>
      <c r="H1058" s="2">
        <v>50648.34</v>
      </c>
      <c r="I1058" s="13" t="s">
        <v>17</v>
      </c>
      <c r="J1058" s="14" t="s">
        <v>15</v>
      </c>
      <c r="K1058" s="14">
        <v>69</v>
      </c>
      <c r="L1058" s="15">
        <v>45332</v>
      </c>
      <c r="M1058" s="16">
        <v>13</v>
      </c>
      <c r="N105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58" s="31" t="str">
        <f>IF(Table64[[#This Row],[date validity flag]]&lt;&gt;"Valid","",Table64[[#This Row],[shipment date ]]-Table64[[#This Row],[Order date]])</f>
        <v/>
      </c>
      <c r="P1058" s="27" t="str">
        <f>TEXT(Table64[[#This Row],[Order date]],"mmm-yyyy")</f>
        <v>Mar-2024</v>
      </c>
      <c r="Q1058" s="16" t="str">
        <f t="shared" si="16"/>
        <v/>
      </c>
    </row>
    <row r="1059" spans="1:17" x14ac:dyDescent="0.3">
      <c r="A1059" s="17">
        <v>11058</v>
      </c>
      <c r="B1059" s="4">
        <v>5051</v>
      </c>
      <c r="C1059" s="4" t="s">
        <v>16</v>
      </c>
      <c r="D1059" s="5">
        <v>82010.34</v>
      </c>
      <c r="E1059" s="4">
        <v>47</v>
      </c>
      <c r="F1059" s="4" t="s">
        <v>13</v>
      </c>
      <c r="G1059" s="6">
        <v>45383</v>
      </c>
      <c r="H1059" s="5">
        <v>22597.05</v>
      </c>
      <c r="I1059" s="18" t="s">
        <v>17</v>
      </c>
      <c r="J1059" s="14" t="s">
        <v>18</v>
      </c>
      <c r="K1059" s="14">
        <v>288</v>
      </c>
      <c r="L1059" s="15">
        <v>45361</v>
      </c>
      <c r="M1059" s="16">
        <v>3</v>
      </c>
      <c r="N105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59" s="31" t="str">
        <f>IF(Table64[[#This Row],[date validity flag]]&lt;&gt;"Valid","",Table64[[#This Row],[shipment date ]]-Table64[[#This Row],[Order date]])</f>
        <v/>
      </c>
      <c r="P1059" s="27" t="str">
        <f>TEXT(Table64[[#This Row],[Order date]],"mmm-yyyy")</f>
        <v>Apr-2024</v>
      </c>
      <c r="Q1059" s="16" t="str">
        <f t="shared" si="16"/>
        <v/>
      </c>
    </row>
    <row r="1060" spans="1:17" x14ac:dyDescent="0.3">
      <c r="A1060" s="12">
        <v>11059</v>
      </c>
      <c r="B1060" s="1">
        <v>5685</v>
      </c>
      <c r="C1060" s="1" t="s">
        <v>16</v>
      </c>
      <c r="D1060" s="2">
        <v>21261.4</v>
      </c>
      <c r="E1060" s="1">
        <v>23</v>
      </c>
      <c r="F1060" s="1" t="s">
        <v>13</v>
      </c>
      <c r="G1060" s="3">
        <v>45383</v>
      </c>
      <c r="H1060" s="2">
        <v>64252.480000000003</v>
      </c>
      <c r="I1060" s="13" t="s">
        <v>14</v>
      </c>
      <c r="J1060" s="14" t="s">
        <v>15</v>
      </c>
      <c r="K1060" s="14">
        <v>1343</v>
      </c>
      <c r="L1060" s="15">
        <v>45332</v>
      </c>
      <c r="M1060" s="16">
        <v>8</v>
      </c>
      <c r="N106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60" s="31" t="str">
        <f>IF(Table64[[#This Row],[date validity flag]]&lt;&gt;"Valid","",Table64[[#This Row],[shipment date ]]-Table64[[#This Row],[Order date]])</f>
        <v/>
      </c>
      <c r="P1060" s="27" t="str">
        <f>TEXT(Table64[[#This Row],[Order date]],"mmm-yyyy")</f>
        <v>Apr-2024</v>
      </c>
      <c r="Q1060" s="16" t="str">
        <f t="shared" si="16"/>
        <v/>
      </c>
    </row>
    <row r="1061" spans="1:17" x14ac:dyDescent="0.3">
      <c r="A1061" s="17">
        <v>11060</v>
      </c>
      <c r="B1061" s="4">
        <v>5717</v>
      </c>
      <c r="C1061" s="4" t="s">
        <v>16</v>
      </c>
      <c r="D1061" s="5">
        <v>69903.259999999995</v>
      </c>
      <c r="E1061" s="4">
        <v>85</v>
      </c>
      <c r="F1061" s="4" t="s">
        <v>21</v>
      </c>
      <c r="G1061" s="6">
        <v>45383</v>
      </c>
      <c r="H1061" s="5">
        <v>141908.76</v>
      </c>
      <c r="I1061" s="18" t="s">
        <v>14</v>
      </c>
      <c r="J1061" s="14" t="s">
        <v>18</v>
      </c>
      <c r="K1061" s="14">
        <v>467</v>
      </c>
      <c r="L1061" s="15">
        <v>45332</v>
      </c>
      <c r="M1061" s="16">
        <v>7</v>
      </c>
      <c r="N106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61" s="31" t="str">
        <f>IF(Table64[[#This Row],[date validity flag]]&lt;&gt;"Valid","",Table64[[#This Row],[shipment date ]]-Table64[[#This Row],[Order date]])</f>
        <v/>
      </c>
      <c r="P1061" s="27" t="str">
        <f>TEXT(Table64[[#This Row],[Order date]],"mmm-yyyy")</f>
        <v>Apr-2024</v>
      </c>
      <c r="Q1061" s="16" t="str">
        <f t="shared" si="16"/>
        <v/>
      </c>
    </row>
    <row r="1062" spans="1:17" x14ac:dyDescent="0.3">
      <c r="A1062" s="12">
        <v>11061</v>
      </c>
      <c r="B1062" s="1">
        <v>6796</v>
      </c>
      <c r="C1062" s="1" t="s">
        <v>12</v>
      </c>
      <c r="D1062" s="2">
        <v>24708.48</v>
      </c>
      <c r="E1062" s="1">
        <v>21</v>
      </c>
      <c r="F1062" s="1" t="s">
        <v>21</v>
      </c>
      <c r="G1062" s="3">
        <v>45337</v>
      </c>
      <c r="H1062" s="2">
        <v>36958.959999999999</v>
      </c>
      <c r="I1062" s="13" t="s">
        <v>20</v>
      </c>
      <c r="J1062" s="14" t="s">
        <v>18</v>
      </c>
      <c r="K1062" s="14">
        <v>1383</v>
      </c>
      <c r="L1062" s="15">
        <v>45397</v>
      </c>
      <c r="M1062" s="16">
        <v>5</v>
      </c>
      <c r="N10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62" s="31">
        <f>IF(Table64[[#This Row],[date validity flag]]&lt;&gt;"Valid","",Table64[[#This Row],[shipment date ]]-Table64[[#This Row],[Order date]])</f>
        <v>60</v>
      </c>
      <c r="P1062" s="27" t="str">
        <f>TEXT(Table64[[#This Row],[Order date]],"mmm-yyyy")</f>
        <v>Feb-2024</v>
      </c>
      <c r="Q1062" s="16" t="str">
        <f t="shared" si="16"/>
        <v>Delayed</v>
      </c>
    </row>
    <row r="1063" spans="1:17" x14ac:dyDescent="0.3">
      <c r="A1063" s="17">
        <v>11062</v>
      </c>
      <c r="B1063" s="4">
        <v>6470</v>
      </c>
      <c r="C1063" s="4" t="s">
        <v>16</v>
      </c>
      <c r="D1063" s="5">
        <v>76118.070000000007</v>
      </c>
      <c r="E1063" s="4">
        <v>13</v>
      </c>
      <c r="F1063" s="4" t="s">
        <v>23</v>
      </c>
      <c r="G1063" s="6">
        <v>45337</v>
      </c>
      <c r="H1063" s="5">
        <v>16504.79</v>
      </c>
      <c r="I1063" s="18" t="s">
        <v>20</v>
      </c>
      <c r="J1063" s="14" t="s">
        <v>18</v>
      </c>
      <c r="K1063" s="14">
        <v>1104</v>
      </c>
      <c r="L1063" s="15">
        <v>45397</v>
      </c>
      <c r="M1063" s="16">
        <v>10</v>
      </c>
      <c r="N10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63" s="31">
        <f>IF(Table64[[#This Row],[date validity flag]]&lt;&gt;"Valid","",Table64[[#This Row],[shipment date ]]-Table64[[#This Row],[Order date]])</f>
        <v>60</v>
      </c>
      <c r="P1063" s="27" t="str">
        <f>TEXT(Table64[[#This Row],[Order date]],"mmm-yyyy")</f>
        <v>Feb-2024</v>
      </c>
      <c r="Q1063" s="16" t="str">
        <f t="shared" si="16"/>
        <v>Delayed</v>
      </c>
    </row>
    <row r="1064" spans="1:17" x14ac:dyDescent="0.3">
      <c r="A1064" s="12">
        <v>11063</v>
      </c>
      <c r="B1064" s="1">
        <v>5449</v>
      </c>
      <c r="C1064" s="1" t="s">
        <v>12</v>
      </c>
      <c r="D1064" s="2">
        <v>34524.620000000003</v>
      </c>
      <c r="E1064" s="1">
        <v>33</v>
      </c>
      <c r="F1064" s="1" t="s">
        <v>13</v>
      </c>
      <c r="G1064" s="3">
        <v>45383</v>
      </c>
      <c r="H1064" s="2">
        <v>77608.78</v>
      </c>
      <c r="I1064" s="13" t="s">
        <v>14</v>
      </c>
      <c r="J1064" s="14" t="s">
        <v>19</v>
      </c>
      <c r="K1064" s="14">
        <v>1177</v>
      </c>
      <c r="L1064" s="15">
        <v>45397</v>
      </c>
      <c r="M1064" s="16">
        <v>3</v>
      </c>
      <c r="N10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64" s="31">
        <f>IF(Table64[[#This Row],[date validity flag]]&lt;&gt;"Valid","",Table64[[#This Row],[shipment date ]]-Table64[[#This Row],[Order date]])</f>
        <v>14</v>
      </c>
      <c r="P1064" s="27" t="str">
        <f>TEXT(Table64[[#This Row],[Order date]],"mmm-yyyy")</f>
        <v>Apr-2024</v>
      </c>
      <c r="Q1064" s="16" t="str">
        <f t="shared" si="16"/>
        <v>Delayed</v>
      </c>
    </row>
    <row r="1065" spans="1:17" x14ac:dyDescent="0.3">
      <c r="A1065" s="17">
        <v>11064</v>
      </c>
      <c r="B1065" s="4">
        <v>5881</v>
      </c>
      <c r="C1065" s="4" t="s">
        <v>16</v>
      </c>
      <c r="D1065" s="5">
        <v>14532.88</v>
      </c>
      <c r="E1065" s="4">
        <v>24</v>
      </c>
      <c r="F1065" s="4" t="s">
        <v>13</v>
      </c>
      <c r="G1065" s="6">
        <v>45361</v>
      </c>
      <c r="H1065" s="5">
        <v>124231.09</v>
      </c>
      <c r="I1065" s="18" t="s">
        <v>20</v>
      </c>
      <c r="J1065" s="14" t="s">
        <v>15</v>
      </c>
      <c r="K1065" s="14">
        <v>235</v>
      </c>
      <c r="L1065" s="15">
        <v>45332</v>
      </c>
      <c r="M1065" s="16">
        <v>5</v>
      </c>
      <c r="N106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65" s="31" t="str">
        <f>IF(Table64[[#This Row],[date validity flag]]&lt;&gt;"Valid","",Table64[[#This Row],[shipment date ]]-Table64[[#This Row],[Order date]])</f>
        <v/>
      </c>
      <c r="P1065" s="27" t="str">
        <f>TEXT(Table64[[#This Row],[Order date]],"mmm-yyyy")</f>
        <v>Mar-2024</v>
      </c>
      <c r="Q1065" s="16" t="str">
        <f t="shared" si="16"/>
        <v/>
      </c>
    </row>
    <row r="1066" spans="1:17" x14ac:dyDescent="0.3">
      <c r="A1066" s="12">
        <v>11065</v>
      </c>
      <c r="B1066" s="1">
        <v>5488</v>
      </c>
      <c r="C1066" s="1" t="s">
        <v>16</v>
      </c>
      <c r="D1066" s="2">
        <v>41314.480000000003</v>
      </c>
      <c r="E1066" s="1">
        <v>11</v>
      </c>
      <c r="F1066" s="1" t="s">
        <v>22</v>
      </c>
      <c r="G1066" s="3">
        <v>45337</v>
      </c>
      <c r="H1066" s="2">
        <v>114690.3</v>
      </c>
      <c r="I1066" s="13" t="s">
        <v>17</v>
      </c>
      <c r="J1066" s="14" t="s">
        <v>19</v>
      </c>
      <c r="K1066" s="14">
        <v>1201</v>
      </c>
      <c r="L1066" s="15">
        <v>45361</v>
      </c>
      <c r="M1066" s="16">
        <v>3</v>
      </c>
      <c r="N10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66" s="31">
        <f>IF(Table64[[#This Row],[date validity flag]]&lt;&gt;"Valid","",Table64[[#This Row],[shipment date ]]-Table64[[#This Row],[Order date]])</f>
        <v>24</v>
      </c>
      <c r="P1066" s="27" t="str">
        <f>TEXT(Table64[[#This Row],[Order date]],"mmm-yyyy")</f>
        <v>Feb-2024</v>
      </c>
      <c r="Q1066" s="16" t="str">
        <f t="shared" si="16"/>
        <v>Delayed</v>
      </c>
    </row>
    <row r="1067" spans="1:17" x14ac:dyDescent="0.3">
      <c r="A1067" s="17">
        <v>11066</v>
      </c>
      <c r="B1067" s="4">
        <v>6824</v>
      </c>
      <c r="C1067" s="4" t="s">
        <v>16</v>
      </c>
      <c r="D1067" s="5">
        <v>22671.71</v>
      </c>
      <c r="E1067" s="4">
        <v>17</v>
      </c>
      <c r="F1067" s="4" t="s">
        <v>23</v>
      </c>
      <c r="G1067" s="6">
        <v>45361</v>
      </c>
      <c r="H1067" s="5">
        <v>102810.93</v>
      </c>
      <c r="I1067" s="18" t="s">
        <v>17</v>
      </c>
      <c r="J1067" s="14" t="s">
        <v>15</v>
      </c>
      <c r="K1067" s="14">
        <v>1283</v>
      </c>
      <c r="L1067" s="15">
        <v>45397</v>
      </c>
      <c r="M1067" s="16">
        <v>10</v>
      </c>
      <c r="N10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67" s="31">
        <f>IF(Table64[[#This Row],[date validity flag]]&lt;&gt;"Valid","",Table64[[#This Row],[shipment date ]]-Table64[[#This Row],[Order date]])</f>
        <v>36</v>
      </c>
      <c r="P1067" s="27" t="str">
        <f>TEXT(Table64[[#This Row],[Order date]],"mmm-yyyy")</f>
        <v>Mar-2024</v>
      </c>
      <c r="Q1067" s="16" t="str">
        <f t="shared" si="16"/>
        <v>Delayed</v>
      </c>
    </row>
    <row r="1068" spans="1:17" x14ac:dyDescent="0.3">
      <c r="A1068" s="12">
        <v>11067</v>
      </c>
      <c r="B1068" s="1">
        <v>5034</v>
      </c>
      <c r="C1068" s="1" t="s">
        <v>16</v>
      </c>
      <c r="D1068" s="2">
        <v>52984.160000000003</v>
      </c>
      <c r="E1068" s="1">
        <v>68</v>
      </c>
      <c r="F1068" s="1" t="s">
        <v>22</v>
      </c>
      <c r="G1068" s="3">
        <v>45361</v>
      </c>
      <c r="H1068" s="2">
        <v>32414.51</v>
      </c>
      <c r="I1068" s="13" t="s">
        <v>20</v>
      </c>
      <c r="J1068" s="14" t="s">
        <v>15</v>
      </c>
      <c r="K1068" s="14">
        <v>1487</v>
      </c>
      <c r="L1068" s="15">
        <v>45397</v>
      </c>
      <c r="M1068" s="16">
        <v>5</v>
      </c>
      <c r="N10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68" s="31">
        <f>IF(Table64[[#This Row],[date validity flag]]&lt;&gt;"Valid","",Table64[[#This Row],[shipment date ]]-Table64[[#This Row],[Order date]])</f>
        <v>36</v>
      </c>
      <c r="P1068" s="27" t="str">
        <f>TEXT(Table64[[#This Row],[Order date]],"mmm-yyyy")</f>
        <v>Mar-2024</v>
      </c>
      <c r="Q1068" s="16" t="str">
        <f t="shared" si="16"/>
        <v>Delayed</v>
      </c>
    </row>
    <row r="1069" spans="1:17" x14ac:dyDescent="0.3">
      <c r="A1069" s="17">
        <v>11068</v>
      </c>
      <c r="B1069" s="4">
        <v>6372</v>
      </c>
      <c r="C1069" s="4" t="s">
        <v>16</v>
      </c>
      <c r="D1069" s="5">
        <v>56911.13</v>
      </c>
      <c r="E1069" s="4">
        <v>47</v>
      </c>
      <c r="F1069" s="4" t="s">
        <v>13</v>
      </c>
      <c r="G1069" s="6">
        <v>45306</v>
      </c>
      <c r="H1069" s="5">
        <v>176266.61</v>
      </c>
      <c r="I1069" s="18" t="s">
        <v>14</v>
      </c>
      <c r="J1069" s="14" t="s">
        <v>15</v>
      </c>
      <c r="K1069" s="14">
        <v>1354</v>
      </c>
      <c r="L1069" s="15">
        <v>45332</v>
      </c>
      <c r="M1069" s="16">
        <v>1</v>
      </c>
      <c r="N10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69" s="31">
        <f>IF(Table64[[#This Row],[date validity flag]]&lt;&gt;"Valid","",Table64[[#This Row],[shipment date ]]-Table64[[#This Row],[Order date]])</f>
        <v>26</v>
      </c>
      <c r="P1069" s="27" t="str">
        <f>TEXT(Table64[[#This Row],[Order date]],"mmm-yyyy")</f>
        <v>Jan-2024</v>
      </c>
      <c r="Q1069" s="16" t="str">
        <f t="shared" si="16"/>
        <v>Delayed</v>
      </c>
    </row>
    <row r="1070" spans="1:17" x14ac:dyDescent="0.3">
      <c r="A1070" s="12">
        <v>11069</v>
      </c>
      <c r="B1070" s="1">
        <v>5095</v>
      </c>
      <c r="C1070" s="1" t="s">
        <v>16</v>
      </c>
      <c r="D1070" s="2">
        <v>56427.75</v>
      </c>
      <c r="E1070" s="1">
        <v>25</v>
      </c>
      <c r="F1070" s="1" t="s">
        <v>22</v>
      </c>
      <c r="G1070" s="3">
        <v>45383</v>
      </c>
      <c r="H1070" s="2">
        <v>120049.75</v>
      </c>
      <c r="I1070" s="13" t="s">
        <v>20</v>
      </c>
      <c r="J1070" s="14" t="s">
        <v>19</v>
      </c>
      <c r="K1070" s="14">
        <v>302</v>
      </c>
      <c r="L1070" s="15">
        <v>45361</v>
      </c>
      <c r="M1070" s="16">
        <v>6</v>
      </c>
      <c r="N107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70" s="31" t="str">
        <f>IF(Table64[[#This Row],[date validity flag]]&lt;&gt;"Valid","",Table64[[#This Row],[shipment date ]]-Table64[[#This Row],[Order date]])</f>
        <v/>
      </c>
      <c r="P1070" s="27" t="str">
        <f>TEXT(Table64[[#This Row],[Order date]],"mmm-yyyy")</f>
        <v>Apr-2024</v>
      </c>
      <c r="Q1070" s="16" t="str">
        <f t="shared" si="16"/>
        <v/>
      </c>
    </row>
    <row r="1071" spans="1:17" x14ac:dyDescent="0.3">
      <c r="A1071" s="17">
        <v>11070</v>
      </c>
      <c r="B1071" s="4">
        <v>6096</v>
      </c>
      <c r="C1071" s="4" t="s">
        <v>16</v>
      </c>
      <c r="D1071" s="5">
        <v>21050.959999999999</v>
      </c>
      <c r="E1071" s="4">
        <v>94</v>
      </c>
      <c r="F1071" s="4" t="s">
        <v>13</v>
      </c>
      <c r="G1071" s="6">
        <v>45306</v>
      </c>
      <c r="H1071" s="5">
        <v>19711.21</v>
      </c>
      <c r="I1071" s="18" t="s">
        <v>20</v>
      </c>
      <c r="J1071" s="14" t="s">
        <v>15</v>
      </c>
      <c r="K1071" s="14">
        <v>68</v>
      </c>
      <c r="L1071" s="15">
        <v>45332</v>
      </c>
      <c r="M1071" s="16">
        <v>10</v>
      </c>
      <c r="N10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71" s="31">
        <f>IF(Table64[[#This Row],[date validity flag]]&lt;&gt;"Valid","",Table64[[#This Row],[shipment date ]]-Table64[[#This Row],[Order date]])</f>
        <v>26</v>
      </c>
      <c r="P1071" s="27" t="str">
        <f>TEXT(Table64[[#This Row],[Order date]],"mmm-yyyy")</f>
        <v>Jan-2024</v>
      </c>
      <c r="Q1071" s="16" t="str">
        <f t="shared" si="16"/>
        <v>Delayed</v>
      </c>
    </row>
    <row r="1072" spans="1:17" x14ac:dyDescent="0.3">
      <c r="A1072" s="12">
        <v>11071</v>
      </c>
      <c r="B1072" s="1">
        <v>6575</v>
      </c>
      <c r="C1072" s="1" t="s">
        <v>16</v>
      </c>
      <c r="D1072" s="2">
        <v>12160.34</v>
      </c>
      <c r="E1072" s="1">
        <v>73</v>
      </c>
      <c r="F1072" s="1" t="s">
        <v>13</v>
      </c>
      <c r="G1072" s="3">
        <v>45383</v>
      </c>
      <c r="H1072" s="2">
        <v>101033.72</v>
      </c>
      <c r="I1072" s="13" t="s">
        <v>20</v>
      </c>
      <c r="J1072" s="14" t="s">
        <v>19</v>
      </c>
      <c r="K1072" s="14">
        <v>761</v>
      </c>
      <c r="L1072" s="15">
        <v>45397</v>
      </c>
      <c r="M1072" s="16">
        <v>4</v>
      </c>
      <c r="N10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72" s="31">
        <f>IF(Table64[[#This Row],[date validity flag]]&lt;&gt;"Valid","",Table64[[#This Row],[shipment date ]]-Table64[[#This Row],[Order date]])</f>
        <v>14</v>
      </c>
      <c r="P1072" s="27" t="str">
        <f>TEXT(Table64[[#This Row],[Order date]],"mmm-yyyy")</f>
        <v>Apr-2024</v>
      </c>
      <c r="Q1072" s="16" t="str">
        <f t="shared" si="16"/>
        <v>Delayed</v>
      </c>
    </row>
    <row r="1073" spans="1:17" x14ac:dyDescent="0.3">
      <c r="A1073" s="17">
        <v>11072</v>
      </c>
      <c r="B1073" s="4">
        <v>5154</v>
      </c>
      <c r="C1073" s="4" t="s">
        <v>12</v>
      </c>
      <c r="D1073" s="5">
        <v>74121.13</v>
      </c>
      <c r="E1073" s="4">
        <v>21</v>
      </c>
      <c r="F1073" s="4" t="s">
        <v>22</v>
      </c>
      <c r="G1073" s="6">
        <v>45383</v>
      </c>
      <c r="H1073" s="5">
        <v>145697.5</v>
      </c>
      <c r="I1073" s="18" t="s">
        <v>17</v>
      </c>
      <c r="J1073" s="14" t="s">
        <v>18</v>
      </c>
      <c r="K1073" s="14">
        <v>1209</v>
      </c>
      <c r="L1073" s="15">
        <v>45332</v>
      </c>
      <c r="M1073" s="16">
        <v>4</v>
      </c>
      <c r="N107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73" s="31" t="str">
        <f>IF(Table64[[#This Row],[date validity flag]]&lt;&gt;"Valid","",Table64[[#This Row],[shipment date ]]-Table64[[#This Row],[Order date]])</f>
        <v/>
      </c>
      <c r="P1073" s="27" t="str">
        <f>TEXT(Table64[[#This Row],[Order date]],"mmm-yyyy")</f>
        <v>Apr-2024</v>
      </c>
      <c r="Q1073" s="16" t="str">
        <f t="shared" si="16"/>
        <v/>
      </c>
    </row>
    <row r="1074" spans="1:17" x14ac:dyDescent="0.3">
      <c r="A1074" s="12">
        <v>11073</v>
      </c>
      <c r="B1074" s="1">
        <v>5250</v>
      </c>
      <c r="C1074" s="1" t="s">
        <v>16</v>
      </c>
      <c r="D1074" s="2">
        <v>72309</v>
      </c>
      <c r="E1074" s="1">
        <v>84</v>
      </c>
      <c r="F1074" s="1" t="s">
        <v>22</v>
      </c>
      <c r="G1074" s="3">
        <v>45361</v>
      </c>
      <c r="H1074" s="2">
        <v>33410.18</v>
      </c>
      <c r="I1074" s="13" t="s">
        <v>17</v>
      </c>
      <c r="J1074" s="14" t="s">
        <v>15</v>
      </c>
      <c r="K1074" s="14">
        <v>272</v>
      </c>
      <c r="L1074" s="15">
        <v>45397</v>
      </c>
      <c r="M1074" s="16">
        <v>8</v>
      </c>
      <c r="N10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74" s="31">
        <f>IF(Table64[[#This Row],[date validity flag]]&lt;&gt;"Valid","",Table64[[#This Row],[shipment date ]]-Table64[[#This Row],[Order date]])</f>
        <v>36</v>
      </c>
      <c r="P1074" s="27" t="str">
        <f>TEXT(Table64[[#This Row],[Order date]],"mmm-yyyy")</f>
        <v>Mar-2024</v>
      </c>
      <c r="Q1074" s="16" t="str">
        <f t="shared" si="16"/>
        <v>Delayed</v>
      </c>
    </row>
    <row r="1075" spans="1:17" x14ac:dyDescent="0.3">
      <c r="A1075" s="17">
        <v>11074</v>
      </c>
      <c r="B1075" s="4">
        <v>5674</v>
      </c>
      <c r="C1075" s="4" t="s">
        <v>16</v>
      </c>
      <c r="D1075" s="5">
        <v>72376.009999999995</v>
      </c>
      <c r="E1075" s="4">
        <v>83</v>
      </c>
      <c r="F1075" s="4" t="s">
        <v>21</v>
      </c>
      <c r="G1075" s="6">
        <v>45383</v>
      </c>
      <c r="H1075" s="5">
        <v>100779.33</v>
      </c>
      <c r="I1075" s="18" t="s">
        <v>14</v>
      </c>
      <c r="J1075" s="14" t="s">
        <v>15</v>
      </c>
      <c r="K1075" s="14">
        <v>52</v>
      </c>
      <c r="L1075" s="15">
        <v>45361</v>
      </c>
      <c r="M1075" s="16">
        <v>2</v>
      </c>
      <c r="N10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75" s="31" t="str">
        <f>IF(Table64[[#This Row],[date validity flag]]&lt;&gt;"Valid","",Table64[[#This Row],[shipment date ]]-Table64[[#This Row],[Order date]])</f>
        <v/>
      </c>
      <c r="P1075" s="27" t="str">
        <f>TEXT(Table64[[#This Row],[Order date]],"mmm-yyyy")</f>
        <v>Apr-2024</v>
      </c>
      <c r="Q1075" s="16" t="str">
        <f t="shared" si="16"/>
        <v/>
      </c>
    </row>
    <row r="1076" spans="1:17" x14ac:dyDescent="0.3">
      <c r="A1076" s="12">
        <v>11075</v>
      </c>
      <c r="B1076" s="1">
        <v>5438</v>
      </c>
      <c r="C1076" s="1" t="s">
        <v>16</v>
      </c>
      <c r="D1076" s="2">
        <v>38911.160000000003</v>
      </c>
      <c r="E1076" s="1">
        <v>83</v>
      </c>
      <c r="F1076" s="1" t="s">
        <v>21</v>
      </c>
      <c r="G1076" s="3">
        <v>45361</v>
      </c>
      <c r="H1076" s="2">
        <v>25042.31</v>
      </c>
      <c r="I1076" s="13" t="s">
        <v>17</v>
      </c>
      <c r="J1076" s="14" t="s">
        <v>18</v>
      </c>
      <c r="K1076" s="14">
        <v>1309</v>
      </c>
      <c r="L1076" s="15">
        <v>45332</v>
      </c>
      <c r="M1076" s="16">
        <v>4</v>
      </c>
      <c r="N107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76" s="31" t="str">
        <f>IF(Table64[[#This Row],[date validity flag]]&lt;&gt;"Valid","",Table64[[#This Row],[shipment date ]]-Table64[[#This Row],[Order date]])</f>
        <v/>
      </c>
      <c r="P1076" s="27" t="str">
        <f>TEXT(Table64[[#This Row],[Order date]],"mmm-yyyy")</f>
        <v>Mar-2024</v>
      </c>
      <c r="Q1076" s="16" t="str">
        <f t="shared" si="16"/>
        <v/>
      </c>
    </row>
    <row r="1077" spans="1:17" x14ac:dyDescent="0.3">
      <c r="A1077" s="17">
        <v>11076</v>
      </c>
      <c r="B1077" s="4">
        <v>5118</v>
      </c>
      <c r="C1077" s="4" t="s">
        <v>16</v>
      </c>
      <c r="D1077" s="5">
        <v>97667.44</v>
      </c>
      <c r="E1077" s="4">
        <v>12</v>
      </c>
      <c r="F1077" s="4" t="s">
        <v>21</v>
      </c>
      <c r="G1077" s="6">
        <v>45361</v>
      </c>
      <c r="H1077" s="5">
        <v>164400.51</v>
      </c>
      <c r="I1077" s="18" t="s">
        <v>14</v>
      </c>
      <c r="J1077" s="14" t="s">
        <v>18</v>
      </c>
      <c r="K1077" s="14">
        <v>903</v>
      </c>
      <c r="L1077" s="15">
        <v>45397</v>
      </c>
      <c r="M1077" s="16">
        <v>2</v>
      </c>
      <c r="N10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77" s="31">
        <f>IF(Table64[[#This Row],[date validity flag]]&lt;&gt;"Valid","",Table64[[#This Row],[shipment date ]]-Table64[[#This Row],[Order date]])</f>
        <v>36</v>
      </c>
      <c r="P1077" s="27" t="str">
        <f>TEXT(Table64[[#This Row],[Order date]],"mmm-yyyy")</f>
        <v>Mar-2024</v>
      </c>
      <c r="Q1077" s="16" t="str">
        <f t="shared" si="16"/>
        <v>Delayed</v>
      </c>
    </row>
    <row r="1078" spans="1:17" x14ac:dyDescent="0.3">
      <c r="A1078" s="12">
        <v>11077</v>
      </c>
      <c r="B1078" s="1">
        <v>5771</v>
      </c>
      <c r="C1078" s="1" t="s">
        <v>12</v>
      </c>
      <c r="D1078" s="2">
        <v>23859.57</v>
      </c>
      <c r="E1078" s="1">
        <v>37</v>
      </c>
      <c r="F1078" s="1" t="s">
        <v>13</v>
      </c>
      <c r="G1078" s="3">
        <v>45383</v>
      </c>
      <c r="H1078" s="2">
        <v>41947.47</v>
      </c>
      <c r="I1078" s="13" t="s">
        <v>14</v>
      </c>
      <c r="J1078" s="14" t="s">
        <v>15</v>
      </c>
      <c r="K1078" s="14">
        <v>277</v>
      </c>
      <c r="L1078" s="15">
        <v>45397</v>
      </c>
      <c r="M1078" s="16">
        <v>1</v>
      </c>
      <c r="N10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78" s="31">
        <f>IF(Table64[[#This Row],[date validity flag]]&lt;&gt;"Valid","",Table64[[#This Row],[shipment date ]]-Table64[[#This Row],[Order date]])</f>
        <v>14</v>
      </c>
      <c r="P1078" s="27" t="str">
        <f>TEXT(Table64[[#This Row],[Order date]],"mmm-yyyy")</f>
        <v>Apr-2024</v>
      </c>
      <c r="Q1078" s="16" t="str">
        <f t="shared" si="16"/>
        <v>Delayed</v>
      </c>
    </row>
    <row r="1079" spans="1:17" x14ac:dyDescent="0.3">
      <c r="A1079" s="17">
        <v>11078</v>
      </c>
      <c r="B1079" s="4">
        <v>6915</v>
      </c>
      <c r="C1079" s="4" t="s">
        <v>16</v>
      </c>
      <c r="D1079" s="5">
        <v>54552.89</v>
      </c>
      <c r="E1079" s="4">
        <v>42</v>
      </c>
      <c r="F1079" s="4" t="s">
        <v>22</v>
      </c>
      <c r="G1079" s="6">
        <v>45361</v>
      </c>
      <c r="H1079" s="5">
        <v>145105.4</v>
      </c>
      <c r="I1079" s="18" t="s">
        <v>14</v>
      </c>
      <c r="J1079" s="14" t="s">
        <v>18</v>
      </c>
      <c r="K1079" s="14">
        <v>962</v>
      </c>
      <c r="L1079" s="15">
        <v>45397</v>
      </c>
      <c r="M1079" s="16">
        <v>10</v>
      </c>
      <c r="N10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79" s="31">
        <f>IF(Table64[[#This Row],[date validity flag]]&lt;&gt;"Valid","",Table64[[#This Row],[shipment date ]]-Table64[[#This Row],[Order date]])</f>
        <v>36</v>
      </c>
      <c r="P1079" s="27" t="str">
        <f>TEXT(Table64[[#This Row],[Order date]],"mmm-yyyy")</f>
        <v>Mar-2024</v>
      </c>
      <c r="Q1079" s="16" t="str">
        <f t="shared" si="16"/>
        <v>Delayed</v>
      </c>
    </row>
    <row r="1080" spans="1:17" x14ac:dyDescent="0.3">
      <c r="A1080" s="12">
        <v>11079</v>
      </c>
      <c r="B1080" s="1">
        <v>6330</v>
      </c>
      <c r="C1080" s="1" t="s">
        <v>16</v>
      </c>
      <c r="D1080" s="2">
        <v>56380.44</v>
      </c>
      <c r="E1080" s="1">
        <v>17</v>
      </c>
      <c r="F1080" s="1" t="s">
        <v>23</v>
      </c>
      <c r="G1080" s="3">
        <v>45361</v>
      </c>
      <c r="H1080" s="2">
        <v>74937.279999999999</v>
      </c>
      <c r="I1080" s="13" t="s">
        <v>17</v>
      </c>
      <c r="J1080" s="14" t="s">
        <v>19</v>
      </c>
      <c r="K1080" s="14">
        <v>548</v>
      </c>
      <c r="L1080" s="15">
        <v>45397</v>
      </c>
      <c r="M1080" s="16">
        <v>13</v>
      </c>
      <c r="N10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80" s="31">
        <f>IF(Table64[[#This Row],[date validity flag]]&lt;&gt;"Valid","",Table64[[#This Row],[shipment date ]]-Table64[[#This Row],[Order date]])</f>
        <v>36</v>
      </c>
      <c r="P1080" s="27" t="str">
        <f>TEXT(Table64[[#This Row],[Order date]],"mmm-yyyy")</f>
        <v>Mar-2024</v>
      </c>
      <c r="Q1080" s="16" t="str">
        <f t="shared" si="16"/>
        <v>Delayed</v>
      </c>
    </row>
    <row r="1081" spans="1:17" x14ac:dyDescent="0.3">
      <c r="A1081" s="17">
        <v>11080</v>
      </c>
      <c r="B1081" s="4">
        <v>5268</v>
      </c>
      <c r="C1081" s="4" t="s">
        <v>12</v>
      </c>
      <c r="D1081" s="5">
        <v>24985.439999999999</v>
      </c>
      <c r="E1081" s="4">
        <v>48</v>
      </c>
      <c r="F1081" s="4" t="s">
        <v>13</v>
      </c>
      <c r="G1081" s="6">
        <v>45361</v>
      </c>
      <c r="H1081" s="5">
        <v>97323.76</v>
      </c>
      <c r="I1081" s="18" t="s">
        <v>17</v>
      </c>
      <c r="J1081" s="14" t="s">
        <v>19</v>
      </c>
      <c r="K1081" s="14">
        <v>570</v>
      </c>
      <c r="L1081" s="15">
        <v>45332</v>
      </c>
      <c r="M1081" s="16">
        <v>13</v>
      </c>
      <c r="N108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81" s="31" t="str">
        <f>IF(Table64[[#This Row],[date validity flag]]&lt;&gt;"Valid","",Table64[[#This Row],[shipment date ]]-Table64[[#This Row],[Order date]])</f>
        <v/>
      </c>
      <c r="P1081" s="27" t="str">
        <f>TEXT(Table64[[#This Row],[Order date]],"mmm-yyyy")</f>
        <v>Mar-2024</v>
      </c>
      <c r="Q1081" s="16" t="str">
        <f t="shared" si="16"/>
        <v/>
      </c>
    </row>
    <row r="1082" spans="1:17" x14ac:dyDescent="0.3">
      <c r="A1082" s="12">
        <v>11081</v>
      </c>
      <c r="B1082" s="1">
        <v>6985</v>
      </c>
      <c r="C1082" s="1" t="s">
        <v>16</v>
      </c>
      <c r="D1082" s="2">
        <v>40793.85</v>
      </c>
      <c r="E1082" s="1">
        <v>28</v>
      </c>
      <c r="F1082" s="1" t="s">
        <v>23</v>
      </c>
      <c r="G1082" s="3">
        <v>45337</v>
      </c>
      <c r="H1082" s="2">
        <v>50823.040000000001</v>
      </c>
      <c r="I1082" s="13" t="s">
        <v>14</v>
      </c>
      <c r="J1082" s="14" t="s">
        <v>15</v>
      </c>
      <c r="K1082" s="14">
        <v>751</v>
      </c>
      <c r="L1082" s="15">
        <v>45397</v>
      </c>
      <c r="M1082" s="16">
        <v>3</v>
      </c>
      <c r="N10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82" s="31">
        <f>IF(Table64[[#This Row],[date validity flag]]&lt;&gt;"Valid","",Table64[[#This Row],[shipment date ]]-Table64[[#This Row],[Order date]])</f>
        <v>60</v>
      </c>
      <c r="P1082" s="27" t="str">
        <f>TEXT(Table64[[#This Row],[Order date]],"mmm-yyyy")</f>
        <v>Feb-2024</v>
      </c>
      <c r="Q1082" s="16" t="str">
        <f t="shared" si="16"/>
        <v>Delayed</v>
      </c>
    </row>
    <row r="1083" spans="1:17" x14ac:dyDescent="0.3">
      <c r="A1083" s="17">
        <v>11082</v>
      </c>
      <c r="B1083" s="4">
        <v>6078</v>
      </c>
      <c r="C1083" s="4" t="s">
        <v>16</v>
      </c>
      <c r="D1083" s="5">
        <v>49791.45</v>
      </c>
      <c r="E1083" s="4">
        <v>41</v>
      </c>
      <c r="F1083" s="4" t="s">
        <v>22</v>
      </c>
      <c r="G1083" s="6">
        <v>45361</v>
      </c>
      <c r="H1083" s="5">
        <v>40108.81</v>
      </c>
      <c r="I1083" s="18" t="s">
        <v>17</v>
      </c>
      <c r="J1083" s="14" t="s">
        <v>19</v>
      </c>
      <c r="K1083" s="14">
        <v>966</v>
      </c>
      <c r="L1083" s="15">
        <v>45332</v>
      </c>
      <c r="M1083" s="16">
        <v>12</v>
      </c>
      <c r="N108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83" s="31" t="str">
        <f>IF(Table64[[#This Row],[date validity flag]]&lt;&gt;"Valid","",Table64[[#This Row],[shipment date ]]-Table64[[#This Row],[Order date]])</f>
        <v/>
      </c>
      <c r="P1083" s="27" t="str">
        <f>TEXT(Table64[[#This Row],[Order date]],"mmm-yyyy")</f>
        <v>Mar-2024</v>
      </c>
      <c r="Q1083" s="16" t="str">
        <f t="shared" si="16"/>
        <v/>
      </c>
    </row>
    <row r="1084" spans="1:17" x14ac:dyDescent="0.3">
      <c r="A1084" s="12">
        <v>11083</v>
      </c>
      <c r="B1084" s="1">
        <v>5236</v>
      </c>
      <c r="C1084" s="1" t="s">
        <v>16</v>
      </c>
      <c r="D1084" s="2">
        <v>18280.72</v>
      </c>
      <c r="E1084" s="1">
        <v>99</v>
      </c>
      <c r="F1084" s="1" t="s">
        <v>13</v>
      </c>
      <c r="G1084" s="3">
        <v>45337</v>
      </c>
      <c r="H1084" s="2">
        <v>147852.93</v>
      </c>
      <c r="I1084" s="13" t="s">
        <v>17</v>
      </c>
      <c r="J1084" s="14" t="s">
        <v>19</v>
      </c>
      <c r="K1084" s="14">
        <v>1212</v>
      </c>
      <c r="L1084" s="15">
        <v>45397</v>
      </c>
      <c r="M1084" s="16">
        <v>8</v>
      </c>
      <c r="N10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84" s="31">
        <f>IF(Table64[[#This Row],[date validity flag]]&lt;&gt;"Valid","",Table64[[#This Row],[shipment date ]]-Table64[[#This Row],[Order date]])</f>
        <v>60</v>
      </c>
      <c r="P1084" s="27" t="str">
        <f>TEXT(Table64[[#This Row],[Order date]],"mmm-yyyy")</f>
        <v>Feb-2024</v>
      </c>
      <c r="Q1084" s="16" t="str">
        <f t="shared" si="16"/>
        <v>Delayed</v>
      </c>
    </row>
    <row r="1085" spans="1:17" x14ac:dyDescent="0.3">
      <c r="A1085" s="17">
        <v>11084</v>
      </c>
      <c r="B1085" s="4">
        <v>5389</v>
      </c>
      <c r="C1085" s="4" t="s">
        <v>12</v>
      </c>
      <c r="D1085" s="5">
        <v>16018.43</v>
      </c>
      <c r="E1085" s="4">
        <v>47</v>
      </c>
      <c r="F1085" s="4" t="s">
        <v>23</v>
      </c>
      <c r="G1085" s="6">
        <v>45337</v>
      </c>
      <c r="H1085" s="5">
        <v>41928.71</v>
      </c>
      <c r="I1085" s="18" t="s">
        <v>20</v>
      </c>
      <c r="J1085" s="14" t="s">
        <v>15</v>
      </c>
      <c r="K1085" s="14">
        <v>1349</v>
      </c>
      <c r="L1085" s="15">
        <v>45332</v>
      </c>
      <c r="M1085" s="16">
        <v>6</v>
      </c>
      <c r="N108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85" s="31" t="str">
        <f>IF(Table64[[#This Row],[date validity flag]]&lt;&gt;"Valid","",Table64[[#This Row],[shipment date ]]-Table64[[#This Row],[Order date]])</f>
        <v/>
      </c>
      <c r="P1085" s="27" t="str">
        <f>TEXT(Table64[[#This Row],[Order date]],"mmm-yyyy")</f>
        <v>Feb-2024</v>
      </c>
      <c r="Q1085" s="16" t="str">
        <f t="shared" si="16"/>
        <v/>
      </c>
    </row>
    <row r="1086" spans="1:17" x14ac:dyDescent="0.3">
      <c r="A1086" s="12">
        <v>11085</v>
      </c>
      <c r="B1086" s="1">
        <v>5990</v>
      </c>
      <c r="C1086" s="1" t="s">
        <v>16</v>
      </c>
      <c r="D1086" s="2">
        <v>65786.66</v>
      </c>
      <c r="E1086" s="1">
        <v>18</v>
      </c>
      <c r="F1086" s="1" t="s">
        <v>23</v>
      </c>
      <c r="G1086" s="3">
        <v>45361</v>
      </c>
      <c r="H1086" s="2">
        <v>131165.10999999999</v>
      </c>
      <c r="I1086" s="13" t="s">
        <v>17</v>
      </c>
      <c r="J1086" s="14" t="s">
        <v>18</v>
      </c>
      <c r="K1086" s="14">
        <v>340</v>
      </c>
      <c r="L1086" s="15">
        <v>45332</v>
      </c>
      <c r="M1086" s="16">
        <v>12</v>
      </c>
      <c r="N10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86" s="31" t="str">
        <f>IF(Table64[[#This Row],[date validity flag]]&lt;&gt;"Valid","",Table64[[#This Row],[shipment date ]]-Table64[[#This Row],[Order date]])</f>
        <v/>
      </c>
      <c r="P1086" s="27" t="str">
        <f>TEXT(Table64[[#This Row],[Order date]],"mmm-yyyy")</f>
        <v>Mar-2024</v>
      </c>
      <c r="Q1086" s="16" t="str">
        <f t="shared" si="16"/>
        <v/>
      </c>
    </row>
    <row r="1087" spans="1:17" x14ac:dyDescent="0.3">
      <c r="A1087" s="17">
        <v>11086</v>
      </c>
      <c r="B1087" s="4">
        <v>6758</v>
      </c>
      <c r="C1087" s="4" t="s">
        <v>16</v>
      </c>
      <c r="D1087" s="5">
        <v>43309.1</v>
      </c>
      <c r="E1087" s="4">
        <v>78</v>
      </c>
      <c r="F1087" s="4" t="s">
        <v>21</v>
      </c>
      <c r="G1087" s="6">
        <v>45361</v>
      </c>
      <c r="H1087" s="5">
        <v>93530.83</v>
      </c>
      <c r="I1087" s="18" t="s">
        <v>17</v>
      </c>
      <c r="J1087" s="14" t="s">
        <v>15</v>
      </c>
      <c r="K1087" s="14">
        <v>1126</v>
      </c>
      <c r="L1087" s="15">
        <v>45397</v>
      </c>
      <c r="M1087" s="16">
        <v>7</v>
      </c>
      <c r="N10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87" s="31">
        <f>IF(Table64[[#This Row],[date validity flag]]&lt;&gt;"Valid","",Table64[[#This Row],[shipment date ]]-Table64[[#This Row],[Order date]])</f>
        <v>36</v>
      </c>
      <c r="P1087" s="27" t="str">
        <f>TEXT(Table64[[#This Row],[Order date]],"mmm-yyyy")</f>
        <v>Mar-2024</v>
      </c>
      <c r="Q1087" s="16" t="str">
        <f t="shared" si="16"/>
        <v>Delayed</v>
      </c>
    </row>
    <row r="1088" spans="1:17" x14ac:dyDescent="0.3">
      <c r="A1088" s="12">
        <v>11087</v>
      </c>
      <c r="B1088" s="1">
        <v>5763</v>
      </c>
      <c r="C1088" s="1" t="s">
        <v>16</v>
      </c>
      <c r="D1088" s="2">
        <v>24384.29</v>
      </c>
      <c r="E1088" s="1">
        <v>99</v>
      </c>
      <c r="F1088" s="1" t="s">
        <v>21</v>
      </c>
      <c r="G1088" s="3">
        <v>45337</v>
      </c>
      <c r="H1088" s="2">
        <v>57108.74</v>
      </c>
      <c r="I1088" s="13" t="s">
        <v>20</v>
      </c>
      <c r="J1088" s="14" t="s">
        <v>19</v>
      </c>
      <c r="K1088" s="14">
        <v>1183</v>
      </c>
      <c r="L1088" s="15">
        <v>45397</v>
      </c>
      <c r="M1088" s="16">
        <v>2</v>
      </c>
      <c r="N10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88" s="31">
        <f>IF(Table64[[#This Row],[date validity flag]]&lt;&gt;"Valid","",Table64[[#This Row],[shipment date ]]-Table64[[#This Row],[Order date]])</f>
        <v>60</v>
      </c>
      <c r="P1088" s="27" t="str">
        <f>TEXT(Table64[[#This Row],[Order date]],"mmm-yyyy")</f>
        <v>Feb-2024</v>
      </c>
      <c r="Q1088" s="16" t="str">
        <f t="shared" si="16"/>
        <v>Delayed</v>
      </c>
    </row>
    <row r="1089" spans="1:17" x14ac:dyDescent="0.3">
      <c r="A1089" s="17">
        <v>11088</v>
      </c>
      <c r="B1089" s="4">
        <v>6849</v>
      </c>
      <c r="C1089" s="4" t="s">
        <v>16</v>
      </c>
      <c r="D1089" s="5">
        <v>40084.449999999997</v>
      </c>
      <c r="E1089" s="4">
        <v>71</v>
      </c>
      <c r="F1089" s="4" t="s">
        <v>21</v>
      </c>
      <c r="G1089" s="6">
        <v>45337</v>
      </c>
      <c r="H1089" s="5">
        <v>11253.84</v>
      </c>
      <c r="I1089" s="18" t="s">
        <v>20</v>
      </c>
      <c r="J1089" s="14" t="s">
        <v>15</v>
      </c>
      <c r="K1089" s="14">
        <v>764</v>
      </c>
      <c r="L1089" s="15">
        <v>45397</v>
      </c>
      <c r="M1089" s="16">
        <v>6</v>
      </c>
      <c r="N10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89" s="31">
        <f>IF(Table64[[#This Row],[date validity flag]]&lt;&gt;"Valid","",Table64[[#This Row],[shipment date ]]-Table64[[#This Row],[Order date]])</f>
        <v>60</v>
      </c>
      <c r="P1089" s="27" t="str">
        <f>TEXT(Table64[[#This Row],[Order date]],"mmm-yyyy")</f>
        <v>Feb-2024</v>
      </c>
      <c r="Q1089" s="16" t="str">
        <f t="shared" si="16"/>
        <v>Delayed</v>
      </c>
    </row>
    <row r="1090" spans="1:17" x14ac:dyDescent="0.3">
      <c r="A1090" s="12">
        <v>11089</v>
      </c>
      <c r="B1090" s="1">
        <v>5401</v>
      </c>
      <c r="C1090" s="1" t="s">
        <v>16</v>
      </c>
      <c r="D1090" s="2">
        <v>49059.93</v>
      </c>
      <c r="E1090" s="1">
        <v>13</v>
      </c>
      <c r="F1090" s="1" t="s">
        <v>13</v>
      </c>
      <c r="G1090" s="3">
        <v>45361</v>
      </c>
      <c r="H1090" s="2">
        <v>26320.35</v>
      </c>
      <c r="I1090" s="13" t="s">
        <v>17</v>
      </c>
      <c r="J1090" s="14" t="s">
        <v>15</v>
      </c>
      <c r="K1090" s="14">
        <v>997</v>
      </c>
      <c r="L1090" s="15">
        <v>45397</v>
      </c>
      <c r="M1090" s="16">
        <v>14</v>
      </c>
      <c r="N10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0" s="31">
        <f>IF(Table64[[#This Row],[date validity flag]]&lt;&gt;"Valid","",Table64[[#This Row],[shipment date ]]-Table64[[#This Row],[Order date]])</f>
        <v>36</v>
      </c>
      <c r="P1090" s="27" t="str">
        <f>TEXT(Table64[[#This Row],[Order date]],"mmm-yyyy")</f>
        <v>Mar-2024</v>
      </c>
      <c r="Q1090" s="16" t="str">
        <f t="shared" ref="Q1090:Q1153" si="17">IF(O1090="","",IF(O1090&gt;0,"Delayed","On Time"))</f>
        <v>Delayed</v>
      </c>
    </row>
    <row r="1091" spans="1:17" x14ac:dyDescent="0.3">
      <c r="A1091" s="17">
        <v>11090</v>
      </c>
      <c r="B1091" s="4">
        <v>5624</v>
      </c>
      <c r="C1091" s="4" t="s">
        <v>16</v>
      </c>
      <c r="D1091" s="5">
        <v>45090.89</v>
      </c>
      <c r="E1091" s="4">
        <v>82</v>
      </c>
      <c r="F1091" s="4" t="s">
        <v>22</v>
      </c>
      <c r="G1091" s="6">
        <v>45361</v>
      </c>
      <c r="H1091" s="5">
        <v>112843.14</v>
      </c>
      <c r="I1091" s="18" t="s">
        <v>14</v>
      </c>
      <c r="J1091" s="14" t="s">
        <v>19</v>
      </c>
      <c r="K1091" s="14">
        <v>697</v>
      </c>
      <c r="L1091" s="15">
        <v>45361</v>
      </c>
      <c r="M1091" s="16">
        <v>8</v>
      </c>
      <c r="N10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1" s="31">
        <f>IF(Table64[[#This Row],[date validity flag]]&lt;&gt;"Valid","",Table64[[#This Row],[shipment date ]]-Table64[[#This Row],[Order date]])</f>
        <v>0</v>
      </c>
      <c r="P1091" s="27" t="str">
        <f>TEXT(Table64[[#This Row],[Order date]],"mmm-yyyy")</f>
        <v>Mar-2024</v>
      </c>
      <c r="Q1091" s="16" t="str">
        <f t="shared" si="17"/>
        <v>On Time</v>
      </c>
    </row>
    <row r="1092" spans="1:17" x14ac:dyDescent="0.3">
      <c r="A1092" s="12">
        <v>11091</v>
      </c>
      <c r="B1092" s="1">
        <v>5767</v>
      </c>
      <c r="C1092" s="1" t="s">
        <v>16</v>
      </c>
      <c r="D1092" s="2">
        <v>19584</v>
      </c>
      <c r="E1092" s="1">
        <v>13</v>
      </c>
      <c r="F1092" s="1" t="s">
        <v>22</v>
      </c>
      <c r="G1092" s="3">
        <v>45383</v>
      </c>
      <c r="H1092" s="2">
        <v>102841.22</v>
      </c>
      <c r="I1092" s="13" t="s">
        <v>17</v>
      </c>
      <c r="J1092" s="14" t="s">
        <v>19</v>
      </c>
      <c r="K1092" s="14">
        <v>1077</v>
      </c>
      <c r="L1092" s="15">
        <v>45397</v>
      </c>
      <c r="M1092" s="16">
        <v>8</v>
      </c>
      <c r="N10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2" s="31">
        <f>IF(Table64[[#This Row],[date validity flag]]&lt;&gt;"Valid","",Table64[[#This Row],[shipment date ]]-Table64[[#This Row],[Order date]])</f>
        <v>14</v>
      </c>
      <c r="P1092" s="27" t="str">
        <f>TEXT(Table64[[#This Row],[Order date]],"mmm-yyyy")</f>
        <v>Apr-2024</v>
      </c>
      <c r="Q1092" s="16" t="str">
        <f t="shared" si="17"/>
        <v>Delayed</v>
      </c>
    </row>
    <row r="1093" spans="1:17" x14ac:dyDescent="0.3">
      <c r="A1093" s="17">
        <v>11092</v>
      </c>
      <c r="B1093" s="4">
        <v>6327</v>
      </c>
      <c r="C1093" s="4" t="s">
        <v>16</v>
      </c>
      <c r="D1093" s="5">
        <v>9261.7800000000007</v>
      </c>
      <c r="E1093" s="4">
        <v>31</v>
      </c>
      <c r="F1093" s="4" t="s">
        <v>21</v>
      </c>
      <c r="G1093" s="6">
        <v>45337</v>
      </c>
      <c r="H1093" s="5">
        <v>44334.96</v>
      </c>
      <c r="I1093" s="18" t="s">
        <v>14</v>
      </c>
      <c r="J1093" s="14" t="s">
        <v>15</v>
      </c>
      <c r="K1093" s="14">
        <v>733</v>
      </c>
      <c r="L1093" s="15">
        <v>45397</v>
      </c>
      <c r="M1093" s="16">
        <v>4</v>
      </c>
      <c r="N10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3" s="31">
        <f>IF(Table64[[#This Row],[date validity flag]]&lt;&gt;"Valid","",Table64[[#This Row],[shipment date ]]-Table64[[#This Row],[Order date]])</f>
        <v>60</v>
      </c>
      <c r="P1093" s="27" t="str">
        <f>TEXT(Table64[[#This Row],[Order date]],"mmm-yyyy")</f>
        <v>Feb-2024</v>
      </c>
      <c r="Q1093" s="16" t="str">
        <f t="shared" si="17"/>
        <v>Delayed</v>
      </c>
    </row>
    <row r="1094" spans="1:17" x14ac:dyDescent="0.3">
      <c r="A1094" s="12">
        <v>11093</v>
      </c>
      <c r="B1094" s="1">
        <v>5919</v>
      </c>
      <c r="C1094" s="1" t="s">
        <v>16</v>
      </c>
      <c r="D1094" s="2">
        <v>12008.27</v>
      </c>
      <c r="E1094" s="1">
        <v>2</v>
      </c>
      <c r="F1094" s="1" t="s">
        <v>21</v>
      </c>
      <c r="G1094" s="3">
        <v>45337</v>
      </c>
      <c r="H1094" s="2">
        <v>32232.45</v>
      </c>
      <c r="I1094" s="13" t="s">
        <v>14</v>
      </c>
      <c r="J1094" s="14" t="s">
        <v>19</v>
      </c>
      <c r="K1094" s="14">
        <v>919</v>
      </c>
      <c r="L1094" s="15">
        <v>45397</v>
      </c>
      <c r="M1094" s="16">
        <v>6</v>
      </c>
      <c r="N10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4" s="31">
        <f>IF(Table64[[#This Row],[date validity flag]]&lt;&gt;"Valid","",Table64[[#This Row],[shipment date ]]-Table64[[#This Row],[Order date]])</f>
        <v>60</v>
      </c>
      <c r="P1094" s="27" t="str">
        <f>TEXT(Table64[[#This Row],[Order date]],"mmm-yyyy")</f>
        <v>Feb-2024</v>
      </c>
      <c r="Q1094" s="16" t="str">
        <f t="shared" si="17"/>
        <v>Delayed</v>
      </c>
    </row>
    <row r="1095" spans="1:17" x14ac:dyDescent="0.3">
      <c r="A1095" s="17">
        <v>11094</v>
      </c>
      <c r="B1095" s="4">
        <v>6231</v>
      </c>
      <c r="C1095" s="4" t="s">
        <v>16</v>
      </c>
      <c r="D1095" s="5">
        <v>15561.24</v>
      </c>
      <c r="E1095" s="4">
        <v>16</v>
      </c>
      <c r="F1095" s="4" t="s">
        <v>21</v>
      </c>
      <c r="G1095" s="6">
        <v>45383</v>
      </c>
      <c r="H1095" s="5">
        <v>62657.64</v>
      </c>
      <c r="I1095" s="18" t="s">
        <v>20</v>
      </c>
      <c r="J1095" s="14" t="s">
        <v>19</v>
      </c>
      <c r="K1095" s="14">
        <v>1120</v>
      </c>
      <c r="L1095" s="15">
        <v>45332</v>
      </c>
      <c r="M1095" s="16">
        <v>14</v>
      </c>
      <c r="N109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95" s="31" t="str">
        <f>IF(Table64[[#This Row],[date validity flag]]&lt;&gt;"Valid","",Table64[[#This Row],[shipment date ]]-Table64[[#This Row],[Order date]])</f>
        <v/>
      </c>
      <c r="P1095" s="27" t="str">
        <f>TEXT(Table64[[#This Row],[Order date]],"mmm-yyyy")</f>
        <v>Apr-2024</v>
      </c>
      <c r="Q1095" s="16" t="str">
        <f t="shared" si="17"/>
        <v/>
      </c>
    </row>
    <row r="1096" spans="1:17" x14ac:dyDescent="0.3">
      <c r="A1096" s="12">
        <v>11095</v>
      </c>
      <c r="B1096" s="1">
        <v>6253</v>
      </c>
      <c r="C1096" s="1" t="s">
        <v>16</v>
      </c>
      <c r="D1096" s="2">
        <v>28701.31</v>
      </c>
      <c r="E1096" s="1">
        <v>9</v>
      </c>
      <c r="F1096" s="1" t="s">
        <v>23</v>
      </c>
      <c r="G1096" s="3">
        <v>45337</v>
      </c>
      <c r="H1096" s="2">
        <v>118436.3</v>
      </c>
      <c r="I1096" s="13" t="s">
        <v>14</v>
      </c>
      <c r="J1096" s="14" t="s">
        <v>19</v>
      </c>
      <c r="K1096" s="14">
        <v>143</v>
      </c>
      <c r="L1096" s="15">
        <v>45397</v>
      </c>
      <c r="M1096" s="16">
        <v>5</v>
      </c>
      <c r="N10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6" s="31">
        <f>IF(Table64[[#This Row],[date validity flag]]&lt;&gt;"Valid","",Table64[[#This Row],[shipment date ]]-Table64[[#This Row],[Order date]])</f>
        <v>60</v>
      </c>
      <c r="P1096" s="27" t="str">
        <f>TEXT(Table64[[#This Row],[Order date]],"mmm-yyyy")</f>
        <v>Feb-2024</v>
      </c>
      <c r="Q1096" s="16" t="str">
        <f t="shared" si="17"/>
        <v>Delayed</v>
      </c>
    </row>
    <row r="1097" spans="1:17" x14ac:dyDescent="0.3">
      <c r="A1097" s="17">
        <v>11096</v>
      </c>
      <c r="B1097" s="4">
        <v>5853</v>
      </c>
      <c r="C1097" s="4" t="s">
        <v>16</v>
      </c>
      <c r="D1097" s="5">
        <v>19246.23</v>
      </c>
      <c r="E1097" s="4">
        <v>73</v>
      </c>
      <c r="F1097" s="4" t="s">
        <v>21</v>
      </c>
      <c r="G1097" s="6">
        <v>45306</v>
      </c>
      <c r="H1097" s="5">
        <v>32216.65</v>
      </c>
      <c r="I1097" s="18" t="s">
        <v>17</v>
      </c>
      <c r="J1097" s="14" t="s">
        <v>19</v>
      </c>
      <c r="K1097" s="14">
        <v>989</v>
      </c>
      <c r="L1097" s="15">
        <v>45332</v>
      </c>
      <c r="M1097" s="16">
        <v>9</v>
      </c>
      <c r="N10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097" s="31">
        <f>IF(Table64[[#This Row],[date validity flag]]&lt;&gt;"Valid","",Table64[[#This Row],[shipment date ]]-Table64[[#This Row],[Order date]])</f>
        <v>26</v>
      </c>
      <c r="P1097" s="27" t="str">
        <f>TEXT(Table64[[#This Row],[Order date]],"mmm-yyyy")</f>
        <v>Jan-2024</v>
      </c>
      <c r="Q1097" s="16" t="str">
        <f t="shared" si="17"/>
        <v>Delayed</v>
      </c>
    </row>
    <row r="1098" spans="1:17" x14ac:dyDescent="0.3">
      <c r="A1098" s="12">
        <v>11097</v>
      </c>
      <c r="B1098" s="1">
        <v>6934</v>
      </c>
      <c r="C1098" s="1" t="s">
        <v>12</v>
      </c>
      <c r="D1098" s="2">
        <v>10277.15</v>
      </c>
      <c r="E1098" s="1">
        <v>38</v>
      </c>
      <c r="F1098" s="1" t="s">
        <v>23</v>
      </c>
      <c r="G1098" s="3">
        <v>45337</v>
      </c>
      <c r="H1098" s="2">
        <v>103918.77</v>
      </c>
      <c r="I1098" s="13" t="s">
        <v>20</v>
      </c>
      <c r="J1098" s="14" t="s">
        <v>19</v>
      </c>
      <c r="K1098" s="14">
        <v>609</v>
      </c>
      <c r="L1098" s="15">
        <v>45332</v>
      </c>
      <c r="M1098" s="16">
        <v>8</v>
      </c>
      <c r="N109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98" s="31" t="str">
        <f>IF(Table64[[#This Row],[date validity flag]]&lt;&gt;"Valid","",Table64[[#This Row],[shipment date ]]-Table64[[#This Row],[Order date]])</f>
        <v/>
      </c>
      <c r="P1098" s="27" t="str">
        <f>TEXT(Table64[[#This Row],[Order date]],"mmm-yyyy")</f>
        <v>Feb-2024</v>
      </c>
      <c r="Q1098" s="16" t="str">
        <f t="shared" si="17"/>
        <v/>
      </c>
    </row>
    <row r="1099" spans="1:17" x14ac:dyDescent="0.3">
      <c r="A1099" s="17">
        <v>11098</v>
      </c>
      <c r="B1099" s="4">
        <v>5578</v>
      </c>
      <c r="C1099" s="4" t="s">
        <v>12</v>
      </c>
      <c r="D1099" s="5">
        <v>46060.51</v>
      </c>
      <c r="E1099" s="4">
        <v>75</v>
      </c>
      <c r="F1099" s="4" t="s">
        <v>22</v>
      </c>
      <c r="G1099" s="6">
        <v>45383</v>
      </c>
      <c r="H1099" s="5">
        <v>14024.89</v>
      </c>
      <c r="I1099" s="18" t="s">
        <v>14</v>
      </c>
      <c r="J1099" s="14" t="s">
        <v>19</v>
      </c>
      <c r="K1099" s="14">
        <v>262</v>
      </c>
      <c r="L1099" s="15">
        <v>45332</v>
      </c>
      <c r="M1099" s="16">
        <v>2</v>
      </c>
      <c r="N109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099" s="31" t="str">
        <f>IF(Table64[[#This Row],[date validity flag]]&lt;&gt;"Valid","",Table64[[#This Row],[shipment date ]]-Table64[[#This Row],[Order date]])</f>
        <v/>
      </c>
      <c r="P1099" s="27" t="str">
        <f>TEXT(Table64[[#This Row],[Order date]],"mmm-yyyy")</f>
        <v>Apr-2024</v>
      </c>
      <c r="Q1099" s="16" t="str">
        <f t="shared" si="17"/>
        <v/>
      </c>
    </row>
    <row r="1100" spans="1:17" x14ac:dyDescent="0.3">
      <c r="A1100" s="12">
        <v>11099</v>
      </c>
      <c r="B1100" s="1">
        <v>5075</v>
      </c>
      <c r="C1100" s="1" t="s">
        <v>12</v>
      </c>
      <c r="D1100" s="2">
        <v>84195.78</v>
      </c>
      <c r="E1100" s="1">
        <v>54</v>
      </c>
      <c r="F1100" s="1" t="s">
        <v>13</v>
      </c>
      <c r="G1100" s="3">
        <v>45306</v>
      </c>
      <c r="H1100" s="2">
        <v>149305.81</v>
      </c>
      <c r="I1100" s="13" t="s">
        <v>20</v>
      </c>
      <c r="J1100" s="14" t="s">
        <v>18</v>
      </c>
      <c r="K1100" s="14">
        <v>485</v>
      </c>
      <c r="L1100" s="15">
        <v>45332</v>
      </c>
      <c r="M1100" s="16">
        <v>12</v>
      </c>
      <c r="N11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0" s="31">
        <f>IF(Table64[[#This Row],[date validity flag]]&lt;&gt;"Valid","",Table64[[#This Row],[shipment date ]]-Table64[[#This Row],[Order date]])</f>
        <v>26</v>
      </c>
      <c r="P1100" s="27" t="str">
        <f>TEXT(Table64[[#This Row],[Order date]],"mmm-yyyy")</f>
        <v>Jan-2024</v>
      </c>
      <c r="Q1100" s="16" t="str">
        <f t="shared" si="17"/>
        <v>Delayed</v>
      </c>
    </row>
    <row r="1101" spans="1:17" x14ac:dyDescent="0.3">
      <c r="A1101" s="17">
        <v>11100</v>
      </c>
      <c r="B1101" s="4">
        <v>5435</v>
      </c>
      <c r="C1101" s="4" t="s">
        <v>16</v>
      </c>
      <c r="D1101" s="5">
        <v>20171.7</v>
      </c>
      <c r="E1101" s="4">
        <v>56</v>
      </c>
      <c r="F1101" s="4" t="s">
        <v>13</v>
      </c>
      <c r="G1101" s="6">
        <v>45361</v>
      </c>
      <c r="H1101" s="5">
        <v>159376.25</v>
      </c>
      <c r="I1101" s="18" t="s">
        <v>17</v>
      </c>
      <c r="J1101" s="14" t="s">
        <v>15</v>
      </c>
      <c r="K1101" s="14">
        <v>901</v>
      </c>
      <c r="L1101" s="15">
        <v>45361</v>
      </c>
      <c r="M1101" s="16">
        <v>13</v>
      </c>
      <c r="N11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1" s="31">
        <f>IF(Table64[[#This Row],[date validity flag]]&lt;&gt;"Valid","",Table64[[#This Row],[shipment date ]]-Table64[[#This Row],[Order date]])</f>
        <v>0</v>
      </c>
      <c r="P1101" s="27" t="str">
        <f>TEXT(Table64[[#This Row],[Order date]],"mmm-yyyy")</f>
        <v>Mar-2024</v>
      </c>
      <c r="Q1101" s="16" t="str">
        <f t="shared" si="17"/>
        <v>On Time</v>
      </c>
    </row>
    <row r="1102" spans="1:17" x14ac:dyDescent="0.3">
      <c r="A1102" s="12">
        <v>11101</v>
      </c>
      <c r="B1102" s="1">
        <v>5103</v>
      </c>
      <c r="C1102" s="1" t="s">
        <v>16</v>
      </c>
      <c r="D1102" s="2">
        <v>70622.399999999994</v>
      </c>
      <c r="E1102" s="1">
        <v>86</v>
      </c>
      <c r="F1102" s="1" t="s">
        <v>13</v>
      </c>
      <c r="G1102" s="3">
        <v>45383</v>
      </c>
      <c r="H1102" s="2">
        <v>146605.35</v>
      </c>
      <c r="I1102" s="13" t="s">
        <v>17</v>
      </c>
      <c r="J1102" s="14" t="s">
        <v>19</v>
      </c>
      <c r="K1102" s="14">
        <v>557</v>
      </c>
      <c r="L1102" s="15">
        <v>45397</v>
      </c>
      <c r="M1102" s="16">
        <v>7</v>
      </c>
      <c r="N11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2" s="31">
        <f>IF(Table64[[#This Row],[date validity flag]]&lt;&gt;"Valid","",Table64[[#This Row],[shipment date ]]-Table64[[#This Row],[Order date]])</f>
        <v>14</v>
      </c>
      <c r="P1102" s="27" t="str">
        <f>TEXT(Table64[[#This Row],[Order date]],"mmm-yyyy")</f>
        <v>Apr-2024</v>
      </c>
      <c r="Q1102" s="16" t="str">
        <f t="shared" si="17"/>
        <v>Delayed</v>
      </c>
    </row>
    <row r="1103" spans="1:17" x14ac:dyDescent="0.3">
      <c r="A1103" s="17">
        <v>11102</v>
      </c>
      <c r="B1103" s="4">
        <v>6446</v>
      </c>
      <c r="C1103" s="4" t="s">
        <v>16</v>
      </c>
      <c r="D1103" s="5">
        <v>41676.18</v>
      </c>
      <c r="E1103" s="4">
        <v>97</v>
      </c>
      <c r="F1103" s="4" t="s">
        <v>13</v>
      </c>
      <c r="G1103" s="6">
        <v>45383</v>
      </c>
      <c r="H1103" s="5">
        <v>37616.43</v>
      </c>
      <c r="I1103" s="18" t="s">
        <v>14</v>
      </c>
      <c r="J1103" s="14" t="s">
        <v>15</v>
      </c>
      <c r="K1103" s="14">
        <v>885</v>
      </c>
      <c r="L1103" s="15">
        <v>45332</v>
      </c>
      <c r="M1103" s="16">
        <v>7</v>
      </c>
      <c r="N110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03" s="31" t="str">
        <f>IF(Table64[[#This Row],[date validity flag]]&lt;&gt;"Valid","",Table64[[#This Row],[shipment date ]]-Table64[[#This Row],[Order date]])</f>
        <v/>
      </c>
      <c r="P1103" s="27" t="str">
        <f>TEXT(Table64[[#This Row],[Order date]],"mmm-yyyy")</f>
        <v>Apr-2024</v>
      </c>
      <c r="Q1103" s="16" t="str">
        <f t="shared" si="17"/>
        <v/>
      </c>
    </row>
    <row r="1104" spans="1:17" x14ac:dyDescent="0.3">
      <c r="A1104" s="12">
        <v>11103</v>
      </c>
      <c r="B1104" s="1">
        <v>6728</v>
      </c>
      <c r="C1104" s="1" t="s">
        <v>16</v>
      </c>
      <c r="D1104" s="2">
        <v>19394.39</v>
      </c>
      <c r="E1104" s="1">
        <v>87</v>
      </c>
      <c r="F1104" s="1" t="s">
        <v>23</v>
      </c>
      <c r="G1104" s="3">
        <v>45361</v>
      </c>
      <c r="H1104" s="2">
        <v>77001.78</v>
      </c>
      <c r="I1104" s="13" t="s">
        <v>20</v>
      </c>
      <c r="J1104" s="14" t="s">
        <v>18</v>
      </c>
      <c r="K1104" s="14">
        <v>700</v>
      </c>
      <c r="L1104" s="15">
        <v>45397</v>
      </c>
      <c r="M1104" s="16">
        <v>11</v>
      </c>
      <c r="N11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4" s="31">
        <f>IF(Table64[[#This Row],[date validity flag]]&lt;&gt;"Valid","",Table64[[#This Row],[shipment date ]]-Table64[[#This Row],[Order date]])</f>
        <v>36</v>
      </c>
      <c r="P1104" s="27" t="str">
        <f>TEXT(Table64[[#This Row],[Order date]],"mmm-yyyy")</f>
        <v>Mar-2024</v>
      </c>
      <c r="Q1104" s="16" t="str">
        <f t="shared" si="17"/>
        <v>Delayed</v>
      </c>
    </row>
    <row r="1105" spans="1:17" x14ac:dyDescent="0.3">
      <c r="A1105" s="17">
        <v>11104</v>
      </c>
      <c r="B1105" s="4">
        <v>5764</v>
      </c>
      <c r="C1105" s="4" t="s">
        <v>16</v>
      </c>
      <c r="D1105" s="5">
        <v>57409.120000000003</v>
      </c>
      <c r="E1105" s="4">
        <v>45</v>
      </c>
      <c r="F1105" s="4" t="s">
        <v>23</v>
      </c>
      <c r="G1105" s="6">
        <v>45383</v>
      </c>
      <c r="H1105" s="5">
        <v>81075.009999999995</v>
      </c>
      <c r="I1105" s="18" t="s">
        <v>14</v>
      </c>
      <c r="J1105" s="14" t="s">
        <v>19</v>
      </c>
      <c r="K1105" s="14">
        <v>254</v>
      </c>
      <c r="L1105" s="15">
        <v>45332</v>
      </c>
      <c r="M1105" s="16">
        <v>14</v>
      </c>
      <c r="N110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05" s="31" t="str">
        <f>IF(Table64[[#This Row],[date validity flag]]&lt;&gt;"Valid","",Table64[[#This Row],[shipment date ]]-Table64[[#This Row],[Order date]])</f>
        <v/>
      </c>
      <c r="P1105" s="27" t="str">
        <f>TEXT(Table64[[#This Row],[Order date]],"mmm-yyyy")</f>
        <v>Apr-2024</v>
      </c>
      <c r="Q1105" s="16" t="str">
        <f t="shared" si="17"/>
        <v/>
      </c>
    </row>
    <row r="1106" spans="1:17" x14ac:dyDescent="0.3">
      <c r="A1106" s="12">
        <v>11105</v>
      </c>
      <c r="B1106" s="1">
        <v>5738</v>
      </c>
      <c r="C1106" s="1" t="s">
        <v>16</v>
      </c>
      <c r="D1106" s="2">
        <v>67959.789999999994</v>
      </c>
      <c r="E1106" s="1">
        <v>34</v>
      </c>
      <c r="F1106" s="1" t="s">
        <v>21</v>
      </c>
      <c r="G1106" s="3">
        <v>45337</v>
      </c>
      <c r="H1106" s="2">
        <v>119740.34</v>
      </c>
      <c r="I1106" s="13" t="s">
        <v>14</v>
      </c>
      <c r="J1106" s="14" t="s">
        <v>15</v>
      </c>
      <c r="K1106" s="14">
        <v>430</v>
      </c>
      <c r="L1106" s="15">
        <v>45361</v>
      </c>
      <c r="M1106" s="16">
        <v>14</v>
      </c>
      <c r="N11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6" s="31">
        <f>IF(Table64[[#This Row],[date validity flag]]&lt;&gt;"Valid","",Table64[[#This Row],[shipment date ]]-Table64[[#This Row],[Order date]])</f>
        <v>24</v>
      </c>
      <c r="P1106" s="27" t="str">
        <f>TEXT(Table64[[#This Row],[Order date]],"mmm-yyyy")</f>
        <v>Feb-2024</v>
      </c>
      <c r="Q1106" s="16" t="str">
        <f t="shared" si="17"/>
        <v>Delayed</v>
      </c>
    </row>
    <row r="1107" spans="1:17" x14ac:dyDescent="0.3">
      <c r="A1107" s="17">
        <v>11106</v>
      </c>
      <c r="B1107" s="4">
        <v>5806</v>
      </c>
      <c r="C1107" s="4" t="s">
        <v>16</v>
      </c>
      <c r="D1107" s="5">
        <v>79411.67</v>
      </c>
      <c r="E1107" s="4">
        <v>9</v>
      </c>
      <c r="F1107" s="4" t="s">
        <v>23</v>
      </c>
      <c r="G1107" s="6">
        <v>45361</v>
      </c>
      <c r="H1107" s="5">
        <v>30145.16</v>
      </c>
      <c r="I1107" s="18" t="s">
        <v>20</v>
      </c>
      <c r="J1107" s="14" t="s">
        <v>19</v>
      </c>
      <c r="K1107" s="14">
        <v>1146</v>
      </c>
      <c r="L1107" s="15">
        <v>45332</v>
      </c>
      <c r="M1107" s="16">
        <v>12</v>
      </c>
      <c r="N110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07" s="31" t="str">
        <f>IF(Table64[[#This Row],[date validity flag]]&lt;&gt;"Valid","",Table64[[#This Row],[shipment date ]]-Table64[[#This Row],[Order date]])</f>
        <v/>
      </c>
      <c r="P1107" s="27" t="str">
        <f>TEXT(Table64[[#This Row],[Order date]],"mmm-yyyy")</f>
        <v>Mar-2024</v>
      </c>
      <c r="Q1107" s="16" t="str">
        <f t="shared" si="17"/>
        <v/>
      </c>
    </row>
    <row r="1108" spans="1:17" x14ac:dyDescent="0.3">
      <c r="A1108" s="12">
        <v>11107</v>
      </c>
      <c r="B1108" s="1">
        <v>6330</v>
      </c>
      <c r="C1108" s="1" t="s">
        <v>16</v>
      </c>
      <c r="D1108" s="2">
        <v>11423.93</v>
      </c>
      <c r="E1108" s="1">
        <v>88</v>
      </c>
      <c r="F1108" s="1" t="s">
        <v>21</v>
      </c>
      <c r="G1108" s="3">
        <v>45383</v>
      </c>
      <c r="H1108" s="2">
        <v>122046.61</v>
      </c>
      <c r="I1108" s="13" t="s">
        <v>14</v>
      </c>
      <c r="J1108" s="14" t="s">
        <v>19</v>
      </c>
      <c r="K1108" s="14">
        <v>1149</v>
      </c>
      <c r="L1108" s="15">
        <v>45397</v>
      </c>
      <c r="M1108" s="16">
        <v>1</v>
      </c>
      <c r="N110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8" s="31">
        <f>IF(Table64[[#This Row],[date validity flag]]&lt;&gt;"Valid","",Table64[[#This Row],[shipment date ]]-Table64[[#This Row],[Order date]])</f>
        <v>14</v>
      </c>
      <c r="P1108" s="27" t="str">
        <f>TEXT(Table64[[#This Row],[Order date]],"mmm-yyyy")</f>
        <v>Apr-2024</v>
      </c>
      <c r="Q1108" s="16" t="str">
        <f t="shared" si="17"/>
        <v>Delayed</v>
      </c>
    </row>
    <row r="1109" spans="1:17" x14ac:dyDescent="0.3">
      <c r="A1109" s="17">
        <v>11108</v>
      </c>
      <c r="B1109" s="4">
        <v>5098</v>
      </c>
      <c r="C1109" s="4" t="s">
        <v>12</v>
      </c>
      <c r="D1109" s="5">
        <v>70489.67</v>
      </c>
      <c r="E1109" s="4">
        <v>8</v>
      </c>
      <c r="F1109" s="4" t="s">
        <v>21</v>
      </c>
      <c r="G1109" s="6">
        <v>45361</v>
      </c>
      <c r="H1109" s="5">
        <v>59817.05</v>
      </c>
      <c r="I1109" s="18" t="s">
        <v>17</v>
      </c>
      <c r="J1109" s="14" t="s">
        <v>19</v>
      </c>
      <c r="K1109" s="14">
        <v>126</v>
      </c>
      <c r="L1109" s="15">
        <v>45397</v>
      </c>
      <c r="M1109" s="16">
        <v>1</v>
      </c>
      <c r="N11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09" s="31">
        <f>IF(Table64[[#This Row],[date validity flag]]&lt;&gt;"Valid","",Table64[[#This Row],[shipment date ]]-Table64[[#This Row],[Order date]])</f>
        <v>36</v>
      </c>
      <c r="P1109" s="27" t="str">
        <f>TEXT(Table64[[#This Row],[Order date]],"mmm-yyyy")</f>
        <v>Mar-2024</v>
      </c>
      <c r="Q1109" s="16" t="str">
        <f t="shared" si="17"/>
        <v>Delayed</v>
      </c>
    </row>
    <row r="1110" spans="1:17" x14ac:dyDescent="0.3">
      <c r="A1110" s="12">
        <v>11109</v>
      </c>
      <c r="B1110" s="1">
        <v>6874</v>
      </c>
      <c r="C1110" s="1" t="s">
        <v>16</v>
      </c>
      <c r="D1110" s="2">
        <v>72771.520000000004</v>
      </c>
      <c r="E1110" s="1">
        <v>7</v>
      </c>
      <c r="F1110" s="1" t="s">
        <v>13</v>
      </c>
      <c r="G1110" s="3">
        <v>45361</v>
      </c>
      <c r="H1110" s="2">
        <v>42179.1</v>
      </c>
      <c r="I1110" s="13" t="s">
        <v>20</v>
      </c>
      <c r="J1110" s="14" t="s">
        <v>19</v>
      </c>
      <c r="K1110" s="14">
        <v>865</v>
      </c>
      <c r="L1110" s="15">
        <v>45361</v>
      </c>
      <c r="M1110" s="16">
        <v>12</v>
      </c>
      <c r="N11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0" s="31">
        <f>IF(Table64[[#This Row],[date validity flag]]&lt;&gt;"Valid","",Table64[[#This Row],[shipment date ]]-Table64[[#This Row],[Order date]])</f>
        <v>0</v>
      </c>
      <c r="P1110" s="27" t="str">
        <f>TEXT(Table64[[#This Row],[Order date]],"mmm-yyyy")</f>
        <v>Mar-2024</v>
      </c>
      <c r="Q1110" s="16" t="str">
        <f t="shared" si="17"/>
        <v>On Time</v>
      </c>
    </row>
    <row r="1111" spans="1:17" x14ac:dyDescent="0.3">
      <c r="A1111" s="17">
        <v>11110</v>
      </c>
      <c r="B1111" s="4">
        <v>5798</v>
      </c>
      <c r="C1111" s="4" t="s">
        <v>16</v>
      </c>
      <c r="D1111" s="5">
        <v>59045.98</v>
      </c>
      <c r="E1111" s="4">
        <v>36</v>
      </c>
      <c r="F1111" s="4" t="s">
        <v>23</v>
      </c>
      <c r="G1111" s="6">
        <v>45361</v>
      </c>
      <c r="H1111" s="5">
        <v>30833.93</v>
      </c>
      <c r="I1111" s="18" t="s">
        <v>20</v>
      </c>
      <c r="J1111" s="14" t="s">
        <v>19</v>
      </c>
      <c r="K1111" s="14">
        <v>817</v>
      </c>
      <c r="L1111" s="15">
        <v>45397</v>
      </c>
      <c r="M1111" s="16">
        <v>4</v>
      </c>
      <c r="N11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1" s="31">
        <f>IF(Table64[[#This Row],[date validity flag]]&lt;&gt;"Valid","",Table64[[#This Row],[shipment date ]]-Table64[[#This Row],[Order date]])</f>
        <v>36</v>
      </c>
      <c r="P1111" s="27" t="str">
        <f>TEXT(Table64[[#This Row],[Order date]],"mmm-yyyy")</f>
        <v>Mar-2024</v>
      </c>
      <c r="Q1111" s="16" t="str">
        <f t="shared" si="17"/>
        <v>Delayed</v>
      </c>
    </row>
    <row r="1112" spans="1:17" x14ac:dyDescent="0.3">
      <c r="A1112" s="12">
        <v>11111</v>
      </c>
      <c r="B1112" s="1">
        <v>6359</v>
      </c>
      <c r="C1112" s="1" t="s">
        <v>12</v>
      </c>
      <c r="D1112" s="2">
        <v>26543.73</v>
      </c>
      <c r="E1112" s="1">
        <v>18</v>
      </c>
      <c r="F1112" s="1" t="s">
        <v>23</v>
      </c>
      <c r="G1112" s="3">
        <v>45306</v>
      </c>
      <c r="H1112" s="2">
        <v>14516.25</v>
      </c>
      <c r="I1112" s="13" t="s">
        <v>20</v>
      </c>
      <c r="J1112" s="14" t="s">
        <v>19</v>
      </c>
      <c r="K1112" s="14">
        <v>459</v>
      </c>
      <c r="L1112" s="15">
        <v>45397</v>
      </c>
      <c r="M1112" s="16">
        <v>5</v>
      </c>
      <c r="N11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2" s="31">
        <f>IF(Table64[[#This Row],[date validity flag]]&lt;&gt;"Valid","",Table64[[#This Row],[shipment date ]]-Table64[[#This Row],[Order date]])</f>
        <v>91</v>
      </c>
      <c r="P1112" s="27" t="str">
        <f>TEXT(Table64[[#This Row],[Order date]],"mmm-yyyy")</f>
        <v>Jan-2024</v>
      </c>
      <c r="Q1112" s="16" t="str">
        <f t="shared" si="17"/>
        <v>Delayed</v>
      </c>
    </row>
    <row r="1113" spans="1:17" x14ac:dyDescent="0.3">
      <c r="A1113" s="17">
        <v>11112</v>
      </c>
      <c r="B1113" s="4">
        <v>5859</v>
      </c>
      <c r="C1113" s="4" t="s">
        <v>16</v>
      </c>
      <c r="D1113" s="5">
        <v>69082.64</v>
      </c>
      <c r="E1113" s="4">
        <v>3</v>
      </c>
      <c r="F1113" s="4" t="s">
        <v>21</v>
      </c>
      <c r="G1113" s="6">
        <v>45383</v>
      </c>
      <c r="H1113" s="5">
        <v>21018.76</v>
      </c>
      <c r="I1113" s="18" t="s">
        <v>20</v>
      </c>
      <c r="J1113" s="14" t="s">
        <v>19</v>
      </c>
      <c r="K1113" s="14">
        <v>155</v>
      </c>
      <c r="L1113" s="15">
        <v>45332</v>
      </c>
      <c r="M1113" s="16">
        <v>4</v>
      </c>
      <c r="N111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13" s="31" t="str">
        <f>IF(Table64[[#This Row],[date validity flag]]&lt;&gt;"Valid","",Table64[[#This Row],[shipment date ]]-Table64[[#This Row],[Order date]])</f>
        <v/>
      </c>
      <c r="P1113" s="27" t="str">
        <f>TEXT(Table64[[#This Row],[Order date]],"mmm-yyyy")</f>
        <v>Apr-2024</v>
      </c>
      <c r="Q1113" s="16" t="str">
        <f t="shared" si="17"/>
        <v/>
      </c>
    </row>
    <row r="1114" spans="1:17" x14ac:dyDescent="0.3">
      <c r="A1114" s="12">
        <v>11113</v>
      </c>
      <c r="B1114" s="1">
        <v>5435</v>
      </c>
      <c r="C1114" s="1" t="s">
        <v>16</v>
      </c>
      <c r="D1114" s="2">
        <v>68570.289999999994</v>
      </c>
      <c r="E1114" s="1">
        <v>28</v>
      </c>
      <c r="F1114" s="1" t="s">
        <v>21</v>
      </c>
      <c r="G1114" s="3">
        <v>45306</v>
      </c>
      <c r="H1114" s="2">
        <v>62093.85</v>
      </c>
      <c r="I1114" s="13" t="s">
        <v>14</v>
      </c>
      <c r="J1114" s="14" t="s">
        <v>18</v>
      </c>
      <c r="K1114" s="14">
        <v>600</v>
      </c>
      <c r="L1114" s="15">
        <v>45397</v>
      </c>
      <c r="M1114" s="16">
        <v>7</v>
      </c>
      <c r="N11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4" s="31">
        <f>IF(Table64[[#This Row],[date validity flag]]&lt;&gt;"Valid","",Table64[[#This Row],[shipment date ]]-Table64[[#This Row],[Order date]])</f>
        <v>91</v>
      </c>
      <c r="P1114" s="27" t="str">
        <f>TEXT(Table64[[#This Row],[Order date]],"mmm-yyyy")</f>
        <v>Jan-2024</v>
      </c>
      <c r="Q1114" s="16" t="str">
        <f t="shared" si="17"/>
        <v>Delayed</v>
      </c>
    </row>
    <row r="1115" spans="1:17" x14ac:dyDescent="0.3">
      <c r="A1115" s="17">
        <v>11114</v>
      </c>
      <c r="B1115" s="4">
        <v>5447</v>
      </c>
      <c r="C1115" s="4" t="s">
        <v>16</v>
      </c>
      <c r="D1115" s="5">
        <v>73828.19</v>
      </c>
      <c r="E1115" s="4">
        <v>70</v>
      </c>
      <c r="F1115" s="4" t="s">
        <v>22</v>
      </c>
      <c r="G1115" s="6">
        <v>45383</v>
      </c>
      <c r="H1115" s="5">
        <v>28168.57</v>
      </c>
      <c r="I1115" s="18" t="s">
        <v>14</v>
      </c>
      <c r="J1115" s="14" t="s">
        <v>18</v>
      </c>
      <c r="K1115" s="14">
        <v>875</v>
      </c>
      <c r="L1115" s="15">
        <v>45332</v>
      </c>
      <c r="M1115" s="16">
        <v>3</v>
      </c>
      <c r="N111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15" s="31" t="str">
        <f>IF(Table64[[#This Row],[date validity flag]]&lt;&gt;"Valid","",Table64[[#This Row],[shipment date ]]-Table64[[#This Row],[Order date]])</f>
        <v/>
      </c>
      <c r="P1115" s="27" t="str">
        <f>TEXT(Table64[[#This Row],[Order date]],"mmm-yyyy")</f>
        <v>Apr-2024</v>
      </c>
      <c r="Q1115" s="16" t="str">
        <f t="shared" si="17"/>
        <v/>
      </c>
    </row>
    <row r="1116" spans="1:17" x14ac:dyDescent="0.3">
      <c r="A1116" s="12">
        <v>11115</v>
      </c>
      <c r="B1116" s="1">
        <v>6332</v>
      </c>
      <c r="C1116" s="1" t="s">
        <v>16</v>
      </c>
      <c r="D1116" s="2">
        <v>11994.43</v>
      </c>
      <c r="E1116" s="1">
        <v>44</v>
      </c>
      <c r="F1116" s="1" t="s">
        <v>22</v>
      </c>
      <c r="G1116" s="3">
        <v>45337</v>
      </c>
      <c r="H1116" s="2">
        <v>78519</v>
      </c>
      <c r="I1116" s="13" t="s">
        <v>17</v>
      </c>
      <c r="J1116" s="14" t="s">
        <v>19</v>
      </c>
      <c r="K1116" s="14">
        <v>1348</v>
      </c>
      <c r="L1116" s="15">
        <v>45361</v>
      </c>
      <c r="M1116" s="16">
        <v>7</v>
      </c>
      <c r="N11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6" s="31">
        <f>IF(Table64[[#This Row],[date validity flag]]&lt;&gt;"Valid","",Table64[[#This Row],[shipment date ]]-Table64[[#This Row],[Order date]])</f>
        <v>24</v>
      </c>
      <c r="P1116" s="27" t="str">
        <f>TEXT(Table64[[#This Row],[Order date]],"mmm-yyyy")</f>
        <v>Feb-2024</v>
      </c>
      <c r="Q1116" s="16" t="str">
        <f t="shared" si="17"/>
        <v>Delayed</v>
      </c>
    </row>
    <row r="1117" spans="1:17" x14ac:dyDescent="0.3">
      <c r="A1117" s="17">
        <v>11116</v>
      </c>
      <c r="B1117" s="4">
        <v>5249</v>
      </c>
      <c r="C1117" s="4" t="s">
        <v>12</v>
      </c>
      <c r="D1117" s="5">
        <v>56360.66</v>
      </c>
      <c r="E1117" s="4">
        <v>21</v>
      </c>
      <c r="F1117" s="4" t="s">
        <v>21</v>
      </c>
      <c r="G1117" s="6">
        <v>45337</v>
      </c>
      <c r="H1117" s="5">
        <v>30890.97</v>
      </c>
      <c r="I1117" s="18" t="s">
        <v>17</v>
      </c>
      <c r="J1117" s="14" t="s">
        <v>19</v>
      </c>
      <c r="K1117" s="14">
        <v>137</v>
      </c>
      <c r="L1117" s="15">
        <v>45397</v>
      </c>
      <c r="M1117" s="16">
        <v>13</v>
      </c>
      <c r="N11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7" s="31">
        <f>IF(Table64[[#This Row],[date validity flag]]&lt;&gt;"Valid","",Table64[[#This Row],[shipment date ]]-Table64[[#This Row],[Order date]])</f>
        <v>60</v>
      </c>
      <c r="P1117" s="27" t="str">
        <f>TEXT(Table64[[#This Row],[Order date]],"mmm-yyyy")</f>
        <v>Feb-2024</v>
      </c>
      <c r="Q1117" s="16" t="str">
        <f t="shared" si="17"/>
        <v>Delayed</v>
      </c>
    </row>
    <row r="1118" spans="1:17" x14ac:dyDescent="0.3">
      <c r="A1118" s="12">
        <v>11117</v>
      </c>
      <c r="B1118" s="1">
        <v>5166</v>
      </c>
      <c r="C1118" s="1" t="s">
        <v>16</v>
      </c>
      <c r="D1118" s="2">
        <v>17929.54</v>
      </c>
      <c r="E1118" s="1">
        <v>28</v>
      </c>
      <c r="F1118" s="1" t="s">
        <v>22</v>
      </c>
      <c r="G1118" s="3">
        <v>45337</v>
      </c>
      <c r="H1118" s="2">
        <v>29905.84</v>
      </c>
      <c r="I1118" s="13" t="s">
        <v>17</v>
      </c>
      <c r="J1118" s="14" t="s">
        <v>18</v>
      </c>
      <c r="K1118" s="14">
        <v>930</v>
      </c>
      <c r="L1118" s="15">
        <v>45332</v>
      </c>
      <c r="M1118" s="16">
        <v>8</v>
      </c>
      <c r="N111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18" s="31" t="str">
        <f>IF(Table64[[#This Row],[date validity flag]]&lt;&gt;"Valid","",Table64[[#This Row],[shipment date ]]-Table64[[#This Row],[Order date]])</f>
        <v/>
      </c>
      <c r="P1118" s="27" t="str">
        <f>TEXT(Table64[[#This Row],[Order date]],"mmm-yyyy")</f>
        <v>Feb-2024</v>
      </c>
      <c r="Q1118" s="16" t="str">
        <f t="shared" si="17"/>
        <v/>
      </c>
    </row>
    <row r="1119" spans="1:17" x14ac:dyDescent="0.3">
      <c r="A1119" s="17">
        <v>11118</v>
      </c>
      <c r="B1119" s="4">
        <v>6505</v>
      </c>
      <c r="C1119" s="4" t="s">
        <v>16</v>
      </c>
      <c r="D1119" s="5">
        <v>16899.990000000002</v>
      </c>
      <c r="E1119" s="4">
        <v>54</v>
      </c>
      <c r="F1119" s="4" t="s">
        <v>22</v>
      </c>
      <c r="G1119" s="6">
        <v>45383</v>
      </c>
      <c r="H1119" s="5">
        <v>100502.74</v>
      </c>
      <c r="I1119" s="18" t="s">
        <v>17</v>
      </c>
      <c r="J1119" s="14" t="s">
        <v>18</v>
      </c>
      <c r="K1119" s="14">
        <v>1150</v>
      </c>
      <c r="L1119" s="15">
        <v>45397</v>
      </c>
      <c r="M1119" s="16">
        <v>6</v>
      </c>
      <c r="N11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19" s="31">
        <f>IF(Table64[[#This Row],[date validity flag]]&lt;&gt;"Valid","",Table64[[#This Row],[shipment date ]]-Table64[[#This Row],[Order date]])</f>
        <v>14</v>
      </c>
      <c r="P1119" s="27" t="str">
        <f>TEXT(Table64[[#This Row],[Order date]],"mmm-yyyy")</f>
        <v>Apr-2024</v>
      </c>
      <c r="Q1119" s="16" t="str">
        <f t="shared" si="17"/>
        <v>Delayed</v>
      </c>
    </row>
    <row r="1120" spans="1:17" x14ac:dyDescent="0.3">
      <c r="A1120" s="12">
        <v>11119</v>
      </c>
      <c r="B1120" s="1">
        <v>5984</v>
      </c>
      <c r="C1120" s="1" t="s">
        <v>16</v>
      </c>
      <c r="D1120" s="2">
        <v>90154.34</v>
      </c>
      <c r="E1120" s="1">
        <v>54</v>
      </c>
      <c r="F1120" s="1" t="s">
        <v>21</v>
      </c>
      <c r="G1120" s="3">
        <v>45361</v>
      </c>
      <c r="H1120" s="2">
        <v>30549.88</v>
      </c>
      <c r="I1120" s="13" t="s">
        <v>17</v>
      </c>
      <c r="J1120" s="14" t="s">
        <v>18</v>
      </c>
      <c r="K1120" s="14">
        <v>1150</v>
      </c>
      <c r="L1120" s="15">
        <v>45332</v>
      </c>
      <c r="M1120" s="16">
        <v>6</v>
      </c>
      <c r="N112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20" s="31" t="str">
        <f>IF(Table64[[#This Row],[date validity flag]]&lt;&gt;"Valid","",Table64[[#This Row],[shipment date ]]-Table64[[#This Row],[Order date]])</f>
        <v/>
      </c>
      <c r="P1120" s="27" t="str">
        <f>TEXT(Table64[[#This Row],[Order date]],"mmm-yyyy")</f>
        <v>Mar-2024</v>
      </c>
      <c r="Q1120" s="16" t="str">
        <f t="shared" si="17"/>
        <v/>
      </c>
    </row>
    <row r="1121" spans="1:17" x14ac:dyDescent="0.3">
      <c r="A1121" s="17">
        <v>11120</v>
      </c>
      <c r="B1121" s="4">
        <v>6359</v>
      </c>
      <c r="C1121" s="4" t="s">
        <v>12</v>
      </c>
      <c r="D1121" s="5">
        <v>26229.37</v>
      </c>
      <c r="E1121" s="4">
        <v>65</v>
      </c>
      <c r="F1121" s="4" t="s">
        <v>21</v>
      </c>
      <c r="G1121" s="6">
        <v>45361</v>
      </c>
      <c r="H1121" s="5">
        <v>49948.77</v>
      </c>
      <c r="I1121" s="18" t="s">
        <v>17</v>
      </c>
      <c r="J1121" s="14" t="s">
        <v>19</v>
      </c>
      <c r="K1121" s="14">
        <v>589</v>
      </c>
      <c r="L1121" s="15">
        <v>45361</v>
      </c>
      <c r="M1121" s="16">
        <v>8</v>
      </c>
      <c r="N11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21" s="31">
        <f>IF(Table64[[#This Row],[date validity flag]]&lt;&gt;"Valid","",Table64[[#This Row],[shipment date ]]-Table64[[#This Row],[Order date]])</f>
        <v>0</v>
      </c>
      <c r="P1121" s="27" t="str">
        <f>TEXT(Table64[[#This Row],[Order date]],"mmm-yyyy")</f>
        <v>Mar-2024</v>
      </c>
      <c r="Q1121" s="16" t="str">
        <f t="shared" si="17"/>
        <v>On Time</v>
      </c>
    </row>
    <row r="1122" spans="1:17" x14ac:dyDescent="0.3">
      <c r="A1122" s="12">
        <v>11121</v>
      </c>
      <c r="B1122" s="1">
        <v>6020</v>
      </c>
      <c r="C1122" s="1" t="s">
        <v>16</v>
      </c>
      <c r="D1122" s="2">
        <v>12091.63</v>
      </c>
      <c r="E1122" s="1">
        <v>21</v>
      </c>
      <c r="F1122" s="1" t="s">
        <v>23</v>
      </c>
      <c r="G1122" s="3">
        <v>45306</v>
      </c>
      <c r="H1122" s="2">
        <v>38446.74</v>
      </c>
      <c r="I1122" s="13" t="s">
        <v>14</v>
      </c>
      <c r="J1122" s="14" t="s">
        <v>15</v>
      </c>
      <c r="K1122" s="14">
        <v>294</v>
      </c>
      <c r="L1122" s="15">
        <v>45332</v>
      </c>
      <c r="M1122" s="16">
        <v>8</v>
      </c>
      <c r="N11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22" s="31">
        <f>IF(Table64[[#This Row],[date validity flag]]&lt;&gt;"Valid","",Table64[[#This Row],[shipment date ]]-Table64[[#This Row],[Order date]])</f>
        <v>26</v>
      </c>
      <c r="P1122" s="27" t="str">
        <f>TEXT(Table64[[#This Row],[Order date]],"mmm-yyyy")</f>
        <v>Jan-2024</v>
      </c>
      <c r="Q1122" s="16" t="str">
        <f t="shared" si="17"/>
        <v>Delayed</v>
      </c>
    </row>
    <row r="1123" spans="1:17" x14ac:dyDescent="0.3">
      <c r="A1123" s="17">
        <v>11122</v>
      </c>
      <c r="B1123" s="4">
        <v>5542</v>
      </c>
      <c r="C1123" s="4" t="s">
        <v>16</v>
      </c>
      <c r="D1123" s="5">
        <v>55303.49</v>
      </c>
      <c r="E1123" s="4">
        <v>99</v>
      </c>
      <c r="F1123" s="4" t="s">
        <v>21</v>
      </c>
      <c r="G1123" s="6">
        <v>45306</v>
      </c>
      <c r="H1123" s="5">
        <v>106174.71</v>
      </c>
      <c r="I1123" s="18" t="s">
        <v>20</v>
      </c>
      <c r="J1123" s="14" t="s">
        <v>15</v>
      </c>
      <c r="K1123" s="14">
        <v>627</v>
      </c>
      <c r="L1123" s="15">
        <v>45397</v>
      </c>
      <c r="M1123" s="16">
        <v>7</v>
      </c>
      <c r="N11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23" s="31">
        <f>IF(Table64[[#This Row],[date validity flag]]&lt;&gt;"Valid","",Table64[[#This Row],[shipment date ]]-Table64[[#This Row],[Order date]])</f>
        <v>91</v>
      </c>
      <c r="P1123" s="27" t="str">
        <f>TEXT(Table64[[#This Row],[Order date]],"mmm-yyyy")</f>
        <v>Jan-2024</v>
      </c>
      <c r="Q1123" s="16" t="str">
        <f t="shared" si="17"/>
        <v>Delayed</v>
      </c>
    </row>
    <row r="1124" spans="1:17" x14ac:dyDescent="0.3">
      <c r="A1124" s="12">
        <v>11123</v>
      </c>
      <c r="B1124" s="1">
        <v>5759</v>
      </c>
      <c r="C1124" s="1" t="s">
        <v>16</v>
      </c>
      <c r="D1124" s="2">
        <v>69390.38</v>
      </c>
      <c r="E1124" s="1">
        <v>13</v>
      </c>
      <c r="F1124" s="1" t="s">
        <v>21</v>
      </c>
      <c r="G1124" s="3">
        <v>45337</v>
      </c>
      <c r="H1124" s="2">
        <v>75922.05</v>
      </c>
      <c r="I1124" s="13" t="s">
        <v>20</v>
      </c>
      <c r="J1124" s="14" t="s">
        <v>15</v>
      </c>
      <c r="K1124" s="14">
        <v>1455</v>
      </c>
      <c r="L1124" s="15">
        <v>45332</v>
      </c>
      <c r="M1124" s="16">
        <v>6</v>
      </c>
      <c r="N112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24" s="31" t="str">
        <f>IF(Table64[[#This Row],[date validity flag]]&lt;&gt;"Valid","",Table64[[#This Row],[shipment date ]]-Table64[[#This Row],[Order date]])</f>
        <v/>
      </c>
      <c r="P1124" s="27" t="str">
        <f>TEXT(Table64[[#This Row],[Order date]],"mmm-yyyy")</f>
        <v>Feb-2024</v>
      </c>
      <c r="Q1124" s="16" t="str">
        <f t="shared" si="17"/>
        <v/>
      </c>
    </row>
    <row r="1125" spans="1:17" x14ac:dyDescent="0.3">
      <c r="A1125" s="17">
        <v>11124</v>
      </c>
      <c r="B1125" s="4">
        <v>6130</v>
      </c>
      <c r="C1125" s="4" t="s">
        <v>12</v>
      </c>
      <c r="D1125" s="5">
        <v>82533.25</v>
      </c>
      <c r="E1125" s="4">
        <v>57</v>
      </c>
      <c r="F1125" s="4" t="s">
        <v>13</v>
      </c>
      <c r="G1125" s="6">
        <v>45306</v>
      </c>
      <c r="H1125" s="5">
        <v>20244.7</v>
      </c>
      <c r="I1125" s="18" t="s">
        <v>14</v>
      </c>
      <c r="J1125" s="14" t="s">
        <v>15</v>
      </c>
      <c r="K1125" s="14">
        <v>1031</v>
      </c>
      <c r="L1125" s="15">
        <v>45397</v>
      </c>
      <c r="M1125" s="16">
        <v>6</v>
      </c>
      <c r="N11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25" s="31">
        <f>IF(Table64[[#This Row],[date validity flag]]&lt;&gt;"Valid","",Table64[[#This Row],[shipment date ]]-Table64[[#This Row],[Order date]])</f>
        <v>91</v>
      </c>
      <c r="P1125" s="27" t="str">
        <f>TEXT(Table64[[#This Row],[Order date]],"mmm-yyyy")</f>
        <v>Jan-2024</v>
      </c>
      <c r="Q1125" s="16" t="str">
        <f t="shared" si="17"/>
        <v>Delayed</v>
      </c>
    </row>
    <row r="1126" spans="1:17" x14ac:dyDescent="0.3">
      <c r="A1126" s="12">
        <v>11125</v>
      </c>
      <c r="B1126" s="1">
        <v>6587</v>
      </c>
      <c r="C1126" s="1" t="s">
        <v>16</v>
      </c>
      <c r="D1126" s="2">
        <v>64553.21</v>
      </c>
      <c r="E1126" s="1">
        <v>49</v>
      </c>
      <c r="F1126" s="1" t="s">
        <v>23</v>
      </c>
      <c r="G1126" s="3">
        <v>45383</v>
      </c>
      <c r="H1126" s="2">
        <v>177610.65</v>
      </c>
      <c r="I1126" s="13" t="s">
        <v>20</v>
      </c>
      <c r="J1126" s="14" t="s">
        <v>19</v>
      </c>
      <c r="K1126" s="14">
        <v>766</v>
      </c>
      <c r="L1126" s="15">
        <v>45361</v>
      </c>
      <c r="M1126" s="16">
        <v>10</v>
      </c>
      <c r="N112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26" s="31" t="str">
        <f>IF(Table64[[#This Row],[date validity flag]]&lt;&gt;"Valid","",Table64[[#This Row],[shipment date ]]-Table64[[#This Row],[Order date]])</f>
        <v/>
      </c>
      <c r="P1126" s="27" t="str">
        <f>TEXT(Table64[[#This Row],[Order date]],"mmm-yyyy")</f>
        <v>Apr-2024</v>
      </c>
      <c r="Q1126" s="16" t="str">
        <f t="shared" si="17"/>
        <v/>
      </c>
    </row>
    <row r="1127" spans="1:17" x14ac:dyDescent="0.3">
      <c r="A1127" s="17">
        <v>11126</v>
      </c>
      <c r="B1127" s="4">
        <v>5081</v>
      </c>
      <c r="C1127" s="4" t="s">
        <v>16</v>
      </c>
      <c r="D1127" s="5">
        <v>57830.3</v>
      </c>
      <c r="E1127" s="4">
        <v>54</v>
      </c>
      <c r="F1127" s="4" t="s">
        <v>23</v>
      </c>
      <c r="G1127" s="6">
        <v>45383</v>
      </c>
      <c r="H1127" s="5">
        <v>161027.63</v>
      </c>
      <c r="I1127" s="18" t="s">
        <v>20</v>
      </c>
      <c r="J1127" s="14" t="s">
        <v>15</v>
      </c>
      <c r="K1127" s="14">
        <v>191</v>
      </c>
      <c r="L1127" s="15">
        <v>45332</v>
      </c>
      <c r="M1127" s="16">
        <v>11</v>
      </c>
      <c r="N112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27" s="31" t="str">
        <f>IF(Table64[[#This Row],[date validity flag]]&lt;&gt;"Valid","",Table64[[#This Row],[shipment date ]]-Table64[[#This Row],[Order date]])</f>
        <v/>
      </c>
      <c r="P1127" s="27" t="str">
        <f>TEXT(Table64[[#This Row],[Order date]],"mmm-yyyy")</f>
        <v>Apr-2024</v>
      </c>
      <c r="Q1127" s="16" t="str">
        <f t="shared" si="17"/>
        <v/>
      </c>
    </row>
    <row r="1128" spans="1:17" x14ac:dyDescent="0.3">
      <c r="A1128" s="12">
        <v>11127</v>
      </c>
      <c r="B1128" s="1">
        <v>5133</v>
      </c>
      <c r="C1128" s="1" t="s">
        <v>16</v>
      </c>
      <c r="D1128" s="2">
        <v>91604.36</v>
      </c>
      <c r="E1128" s="1">
        <v>10</v>
      </c>
      <c r="F1128" s="1" t="s">
        <v>23</v>
      </c>
      <c r="G1128" s="3">
        <v>45306</v>
      </c>
      <c r="H1128" s="2">
        <v>89737.26</v>
      </c>
      <c r="I1128" s="13" t="s">
        <v>17</v>
      </c>
      <c r="J1128" s="14" t="s">
        <v>18</v>
      </c>
      <c r="K1128" s="14">
        <v>942</v>
      </c>
      <c r="L1128" s="15">
        <v>45397</v>
      </c>
      <c r="M1128" s="16">
        <v>13</v>
      </c>
      <c r="N11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28" s="31">
        <f>IF(Table64[[#This Row],[date validity flag]]&lt;&gt;"Valid","",Table64[[#This Row],[shipment date ]]-Table64[[#This Row],[Order date]])</f>
        <v>91</v>
      </c>
      <c r="P1128" s="27" t="str">
        <f>TEXT(Table64[[#This Row],[Order date]],"mmm-yyyy")</f>
        <v>Jan-2024</v>
      </c>
      <c r="Q1128" s="16" t="str">
        <f t="shared" si="17"/>
        <v>Delayed</v>
      </c>
    </row>
    <row r="1129" spans="1:17" x14ac:dyDescent="0.3">
      <c r="A1129" s="17">
        <v>11128</v>
      </c>
      <c r="B1129" s="4">
        <v>5797</v>
      </c>
      <c r="C1129" s="4" t="s">
        <v>12</v>
      </c>
      <c r="D1129" s="5">
        <v>15654.95</v>
      </c>
      <c r="E1129" s="4">
        <v>53</v>
      </c>
      <c r="F1129" s="4" t="s">
        <v>13</v>
      </c>
      <c r="G1129" s="6">
        <v>45306</v>
      </c>
      <c r="H1129" s="5">
        <v>65979.91</v>
      </c>
      <c r="I1129" s="18" t="s">
        <v>14</v>
      </c>
      <c r="J1129" s="14" t="s">
        <v>18</v>
      </c>
      <c r="K1129" s="14">
        <v>1441</v>
      </c>
      <c r="L1129" s="15">
        <v>45397</v>
      </c>
      <c r="M1129" s="16">
        <v>13</v>
      </c>
      <c r="N11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29" s="31">
        <f>IF(Table64[[#This Row],[date validity flag]]&lt;&gt;"Valid","",Table64[[#This Row],[shipment date ]]-Table64[[#This Row],[Order date]])</f>
        <v>91</v>
      </c>
      <c r="P1129" s="27" t="str">
        <f>TEXT(Table64[[#This Row],[Order date]],"mmm-yyyy")</f>
        <v>Jan-2024</v>
      </c>
      <c r="Q1129" s="16" t="str">
        <f t="shared" si="17"/>
        <v>Delayed</v>
      </c>
    </row>
    <row r="1130" spans="1:17" x14ac:dyDescent="0.3">
      <c r="A1130" s="12">
        <v>11129</v>
      </c>
      <c r="B1130" s="1">
        <v>5900</v>
      </c>
      <c r="C1130" s="1" t="s">
        <v>16</v>
      </c>
      <c r="D1130" s="2">
        <v>68777.210000000006</v>
      </c>
      <c r="E1130" s="1">
        <v>44</v>
      </c>
      <c r="F1130" s="1" t="s">
        <v>21</v>
      </c>
      <c r="G1130" s="3">
        <v>45306</v>
      </c>
      <c r="H1130" s="2">
        <v>161429.74</v>
      </c>
      <c r="I1130" s="13" t="s">
        <v>17</v>
      </c>
      <c r="J1130" s="14" t="s">
        <v>15</v>
      </c>
      <c r="K1130" s="14">
        <v>1157</v>
      </c>
      <c r="L1130" s="15">
        <v>45397</v>
      </c>
      <c r="M1130" s="16">
        <v>6</v>
      </c>
      <c r="N11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30" s="31">
        <f>IF(Table64[[#This Row],[date validity flag]]&lt;&gt;"Valid","",Table64[[#This Row],[shipment date ]]-Table64[[#This Row],[Order date]])</f>
        <v>91</v>
      </c>
      <c r="P1130" s="27" t="str">
        <f>TEXT(Table64[[#This Row],[Order date]],"mmm-yyyy")</f>
        <v>Jan-2024</v>
      </c>
      <c r="Q1130" s="16" t="str">
        <f t="shared" si="17"/>
        <v>Delayed</v>
      </c>
    </row>
    <row r="1131" spans="1:17" x14ac:dyDescent="0.3">
      <c r="A1131" s="17">
        <v>11130</v>
      </c>
      <c r="B1131" s="4">
        <v>5138</v>
      </c>
      <c r="C1131" s="4" t="s">
        <v>16</v>
      </c>
      <c r="D1131" s="5">
        <v>80773.539999999994</v>
      </c>
      <c r="E1131" s="4">
        <v>47</v>
      </c>
      <c r="F1131" s="4" t="s">
        <v>23</v>
      </c>
      <c r="G1131" s="6">
        <v>45306</v>
      </c>
      <c r="H1131" s="5">
        <v>173374.8</v>
      </c>
      <c r="I1131" s="18" t="s">
        <v>17</v>
      </c>
      <c r="J1131" s="14" t="s">
        <v>18</v>
      </c>
      <c r="K1131" s="14">
        <v>1216</v>
      </c>
      <c r="L1131" s="15">
        <v>45332</v>
      </c>
      <c r="M1131" s="16">
        <v>8</v>
      </c>
      <c r="N11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31" s="31">
        <f>IF(Table64[[#This Row],[date validity flag]]&lt;&gt;"Valid","",Table64[[#This Row],[shipment date ]]-Table64[[#This Row],[Order date]])</f>
        <v>26</v>
      </c>
      <c r="P1131" s="27" t="str">
        <f>TEXT(Table64[[#This Row],[Order date]],"mmm-yyyy")</f>
        <v>Jan-2024</v>
      </c>
      <c r="Q1131" s="16" t="str">
        <f t="shared" si="17"/>
        <v>Delayed</v>
      </c>
    </row>
    <row r="1132" spans="1:17" x14ac:dyDescent="0.3">
      <c r="A1132" s="12">
        <v>11131</v>
      </c>
      <c r="B1132" s="1">
        <v>5184</v>
      </c>
      <c r="C1132" s="1" t="s">
        <v>12</v>
      </c>
      <c r="D1132" s="2">
        <v>50885.34</v>
      </c>
      <c r="E1132" s="1">
        <v>53</v>
      </c>
      <c r="F1132" s="1" t="s">
        <v>23</v>
      </c>
      <c r="G1132" s="3">
        <v>45337</v>
      </c>
      <c r="H1132" s="2">
        <v>43444.62</v>
      </c>
      <c r="I1132" s="13" t="s">
        <v>20</v>
      </c>
      <c r="J1132" s="14" t="s">
        <v>19</v>
      </c>
      <c r="K1132" s="14">
        <v>401</v>
      </c>
      <c r="L1132" s="15">
        <v>45332</v>
      </c>
      <c r="M1132" s="16">
        <v>1</v>
      </c>
      <c r="N11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32" s="31" t="str">
        <f>IF(Table64[[#This Row],[date validity flag]]&lt;&gt;"Valid","",Table64[[#This Row],[shipment date ]]-Table64[[#This Row],[Order date]])</f>
        <v/>
      </c>
      <c r="P1132" s="27" t="str">
        <f>TEXT(Table64[[#This Row],[Order date]],"mmm-yyyy")</f>
        <v>Feb-2024</v>
      </c>
      <c r="Q1132" s="16" t="str">
        <f t="shared" si="17"/>
        <v/>
      </c>
    </row>
    <row r="1133" spans="1:17" x14ac:dyDescent="0.3">
      <c r="A1133" s="17">
        <v>11132</v>
      </c>
      <c r="B1133" s="4">
        <v>6425</v>
      </c>
      <c r="C1133" s="4" t="s">
        <v>16</v>
      </c>
      <c r="D1133" s="5">
        <v>66853.73</v>
      </c>
      <c r="E1133" s="4">
        <v>74</v>
      </c>
      <c r="F1133" s="4" t="s">
        <v>22</v>
      </c>
      <c r="G1133" s="6">
        <v>45337</v>
      </c>
      <c r="H1133" s="5">
        <v>43363.59</v>
      </c>
      <c r="I1133" s="18" t="s">
        <v>20</v>
      </c>
      <c r="J1133" s="14" t="s">
        <v>15</v>
      </c>
      <c r="K1133" s="14">
        <v>594</v>
      </c>
      <c r="L1133" s="15">
        <v>45332</v>
      </c>
      <c r="M1133" s="16">
        <v>5</v>
      </c>
      <c r="N11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33" s="31" t="str">
        <f>IF(Table64[[#This Row],[date validity flag]]&lt;&gt;"Valid","",Table64[[#This Row],[shipment date ]]-Table64[[#This Row],[Order date]])</f>
        <v/>
      </c>
      <c r="P1133" s="27" t="str">
        <f>TEXT(Table64[[#This Row],[Order date]],"mmm-yyyy")</f>
        <v>Feb-2024</v>
      </c>
      <c r="Q1133" s="16" t="str">
        <f t="shared" si="17"/>
        <v/>
      </c>
    </row>
    <row r="1134" spans="1:17" x14ac:dyDescent="0.3">
      <c r="A1134" s="12">
        <v>11133</v>
      </c>
      <c r="B1134" s="1">
        <v>6354</v>
      </c>
      <c r="C1134" s="1" t="s">
        <v>16</v>
      </c>
      <c r="D1134" s="2">
        <v>61855.57</v>
      </c>
      <c r="E1134" s="1">
        <v>46</v>
      </c>
      <c r="F1134" s="1" t="s">
        <v>23</v>
      </c>
      <c r="G1134" s="3">
        <v>45306</v>
      </c>
      <c r="H1134" s="2">
        <v>42541.96</v>
      </c>
      <c r="I1134" s="13" t="s">
        <v>14</v>
      </c>
      <c r="J1134" s="14" t="s">
        <v>15</v>
      </c>
      <c r="K1134" s="14">
        <v>962</v>
      </c>
      <c r="L1134" s="15">
        <v>45361</v>
      </c>
      <c r="M1134" s="16">
        <v>3</v>
      </c>
      <c r="N11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34" s="31">
        <f>IF(Table64[[#This Row],[date validity flag]]&lt;&gt;"Valid","",Table64[[#This Row],[shipment date ]]-Table64[[#This Row],[Order date]])</f>
        <v>55</v>
      </c>
      <c r="P1134" s="27" t="str">
        <f>TEXT(Table64[[#This Row],[Order date]],"mmm-yyyy")</f>
        <v>Jan-2024</v>
      </c>
      <c r="Q1134" s="16" t="str">
        <f t="shared" si="17"/>
        <v>Delayed</v>
      </c>
    </row>
    <row r="1135" spans="1:17" x14ac:dyDescent="0.3">
      <c r="A1135" s="17">
        <v>11134</v>
      </c>
      <c r="B1135" s="4">
        <v>5785</v>
      </c>
      <c r="C1135" s="4" t="s">
        <v>16</v>
      </c>
      <c r="D1135" s="5">
        <v>32378.58</v>
      </c>
      <c r="E1135" s="4">
        <v>13</v>
      </c>
      <c r="F1135" s="4" t="s">
        <v>21</v>
      </c>
      <c r="G1135" s="6">
        <v>45383</v>
      </c>
      <c r="H1135" s="5">
        <v>148461.04</v>
      </c>
      <c r="I1135" s="18" t="s">
        <v>20</v>
      </c>
      <c r="J1135" s="14" t="s">
        <v>19</v>
      </c>
      <c r="K1135" s="14">
        <v>201</v>
      </c>
      <c r="L1135" s="15">
        <v>45397</v>
      </c>
      <c r="M1135" s="16">
        <v>12</v>
      </c>
      <c r="N11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35" s="31">
        <f>IF(Table64[[#This Row],[date validity flag]]&lt;&gt;"Valid","",Table64[[#This Row],[shipment date ]]-Table64[[#This Row],[Order date]])</f>
        <v>14</v>
      </c>
      <c r="P1135" s="27" t="str">
        <f>TEXT(Table64[[#This Row],[Order date]],"mmm-yyyy")</f>
        <v>Apr-2024</v>
      </c>
      <c r="Q1135" s="16" t="str">
        <f t="shared" si="17"/>
        <v>Delayed</v>
      </c>
    </row>
    <row r="1136" spans="1:17" x14ac:dyDescent="0.3">
      <c r="A1136" s="12">
        <v>11135</v>
      </c>
      <c r="B1136" s="1">
        <v>6532</v>
      </c>
      <c r="C1136" s="1" t="s">
        <v>16</v>
      </c>
      <c r="D1136" s="2">
        <v>73511.990000000005</v>
      </c>
      <c r="E1136" s="1">
        <v>37</v>
      </c>
      <c r="F1136" s="1" t="s">
        <v>21</v>
      </c>
      <c r="G1136" s="3">
        <v>45337</v>
      </c>
      <c r="H1136" s="2">
        <v>35360.54</v>
      </c>
      <c r="I1136" s="13" t="s">
        <v>20</v>
      </c>
      <c r="J1136" s="14" t="s">
        <v>18</v>
      </c>
      <c r="K1136" s="14">
        <v>1231</v>
      </c>
      <c r="L1136" s="15">
        <v>45397</v>
      </c>
      <c r="M1136" s="16">
        <v>8</v>
      </c>
      <c r="N11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36" s="31">
        <f>IF(Table64[[#This Row],[date validity flag]]&lt;&gt;"Valid","",Table64[[#This Row],[shipment date ]]-Table64[[#This Row],[Order date]])</f>
        <v>60</v>
      </c>
      <c r="P1136" s="27" t="str">
        <f>TEXT(Table64[[#This Row],[Order date]],"mmm-yyyy")</f>
        <v>Feb-2024</v>
      </c>
      <c r="Q1136" s="16" t="str">
        <f t="shared" si="17"/>
        <v>Delayed</v>
      </c>
    </row>
    <row r="1137" spans="1:17" x14ac:dyDescent="0.3">
      <c r="A1137" s="17">
        <v>11136</v>
      </c>
      <c r="B1137" s="4">
        <v>6876</v>
      </c>
      <c r="C1137" s="4" t="s">
        <v>16</v>
      </c>
      <c r="D1137" s="5">
        <v>81204.67</v>
      </c>
      <c r="E1137" s="4">
        <v>24</v>
      </c>
      <c r="F1137" s="4" t="s">
        <v>22</v>
      </c>
      <c r="G1137" s="6">
        <v>45383</v>
      </c>
      <c r="H1137" s="5">
        <v>57327.91</v>
      </c>
      <c r="I1137" s="18" t="s">
        <v>14</v>
      </c>
      <c r="J1137" s="14" t="s">
        <v>19</v>
      </c>
      <c r="K1137" s="14">
        <v>702</v>
      </c>
      <c r="L1137" s="15">
        <v>45361</v>
      </c>
      <c r="M1137" s="16">
        <v>11</v>
      </c>
      <c r="N11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37" s="31" t="str">
        <f>IF(Table64[[#This Row],[date validity flag]]&lt;&gt;"Valid","",Table64[[#This Row],[shipment date ]]-Table64[[#This Row],[Order date]])</f>
        <v/>
      </c>
      <c r="P1137" s="27" t="str">
        <f>TEXT(Table64[[#This Row],[Order date]],"mmm-yyyy")</f>
        <v>Apr-2024</v>
      </c>
      <c r="Q1137" s="16" t="str">
        <f t="shared" si="17"/>
        <v/>
      </c>
    </row>
    <row r="1138" spans="1:17" x14ac:dyDescent="0.3">
      <c r="A1138" s="12">
        <v>11137</v>
      </c>
      <c r="B1138" s="1">
        <v>5984</v>
      </c>
      <c r="C1138" s="1" t="s">
        <v>16</v>
      </c>
      <c r="D1138" s="2">
        <v>29496.41</v>
      </c>
      <c r="E1138" s="1">
        <v>2</v>
      </c>
      <c r="F1138" s="1" t="s">
        <v>23</v>
      </c>
      <c r="G1138" s="3">
        <v>45361</v>
      </c>
      <c r="H1138" s="2">
        <v>15892.6</v>
      </c>
      <c r="I1138" s="13" t="s">
        <v>20</v>
      </c>
      <c r="J1138" s="14" t="s">
        <v>19</v>
      </c>
      <c r="K1138" s="14">
        <v>1007</v>
      </c>
      <c r="L1138" s="15">
        <v>45361</v>
      </c>
      <c r="M1138" s="16">
        <v>6</v>
      </c>
      <c r="N113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38" s="31">
        <f>IF(Table64[[#This Row],[date validity flag]]&lt;&gt;"Valid","",Table64[[#This Row],[shipment date ]]-Table64[[#This Row],[Order date]])</f>
        <v>0</v>
      </c>
      <c r="P1138" s="27" t="str">
        <f>TEXT(Table64[[#This Row],[Order date]],"mmm-yyyy")</f>
        <v>Mar-2024</v>
      </c>
      <c r="Q1138" s="16" t="str">
        <f t="shared" si="17"/>
        <v>On Time</v>
      </c>
    </row>
    <row r="1139" spans="1:17" x14ac:dyDescent="0.3">
      <c r="A1139" s="17">
        <v>11138</v>
      </c>
      <c r="B1139" s="4">
        <v>5069</v>
      </c>
      <c r="C1139" s="4" t="s">
        <v>16</v>
      </c>
      <c r="D1139" s="5">
        <v>14139.2</v>
      </c>
      <c r="E1139" s="4">
        <v>86</v>
      </c>
      <c r="F1139" s="4" t="s">
        <v>23</v>
      </c>
      <c r="G1139" s="6">
        <v>45383</v>
      </c>
      <c r="H1139" s="5">
        <v>17514.77</v>
      </c>
      <c r="I1139" s="18" t="s">
        <v>17</v>
      </c>
      <c r="J1139" s="14" t="s">
        <v>18</v>
      </c>
      <c r="K1139" s="14">
        <v>812</v>
      </c>
      <c r="L1139" s="15">
        <v>45332</v>
      </c>
      <c r="M1139" s="16">
        <v>14</v>
      </c>
      <c r="N11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39" s="31" t="str">
        <f>IF(Table64[[#This Row],[date validity flag]]&lt;&gt;"Valid","",Table64[[#This Row],[shipment date ]]-Table64[[#This Row],[Order date]])</f>
        <v/>
      </c>
      <c r="P1139" s="27" t="str">
        <f>TEXT(Table64[[#This Row],[Order date]],"mmm-yyyy")</f>
        <v>Apr-2024</v>
      </c>
      <c r="Q1139" s="16" t="str">
        <f t="shared" si="17"/>
        <v/>
      </c>
    </row>
    <row r="1140" spans="1:17" x14ac:dyDescent="0.3">
      <c r="A1140" s="12">
        <v>11139</v>
      </c>
      <c r="B1140" s="1">
        <v>5546</v>
      </c>
      <c r="C1140" s="1" t="s">
        <v>16</v>
      </c>
      <c r="D1140" s="2">
        <v>23474.15</v>
      </c>
      <c r="E1140" s="1">
        <v>81</v>
      </c>
      <c r="F1140" s="1" t="s">
        <v>23</v>
      </c>
      <c r="G1140" s="3">
        <v>45306</v>
      </c>
      <c r="H1140" s="2">
        <v>141098.64000000001</v>
      </c>
      <c r="I1140" s="13" t="s">
        <v>14</v>
      </c>
      <c r="J1140" s="14" t="s">
        <v>19</v>
      </c>
      <c r="K1140" s="14">
        <v>1376</v>
      </c>
      <c r="L1140" s="15">
        <v>45332</v>
      </c>
      <c r="M1140" s="16">
        <v>2</v>
      </c>
      <c r="N11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40" s="31">
        <f>IF(Table64[[#This Row],[date validity flag]]&lt;&gt;"Valid","",Table64[[#This Row],[shipment date ]]-Table64[[#This Row],[Order date]])</f>
        <v>26</v>
      </c>
      <c r="P1140" s="27" t="str">
        <f>TEXT(Table64[[#This Row],[Order date]],"mmm-yyyy")</f>
        <v>Jan-2024</v>
      </c>
      <c r="Q1140" s="16" t="str">
        <f t="shared" si="17"/>
        <v>Delayed</v>
      </c>
    </row>
    <row r="1141" spans="1:17" x14ac:dyDescent="0.3">
      <c r="A1141" s="17">
        <v>11140</v>
      </c>
      <c r="B1141" s="4">
        <v>6798</v>
      </c>
      <c r="C1141" s="4" t="s">
        <v>16</v>
      </c>
      <c r="D1141" s="5">
        <v>9190.1299999999992</v>
      </c>
      <c r="E1141" s="4">
        <v>14</v>
      </c>
      <c r="F1141" s="4" t="s">
        <v>13</v>
      </c>
      <c r="G1141" s="6">
        <v>45361</v>
      </c>
      <c r="H1141" s="5">
        <v>147613.67000000001</v>
      </c>
      <c r="I1141" s="18" t="s">
        <v>20</v>
      </c>
      <c r="J1141" s="14" t="s">
        <v>18</v>
      </c>
      <c r="K1141" s="14">
        <v>673</v>
      </c>
      <c r="L1141" s="15">
        <v>45332</v>
      </c>
      <c r="M1141" s="16">
        <v>13</v>
      </c>
      <c r="N114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41" s="31" t="str">
        <f>IF(Table64[[#This Row],[date validity flag]]&lt;&gt;"Valid","",Table64[[#This Row],[shipment date ]]-Table64[[#This Row],[Order date]])</f>
        <v/>
      </c>
      <c r="P1141" s="27" t="str">
        <f>TEXT(Table64[[#This Row],[Order date]],"mmm-yyyy")</f>
        <v>Mar-2024</v>
      </c>
      <c r="Q1141" s="16" t="str">
        <f t="shared" si="17"/>
        <v/>
      </c>
    </row>
    <row r="1142" spans="1:17" x14ac:dyDescent="0.3">
      <c r="A1142" s="12">
        <v>11141</v>
      </c>
      <c r="B1142" s="1">
        <v>5053</v>
      </c>
      <c r="C1142" s="1" t="s">
        <v>16</v>
      </c>
      <c r="D1142" s="2">
        <v>54361.79</v>
      </c>
      <c r="E1142" s="1">
        <v>10</v>
      </c>
      <c r="F1142" s="1" t="s">
        <v>23</v>
      </c>
      <c r="G1142" s="3">
        <v>45337</v>
      </c>
      <c r="H1142" s="2">
        <v>107785.27</v>
      </c>
      <c r="I1142" s="13" t="s">
        <v>17</v>
      </c>
      <c r="J1142" s="14" t="s">
        <v>18</v>
      </c>
      <c r="K1142" s="14">
        <v>705</v>
      </c>
      <c r="L1142" s="15">
        <v>45332</v>
      </c>
      <c r="M1142" s="16">
        <v>7</v>
      </c>
      <c r="N114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42" s="31" t="str">
        <f>IF(Table64[[#This Row],[date validity flag]]&lt;&gt;"Valid","",Table64[[#This Row],[shipment date ]]-Table64[[#This Row],[Order date]])</f>
        <v/>
      </c>
      <c r="P1142" s="27" t="str">
        <f>TEXT(Table64[[#This Row],[Order date]],"mmm-yyyy")</f>
        <v>Feb-2024</v>
      </c>
      <c r="Q1142" s="16" t="str">
        <f t="shared" si="17"/>
        <v/>
      </c>
    </row>
    <row r="1143" spans="1:17" x14ac:dyDescent="0.3">
      <c r="A1143" s="17">
        <v>11142</v>
      </c>
      <c r="B1143" s="4">
        <v>6474</v>
      </c>
      <c r="C1143" s="4" t="s">
        <v>16</v>
      </c>
      <c r="D1143" s="5">
        <v>50413.7</v>
      </c>
      <c r="E1143" s="4">
        <v>35</v>
      </c>
      <c r="F1143" s="4" t="s">
        <v>21</v>
      </c>
      <c r="G1143" s="6">
        <v>45337</v>
      </c>
      <c r="H1143" s="5">
        <v>123923.2</v>
      </c>
      <c r="I1143" s="18" t="s">
        <v>14</v>
      </c>
      <c r="J1143" s="14" t="s">
        <v>19</v>
      </c>
      <c r="K1143" s="14">
        <v>499</v>
      </c>
      <c r="L1143" s="15">
        <v>45332</v>
      </c>
      <c r="M1143" s="16">
        <v>7</v>
      </c>
      <c r="N114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43" s="31" t="str">
        <f>IF(Table64[[#This Row],[date validity flag]]&lt;&gt;"Valid","",Table64[[#This Row],[shipment date ]]-Table64[[#This Row],[Order date]])</f>
        <v/>
      </c>
      <c r="P1143" s="27" t="str">
        <f>TEXT(Table64[[#This Row],[Order date]],"mmm-yyyy")</f>
        <v>Feb-2024</v>
      </c>
      <c r="Q1143" s="16" t="str">
        <f t="shared" si="17"/>
        <v/>
      </c>
    </row>
    <row r="1144" spans="1:17" x14ac:dyDescent="0.3">
      <c r="A1144" s="12">
        <v>11143</v>
      </c>
      <c r="B1144" s="1">
        <v>5205</v>
      </c>
      <c r="C1144" s="1" t="s">
        <v>16</v>
      </c>
      <c r="D1144" s="2">
        <v>33017.589999999997</v>
      </c>
      <c r="E1144" s="1">
        <v>25</v>
      </c>
      <c r="F1144" s="1" t="s">
        <v>21</v>
      </c>
      <c r="G1144" s="3">
        <v>45361</v>
      </c>
      <c r="H1144" s="2">
        <v>61761.41</v>
      </c>
      <c r="I1144" s="13" t="s">
        <v>14</v>
      </c>
      <c r="J1144" s="14" t="s">
        <v>18</v>
      </c>
      <c r="K1144" s="14">
        <v>770</v>
      </c>
      <c r="L1144" s="15">
        <v>45332</v>
      </c>
      <c r="M1144" s="16">
        <v>13</v>
      </c>
      <c r="N114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44" s="31" t="str">
        <f>IF(Table64[[#This Row],[date validity flag]]&lt;&gt;"Valid","",Table64[[#This Row],[shipment date ]]-Table64[[#This Row],[Order date]])</f>
        <v/>
      </c>
      <c r="P1144" s="27" t="str">
        <f>TEXT(Table64[[#This Row],[Order date]],"mmm-yyyy")</f>
        <v>Mar-2024</v>
      </c>
      <c r="Q1144" s="16" t="str">
        <f t="shared" si="17"/>
        <v/>
      </c>
    </row>
    <row r="1145" spans="1:17" x14ac:dyDescent="0.3">
      <c r="A1145" s="17">
        <v>11144</v>
      </c>
      <c r="B1145" s="4">
        <v>5126</v>
      </c>
      <c r="C1145" s="4" t="s">
        <v>16</v>
      </c>
      <c r="D1145" s="5">
        <v>44479.77</v>
      </c>
      <c r="E1145" s="4">
        <v>3</v>
      </c>
      <c r="F1145" s="4" t="s">
        <v>13</v>
      </c>
      <c r="G1145" s="6">
        <v>45383</v>
      </c>
      <c r="H1145" s="5">
        <v>102014.93</v>
      </c>
      <c r="I1145" s="18" t="s">
        <v>17</v>
      </c>
      <c r="J1145" s="14" t="s">
        <v>19</v>
      </c>
      <c r="K1145" s="14">
        <v>1297</v>
      </c>
      <c r="L1145" s="15">
        <v>45361</v>
      </c>
      <c r="M1145" s="16">
        <v>5</v>
      </c>
      <c r="N114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45" s="31" t="str">
        <f>IF(Table64[[#This Row],[date validity flag]]&lt;&gt;"Valid","",Table64[[#This Row],[shipment date ]]-Table64[[#This Row],[Order date]])</f>
        <v/>
      </c>
      <c r="P1145" s="27" t="str">
        <f>TEXT(Table64[[#This Row],[Order date]],"mmm-yyyy")</f>
        <v>Apr-2024</v>
      </c>
      <c r="Q1145" s="16" t="str">
        <f t="shared" si="17"/>
        <v/>
      </c>
    </row>
    <row r="1146" spans="1:17" x14ac:dyDescent="0.3">
      <c r="A1146" s="12">
        <v>11145</v>
      </c>
      <c r="B1146" s="1">
        <v>6771</v>
      </c>
      <c r="C1146" s="1" t="s">
        <v>16</v>
      </c>
      <c r="D1146" s="2">
        <v>9354.32</v>
      </c>
      <c r="E1146" s="1">
        <v>17</v>
      </c>
      <c r="F1146" s="1" t="s">
        <v>13</v>
      </c>
      <c r="G1146" s="3">
        <v>45337</v>
      </c>
      <c r="H1146" s="2">
        <v>99837.29</v>
      </c>
      <c r="I1146" s="13" t="s">
        <v>20</v>
      </c>
      <c r="J1146" s="14" t="s">
        <v>18</v>
      </c>
      <c r="K1146" s="14">
        <v>92</v>
      </c>
      <c r="L1146" s="15">
        <v>45361</v>
      </c>
      <c r="M1146" s="16">
        <v>8</v>
      </c>
      <c r="N11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46" s="31">
        <f>IF(Table64[[#This Row],[date validity flag]]&lt;&gt;"Valid","",Table64[[#This Row],[shipment date ]]-Table64[[#This Row],[Order date]])</f>
        <v>24</v>
      </c>
      <c r="P1146" s="27" t="str">
        <f>TEXT(Table64[[#This Row],[Order date]],"mmm-yyyy")</f>
        <v>Feb-2024</v>
      </c>
      <c r="Q1146" s="16" t="str">
        <f t="shared" si="17"/>
        <v>Delayed</v>
      </c>
    </row>
    <row r="1147" spans="1:17" x14ac:dyDescent="0.3">
      <c r="A1147" s="17">
        <v>11146</v>
      </c>
      <c r="B1147" s="4">
        <v>5043</v>
      </c>
      <c r="C1147" s="4" t="s">
        <v>12</v>
      </c>
      <c r="D1147" s="5">
        <v>11681.38</v>
      </c>
      <c r="E1147" s="4">
        <v>12</v>
      </c>
      <c r="F1147" s="4" t="s">
        <v>23</v>
      </c>
      <c r="G1147" s="6">
        <v>45306</v>
      </c>
      <c r="H1147" s="5">
        <v>37523.410000000003</v>
      </c>
      <c r="I1147" s="18" t="s">
        <v>20</v>
      </c>
      <c r="J1147" s="14" t="s">
        <v>15</v>
      </c>
      <c r="K1147" s="14">
        <v>313</v>
      </c>
      <c r="L1147" s="15">
        <v>45361</v>
      </c>
      <c r="M1147" s="16">
        <v>14</v>
      </c>
      <c r="N11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47" s="31">
        <f>IF(Table64[[#This Row],[date validity flag]]&lt;&gt;"Valid","",Table64[[#This Row],[shipment date ]]-Table64[[#This Row],[Order date]])</f>
        <v>55</v>
      </c>
      <c r="P1147" s="27" t="str">
        <f>TEXT(Table64[[#This Row],[Order date]],"mmm-yyyy")</f>
        <v>Jan-2024</v>
      </c>
      <c r="Q1147" s="16" t="str">
        <f t="shared" si="17"/>
        <v>Delayed</v>
      </c>
    </row>
    <row r="1148" spans="1:17" x14ac:dyDescent="0.3">
      <c r="A1148" s="12">
        <v>11147</v>
      </c>
      <c r="B1148" s="1">
        <v>6776</v>
      </c>
      <c r="C1148" s="1" t="s">
        <v>16</v>
      </c>
      <c r="D1148" s="2">
        <v>47144.35</v>
      </c>
      <c r="E1148" s="1">
        <v>54</v>
      </c>
      <c r="F1148" s="1" t="s">
        <v>22</v>
      </c>
      <c r="G1148" s="3">
        <v>45361</v>
      </c>
      <c r="H1148" s="2">
        <v>51218.99</v>
      </c>
      <c r="I1148" s="13" t="s">
        <v>14</v>
      </c>
      <c r="J1148" s="14" t="s">
        <v>18</v>
      </c>
      <c r="K1148" s="14">
        <v>1076</v>
      </c>
      <c r="L1148" s="15">
        <v>45397</v>
      </c>
      <c r="M1148" s="16">
        <v>5</v>
      </c>
      <c r="N11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48" s="31">
        <f>IF(Table64[[#This Row],[date validity flag]]&lt;&gt;"Valid","",Table64[[#This Row],[shipment date ]]-Table64[[#This Row],[Order date]])</f>
        <v>36</v>
      </c>
      <c r="P1148" s="27" t="str">
        <f>TEXT(Table64[[#This Row],[Order date]],"mmm-yyyy")</f>
        <v>Mar-2024</v>
      </c>
      <c r="Q1148" s="16" t="str">
        <f t="shared" si="17"/>
        <v>Delayed</v>
      </c>
    </row>
    <row r="1149" spans="1:17" x14ac:dyDescent="0.3">
      <c r="A1149" s="17">
        <v>11148</v>
      </c>
      <c r="B1149" s="4">
        <v>6995</v>
      </c>
      <c r="C1149" s="4" t="s">
        <v>16</v>
      </c>
      <c r="D1149" s="5">
        <v>83915.12</v>
      </c>
      <c r="E1149" s="4">
        <v>24</v>
      </c>
      <c r="F1149" s="4" t="s">
        <v>13</v>
      </c>
      <c r="G1149" s="6">
        <v>45306</v>
      </c>
      <c r="H1149" s="5">
        <v>114429.15</v>
      </c>
      <c r="I1149" s="18" t="s">
        <v>14</v>
      </c>
      <c r="J1149" s="14" t="s">
        <v>18</v>
      </c>
      <c r="K1149" s="14">
        <v>1341</v>
      </c>
      <c r="L1149" s="15">
        <v>45397</v>
      </c>
      <c r="M1149" s="16">
        <v>1</v>
      </c>
      <c r="N11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49" s="31">
        <f>IF(Table64[[#This Row],[date validity flag]]&lt;&gt;"Valid","",Table64[[#This Row],[shipment date ]]-Table64[[#This Row],[Order date]])</f>
        <v>91</v>
      </c>
      <c r="P1149" s="27" t="str">
        <f>TEXT(Table64[[#This Row],[Order date]],"mmm-yyyy")</f>
        <v>Jan-2024</v>
      </c>
      <c r="Q1149" s="16" t="str">
        <f t="shared" si="17"/>
        <v>Delayed</v>
      </c>
    </row>
    <row r="1150" spans="1:17" x14ac:dyDescent="0.3">
      <c r="A1150" s="12">
        <v>11149</v>
      </c>
      <c r="B1150" s="1">
        <v>6907</v>
      </c>
      <c r="C1150" s="1" t="s">
        <v>16</v>
      </c>
      <c r="D1150" s="2">
        <v>48928.57</v>
      </c>
      <c r="E1150" s="1">
        <v>29</v>
      </c>
      <c r="F1150" s="1" t="s">
        <v>13</v>
      </c>
      <c r="G1150" s="3">
        <v>45361</v>
      </c>
      <c r="H1150" s="2">
        <v>95554.48</v>
      </c>
      <c r="I1150" s="13" t="s">
        <v>20</v>
      </c>
      <c r="J1150" s="14" t="s">
        <v>19</v>
      </c>
      <c r="K1150" s="14">
        <v>645</v>
      </c>
      <c r="L1150" s="15">
        <v>45332</v>
      </c>
      <c r="M1150" s="16">
        <v>9</v>
      </c>
      <c r="N115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50" s="31" t="str">
        <f>IF(Table64[[#This Row],[date validity flag]]&lt;&gt;"Valid","",Table64[[#This Row],[shipment date ]]-Table64[[#This Row],[Order date]])</f>
        <v/>
      </c>
      <c r="P1150" s="27" t="str">
        <f>TEXT(Table64[[#This Row],[Order date]],"mmm-yyyy")</f>
        <v>Mar-2024</v>
      </c>
      <c r="Q1150" s="16" t="str">
        <f t="shared" si="17"/>
        <v/>
      </c>
    </row>
    <row r="1151" spans="1:17" x14ac:dyDescent="0.3">
      <c r="A1151" s="17">
        <v>11150</v>
      </c>
      <c r="B1151" s="4">
        <v>5111</v>
      </c>
      <c r="C1151" s="4" t="s">
        <v>16</v>
      </c>
      <c r="D1151" s="5">
        <v>58232.2</v>
      </c>
      <c r="E1151" s="4">
        <v>43</v>
      </c>
      <c r="F1151" s="4" t="s">
        <v>23</v>
      </c>
      <c r="G1151" s="6">
        <v>45337</v>
      </c>
      <c r="H1151" s="5">
        <v>69868.52</v>
      </c>
      <c r="I1151" s="18" t="s">
        <v>20</v>
      </c>
      <c r="J1151" s="14" t="s">
        <v>18</v>
      </c>
      <c r="K1151" s="14">
        <v>1089</v>
      </c>
      <c r="L1151" s="15">
        <v>45361</v>
      </c>
      <c r="M1151" s="16">
        <v>4</v>
      </c>
      <c r="N115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1" s="31">
        <f>IF(Table64[[#This Row],[date validity flag]]&lt;&gt;"Valid","",Table64[[#This Row],[shipment date ]]-Table64[[#This Row],[Order date]])</f>
        <v>24</v>
      </c>
      <c r="P1151" s="27" t="str">
        <f>TEXT(Table64[[#This Row],[Order date]],"mmm-yyyy")</f>
        <v>Feb-2024</v>
      </c>
      <c r="Q1151" s="16" t="str">
        <f t="shared" si="17"/>
        <v>Delayed</v>
      </c>
    </row>
    <row r="1152" spans="1:17" x14ac:dyDescent="0.3">
      <c r="A1152" s="12">
        <v>11151</v>
      </c>
      <c r="B1152" s="1">
        <v>5761</v>
      </c>
      <c r="C1152" s="1" t="s">
        <v>16</v>
      </c>
      <c r="D1152" s="2">
        <v>60638.89</v>
      </c>
      <c r="E1152" s="1">
        <v>25</v>
      </c>
      <c r="F1152" s="1" t="s">
        <v>23</v>
      </c>
      <c r="G1152" s="3">
        <v>45383</v>
      </c>
      <c r="H1152" s="2">
        <v>52038.91</v>
      </c>
      <c r="I1152" s="13" t="s">
        <v>17</v>
      </c>
      <c r="J1152" s="14" t="s">
        <v>15</v>
      </c>
      <c r="K1152" s="14">
        <v>1407</v>
      </c>
      <c r="L1152" s="15">
        <v>45397</v>
      </c>
      <c r="M1152" s="16">
        <v>13</v>
      </c>
      <c r="N115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2" s="31">
        <f>IF(Table64[[#This Row],[date validity flag]]&lt;&gt;"Valid","",Table64[[#This Row],[shipment date ]]-Table64[[#This Row],[Order date]])</f>
        <v>14</v>
      </c>
      <c r="P1152" s="27" t="str">
        <f>TEXT(Table64[[#This Row],[Order date]],"mmm-yyyy")</f>
        <v>Apr-2024</v>
      </c>
      <c r="Q1152" s="16" t="str">
        <f t="shared" si="17"/>
        <v>Delayed</v>
      </c>
    </row>
    <row r="1153" spans="1:17" x14ac:dyDescent="0.3">
      <c r="A1153" s="17">
        <v>11152</v>
      </c>
      <c r="B1153" s="4">
        <v>6687</v>
      </c>
      <c r="C1153" s="4" t="s">
        <v>16</v>
      </c>
      <c r="D1153" s="5">
        <v>88619.89</v>
      </c>
      <c r="E1153" s="4">
        <v>60</v>
      </c>
      <c r="F1153" s="4" t="s">
        <v>13</v>
      </c>
      <c r="G1153" s="6">
        <v>45361</v>
      </c>
      <c r="H1153" s="5">
        <v>157936.07999999999</v>
      </c>
      <c r="I1153" s="18" t="s">
        <v>14</v>
      </c>
      <c r="J1153" s="14" t="s">
        <v>15</v>
      </c>
      <c r="K1153" s="14">
        <v>1132</v>
      </c>
      <c r="L1153" s="15">
        <v>45397</v>
      </c>
      <c r="M1153" s="16">
        <v>2</v>
      </c>
      <c r="N11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3" s="31">
        <f>IF(Table64[[#This Row],[date validity flag]]&lt;&gt;"Valid","",Table64[[#This Row],[shipment date ]]-Table64[[#This Row],[Order date]])</f>
        <v>36</v>
      </c>
      <c r="P1153" s="27" t="str">
        <f>TEXT(Table64[[#This Row],[Order date]],"mmm-yyyy")</f>
        <v>Mar-2024</v>
      </c>
      <c r="Q1153" s="16" t="str">
        <f t="shared" si="17"/>
        <v>Delayed</v>
      </c>
    </row>
    <row r="1154" spans="1:17" x14ac:dyDescent="0.3">
      <c r="A1154" s="12">
        <v>11153</v>
      </c>
      <c r="B1154" s="1">
        <v>6207</v>
      </c>
      <c r="C1154" s="1" t="s">
        <v>12</v>
      </c>
      <c r="D1154" s="2">
        <v>21531.71</v>
      </c>
      <c r="E1154" s="1">
        <v>90</v>
      </c>
      <c r="F1154" s="1" t="s">
        <v>22</v>
      </c>
      <c r="G1154" s="3">
        <v>45361</v>
      </c>
      <c r="H1154" s="2">
        <v>55211.77</v>
      </c>
      <c r="I1154" s="13" t="s">
        <v>14</v>
      </c>
      <c r="J1154" s="14" t="s">
        <v>18</v>
      </c>
      <c r="K1154" s="14">
        <v>1062</v>
      </c>
      <c r="L1154" s="15">
        <v>45361</v>
      </c>
      <c r="M1154" s="16">
        <v>4</v>
      </c>
      <c r="N115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4" s="31">
        <f>IF(Table64[[#This Row],[date validity flag]]&lt;&gt;"Valid","",Table64[[#This Row],[shipment date ]]-Table64[[#This Row],[Order date]])</f>
        <v>0</v>
      </c>
      <c r="P1154" s="27" t="str">
        <f>TEXT(Table64[[#This Row],[Order date]],"mmm-yyyy")</f>
        <v>Mar-2024</v>
      </c>
      <c r="Q1154" s="16" t="str">
        <f t="shared" ref="Q1154:Q1217" si="18">IF(O1154="","",IF(O1154&gt;0,"Delayed","On Time"))</f>
        <v>On Time</v>
      </c>
    </row>
    <row r="1155" spans="1:17" x14ac:dyDescent="0.3">
      <c r="A1155" s="17">
        <v>11154</v>
      </c>
      <c r="B1155" s="4">
        <v>5848</v>
      </c>
      <c r="C1155" s="4" t="s">
        <v>16</v>
      </c>
      <c r="D1155" s="5">
        <v>45278.33</v>
      </c>
      <c r="E1155" s="4">
        <v>65</v>
      </c>
      <c r="F1155" s="4" t="s">
        <v>13</v>
      </c>
      <c r="G1155" s="6">
        <v>45306</v>
      </c>
      <c r="H1155" s="5">
        <v>81306.45</v>
      </c>
      <c r="I1155" s="18" t="s">
        <v>17</v>
      </c>
      <c r="J1155" s="14" t="s">
        <v>18</v>
      </c>
      <c r="K1155" s="14">
        <v>226</v>
      </c>
      <c r="L1155" s="15">
        <v>45397</v>
      </c>
      <c r="M1155" s="16">
        <v>14</v>
      </c>
      <c r="N11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5" s="31">
        <f>IF(Table64[[#This Row],[date validity flag]]&lt;&gt;"Valid","",Table64[[#This Row],[shipment date ]]-Table64[[#This Row],[Order date]])</f>
        <v>91</v>
      </c>
      <c r="P1155" s="27" t="str">
        <f>TEXT(Table64[[#This Row],[Order date]],"mmm-yyyy")</f>
        <v>Jan-2024</v>
      </c>
      <c r="Q1155" s="16" t="str">
        <f t="shared" si="18"/>
        <v>Delayed</v>
      </c>
    </row>
    <row r="1156" spans="1:17" x14ac:dyDescent="0.3">
      <c r="A1156" s="12">
        <v>11155</v>
      </c>
      <c r="B1156" s="1">
        <v>5095</v>
      </c>
      <c r="C1156" s="1" t="s">
        <v>16</v>
      </c>
      <c r="D1156" s="2">
        <v>41070.089999999997</v>
      </c>
      <c r="E1156" s="1">
        <v>84</v>
      </c>
      <c r="F1156" s="1" t="s">
        <v>23</v>
      </c>
      <c r="G1156" s="3">
        <v>45337</v>
      </c>
      <c r="H1156" s="2">
        <v>103666.68</v>
      </c>
      <c r="I1156" s="13" t="s">
        <v>17</v>
      </c>
      <c r="J1156" s="14" t="s">
        <v>15</v>
      </c>
      <c r="K1156" s="14">
        <v>112</v>
      </c>
      <c r="L1156" s="15">
        <v>45397</v>
      </c>
      <c r="M1156" s="16">
        <v>13</v>
      </c>
      <c r="N11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6" s="31">
        <f>IF(Table64[[#This Row],[date validity flag]]&lt;&gt;"Valid","",Table64[[#This Row],[shipment date ]]-Table64[[#This Row],[Order date]])</f>
        <v>60</v>
      </c>
      <c r="P1156" s="27" t="str">
        <f>TEXT(Table64[[#This Row],[Order date]],"mmm-yyyy")</f>
        <v>Feb-2024</v>
      </c>
      <c r="Q1156" s="16" t="str">
        <f t="shared" si="18"/>
        <v>Delayed</v>
      </c>
    </row>
    <row r="1157" spans="1:17" x14ac:dyDescent="0.3">
      <c r="A1157" s="17">
        <v>11156</v>
      </c>
      <c r="B1157" s="4">
        <v>6995</v>
      </c>
      <c r="C1157" s="4" t="s">
        <v>16</v>
      </c>
      <c r="D1157" s="5">
        <v>83302.97</v>
      </c>
      <c r="E1157" s="4">
        <v>28</v>
      </c>
      <c r="F1157" s="4" t="s">
        <v>23</v>
      </c>
      <c r="G1157" s="6">
        <v>45306</v>
      </c>
      <c r="H1157" s="5">
        <v>27814.47</v>
      </c>
      <c r="I1157" s="18" t="s">
        <v>20</v>
      </c>
      <c r="J1157" s="14" t="s">
        <v>19</v>
      </c>
      <c r="K1157" s="14">
        <v>1007</v>
      </c>
      <c r="L1157" s="15">
        <v>45361</v>
      </c>
      <c r="M1157" s="16">
        <v>9</v>
      </c>
      <c r="N11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7" s="31">
        <f>IF(Table64[[#This Row],[date validity flag]]&lt;&gt;"Valid","",Table64[[#This Row],[shipment date ]]-Table64[[#This Row],[Order date]])</f>
        <v>55</v>
      </c>
      <c r="P1157" s="27" t="str">
        <f>TEXT(Table64[[#This Row],[Order date]],"mmm-yyyy")</f>
        <v>Jan-2024</v>
      </c>
      <c r="Q1157" s="16" t="str">
        <f t="shared" si="18"/>
        <v>Delayed</v>
      </c>
    </row>
    <row r="1158" spans="1:17" x14ac:dyDescent="0.3">
      <c r="A1158" s="12">
        <v>11157</v>
      </c>
      <c r="B1158" s="1">
        <v>6398</v>
      </c>
      <c r="C1158" s="1" t="s">
        <v>16</v>
      </c>
      <c r="D1158" s="2">
        <v>70184.850000000006</v>
      </c>
      <c r="E1158" s="1">
        <v>16</v>
      </c>
      <c r="F1158" s="1" t="s">
        <v>13</v>
      </c>
      <c r="G1158" s="3">
        <v>45337</v>
      </c>
      <c r="H1158" s="2">
        <v>66619.070000000007</v>
      </c>
      <c r="I1158" s="13" t="s">
        <v>17</v>
      </c>
      <c r="J1158" s="14" t="s">
        <v>15</v>
      </c>
      <c r="K1158" s="14">
        <v>1052</v>
      </c>
      <c r="L1158" s="15">
        <v>45397</v>
      </c>
      <c r="M1158" s="16">
        <v>2</v>
      </c>
      <c r="N11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8" s="31">
        <f>IF(Table64[[#This Row],[date validity flag]]&lt;&gt;"Valid","",Table64[[#This Row],[shipment date ]]-Table64[[#This Row],[Order date]])</f>
        <v>60</v>
      </c>
      <c r="P1158" s="27" t="str">
        <f>TEXT(Table64[[#This Row],[Order date]],"mmm-yyyy")</f>
        <v>Feb-2024</v>
      </c>
      <c r="Q1158" s="16" t="str">
        <f t="shared" si="18"/>
        <v>Delayed</v>
      </c>
    </row>
    <row r="1159" spans="1:17" x14ac:dyDescent="0.3">
      <c r="A1159" s="17">
        <v>11158</v>
      </c>
      <c r="B1159" s="4">
        <v>6936</v>
      </c>
      <c r="C1159" s="4" t="s">
        <v>16</v>
      </c>
      <c r="D1159" s="5">
        <v>22179.83</v>
      </c>
      <c r="E1159" s="4">
        <v>47</v>
      </c>
      <c r="F1159" s="4" t="s">
        <v>22</v>
      </c>
      <c r="G1159" s="6">
        <v>45306</v>
      </c>
      <c r="H1159" s="5">
        <v>55981.63</v>
      </c>
      <c r="I1159" s="18" t="s">
        <v>20</v>
      </c>
      <c r="J1159" s="14" t="s">
        <v>15</v>
      </c>
      <c r="K1159" s="14">
        <v>610</v>
      </c>
      <c r="L1159" s="15">
        <v>45361</v>
      </c>
      <c r="M1159" s="16">
        <v>4</v>
      </c>
      <c r="N11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59" s="31">
        <f>IF(Table64[[#This Row],[date validity flag]]&lt;&gt;"Valid","",Table64[[#This Row],[shipment date ]]-Table64[[#This Row],[Order date]])</f>
        <v>55</v>
      </c>
      <c r="P1159" s="27" t="str">
        <f>TEXT(Table64[[#This Row],[Order date]],"mmm-yyyy")</f>
        <v>Jan-2024</v>
      </c>
      <c r="Q1159" s="16" t="str">
        <f t="shared" si="18"/>
        <v>Delayed</v>
      </c>
    </row>
    <row r="1160" spans="1:17" x14ac:dyDescent="0.3">
      <c r="A1160" s="12">
        <v>11159</v>
      </c>
      <c r="B1160" s="1">
        <v>6544</v>
      </c>
      <c r="C1160" s="1" t="s">
        <v>12</v>
      </c>
      <c r="D1160" s="2">
        <v>70517.41</v>
      </c>
      <c r="E1160" s="1">
        <v>81</v>
      </c>
      <c r="F1160" s="1" t="s">
        <v>13</v>
      </c>
      <c r="G1160" s="3">
        <v>45361</v>
      </c>
      <c r="H1160" s="2">
        <v>128925.83</v>
      </c>
      <c r="I1160" s="13" t="s">
        <v>20</v>
      </c>
      <c r="J1160" s="14" t="s">
        <v>18</v>
      </c>
      <c r="K1160" s="14">
        <v>1380</v>
      </c>
      <c r="L1160" s="15">
        <v>45397</v>
      </c>
      <c r="M1160" s="16">
        <v>2</v>
      </c>
      <c r="N11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0" s="31">
        <f>IF(Table64[[#This Row],[date validity flag]]&lt;&gt;"Valid","",Table64[[#This Row],[shipment date ]]-Table64[[#This Row],[Order date]])</f>
        <v>36</v>
      </c>
      <c r="P1160" s="27" t="str">
        <f>TEXT(Table64[[#This Row],[Order date]],"mmm-yyyy")</f>
        <v>Mar-2024</v>
      </c>
      <c r="Q1160" s="16" t="str">
        <f t="shared" si="18"/>
        <v>Delayed</v>
      </c>
    </row>
    <row r="1161" spans="1:17" x14ac:dyDescent="0.3">
      <c r="A1161" s="17">
        <v>11160</v>
      </c>
      <c r="B1161" s="4">
        <v>5900</v>
      </c>
      <c r="C1161" s="4" t="s">
        <v>16</v>
      </c>
      <c r="D1161" s="5">
        <v>24123.7</v>
      </c>
      <c r="E1161" s="4">
        <v>92</v>
      </c>
      <c r="F1161" s="4" t="s">
        <v>13</v>
      </c>
      <c r="G1161" s="6">
        <v>45306</v>
      </c>
      <c r="H1161" s="5">
        <v>152059.12</v>
      </c>
      <c r="I1161" s="18" t="s">
        <v>17</v>
      </c>
      <c r="J1161" s="14" t="s">
        <v>18</v>
      </c>
      <c r="K1161" s="14">
        <v>1319</v>
      </c>
      <c r="L1161" s="15">
        <v>45361</v>
      </c>
      <c r="M1161" s="16">
        <v>5</v>
      </c>
      <c r="N11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1" s="31">
        <f>IF(Table64[[#This Row],[date validity flag]]&lt;&gt;"Valid","",Table64[[#This Row],[shipment date ]]-Table64[[#This Row],[Order date]])</f>
        <v>55</v>
      </c>
      <c r="P1161" s="27" t="str">
        <f>TEXT(Table64[[#This Row],[Order date]],"mmm-yyyy")</f>
        <v>Jan-2024</v>
      </c>
      <c r="Q1161" s="16" t="str">
        <f t="shared" si="18"/>
        <v>Delayed</v>
      </c>
    </row>
    <row r="1162" spans="1:17" x14ac:dyDescent="0.3">
      <c r="A1162" s="12">
        <v>11161</v>
      </c>
      <c r="B1162" s="1">
        <v>5360</v>
      </c>
      <c r="C1162" s="1" t="s">
        <v>16</v>
      </c>
      <c r="D1162" s="2">
        <v>82904.179999999993</v>
      </c>
      <c r="E1162" s="1">
        <v>58</v>
      </c>
      <c r="F1162" s="1" t="s">
        <v>23</v>
      </c>
      <c r="G1162" s="3">
        <v>45383</v>
      </c>
      <c r="H1162" s="2">
        <v>86219.1</v>
      </c>
      <c r="I1162" s="13" t="s">
        <v>14</v>
      </c>
      <c r="J1162" s="14" t="s">
        <v>15</v>
      </c>
      <c r="K1162" s="14">
        <v>1362</v>
      </c>
      <c r="L1162" s="15">
        <v>45397</v>
      </c>
      <c r="M1162" s="16">
        <v>3</v>
      </c>
      <c r="N11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2" s="31">
        <f>IF(Table64[[#This Row],[date validity flag]]&lt;&gt;"Valid","",Table64[[#This Row],[shipment date ]]-Table64[[#This Row],[Order date]])</f>
        <v>14</v>
      </c>
      <c r="P1162" s="27" t="str">
        <f>TEXT(Table64[[#This Row],[Order date]],"mmm-yyyy")</f>
        <v>Apr-2024</v>
      </c>
      <c r="Q1162" s="16" t="str">
        <f t="shared" si="18"/>
        <v>Delayed</v>
      </c>
    </row>
    <row r="1163" spans="1:17" x14ac:dyDescent="0.3">
      <c r="A1163" s="17">
        <v>11162</v>
      </c>
      <c r="B1163" s="4">
        <v>5900</v>
      </c>
      <c r="C1163" s="4" t="s">
        <v>16</v>
      </c>
      <c r="D1163" s="5">
        <v>72892.87</v>
      </c>
      <c r="E1163" s="4">
        <v>76</v>
      </c>
      <c r="F1163" s="4" t="s">
        <v>22</v>
      </c>
      <c r="G1163" s="6">
        <v>45337</v>
      </c>
      <c r="H1163" s="5">
        <v>83154.67</v>
      </c>
      <c r="I1163" s="18" t="s">
        <v>20</v>
      </c>
      <c r="J1163" s="14" t="s">
        <v>19</v>
      </c>
      <c r="K1163" s="14">
        <v>1004</v>
      </c>
      <c r="L1163" s="15">
        <v>45397</v>
      </c>
      <c r="M1163" s="16">
        <v>10</v>
      </c>
      <c r="N11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3" s="31">
        <f>IF(Table64[[#This Row],[date validity flag]]&lt;&gt;"Valid","",Table64[[#This Row],[shipment date ]]-Table64[[#This Row],[Order date]])</f>
        <v>60</v>
      </c>
      <c r="P1163" s="27" t="str">
        <f>TEXT(Table64[[#This Row],[Order date]],"mmm-yyyy")</f>
        <v>Feb-2024</v>
      </c>
      <c r="Q1163" s="16" t="str">
        <f t="shared" si="18"/>
        <v>Delayed</v>
      </c>
    </row>
    <row r="1164" spans="1:17" x14ac:dyDescent="0.3">
      <c r="A1164" s="12">
        <v>11163</v>
      </c>
      <c r="B1164" s="1">
        <v>6720</v>
      </c>
      <c r="C1164" s="1" t="s">
        <v>16</v>
      </c>
      <c r="D1164" s="2">
        <v>56655.57</v>
      </c>
      <c r="E1164" s="1">
        <v>27</v>
      </c>
      <c r="F1164" s="1" t="s">
        <v>21</v>
      </c>
      <c r="G1164" s="3">
        <v>45337</v>
      </c>
      <c r="H1164" s="2">
        <v>80696.02</v>
      </c>
      <c r="I1164" s="13" t="s">
        <v>17</v>
      </c>
      <c r="J1164" s="14" t="s">
        <v>15</v>
      </c>
      <c r="K1164" s="14">
        <v>1405</v>
      </c>
      <c r="L1164" s="15">
        <v>45361</v>
      </c>
      <c r="M1164" s="16">
        <v>2</v>
      </c>
      <c r="N11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4" s="31">
        <f>IF(Table64[[#This Row],[date validity flag]]&lt;&gt;"Valid","",Table64[[#This Row],[shipment date ]]-Table64[[#This Row],[Order date]])</f>
        <v>24</v>
      </c>
      <c r="P1164" s="27" t="str">
        <f>TEXT(Table64[[#This Row],[Order date]],"mmm-yyyy")</f>
        <v>Feb-2024</v>
      </c>
      <c r="Q1164" s="16" t="str">
        <f t="shared" si="18"/>
        <v>Delayed</v>
      </c>
    </row>
    <row r="1165" spans="1:17" x14ac:dyDescent="0.3">
      <c r="A1165" s="17">
        <v>11164</v>
      </c>
      <c r="B1165" s="4">
        <v>5281</v>
      </c>
      <c r="C1165" s="4" t="s">
        <v>16</v>
      </c>
      <c r="D1165" s="5">
        <v>87070.720000000001</v>
      </c>
      <c r="E1165" s="4">
        <v>53</v>
      </c>
      <c r="F1165" s="4" t="s">
        <v>22</v>
      </c>
      <c r="G1165" s="6">
        <v>45361</v>
      </c>
      <c r="H1165" s="5">
        <v>170687.51</v>
      </c>
      <c r="I1165" s="18" t="s">
        <v>17</v>
      </c>
      <c r="J1165" s="14" t="s">
        <v>15</v>
      </c>
      <c r="K1165" s="14">
        <v>899</v>
      </c>
      <c r="L1165" s="15">
        <v>45397</v>
      </c>
      <c r="M1165" s="16">
        <v>14</v>
      </c>
      <c r="N11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5" s="31">
        <f>IF(Table64[[#This Row],[date validity flag]]&lt;&gt;"Valid","",Table64[[#This Row],[shipment date ]]-Table64[[#This Row],[Order date]])</f>
        <v>36</v>
      </c>
      <c r="P1165" s="27" t="str">
        <f>TEXT(Table64[[#This Row],[Order date]],"mmm-yyyy")</f>
        <v>Mar-2024</v>
      </c>
      <c r="Q1165" s="16" t="str">
        <f t="shared" si="18"/>
        <v>Delayed</v>
      </c>
    </row>
    <row r="1166" spans="1:17" x14ac:dyDescent="0.3">
      <c r="A1166" s="12">
        <v>11165</v>
      </c>
      <c r="B1166" s="1">
        <v>6219</v>
      </c>
      <c r="C1166" s="1" t="s">
        <v>16</v>
      </c>
      <c r="D1166" s="2">
        <v>66291.399999999994</v>
      </c>
      <c r="E1166" s="1">
        <v>42</v>
      </c>
      <c r="F1166" s="1" t="s">
        <v>13</v>
      </c>
      <c r="G1166" s="3">
        <v>45337</v>
      </c>
      <c r="H1166" s="2">
        <v>26412.92</v>
      </c>
      <c r="I1166" s="13" t="s">
        <v>17</v>
      </c>
      <c r="J1166" s="14" t="s">
        <v>19</v>
      </c>
      <c r="K1166" s="14">
        <v>1328</v>
      </c>
      <c r="L1166" s="15">
        <v>45361</v>
      </c>
      <c r="M1166" s="16">
        <v>9</v>
      </c>
      <c r="N11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6" s="31">
        <f>IF(Table64[[#This Row],[date validity flag]]&lt;&gt;"Valid","",Table64[[#This Row],[shipment date ]]-Table64[[#This Row],[Order date]])</f>
        <v>24</v>
      </c>
      <c r="P1166" s="27" t="str">
        <f>TEXT(Table64[[#This Row],[Order date]],"mmm-yyyy")</f>
        <v>Feb-2024</v>
      </c>
      <c r="Q1166" s="16" t="str">
        <f t="shared" si="18"/>
        <v>Delayed</v>
      </c>
    </row>
    <row r="1167" spans="1:17" x14ac:dyDescent="0.3">
      <c r="A1167" s="17">
        <v>11166</v>
      </c>
      <c r="B1167" s="4">
        <v>6888</v>
      </c>
      <c r="C1167" s="4" t="s">
        <v>16</v>
      </c>
      <c r="D1167" s="5">
        <v>34498.76</v>
      </c>
      <c r="E1167" s="4">
        <v>59</v>
      </c>
      <c r="F1167" s="4" t="s">
        <v>13</v>
      </c>
      <c r="G1167" s="6">
        <v>45383</v>
      </c>
      <c r="H1167" s="5">
        <v>150937.29</v>
      </c>
      <c r="I1167" s="18" t="s">
        <v>17</v>
      </c>
      <c r="J1167" s="14" t="s">
        <v>15</v>
      </c>
      <c r="K1167" s="14">
        <v>653</v>
      </c>
      <c r="L1167" s="15">
        <v>45361</v>
      </c>
      <c r="M1167" s="16">
        <v>5</v>
      </c>
      <c r="N116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67" s="31" t="str">
        <f>IF(Table64[[#This Row],[date validity flag]]&lt;&gt;"Valid","",Table64[[#This Row],[shipment date ]]-Table64[[#This Row],[Order date]])</f>
        <v/>
      </c>
      <c r="P1167" s="27" t="str">
        <f>TEXT(Table64[[#This Row],[Order date]],"mmm-yyyy")</f>
        <v>Apr-2024</v>
      </c>
      <c r="Q1167" s="16" t="str">
        <f t="shared" si="18"/>
        <v/>
      </c>
    </row>
    <row r="1168" spans="1:17" x14ac:dyDescent="0.3">
      <c r="A1168" s="12">
        <v>11167</v>
      </c>
      <c r="B1168" s="1">
        <v>6219</v>
      </c>
      <c r="C1168" s="1" t="s">
        <v>16</v>
      </c>
      <c r="D1168" s="2">
        <v>50334.25</v>
      </c>
      <c r="E1168" s="1">
        <v>47</v>
      </c>
      <c r="F1168" s="1" t="s">
        <v>13</v>
      </c>
      <c r="G1168" s="3">
        <v>45306</v>
      </c>
      <c r="H1168" s="2">
        <v>20410.259999999998</v>
      </c>
      <c r="I1168" s="13" t="s">
        <v>20</v>
      </c>
      <c r="J1168" s="14" t="s">
        <v>15</v>
      </c>
      <c r="K1168" s="14">
        <v>655</v>
      </c>
      <c r="L1168" s="15">
        <v>45397</v>
      </c>
      <c r="M1168" s="16">
        <v>10</v>
      </c>
      <c r="N11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68" s="31">
        <f>IF(Table64[[#This Row],[date validity flag]]&lt;&gt;"Valid","",Table64[[#This Row],[shipment date ]]-Table64[[#This Row],[Order date]])</f>
        <v>91</v>
      </c>
      <c r="P1168" s="27" t="str">
        <f>TEXT(Table64[[#This Row],[Order date]],"mmm-yyyy")</f>
        <v>Jan-2024</v>
      </c>
      <c r="Q1168" s="16" t="str">
        <f t="shared" si="18"/>
        <v>Delayed</v>
      </c>
    </row>
    <row r="1169" spans="1:17" x14ac:dyDescent="0.3">
      <c r="A1169" s="17">
        <v>11168</v>
      </c>
      <c r="B1169" s="4">
        <v>5667</v>
      </c>
      <c r="C1169" s="4" t="s">
        <v>16</v>
      </c>
      <c r="D1169" s="5">
        <v>40448.61</v>
      </c>
      <c r="E1169" s="4">
        <v>94</v>
      </c>
      <c r="F1169" s="4" t="s">
        <v>22</v>
      </c>
      <c r="G1169" s="6">
        <v>45361</v>
      </c>
      <c r="H1169" s="5">
        <v>119216.48</v>
      </c>
      <c r="I1169" s="18" t="s">
        <v>17</v>
      </c>
      <c r="J1169" s="14" t="s">
        <v>18</v>
      </c>
      <c r="K1169" s="14">
        <v>879</v>
      </c>
      <c r="L1169" s="15">
        <v>45332</v>
      </c>
      <c r="M1169" s="16">
        <v>5</v>
      </c>
      <c r="N116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69" s="31" t="str">
        <f>IF(Table64[[#This Row],[date validity flag]]&lt;&gt;"Valid","",Table64[[#This Row],[shipment date ]]-Table64[[#This Row],[Order date]])</f>
        <v/>
      </c>
      <c r="P1169" s="27" t="str">
        <f>TEXT(Table64[[#This Row],[Order date]],"mmm-yyyy")</f>
        <v>Mar-2024</v>
      </c>
      <c r="Q1169" s="16" t="str">
        <f t="shared" si="18"/>
        <v/>
      </c>
    </row>
    <row r="1170" spans="1:17" x14ac:dyDescent="0.3">
      <c r="A1170" s="12">
        <v>11169</v>
      </c>
      <c r="B1170" s="1">
        <v>5093</v>
      </c>
      <c r="C1170" s="1" t="s">
        <v>16</v>
      </c>
      <c r="D1170" s="2">
        <v>17141.41</v>
      </c>
      <c r="E1170" s="1">
        <v>34</v>
      </c>
      <c r="F1170" s="1" t="s">
        <v>23</v>
      </c>
      <c r="G1170" s="3">
        <v>45383</v>
      </c>
      <c r="H1170" s="2">
        <v>76458.14</v>
      </c>
      <c r="I1170" s="13" t="s">
        <v>17</v>
      </c>
      <c r="J1170" s="14" t="s">
        <v>19</v>
      </c>
      <c r="K1170" s="14">
        <v>1272</v>
      </c>
      <c r="L1170" s="15">
        <v>45397</v>
      </c>
      <c r="M1170" s="16">
        <v>1</v>
      </c>
      <c r="N11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70" s="31">
        <f>IF(Table64[[#This Row],[date validity flag]]&lt;&gt;"Valid","",Table64[[#This Row],[shipment date ]]-Table64[[#This Row],[Order date]])</f>
        <v>14</v>
      </c>
      <c r="P1170" s="27" t="str">
        <f>TEXT(Table64[[#This Row],[Order date]],"mmm-yyyy")</f>
        <v>Apr-2024</v>
      </c>
      <c r="Q1170" s="16" t="str">
        <f t="shared" si="18"/>
        <v>Delayed</v>
      </c>
    </row>
    <row r="1171" spans="1:17" x14ac:dyDescent="0.3">
      <c r="A1171" s="17">
        <v>11170</v>
      </c>
      <c r="B1171" s="4">
        <v>5672</v>
      </c>
      <c r="C1171" s="4" t="s">
        <v>16</v>
      </c>
      <c r="D1171" s="5">
        <v>45737.04</v>
      </c>
      <c r="E1171" s="4">
        <v>37</v>
      </c>
      <c r="F1171" s="4" t="s">
        <v>13</v>
      </c>
      <c r="G1171" s="6">
        <v>45337</v>
      </c>
      <c r="H1171" s="5">
        <v>125210.46</v>
      </c>
      <c r="I1171" s="18" t="s">
        <v>17</v>
      </c>
      <c r="J1171" s="14" t="s">
        <v>18</v>
      </c>
      <c r="K1171" s="14">
        <v>1344</v>
      </c>
      <c r="L1171" s="15">
        <v>45332</v>
      </c>
      <c r="M1171" s="16">
        <v>6</v>
      </c>
      <c r="N117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71" s="31" t="str">
        <f>IF(Table64[[#This Row],[date validity flag]]&lt;&gt;"Valid","",Table64[[#This Row],[shipment date ]]-Table64[[#This Row],[Order date]])</f>
        <v/>
      </c>
      <c r="P1171" s="27" t="str">
        <f>TEXT(Table64[[#This Row],[Order date]],"mmm-yyyy")</f>
        <v>Feb-2024</v>
      </c>
      <c r="Q1171" s="16" t="str">
        <f t="shared" si="18"/>
        <v/>
      </c>
    </row>
    <row r="1172" spans="1:17" x14ac:dyDescent="0.3">
      <c r="A1172" s="12">
        <v>11171</v>
      </c>
      <c r="B1172" s="1">
        <v>6970</v>
      </c>
      <c r="C1172" s="1" t="s">
        <v>16</v>
      </c>
      <c r="D1172" s="2">
        <v>24043.360000000001</v>
      </c>
      <c r="E1172" s="1">
        <v>6</v>
      </c>
      <c r="F1172" s="1" t="s">
        <v>13</v>
      </c>
      <c r="G1172" s="3">
        <v>45337</v>
      </c>
      <c r="H1172" s="2">
        <v>17547.82</v>
      </c>
      <c r="I1172" s="13" t="s">
        <v>17</v>
      </c>
      <c r="J1172" s="14" t="s">
        <v>18</v>
      </c>
      <c r="K1172" s="14">
        <v>795</v>
      </c>
      <c r="L1172" s="15">
        <v>45332</v>
      </c>
      <c r="M1172" s="16">
        <v>13</v>
      </c>
      <c r="N117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72" s="31" t="str">
        <f>IF(Table64[[#This Row],[date validity flag]]&lt;&gt;"Valid","",Table64[[#This Row],[shipment date ]]-Table64[[#This Row],[Order date]])</f>
        <v/>
      </c>
      <c r="P1172" s="27" t="str">
        <f>TEXT(Table64[[#This Row],[Order date]],"mmm-yyyy")</f>
        <v>Feb-2024</v>
      </c>
      <c r="Q1172" s="16" t="str">
        <f t="shared" si="18"/>
        <v/>
      </c>
    </row>
    <row r="1173" spans="1:17" x14ac:dyDescent="0.3">
      <c r="A1173" s="17">
        <v>11172</v>
      </c>
      <c r="B1173" s="4">
        <v>5061</v>
      </c>
      <c r="C1173" s="4" t="s">
        <v>12</v>
      </c>
      <c r="D1173" s="5">
        <v>68711.89</v>
      </c>
      <c r="E1173" s="4">
        <v>7</v>
      </c>
      <c r="F1173" s="4" t="s">
        <v>22</v>
      </c>
      <c r="G1173" s="6">
        <v>45383</v>
      </c>
      <c r="H1173" s="5">
        <v>159662.65</v>
      </c>
      <c r="I1173" s="18" t="s">
        <v>17</v>
      </c>
      <c r="J1173" s="14" t="s">
        <v>19</v>
      </c>
      <c r="K1173" s="14">
        <v>607</v>
      </c>
      <c r="L1173" s="15">
        <v>45397</v>
      </c>
      <c r="M1173" s="16">
        <v>7</v>
      </c>
      <c r="N11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73" s="31">
        <f>IF(Table64[[#This Row],[date validity flag]]&lt;&gt;"Valid","",Table64[[#This Row],[shipment date ]]-Table64[[#This Row],[Order date]])</f>
        <v>14</v>
      </c>
      <c r="P1173" s="27" t="str">
        <f>TEXT(Table64[[#This Row],[Order date]],"mmm-yyyy")</f>
        <v>Apr-2024</v>
      </c>
      <c r="Q1173" s="16" t="str">
        <f t="shared" si="18"/>
        <v>Delayed</v>
      </c>
    </row>
    <row r="1174" spans="1:17" x14ac:dyDescent="0.3">
      <c r="A1174" s="12">
        <v>11173</v>
      </c>
      <c r="B1174" s="1">
        <v>5634</v>
      </c>
      <c r="C1174" s="1" t="s">
        <v>16</v>
      </c>
      <c r="D1174" s="2">
        <v>41970.52</v>
      </c>
      <c r="E1174" s="1">
        <v>96</v>
      </c>
      <c r="F1174" s="1" t="s">
        <v>21</v>
      </c>
      <c r="G1174" s="3">
        <v>45306</v>
      </c>
      <c r="H1174" s="2">
        <v>98881.600000000006</v>
      </c>
      <c r="I1174" s="13" t="s">
        <v>20</v>
      </c>
      <c r="J1174" s="14" t="s">
        <v>19</v>
      </c>
      <c r="K1174" s="14">
        <v>113</v>
      </c>
      <c r="L1174" s="15">
        <v>45332</v>
      </c>
      <c r="M1174" s="16">
        <v>1</v>
      </c>
      <c r="N11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74" s="31">
        <f>IF(Table64[[#This Row],[date validity flag]]&lt;&gt;"Valid","",Table64[[#This Row],[shipment date ]]-Table64[[#This Row],[Order date]])</f>
        <v>26</v>
      </c>
      <c r="P1174" s="27" t="str">
        <f>TEXT(Table64[[#This Row],[Order date]],"mmm-yyyy")</f>
        <v>Jan-2024</v>
      </c>
      <c r="Q1174" s="16" t="str">
        <f t="shared" si="18"/>
        <v>Delayed</v>
      </c>
    </row>
    <row r="1175" spans="1:17" x14ac:dyDescent="0.3">
      <c r="A1175" s="17">
        <v>11174</v>
      </c>
      <c r="B1175" s="4">
        <v>6075</v>
      </c>
      <c r="C1175" s="4" t="s">
        <v>16</v>
      </c>
      <c r="D1175" s="5">
        <v>22629.54</v>
      </c>
      <c r="E1175" s="4">
        <v>96</v>
      </c>
      <c r="F1175" s="4" t="s">
        <v>21</v>
      </c>
      <c r="G1175" s="6">
        <v>45306</v>
      </c>
      <c r="H1175" s="5">
        <v>78828.350000000006</v>
      </c>
      <c r="I1175" s="18" t="s">
        <v>17</v>
      </c>
      <c r="J1175" s="14" t="s">
        <v>15</v>
      </c>
      <c r="K1175" s="14">
        <v>1303</v>
      </c>
      <c r="L1175" s="15">
        <v>45361</v>
      </c>
      <c r="M1175" s="16">
        <v>9</v>
      </c>
      <c r="N117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75" s="31">
        <f>IF(Table64[[#This Row],[date validity flag]]&lt;&gt;"Valid","",Table64[[#This Row],[shipment date ]]-Table64[[#This Row],[Order date]])</f>
        <v>55</v>
      </c>
      <c r="P1175" s="27" t="str">
        <f>TEXT(Table64[[#This Row],[Order date]],"mmm-yyyy")</f>
        <v>Jan-2024</v>
      </c>
      <c r="Q1175" s="16" t="str">
        <f t="shared" si="18"/>
        <v>Delayed</v>
      </c>
    </row>
    <row r="1176" spans="1:17" x14ac:dyDescent="0.3">
      <c r="A1176" s="12">
        <v>11175</v>
      </c>
      <c r="B1176" s="1">
        <v>6427</v>
      </c>
      <c r="C1176" s="1" t="s">
        <v>16</v>
      </c>
      <c r="D1176" s="2">
        <v>33592.33</v>
      </c>
      <c r="E1176" s="1">
        <v>25</v>
      </c>
      <c r="F1176" s="1" t="s">
        <v>23</v>
      </c>
      <c r="G1176" s="3">
        <v>45361</v>
      </c>
      <c r="H1176" s="2">
        <v>117640.24</v>
      </c>
      <c r="I1176" s="13" t="s">
        <v>14</v>
      </c>
      <c r="J1176" s="14" t="s">
        <v>18</v>
      </c>
      <c r="K1176" s="14">
        <v>991</v>
      </c>
      <c r="L1176" s="15">
        <v>45361</v>
      </c>
      <c r="M1176" s="16">
        <v>8</v>
      </c>
      <c r="N11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76" s="31">
        <f>IF(Table64[[#This Row],[date validity flag]]&lt;&gt;"Valid","",Table64[[#This Row],[shipment date ]]-Table64[[#This Row],[Order date]])</f>
        <v>0</v>
      </c>
      <c r="P1176" s="27" t="str">
        <f>TEXT(Table64[[#This Row],[Order date]],"mmm-yyyy")</f>
        <v>Mar-2024</v>
      </c>
      <c r="Q1176" s="16" t="str">
        <f t="shared" si="18"/>
        <v>On Time</v>
      </c>
    </row>
    <row r="1177" spans="1:17" x14ac:dyDescent="0.3">
      <c r="A1177" s="17">
        <v>11176</v>
      </c>
      <c r="B1177" s="4">
        <v>6813</v>
      </c>
      <c r="C1177" s="4" t="s">
        <v>12</v>
      </c>
      <c r="D1177" s="5">
        <v>65675.14</v>
      </c>
      <c r="E1177" s="4">
        <v>33</v>
      </c>
      <c r="F1177" s="4" t="s">
        <v>23</v>
      </c>
      <c r="G1177" s="6">
        <v>45337</v>
      </c>
      <c r="H1177" s="5">
        <v>47531.18</v>
      </c>
      <c r="I1177" s="18" t="s">
        <v>17</v>
      </c>
      <c r="J1177" s="14" t="s">
        <v>19</v>
      </c>
      <c r="K1177" s="14">
        <v>298</v>
      </c>
      <c r="L1177" s="15">
        <v>45332</v>
      </c>
      <c r="M1177" s="16">
        <v>12</v>
      </c>
      <c r="N117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77" s="31" t="str">
        <f>IF(Table64[[#This Row],[date validity flag]]&lt;&gt;"Valid","",Table64[[#This Row],[shipment date ]]-Table64[[#This Row],[Order date]])</f>
        <v/>
      </c>
      <c r="P1177" s="27" t="str">
        <f>TEXT(Table64[[#This Row],[Order date]],"mmm-yyyy")</f>
        <v>Feb-2024</v>
      </c>
      <c r="Q1177" s="16" t="str">
        <f t="shared" si="18"/>
        <v/>
      </c>
    </row>
    <row r="1178" spans="1:17" x14ac:dyDescent="0.3">
      <c r="A1178" s="12">
        <v>11177</v>
      </c>
      <c r="B1178" s="1">
        <v>6029</v>
      </c>
      <c r="C1178" s="1" t="s">
        <v>16</v>
      </c>
      <c r="D1178" s="2">
        <v>87839.54</v>
      </c>
      <c r="E1178" s="1">
        <v>55</v>
      </c>
      <c r="F1178" s="1" t="s">
        <v>13</v>
      </c>
      <c r="G1178" s="3">
        <v>45383</v>
      </c>
      <c r="H1178" s="2">
        <v>11808.93</v>
      </c>
      <c r="I1178" s="13" t="s">
        <v>17</v>
      </c>
      <c r="J1178" s="14" t="s">
        <v>18</v>
      </c>
      <c r="K1178" s="14">
        <v>1319</v>
      </c>
      <c r="L1178" s="15">
        <v>45361</v>
      </c>
      <c r="M1178" s="16">
        <v>14</v>
      </c>
      <c r="N117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78" s="31" t="str">
        <f>IF(Table64[[#This Row],[date validity flag]]&lt;&gt;"Valid","",Table64[[#This Row],[shipment date ]]-Table64[[#This Row],[Order date]])</f>
        <v/>
      </c>
      <c r="P1178" s="27" t="str">
        <f>TEXT(Table64[[#This Row],[Order date]],"mmm-yyyy")</f>
        <v>Apr-2024</v>
      </c>
      <c r="Q1178" s="16" t="str">
        <f t="shared" si="18"/>
        <v/>
      </c>
    </row>
    <row r="1179" spans="1:17" x14ac:dyDescent="0.3">
      <c r="A1179" s="17">
        <v>11178</v>
      </c>
      <c r="B1179" s="4">
        <v>6490</v>
      </c>
      <c r="C1179" s="4" t="s">
        <v>16</v>
      </c>
      <c r="D1179" s="5">
        <v>29861.81</v>
      </c>
      <c r="E1179" s="4">
        <v>58</v>
      </c>
      <c r="F1179" s="4" t="s">
        <v>22</v>
      </c>
      <c r="G1179" s="6">
        <v>45306</v>
      </c>
      <c r="H1179" s="5">
        <v>46596.800000000003</v>
      </c>
      <c r="I1179" s="18" t="s">
        <v>17</v>
      </c>
      <c r="J1179" s="14" t="s">
        <v>18</v>
      </c>
      <c r="K1179" s="14">
        <v>989</v>
      </c>
      <c r="L1179" s="15">
        <v>45397</v>
      </c>
      <c r="M1179" s="16">
        <v>14</v>
      </c>
      <c r="N11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79" s="31">
        <f>IF(Table64[[#This Row],[date validity flag]]&lt;&gt;"Valid","",Table64[[#This Row],[shipment date ]]-Table64[[#This Row],[Order date]])</f>
        <v>91</v>
      </c>
      <c r="P1179" s="27" t="str">
        <f>TEXT(Table64[[#This Row],[Order date]],"mmm-yyyy")</f>
        <v>Jan-2024</v>
      </c>
      <c r="Q1179" s="16" t="str">
        <f t="shared" si="18"/>
        <v>Delayed</v>
      </c>
    </row>
    <row r="1180" spans="1:17" x14ac:dyDescent="0.3">
      <c r="A1180" s="12">
        <v>11179</v>
      </c>
      <c r="B1180" s="1">
        <v>5604</v>
      </c>
      <c r="C1180" s="1" t="s">
        <v>16</v>
      </c>
      <c r="D1180" s="2">
        <v>78202.48</v>
      </c>
      <c r="E1180" s="1">
        <v>7</v>
      </c>
      <c r="F1180" s="1" t="s">
        <v>13</v>
      </c>
      <c r="G1180" s="3">
        <v>45361</v>
      </c>
      <c r="H1180" s="2">
        <v>103171.75</v>
      </c>
      <c r="I1180" s="13" t="s">
        <v>17</v>
      </c>
      <c r="J1180" s="14" t="s">
        <v>19</v>
      </c>
      <c r="K1180" s="14">
        <v>206</v>
      </c>
      <c r="L1180" s="15">
        <v>45361</v>
      </c>
      <c r="M1180" s="16">
        <v>8</v>
      </c>
      <c r="N11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0" s="31">
        <f>IF(Table64[[#This Row],[date validity flag]]&lt;&gt;"Valid","",Table64[[#This Row],[shipment date ]]-Table64[[#This Row],[Order date]])</f>
        <v>0</v>
      </c>
      <c r="P1180" s="27" t="str">
        <f>TEXT(Table64[[#This Row],[Order date]],"mmm-yyyy")</f>
        <v>Mar-2024</v>
      </c>
      <c r="Q1180" s="16" t="str">
        <f t="shared" si="18"/>
        <v>On Time</v>
      </c>
    </row>
    <row r="1181" spans="1:17" x14ac:dyDescent="0.3">
      <c r="A1181" s="17">
        <v>11180</v>
      </c>
      <c r="B1181" s="4">
        <v>5682</v>
      </c>
      <c r="C1181" s="4" t="s">
        <v>16</v>
      </c>
      <c r="D1181" s="5">
        <v>73957.679999999993</v>
      </c>
      <c r="E1181" s="4">
        <v>57</v>
      </c>
      <c r="F1181" s="4" t="s">
        <v>23</v>
      </c>
      <c r="G1181" s="6">
        <v>45337</v>
      </c>
      <c r="H1181" s="5">
        <v>92360.93</v>
      </c>
      <c r="I1181" s="18" t="s">
        <v>17</v>
      </c>
      <c r="J1181" s="14" t="s">
        <v>15</v>
      </c>
      <c r="K1181" s="14">
        <v>784</v>
      </c>
      <c r="L1181" s="15">
        <v>45332</v>
      </c>
      <c r="M1181" s="16">
        <v>7</v>
      </c>
      <c r="N118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81" s="31" t="str">
        <f>IF(Table64[[#This Row],[date validity flag]]&lt;&gt;"Valid","",Table64[[#This Row],[shipment date ]]-Table64[[#This Row],[Order date]])</f>
        <v/>
      </c>
      <c r="P1181" s="27" t="str">
        <f>TEXT(Table64[[#This Row],[Order date]],"mmm-yyyy")</f>
        <v>Feb-2024</v>
      </c>
      <c r="Q1181" s="16" t="str">
        <f t="shared" si="18"/>
        <v/>
      </c>
    </row>
    <row r="1182" spans="1:17" x14ac:dyDescent="0.3">
      <c r="A1182" s="12">
        <v>11181</v>
      </c>
      <c r="B1182" s="1">
        <v>6853</v>
      </c>
      <c r="C1182" s="1" t="s">
        <v>16</v>
      </c>
      <c r="D1182" s="2">
        <v>78179.63</v>
      </c>
      <c r="E1182" s="1">
        <v>12</v>
      </c>
      <c r="F1182" s="1" t="s">
        <v>22</v>
      </c>
      <c r="G1182" s="3">
        <v>45337</v>
      </c>
      <c r="H1182" s="2">
        <v>118912.11</v>
      </c>
      <c r="I1182" s="13" t="s">
        <v>17</v>
      </c>
      <c r="J1182" s="14" t="s">
        <v>18</v>
      </c>
      <c r="K1182" s="14">
        <v>1034</v>
      </c>
      <c r="L1182" s="15">
        <v>45397</v>
      </c>
      <c r="M1182" s="16">
        <v>5</v>
      </c>
      <c r="N11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2" s="31">
        <f>IF(Table64[[#This Row],[date validity flag]]&lt;&gt;"Valid","",Table64[[#This Row],[shipment date ]]-Table64[[#This Row],[Order date]])</f>
        <v>60</v>
      </c>
      <c r="P1182" s="27" t="str">
        <f>TEXT(Table64[[#This Row],[Order date]],"mmm-yyyy")</f>
        <v>Feb-2024</v>
      </c>
      <c r="Q1182" s="16" t="str">
        <f t="shared" si="18"/>
        <v>Delayed</v>
      </c>
    </row>
    <row r="1183" spans="1:17" x14ac:dyDescent="0.3">
      <c r="A1183" s="17">
        <v>11182</v>
      </c>
      <c r="B1183" s="4">
        <v>5534</v>
      </c>
      <c r="C1183" s="4" t="s">
        <v>12</v>
      </c>
      <c r="D1183" s="5">
        <v>80885.8</v>
      </c>
      <c r="E1183" s="4">
        <v>16</v>
      </c>
      <c r="F1183" s="4" t="s">
        <v>22</v>
      </c>
      <c r="G1183" s="6">
        <v>45361</v>
      </c>
      <c r="H1183" s="5">
        <v>28625.15</v>
      </c>
      <c r="I1183" s="18" t="s">
        <v>17</v>
      </c>
      <c r="J1183" s="14" t="s">
        <v>19</v>
      </c>
      <c r="K1183" s="14">
        <v>1161</v>
      </c>
      <c r="L1183" s="15">
        <v>45361</v>
      </c>
      <c r="M1183" s="16">
        <v>3</v>
      </c>
      <c r="N11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3" s="31">
        <f>IF(Table64[[#This Row],[date validity flag]]&lt;&gt;"Valid","",Table64[[#This Row],[shipment date ]]-Table64[[#This Row],[Order date]])</f>
        <v>0</v>
      </c>
      <c r="P1183" s="27" t="str">
        <f>TEXT(Table64[[#This Row],[Order date]],"mmm-yyyy")</f>
        <v>Mar-2024</v>
      </c>
      <c r="Q1183" s="16" t="str">
        <f t="shared" si="18"/>
        <v>On Time</v>
      </c>
    </row>
    <row r="1184" spans="1:17" x14ac:dyDescent="0.3">
      <c r="A1184" s="12">
        <v>11183</v>
      </c>
      <c r="B1184" s="1">
        <v>6429</v>
      </c>
      <c r="C1184" s="1" t="s">
        <v>12</v>
      </c>
      <c r="D1184" s="2">
        <v>81112.33</v>
      </c>
      <c r="E1184" s="1">
        <v>80</v>
      </c>
      <c r="F1184" s="1" t="s">
        <v>23</v>
      </c>
      <c r="G1184" s="3">
        <v>45361</v>
      </c>
      <c r="H1184" s="2">
        <v>61442.09</v>
      </c>
      <c r="I1184" s="13" t="s">
        <v>17</v>
      </c>
      <c r="J1184" s="14" t="s">
        <v>15</v>
      </c>
      <c r="K1184" s="14">
        <v>1386</v>
      </c>
      <c r="L1184" s="15">
        <v>45397</v>
      </c>
      <c r="M1184" s="16">
        <v>12</v>
      </c>
      <c r="N11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4" s="31">
        <f>IF(Table64[[#This Row],[date validity flag]]&lt;&gt;"Valid","",Table64[[#This Row],[shipment date ]]-Table64[[#This Row],[Order date]])</f>
        <v>36</v>
      </c>
      <c r="P1184" s="27" t="str">
        <f>TEXT(Table64[[#This Row],[Order date]],"mmm-yyyy")</f>
        <v>Mar-2024</v>
      </c>
      <c r="Q1184" s="16" t="str">
        <f t="shared" si="18"/>
        <v>Delayed</v>
      </c>
    </row>
    <row r="1185" spans="1:17" x14ac:dyDescent="0.3">
      <c r="A1185" s="17">
        <v>11184</v>
      </c>
      <c r="B1185" s="4">
        <v>5838</v>
      </c>
      <c r="C1185" s="4" t="s">
        <v>16</v>
      </c>
      <c r="D1185" s="5">
        <v>71938.98</v>
      </c>
      <c r="E1185" s="4">
        <v>43</v>
      </c>
      <c r="F1185" s="4" t="s">
        <v>21</v>
      </c>
      <c r="G1185" s="6">
        <v>45306</v>
      </c>
      <c r="H1185" s="5">
        <v>56367.82</v>
      </c>
      <c r="I1185" s="18" t="s">
        <v>14</v>
      </c>
      <c r="J1185" s="14" t="s">
        <v>18</v>
      </c>
      <c r="K1185" s="14">
        <v>1139</v>
      </c>
      <c r="L1185" s="15">
        <v>45332</v>
      </c>
      <c r="M1185" s="16">
        <v>14</v>
      </c>
      <c r="N11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5" s="31">
        <f>IF(Table64[[#This Row],[date validity flag]]&lt;&gt;"Valid","",Table64[[#This Row],[shipment date ]]-Table64[[#This Row],[Order date]])</f>
        <v>26</v>
      </c>
      <c r="P1185" s="27" t="str">
        <f>TEXT(Table64[[#This Row],[Order date]],"mmm-yyyy")</f>
        <v>Jan-2024</v>
      </c>
      <c r="Q1185" s="16" t="str">
        <f t="shared" si="18"/>
        <v>Delayed</v>
      </c>
    </row>
    <row r="1186" spans="1:17" x14ac:dyDescent="0.3">
      <c r="A1186" s="12">
        <v>11185</v>
      </c>
      <c r="B1186" s="1">
        <v>6537</v>
      </c>
      <c r="C1186" s="1" t="s">
        <v>12</v>
      </c>
      <c r="D1186" s="2">
        <v>36711.39</v>
      </c>
      <c r="E1186" s="1">
        <v>77</v>
      </c>
      <c r="F1186" s="1" t="s">
        <v>21</v>
      </c>
      <c r="G1186" s="3">
        <v>45383</v>
      </c>
      <c r="H1186" s="2">
        <v>33540.19</v>
      </c>
      <c r="I1186" s="13" t="s">
        <v>17</v>
      </c>
      <c r="J1186" s="14" t="s">
        <v>19</v>
      </c>
      <c r="K1186" s="14">
        <v>711</v>
      </c>
      <c r="L1186" s="15">
        <v>45361</v>
      </c>
      <c r="M1186" s="16">
        <v>9</v>
      </c>
      <c r="N11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86" s="31" t="str">
        <f>IF(Table64[[#This Row],[date validity flag]]&lt;&gt;"Valid","",Table64[[#This Row],[shipment date ]]-Table64[[#This Row],[Order date]])</f>
        <v/>
      </c>
      <c r="P1186" s="27" t="str">
        <f>TEXT(Table64[[#This Row],[Order date]],"mmm-yyyy")</f>
        <v>Apr-2024</v>
      </c>
      <c r="Q1186" s="16" t="str">
        <f t="shared" si="18"/>
        <v/>
      </c>
    </row>
    <row r="1187" spans="1:17" x14ac:dyDescent="0.3">
      <c r="A1187" s="17">
        <v>11186</v>
      </c>
      <c r="B1187" s="4">
        <v>5645</v>
      </c>
      <c r="C1187" s="4" t="s">
        <v>16</v>
      </c>
      <c r="D1187" s="5">
        <v>69124.649999999994</v>
      </c>
      <c r="E1187" s="4">
        <v>7</v>
      </c>
      <c r="F1187" s="4" t="s">
        <v>22</v>
      </c>
      <c r="G1187" s="6">
        <v>45337</v>
      </c>
      <c r="H1187" s="5">
        <v>148294.42000000001</v>
      </c>
      <c r="I1187" s="18" t="s">
        <v>14</v>
      </c>
      <c r="J1187" s="14" t="s">
        <v>18</v>
      </c>
      <c r="K1187" s="14">
        <v>1093</v>
      </c>
      <c r="L1187" s="15">
        <v>45397</v>
      </c>
      <c r="M1187" s="16">
        <v>14</v>
      </c>
      <c r="N11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7" s="31">
        <f>IF(Table64[[#This Row],[date validity flag]]&lt;&gt;"Valid","",Table64[[#This Row],[shipment date ]]-Table64[[#This Row],[Order date]])</f>
        <v>60</v>
      </c>
      <c r="P1187" s="27" t="str">
        <f>TEXT(Table64[[#This Row],[Order date]],"mmm-yyyy")</f>
        <v>Feb-2024</v>
      </c>
      <c r="Q1187" s="16" t="str">
        <f t="shared" si="18"/>
        <v>Delayed</v>
      </c>
    </row>
    <row r="1188" spans="1:17" x14ac:dyDescent="0.3">
      <c r="A1188" s="12">
        <v>11187</v>
      </c>
      <c r="B1188" s="1">
        <v>5233</v>
      </c>
      <c r="C1188" s="1" t="s">
        <v>16</v>
      </c>
      <c r="D1188" s="2">
        <v>9091.14</v>
      </c>
      <c r="E1188" s="1">
        <v>51</v>
      </c>
      <c r="F1188" s="1" t="s">
        <v>13</v>
      </c>
      <c r="G1188" s="3">
        <v>45383</v>
      </c>
      <c r="H1188" s="2">
        <v>109650.82</v>
      </c>
      <c r="I1188" s="13" t="s">
        <v>17</v>
      </c>
      <c r="J1188" s="14" t="s">
        <v>19</v>
      </c>
      <c r="K1188" s="14">
        <v>82</v>
      </c>
      <c r="L1188" s="15">
        <v>45397</v>
      </c>
      <c r="M1188" s="16">
        <v>7</v>
      </c>
      <c r="N11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8" s="31">
        <f>IF(Table64[[#This Row],[date validity flag]]&lt;&gt;"Valid","",Table64[[#This Row],[shipment date ]]-Table64[[#This Row],[Order date]])</f>
        <v>14</v>
      </c>
      <c r="P1188" s="27" t="str">
        <f>TEXT(Table64[[#This Row],[Order date]],"mmm-yyyy")</f>
        <v>Apr-2024</v>
      </c>
      <c r="Q1188" s="16" t="str">
        <f t="shared" si="18"/>
        <v>Delayed</v>
      </c>
    </row>
    <row r="1189" spans="1:17" x14ac:dyDescent="0.3">
      <c r="A1189" s="17">
        <v>11188</v>
      </c>
      <c r="B1189" s="4">
        <v>5524</v>
      </c>
      <c r="C1189" s="4" t="s">
        <v>16</v>
      </c>
      <c r="D1189" s="5">
        <v>62825.72</v>
      </c>
      <c r="E1189" s="4">
        <v>73</v>
      </c>
      <c r="F1189" s="4" t="s">
        <v>21</v>
      </c>
      <c r="G1189" s="6">
        <v>45337</v>
      </c>
      <c r="H1189" s="5">
        <v>55928.95</v>
      </c>
      <c r="I1189" s="18" t="s">
        <v>20</v>
      </c>
      <c r="J1189" s="14" t="s">
        <v>19</v>
      </c>
      <c r="K1189" s="14">
        <v>607</v>
      </c>
      <c r="L1189" s="15">
        <v>45361</v>
      </c>
      <c r="M1189" s="16">
        <v>11</v>
      </c>
      <c r="N11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89" s="31">
        <f>IF(Table64[[#This Row],[date validity flag]]&lt;&gt;"Valid","",Table64[[#This Row],[shipment date ]]-Table64[[#This Row],[Order date]])</f>
        <v>24</v>
      </c>
      <c r="P1189" s="27" t="str">
        <f>TEXT(Table64[[#This Row],[Order date]],"mmm-yyyy")</f>
        <v>Feb-2024</v>
      </c>
      <c r="Q1189" s="16" t="str">
        <f t="shared" si="18"/>
        <v>Delayed</v>
      </c>
    </row>
    <row r="1190" spans="1:17" x14ac:dyDescent="0.3">
      <c r="A1190" s="12">
        <v>11189</v>
      </c>
      <c r="B1190" s="1">
        <v>5346</v>
      </c>
      <c r="C1190" s="1" t="s">
        <v>16</v>
      </c>
      <c r="D1190" s="2">
        <v>77168.31</v>
      </c>
      <c r="E1190" s="1">
        <v>32</v>
      </c>
      <c r="F1190" s="1" t="s">
        <v>13</v>
      </c>
      <c r="G1190" s="3">
        <v>45337</v>
      </c>
      <c r="H1190" s="2">
        <v>113176.65</v>
      </c>
      <c r="I1190" s="13" t="s">
        <v>17</v>
      </c>
      <c r="J1190" s="14" t="s">
        <v>18</v>
      </c>
      <c r="K1190" s="14">
        <v>122</v>
      </c>
      <c r="L1190" s="15">
        <v>45397</v>
      </c>
      <c r="M1190" s="16">
        <v>10</v>
      </c>
      <c r="N11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90" s="31">
        <f>IF(Table64[[#This Row],[date validity flag]]&lt;&gt;"Valid","",Table64[[#This Row],[shipment date ]]-Table64[[#This Row],[Order date]])</f>
        <v>60</v>
      </c>
      <c r="P1190" s="27" t="str">
        <f>TEXT(Table64[[#This Row],[Order date]],"mmm-yyyy")</f>
        <v>Feb-2024</v>
      </c>
      <c r="Q1190" s="16" t="str">
        <f t="shared" si="18"/>
        <v>Delayed</v>
      </c>
    </row>
    <row r="1191" spans="1:17" x14ac:dyDescent="0.3">
      <c r="A1191" s="17">
        <v>11190</v>
      </c>
      <c r="B1191" s="4">
        <v>6070</v>
      </c>
      <c r="C1191" s="4" t="s">
        <v>12</v>
      </c>
      <c r="D1191" s="5">
        <v>38692.94</v>
      </c>
      <c r="E1191" s="4">
        <v>75</v>
      </c>
      <c r="F1191" s="4" t="s">
        <v>21</v>
      </c>
      <c r="G1191" s="6">
        <v>45383</v>
      </c>
      <c r="H1191" s="5">
        <v>113168.79</v>
      </c>
      <c r="I1191" s="18" t="s">
        <v>17</v>
      </c>
      <c r="J1191" s="14" t="s">
        <v>18</v>
      </c>
      <c r="K1191" s="14">
        <v>874</v>
      </c>
      <c r="L1191" s="15">
        <v>45397</v>
      </c>
      <c r="M1191" s="16">
        <v>10</v>
      </c>
      <c r="N11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91" s="31">
        <f>IF(Table64[[#This Row],[date validity flag]]&lt;&gt;"Valid","",Table64[[#This Row],[shipment date ]]-Table64[[#This Row],[Order date]])</f>
        <v>14</v>
      </c>
      <c r="P1191" s="27" t="str">
        <f>TEXT(Table64[[#This Row],[Order date]],"mmm-yyyy")</f>
        <v>Apr-2024</v>
      </c>
      <c r="Q1191" s="16" t="str">
        <f t="shared" si="18"/>
        <v>Delayed</v>
      </c>
    </row>
    <row r="1192" spans="1:17" x14ac:dyDescent="0.3">
      <c r="A1192" s="12">
        <v>11191</v>
      </c>
      <c r="B1192" s="1">
        <v>5546</v>
      </c>
      <c r="C1192" s="1" t="s">
        <v>16</v>
      </c>
      <c r="D1192" s="2">
        <v>58454.53</v>
      </c>
      <c r="E1192" s="1">
        <v>8</v>
      </c>
      <c r="F1192" s="1" t="s">
        <v>21</v>
      </c>
      <c r="G1192" s="3">
        <v>45361</v>
      </c>
      <c r="H1192" s="2">
        <v>59604.800000000003</v>
      </c>
      <c r="I1192" s="13" t="s">
        <v>17</v>
      </c>
      <c r="J1192" s="14" t="s">
        <v>19</v>
      </c>
      <c r="K1192" s="14">
        <v>1416</v>
      </c>
      <c r="L1192" s="15">
        <v>45332</v>
      </c>
      <c r="M1192" s="16">
        <v>8</v>
      </c>
      <c r="N119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92" s="31" t="str">
        <f>IF(Table64[[#This Row],[date validity flag]]&lt;&gt;"Valid","",Table64[[#This Row],[shipment date ]]-Table64[[#This Row],[Order date]])</f>
        <v/>
      </c>
      <c r="P1192" s="27" t="str">
        <f>TEXT(Table64[[#This Row],[Order date]],"mmm-yyyy")</f>
        <v>Mar-2024</v>
      </c>
      <c r="Q1192" s="16" t="str">
        <f t="shared" si="18"/>
        <v/>
      </c>
    </row>
    <row r="1193" spans="1:17" x14ac:dyDescent="0.3">
      <c r="A1193" s="17">
        <v>11192</v>
      </c>
      <c r="B1193" s="4">
        <v>6969</v>
      </c>
      <c r="C1193" s="4" t="s">
        <v>16</v>
      </c>
      <c r="D1193" s="5">
        <v>44418.67</v>
      </c>
      <c r="E1193" s="4">
        <v>97</v>
      </c>
      <c r="F1193" s="4" t="s">
        <v>13</v>
      </c>
      <c r="G1193" s="6">
        <v>45306</v>
      </c>
      <c r="H1193" s="5">
        <v>44880.959999999999</v>
      </c>
      <c r="I1193" s="18" t="s">
        <v>14</v>
      </c>
      <c r="J1193" s="14" t="s">
        <v>15</v>
      </c>
      <c r="K1193" s="14">
        <v>1206</v>
      </c>
      <c r="L1193" s="15">
        <v>45332</v>
      </c>
      <c r="M1193" s="16">
        <v>14</v>
      </c>
      <c r="N11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93" s="31">
        <f>IF(Table64[[#This Row],[date validity flag]]&lt;&gt;"Valid","",Table64[[#This Row],[shipment date ]]-Table64[[#This Row],[Order date]])</f>
        <v>26</v>
      </c>
      <c r="P1193" s="27" t="str">
        <f>TEXT(Table64[[#This Row],[Order date]],"mmm-yyyy")</f>
        <v>Jan-2024</v>
      </c>
      <c r="Q1193" s="16" t="str">
        <f t="shared" si="18"/>
        <v>Delayed</v>
      </c>
    </row>
    <row r="1194" spans="1:17" x14ac:dyDescent="0.3">
      <c r="A1194" s="12">
        <v>11193</v>
      </c>
      <c r="B1194" s="1">
        <v>6102</v>
      </c>
      <c r="C1194" s="1" t="s">
        <v>16</v>
      </c>
      <c r="D1194" s="2">
        <v>88116.08</v>
      </c>
      <c r="E1194" s="1">
        <v>87</v>
      </c>
      <c r="F1194" s="1" t="s">
        <v>23</v>
      </c>
      <c r="G1194" s="3">
        <v>45337</v>
      </c>
      <c r="H1194" s="2">
        <v>127971.32</v>
      </c>
      <c r="I1194" s="13" t="s">
        <v>20</v>
      </c>
      <c r="J1194" s="14" t="s">
        <v>18</v>
      </c>
      <c r="K1194" s="14">
        <v>1128</v>
      </c>
      <c r="L1194" s="15">
        <v>45332</v>
      </c>
      <c r="M1194" s="16">
        <v>6</v>
      </c>
      <c r="N119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94" s="31" t="str">
        <f>IF(Table64[[#This Row],[date validity flag]]&lt;&gt;"Valid","",Table64[[#This Row],[shipment date ]]-Table64[[#This Row],[Order date]])</f>
        <v/>
      </c>
      <c r="P1194" s="27" t="str">
        <f>TEXT(Table64[[#This Row],[Order date]],"mmm-yyyy")</f>
        <v>Feb-2024</v>
      </c>
      <c r="Q1194" s="16" t="str">
        <f t="shared" si="18"/>
        <v/>
      </c>
    </row>
    <row r="1195" spans="1:17" x14ac:dyDescent="0.3">
      <c r="A1195" s="17">
        <v>11194</v>
      </c>
      <c r="B1195" s="4">
        <v>6754</v>
      </c>
      <c r="C1195" s="4" t="s">
        <v>12</v>
      </c>
      <c r="D1195" s="5">
        <v>66729.13</v>
      </c>
      <c r="E1195" s="4">
        <v>89</v>
      </c>
      <c r="F1195" s="4" t="s">
        <v>21</v>
      </c>
      <c r="G1195" s="6">
        <v>45361</v>
      </c>
      <c r="H1195" s="5">
        <v>178711.76</v>
      </c>
      <c r="I1195" s="18" t="s">
        <v>14</v>
      </c>
      <c r="J1195" s="14" t="s">
        <v>19</v>
      </c>
      <c r="K1195" s="14">
        <v>110</v>
      </c>
      <c r="L1195" s="15">
        <v>45332</v>
      </c>
      <c r="M1195" s="16">
        <v>12</v>
      </c>
      <c r="N119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95" s="31" t="str">
        <f>IF(Table64[[#This Row],[date validity flag]]&lt;&gt;"Valid","",Table64[[#This Row],[shipment date ]]-Table64[[#This Row],[Order date]])</f>
        <v/>
      </c>
      <c r="P1195" s="27" t="str">
        <f>TEXT(Table64[[#This Row],[Order date]],"mmm-yyyy")</f>
        <v>Mar-2024</v>
      </c>
      <c r="Q1195" s="16" t="str">
        <f t="shared" si="18"/>
        <v/>
      </c>
    </row>
    <row r="1196" spans="1:17" x14ac:dyDescent="0.3">
      <c r="A1196" s="12">
        <v>11195</v>
      </c>
      <c r="B1196" s="1">
        <v>6837</v>
      </c>
      <c r="C1196" s="1" t="s">
        <v>16</v>
      </c>
      <c r="D1196" s="2">
        <v>12040.58</v>
      </c>
      <c r="E1196" s="1">
        <v>72</v>
      </c>
      <c r="F1196" s="1" t="s">
        <v>21</v>
      </c>
      <c r="G1196" s="3">
        <v>45337</v>
      </c>
      <c r="H1196" s="2">
        <v>71194.66</v>
      </c>
      <c r="I1196" s="13" t="s">
        <v>20</v>
      </c>
      <c r="J1196" s="14" t="s">
        <v>19</v>
      </c>
      <c r="K1196" s="14">
        <v>321</v>
      </c>
      <c r="L1196" s="15">
        <v>45332</v>
      </c>
      <c r="M1196" s="16">
        <v>14</v>
      </c>
      <c r="N119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196" s="31" t="str">
        <f>IF(Table64[[#This Row],[date validity flag]]&lt;&gt;"Valid","",Table64[[#This Row],[shipment date ]]-Table64[[#This Row],[Order date]])</f>
        <v/>
      </c>
      <c r="P1196" s="27" t="str">
        <f>TEXT(Table64[[#This Row],[Order date]],"mmm-yyyy")</f>
        <v>Feb-2024</v>
      </c>
      <c r="Q1196" s="16" t="str">
        <f t="shared" si="18"/>
        <v/>
      </c>
    </row>
    <row r="1197" spans="1:17" x14ac:dyDescent="0.3">
      <c r="A1197" s="17">
        <v>11196</v>
      </c>
      <c r="B1197" s="4">
        <v>6947</v>
      </c>
      <c r="C1197" s="4" t="s">
        <v>16</v>
      </c>
      <c r="D1197" s="5">
        <v>51703.73</v>
      </c>
      <c r="E1197" s="4">
        <v>45</v>
      </c>
      <c r="F1197" s="4" t="s">
        <v>13</v>
      </c>
      <c r="G1197" s="6">
        <v>45306</v>
      </c>
      <c r="H1197" s="5">
        <v>173109.2</v>
      </c>
      <c r="I1197" s="18" t="s">
        <v>17</v>
      </c>
      <c r="J1197" s="14" t="s">
        <v>15</v>
      </c>
      <c r="K1197" s="14">
        <v>295</v>
      </c>
      <c r="L1197" s="15">
        <v>45332</v>
      </c>
      <c r="M1197" s="16">
        <v>11</v>
      </c>
      <c r="N11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97" s="31">
        <f>IF(Table64[[#This Row],[date validity flag]]&lt;&gt;"Valid","",Table64[[#This Row],[shipment date ]]-Table64[[#This Row],[Order date]])</f>
        <v>26</v>
      </c>
      <c r="P1197" s="27" t="str">
        <f>TEXT(Table64[[#This Row],[Order date]],"mmm-yyyy")</f>
        <v>Jan-2024</v>
      </c>
      <c r="Q1197" s="16" t="str">
        <f t="shared" si="18"/>
        <v>Delayed</v>
      </c>
    </row>
    <row r="1198" spans="1:17" x14ac:dyDescent="0.3">
      <c r="A1198" s="12">
        <v>11197</v>
      </c>
      <c r="B1198" s="1">
        <v>6097</v>
      </c>
      <c r="C1198" s="1" t="s">
        <v>12</v>
      </c>
      <c r="D1198" s="2">
        <v>74545.5</v>
      </c>
      <c r="E1198" s="1">
        <v>86</v>
      </c>
      <c r="F1198" s="1" t="s">
        <v>23</v>
      </c>
      <c r="G1198" s="3">
        <v>45337</v>
      </c>
      <c r="H1198" s="2">
        <v>39828.31</v>
      </c>
      <c r="I1198" s="13" t="s">
        <v>17</v>
      </c>
      <c r="J1198" s="14" t="s">
        <v>15</v>
      </c>
      <c r="K1198" s="14">
        <v>1249</v>
      </c>
      <c r="L1198" s="15">
        <v>45361</v>
      </c>
      <c r="M1198" s="16">
        <v>14</v>
      </c>
      <c r="N11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98" s="31">
        <f>IF(Table64[[#This Row],[date validity flag]]&lt;&gt;"Valid","",Table64[[#This Row],[shipment date ]]-Table64[[#This Row],[Order date]])</f>
        <v>24</v>
      </c>
      <c r="P1198" s="27" t="str">
        <f>TEXT(Table64[[#This Row],[Order date]],"mmm-yyyy")</f>
        <v>Feb-2024</v>
      </c>
      <c r="Q1198" s="16" t="str">
        <f t="shared" si="18"/>
        <v>Delayed</v>
      </c>
    </row>
    <row r="1199" spans="1:17" x14ac:dyDescent="0.3">
      <c r="A1199" s="17">
        <v>11198</v>
      </c>
      <c r="B1199" s="4">
        <v>5794</v>
      </c>
      <c r="C1199" s="4" t="s">
        <v>16</v>
      </c>
      <c r="D1199" s="5">
        <v>11304.9</v>
      </c>
      <c r="E1199" s="4">
        <v>59</v>
      </c>
      <c r="F1199" s="4" t="s">
        <v>21</v>
      </c>
      <c r="G1199" s="6">
        <v>45306</v>
      </c>
      <c r="H1199" s="5">
        <v>132058.63</v>
      </c>
      <c r="I1199" s="18" t="s">
        <v>17</v>
      </c>
      <c r="J1199" s="14" t="s">
        <v>15</v>
      </c>
      <c r="K1199" s="14">
        <v>677</v>
      </c>
      <c r="L1199" s="15">
        <v>45332</v>
      </c>
      <c r="M1199" s="16">
        <v>5</v>
      </c>
      <c r="N11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199" s="31">
        <f>IF(Table64[[#This Row],[date validity flag]]&lt;&gt;"Valid","",Table64[[#This Row],[shipment date ]]-Table64[[#This Row],[Order date]])</f>
        <v>26</v>
      </c>
      <c r="P1199" s="27" t="str">
        <f>TEXT(Table64[[#This Row],[Order date]],"mmm-yyyy")</f>
        <v>Jan-2024</v>
      </c>
      <c r="Q1199" s="16" t="str">
        <f t="shared" si="18"/>
        <v>Delayed</v>
      </c>
    </row>
    <row r="1200" spans="1:17" x14ac:dyDescent="0.3">
      <c r="A1200" s="12">
        <v>11199</v>
      </c>
      <c r="B1200" s="1">
        <v>5249</v>
      </c>
      <c r="C1200" s="1" t="s">
        <v>12</v>
      </c>
      <c r="D1200" s="2">
        <v>39667.61</v>
      </c>
      <c r="E1200" s="1">
        <v>4</v>
      </c>
      <c r="F1200" s="1" t="s">
        <v>21</v>
      </c>
      <c r="G1200" s="3">
        <v>45306</v>
      </c>
      <c r="H1200" s="2">
        <v>151723.96</v>
      </c>
      <c r="I1200" s="13" t="s">
        <v>14</v>
      </c>
      <c r="J1200" s="14" t="s">
        <v>18</v>
      </c>
      <c r="K1200" s="14">
        <v>1390</v>
      </c>
      <c r="L1200" s="15">
        <v>45397</v>
      </c>
      <c r="M1200" s="16">
        <v>8</v>
      </c>
      <c r="N12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0" s="31">
        <f>IF(Table64[[#This Row],[date validity flag]]&lt;&gt;"Valid","",Table64[[#This Row],[shipment date ]]-Table64[[#This Row],[Order date]])</f>
        <v>91</v>
      </c>
      <c r="P1200" s="27" t="str">
        <f>TEXT(Table64[[#This Row],[Order date]],"mmm-yyyy")</f>
        <v>Jan-2024</v>
      </c>
      <c r="Q1200" s="16" t="str">
        <f t="shared" si="18"/>
        <v>Delayed</v>
      </c>
    </row>
    <row r="1201" spans="1:17" x14ac:dyDescent="0.3">
      <c r="A1201" s="17">
        <v>11200</v>
      </c>
      <c r="B1201" s="4">
        <v>5047</v>
      </c>
      <c r="C1201" s="4" t="s">
        <v>16</v>
      </c>
      <c r="D1201" s="5">
        <v>61808.57</v>
      </c>
      <c r="E1201" s="4">
        <v>67</v>
      </c>
      <c r="F1201" s="4" t="s">
        <v>23</v>
      </c>
      <c r="G1201" s="6">
        <v>45337</v>
      </c>
      <c r="H1201" s="5">
        <v>170234</v>
      </c>
      <c r="I1201" s="18" t="s">
        <v>17</v>
      </c>
      <c r="J1201" s="14" t="s">
        <v>19</v>
      </c>
      <c r="K1201" s="14">
        <v>754</v>
      </c>
      <c r="L1201" s="15">
        <v>45361</v>
      </c>
      <c r="M1201" s="16">
        <v>3</v>
      </c>
      <c r="N120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1" s="31">
        <f>IF(Table64[[#This Row],[date validity flag]]&lt;&gt;"Valid","",Table64[[#This Row],[shipment date ]]-Table64[[#This Row],[Order date]])</f>
        <v>24</v>
      </c>
      <c r="P1201" s="27" t="str">
        <f>TEXT(Table64[[#This Row],[Order date]],"mmm-yyyy")</f>
        <v>Feb-2024</v>
      </c>
      <c r="Q1201" s="16" t="str">
        <f t="shared" si="18"/>
        <v>Delayed</v>
      </c>
    </row>
    <row r="1202" spans="1:17" x14ac:dyDescent="0.3">
      <c r="A1202" s="12">
        <v>11201</v>
      </c>
      <c r="B1202" s="1">
        <v>6145</v>
      </c>
      <c r="C1202" s="1" t="s">
        <v>16</v>
      </c>
      <c r="D1202" s="2">
        <v>19327.73</v>
      </c>
      <c r="E1202" s="1">
        <v>29</v>
      </c>
      <c r="F1202" s="1" t="s">
        <v>21</v>
      </c>
      <c r="G1202" s="3">
        <v>45337</v>
      </c>
      <c r="H1202" s="2">
        <v>112264.11</v>
      </c>
      <c r="I1202" s="13" t="s">
        <v>14</v>
      </c>
      <c r="J1202" s="14" t="s">
        <v>19</v>
      </c>
      <c r="K1202" s="14">
        <v>711</v>
      </c>
      <c r="L1202" s="15">
        <v>45397</v>
      </c>
      <c r="M1202" s="16">
        <v>12</v>
      </c>
      <c r="N12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2" s="31">
        <f>IF(Table64[[#This Row],[date validity flag]]&lt;&gt;"Valid","",Table64[[#This Row],[shipment date ]]-Table64[[#This Row],[Order date]])</f>
        <v>60</v>
      </c>
      <c r="P1202" s="27" t="str">
        <f>TEXT(Table64[[#This Row],[Order date]],"mmm-yyyy")</f>
        <v>Feb-2024</v>
      </c>
      <c r="Q1202" s="16" t="str">
        <f t="shared" si="18"/>
        <v>Delayed</v>
      </c>
    </row>
    <row r="1203" spans="1:17" x14ac:dyDescent="0.3">
      <c r="A1203" s="17">
        <v>11202</v>
      </c>
      <c r="B1203" s="4">
        <v>5214</v>
      </c>
      <c r="C1203" s="4" t="s">
        <v>16</v>
      </c>
      <c r="D1203" s="5">
        <v>70950</v>
      </c>
      <c r="E1203" s="4">
        <v>29</v>
      </c>
      <c r="F1203" s="4" t="s">
        <v>23</v>
      </c>
      <c r="G1203" s="6">
        <v>45306</v>
      </c>
      <c r="H1203" s="5">
        <v>169427.04</v>
      </c>
      <c r="I1203" s="18" t="s">
        <v>14</v>
      </c>
      <c r="J1203" s="14" t="s">
        <v>19</v>
      </c>
      <c r="K1203" s="14">
        <v>1204</v>
      </c>
      <c r="L1203" s="15">
        <v>45332</v>
      </c>
      <c r="M1203" s="16">
        <v>13</v>
      </c>
      <c r="N12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3" s="31">
        <f>IF(Table64[[#This Row],[date validity flag]]&lt;&gt;"Valid","",Table64[[#This Row],[shipment date ]]-Table64[[#This Row],[Order date]])</f>
        <v>26</v>
      </c>
      <c r="P1203" s="27" t="str">
        <f>TEXT(Table64[[#This Row],[Order date]],"mmm-yyyy")</f>
        <v>Jan-2024</v>
      </c>
      <c r="Q1203" s="16" t="str">
        <f t="shared" si="18"/>
        <v>Delayed</v>
      </c>
    </row>
    <row r="1204" spans="1:17" x14ac:dyDescent="0.3">
      <c r="A1204" s="12">
        <v>11203</v>
      </c>
      <c r="B1204" s="1">
        <v>5239</v>
      </c>
      <c r="C1204" s="1" t="s">
        <v>16</v>
      </c>
      <c r="D1204" s="2">
        <v>87953.16</v>
      </c>
      <c r="E1204" s="1">
        <v>98</v>
      </c>
      <c r="F1204" s="1" t="s">
        <v>23</v>
      </c>
      <c r="G1204" s="3">
        <v>45361</v>
      </c>
      <c r="H1204" s="2">
        <v>120320.48</v>
      </c>
      <c r="I1204" s="13" t="s">
        <v>20</v>
      </c>
      <c r="J1204" s="14" t="s">
        <v>15</v>
      </c>
      <c r="K1204" s="14">
        <v>1175</v>
      </c>
      <c r="L1204" s="15">
        <v>45332</v>
      </c>
      <c r="M1204" s="16">
        <v>13</v>
      </c>
      <c r="N120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04" s="31" t="str">
        <f>IF(Table64[[#This Row],[date validity flag]]&lt;&gt;"Valid","",Table64[[#This Row],[shipment date ]]-Table64[[#This Row],[Order date]])</f>
        <v/>
      </c>
      <c r="P1204" s="27" t="str">
        <f>TEXT(Table64[[#This Row],[Order date]],"mmm-yyyy")</f>
        <v>Mar-2024</v>
      </c>
      <c r="Q1204" s="16" t="str">
        <f t="shared" si="18"/>
        <v/>
      </c>
    </row>
    <row r="1205" spans="1:17" x14ac:dyDescent="0.3">
      <c r="A1205" s="17">
        <v>11204</v>
      </c>
      <c r="B1205" s="4">
        <v>6080</v>
      </c>
      <c r="C1205" s="4" t="s">
        <v>16</v>
      </c>
      <c r="D1205" s="5">
        <v>65647.47</v>
      </c>
      <c r="E1205" s="4">
        <v>98</v>
      </c>
      <c r="F1205" s="4" t="s">
        <v>13</v>
      </c>
      <c r="G1205" s="6">
        <v>45383</v>
      </c>
      <c r="H1205" s="5">
        <v>107337.24</v>
      </c>
      <c r="I1205" s="18" t="s">
        <v>14</v>
      </c>
      <c r="J1205" s="14" t="s">
        <v>19</v>
      </c>
      <c r="K1205" s="14">
        <v>359</v>
      </c>
      <c r="L1205" s="15">
        <v>45397</v>
      </c>
      <c r="M1205" s="16">
        <v>7</v>
      </c>
      <c r="N12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5" s="31">
        <f>IF(Table64[[#This Row],[date validity flag]]&lt;&gt;"Valid","",Table64[[#This Row],[shipment date ]]-Table64[[#This Row],[Order date]])</f>
        <v>14</v>
      </c>
      <c r="P1205" s="27" t="str">
        <f>TEXT(Table64[[#This Row],[Order date]],"mmm-yyyy")</f>
        <v>Apr-2024</v>
      </c>
      <c r="Q1205" s="16" t="str">
        <f t="shared" si="18"/>
        <v>Delayed</v>
      </c>
    </row>
    <row r="1206" spans="1:17" x14ac:dyDescent="0.3">
      <c r="A1206" s="12">
        <v>11205</v>
      </c>
      <c r="B1206" s="1">
        <v>5350</v>
      </c>
      <c r="C1206" s="1" t="s">
        <v>12</v>
      </c>
      <c r="D1206" s="2">
        <v>69201.009999999995</v>
      </c>
      <c r="E1206" s="1">
        <v>28</v>
      </c>
      <c r="F1206" s="1" t="s">
        <v>22</v>
      </c>
      <c r="G1206" s="3">
        <v>45306</v>
      </c>
      <c r="H1206" s="2">
        <v>125380.06</v>
      </c>
      <c r="I1206" s="13" t="s">
        <v>20</v>
      </c>
      <c r="J1206" s="14" t="s">
        <v>18</v>
      </c>
      <c r="K1206" s="14">
        <v>1365</v>
      </c>
      <c r="L1206" s="15">
        <v>45397</v>
      </c>
      <c r="M1206" s="16">
        <v>2</v>
      </c>
      <c r="N12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6" s="31">
        <f>IF(Table64[[#This Row],[date validity flag]]&lt;&gt;"Valid","",Table64[[#This Row],[shipment date ]]-Table64[[#This Row],[Order date]])</f>
        <v>91</v>
      </c>
      <c r="P1206" s="27" t="str">
        <f>TEXT(Table64[[#This Row],[Order date]],"mmm-yyyy")</f>
        <v>Jan-2024</v>
      </c>
      <c r="Q1206" s="16" t="str">
        <f t="shared" si="18"/>
        <v>Delayed</v>
      </c>
    </row>
    <row r="1207" spans="1:17" x14ac:dyDescent="0.3">
      <c r="A1207" s="17">
        <v>11206</v>
      </c>
      <c r="B1207" s="4">
        <v>5107</v>
      </c>
      <c r="C1207" s="4" t="s">
        <v>16</v>
      </c>
      <c r="D1207" s="5">
        <v>28235.17</v>
      </c>
      <c r="E1207" s="4">
        <v>77</v>
      </c>
      <c r="F1207" s="4" t="s">
        <v>23</v>
      </c>
      <c r="G1207" s="6">
        <v>45337</v>
      </c>
      <c r="H1207" s="5">
        <v>36279.5</v>
      </c>
      <c r="I1207" s="18" t="s">
        <v>17</v>
      </c>
      <c r="J1207" s="14" t="s">
        <v>15</v>
      </c>
      <c r="K1207" s="14">
        <v>544</v>
      </c>
      <c r="L1207" s="15">
        <v>45397</v>
      </c>
      <c r="M1207" s="16">
        <v>3</v>
      </c>
      <c r="N12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7" s="31">
        <f>IF(Table64[[#This Row],[date validity flag]]&lt;&gt;"Valid","",Table64[[#This Row],[shipment date ]]-Table64[[#This Row],[Order date]])</f>
        <v>60</v>
      </c>
      <c r="P1207" s="27" t="str">
        <f>TEXT(Table64[[#This Row],[Order date]],"mmm-yyyy")</f>
        <v>Feb-2024</v>
      </c>
      <c r="Q1207" s="16" t="str">
        <f t="shared" si="18"/>
        <v>Delayed</v>
      </c>
    </row>
    <row r="1208" spans="1:17" x14ac:dyDescent="0.3">
      <c r="A1208" s="12">
        <v>11207</v>
      </c>
      <c r="B1208" s="1">
        <v>5831</v>
      </c>
      <c r="C1208" s="1" t="s">
        <v>16</v>
      </c>
      <c r="D1208" s="2">
        <v>9643.32</v>
      </c>
      <c r="E1208" s="1">
        <v>79</v>
      </c>
      <c r="F1208" s="1" t="s">
        <v>13</v>
      </c>
      <c r="G1208" s="3">
        <v>45337</v>
      </c>
      <c r="H1208" s="2">
        <v>65689.22</v>
      </c>
      <c r="I1208" s="13" t="s">
        <v>14</v>
      </c>
      <c r="J1208" s="14" t="s">
        <v>15</v>
      </c>
      <c r="K1208" s="14">
        <v>1434</v>
      </c>
      <c r="L1208" s="15">
        <v>45361</v>
      </c>
      <c r="M1208" s="16">
        <v>13</v>
      </c>
      <c r="N120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08" s="31">
        <f>IF(Table64[[#This Row],[date validity flag]]&lt;&gt;"Valid","",Table64[[#This Row],[shipment date ]]-Table64[[#This Row],[Order date]])</f>
        <v>24</v>
      </c>
      <c r="P1208" s="27" t="str">
        <f>TEXT(Table64[[#This Row],[Order date]],"mmm-yyyy")</f>
        <v>Feb-2024</v>
      </c>
      <c r="Q1208" s="16" t="str">
        <f t="shared" si="18"/>
        <v>Delayed</v>
      </c>
    </row>
    <row r="1209" spans="1:17" x14ac:dyDescent="0.3">
      <c r="A1209" s="17">
        <v>11208</v>
      </c>
      <c r="B1209" s="4">
        <v>5048</v>
      </c>
      <c r="C1209" s="4" t="s">
        <v>16</v>
      </c>
      <c r="D1209" s="5">
        <v>85873.02</v>
      </c>
      <c r="E1209" s="4">
        <v>87</v>
      </c>
      <c r="F1209" s="4" t="s">
        <v>22</v>
      </c>
      <c r="G1209" s="6">
        <v>45361</v>
      </c>
      <c r="H1209" s="5">
        <v>121122.38</v>
      </c>
      <c r="I1209" s="18" t="s">
        <v>14</v>
      </c>
      <c r="J1209" s="14" t="s">
        <v>15</v>
      </c>
      <c r="K1209" s="14">
        <v>387</v>
      </c>
      <c r="L1209" s="15">
        <v>45332</v>
      </c>
      <c r="M1209" s="16">
        <v>12</v>
      </c>
      <c r="N120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09" s="31" t="str">
        <f>IF(Table64[[#This Row],[date validity flag]]&lt;&gt;"Valid","",Table64[[#This Row],[shipment date ]]-Table64[[#This Row],[Order date]])</f>
        <v/>
      </c>
      <c r="P1209" s="27" t="str">
        <f>TEXT(Table64[[#This Row],[Order date]],"mmm-yyyy")</f>
        <v>Mar-2024</v>
      </c>
      <c r="Q1209" s="16" t="str">
        <f t="shared" si="18"/>
        <v/>
      </c>
    </row>
    <row r="1210" spans="1:17" x14ac:dyDescent="0.3">
      <c r="A1210" s="12">
        <v>11209</v>
      </c>
      <c r="B1210" s="1">
        <v>6597</v>
      </c>
      <c r="C1210" s="1" t="s">
        <v>16</v>
      </c>
      <c r="D1210" s="2">
        <v>9989.74</v>
      </c>
      <c r="E1210" s="1">
        <v>44</v>
      </c>
      <c r="F1210" s="1" t="s">
        <v>21</v>
      </c>
      <c r="G1210" s="3">
        <v>45383</v>
      </c>
      <c r="H1210" s="2">
        <v>114963.88</v>
      </c>
      <c r="I1210" s="13" t="s">
        <v>17</v>
      </c>
      <c r="J1210" s="14" t="s">
        <v>15</v>
      </c>
      <c r="K1210" s="14">
        <v>628</v>
      </c>
      <c r="L1210" s="15">
        <v>45397</v>
      </c>
      <c r="M1210" s="16">
        <v>2</v>
      </c>
      <c r="N12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10" s="31">
        <f>IF(Table64[[#This Row],[date validity flag]]&lt;&gt;"Valid","",Table64[[#This Row],[shipment date ]]-Table64[[#This Row],[Order date]])</f>
        <v>14</v>
      </c>
      <c r="P1210" s="27" t="str">
        <f>TEXT(Table64[[#This Row],[Order date]],"mmm-yyyy")</f>
        <v>Apr-2024</v>
      </c>
      <c r="Q1210" s="16" t="str">
        <f t="shared" si="18"/>
        <v>Delayed</v>
      </c>
    </row>
    <row r="1211" spans="1:17" x14ac:dyDescent="0.3">
      <c r="A1211" s="17">
        <v>11210</v>
      </c>
      <c r="B1211" s="4">
        <v>5337</v>
      </c>
      <c r="C1211" s="4" t="s">
        <v>16</v>
      </c>
      <c r="D1211" s="5">
        <v>73032.539999999994</v>
      </c>
      <c r="E1211" s="4">
        <v>90</v>
      </c>
      <c r="F1211" s="4" t="s">
        <v>22</v>
      </c>
      <c r="G1211" s="6">
        <v>45306</v>
      </c>
      <c r="H1211" s="5">
        <v>32732.6</v>
      </c>
      <c r="I1211" s="18" t="s">
        <v>14</v>
      </c>
      <c r="J1211" s="14" t="s">
        <v>18</v>
      </c>
      <c r="K1211" s="14">
        <v>59</v>
      </c>
      <c r="L1211" s="15">
        <v>45332</v>
      </c>
      <c r="M1211" s="16">
        <v>5</v>
      </c>
      <c r="N121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11" s="31">
        <f>IF(Table64[[#This Row],[date validity flag]]&lt;&gt;"Valid","",Table64[[#This Row],[shipment date ]]-Table64[[#This Row],[Order date]])</f>
        <v>26</v>
      </c>
      <c r="P1211" s="27" t="str">
        <f>TEXT(Table64[[#This Row],[Order date]],"mmm-yyyy")</f>
        <v>Jan-2024</v>
      </c>
      <c r="Q1211" s="16" t="str">
        <f t="shared" si="18"/>
        <v>Delayed</v>
      </c>
    </row>
    <row r="1212" spans="1:17" x14ac:dyDescent="0.3">
      <c r="A1212" s="12">
        <v>11211</v>
      </c>
      <c r="B1212" s="1">
        <v>6050</v>
      </c>
      <c r="C1212" s="1" t="s">
        <v>16</v>
      </c>
      <c r="D1212" s="2">
        <v>37354.65</v>
      </c>
      <c r="E1212" s="1">
        <v>4</v>
      </c>
      <c r="F1212" s="1" t="s">
        <v>23</v>
      </c>
      <c r="G1212" s="3">
        <v>45306</v>
      </c>
      <c r="H1212" s="2">
        <v>64221.83</v>
      </c>
      <c r="I1212" s="13" t="s">
        <v>14</v>
      </c>
      <c r="J1212" s="14" t="s">
        <v>19</v>
      </c>
      <c r="K1212" s="14">
        <v>98</v>
      </c>
      <c r="L1212" s="15">
        <v>45397</v>
      </c>
      <c r="M1212" s="16">
        <v>7</v>
      </c>
      <c r="N12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12" s="31">
        <f>IF(Table64[[#This Row],[date validity flag]]&lt;&gt;"Valid","",Table64[[#This Row],[shipment date ]]-Table64[[#This Row],[Order date]])</f>
        <v>91</v>
      </c>
      <c r="P1212" s="27" t="str">
        <f>TEXT(Table64[[#This Row],[Order date]],"mmm-yyyy")</f>
        <v>Jan-2024</v>
      </c>
      <c r="Q1212" s="16" t="str">
        <f t="shared" si="18"/>
        <v>Delayed</v>
      </c>
    </row>
    <row r="1213" spans="1:17" x14ac:dyDescent="0.3">
      <c r="A1213" s="17">
        <v>11212</v>
      </c>
      <c r="B1213" s="4">
        <v>5804</v>
      </c>
      <c r="C1213" s="4" t="s">
        <v>16</v>
      </c>
      <c r="D1213" s="5">
        <v>61268.11</v>
      </c>
      <c r="E1213" s="4">
        <v>90</v>
      </c>
      <c r="F1213" s="4" t="s">
        <v>23</v>
      </c>
      <c r="G1213" s="6">
        <v>45383</v>
      </c>
      <c r="H1213" s="5">
        <v>113402.58</v>
      </c>
      <c r="I1213" s="18" t="s">
        <v>17</v>
      </c>
      <c r="J1213" s="14" t="s">
        <v>18</v>
      </c>
      <c r="K1213" s="14">
        <v>672</v>
      </c>
      <c r="L1213" s="15">
        <v>45332</v>
      </c>
      <c r="M1213" s="16">
        <v>11</v>
      </c>
      <c r="N121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13" s="31" t="str">
        <f>IF(Table64[[#This Row],[date validity flag]]&lt;&gt;"Valid","",Table64[[#This Row],[shipment date ]]-Table64[[#This Row],[Order date]])</f>
        <v/>
      </c>
      <c r="P1213" s="27" t="str">
        <f>TEXT(Table64[[#This Row],[Order date]],"mmm-yyyy")</f>
        <v>Apr-2024</v>
      </c>
      <c r="Q1213" s="16" t="str">
        <f t="shared" si="18"/>
        <v/>
      </c>
    </row>
    <row r="1214" spans="1:17" x14ac:dyDescent="0.3">
      <c r="A1214" s="12">
        <v>11213</v>
      </c>
      <c r="B1214" s="1">
        <v>6281</v>
      </c>
      <c r="C1214" s="1" t="s">
        <v>12</v>
      </c>
      <c r="D1214" s="2">
        <v>29804.57</v>
      </c>
      <c r="E1214" s="1">
        <v>9</v>
      </c>
      <c r="F1214" s="1" t="s">
        <v>23</v>
      </c>
      <c r="G1214" s="3">
        <v>45306</v>
      </c>
      <c r="H1214" s="2">
        <v>15912.51</v>
      </c>
      <c r="I1214" s="13" t="s">
        <v>17</v>
      </c>
      <c r="J1214" s="14" t="s">
        <v>19</v>
      </c>
      <c r="K1214" s="14">
        <v>1394</v>
      </c>
      <c r="L1214" s="15">
        <v>45361</v>
      </c>
      <c r="M1214" s="16">
        <v>10</v>
      </c>
      <c r="N121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14" s="31">
        <f>IF(Table64[[#This Row],[date validity flag]]&lt;&gt;"Valid","",Table64[[#This Row],[shipment date ]]-Table64[[#This Row],[Order date]])</f>
        <v>55</v>
      </c>
      <c r="P1214" s="27" t="str">
        <f>TEXT(Table64[[#This Row],[Order date]],"mmm-yyyy")</f>
        <v>Jan-2024</v>
      </c>
      <c r="Q1214" s="16" t="str">
        <f t="shared" si="18"/>
        <v>Delayed</v>
      </c>
    </row>
    <row r="1215" spans="1:17" x14ac:dyDescent="0.3">
      <c r="A1215" s="17">
        <v>11214</v>
      </c>
      <c r="B1215" s="4">
        <v>5008</v>
      </c>
      <c r="C1215" s="4" t="s">
        <v>16</v>
      </c>
      <c r="D1215" s="5">
        <v>19304.830000000002</v>
      </c>
      <c r="E1215" s="4">
        <v>5</v>
      </c>
      <c r="F1215" s="4" t="s">
        <v>23</v>
      </c>
      <c r="G1215" s="6">
        <v>45383</v>
      </c>
      <c r="H1215" s="5">
        <v>101010.94</v>
      </c>
      <c r="I1215" s="18" t="s">
        <v>17</v>
      </c>
      <c r="J1215" s="14" t="s">
        <v>18</v>
      </c>
      <c r="K1215" s="14">
        <v>780</v>
      </c>
      <c r="L1215" s="15">
        <v>45332</v>
      </c>
      <c r="M1215" s="16">
        <v>11</v>
      </c>
      <c r="N121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15" s="31" t="str">
        <f>IF(Table64[[#This Row],[date validity flag]]&lt;&gt;"Valid","",Table64[[#This Row],[shipment date ]]-Table64[[#This Row],[Order date]])</f>
        <v/>
      </c>
      <c r="P1215" s="27" t="str">
        <f>TEXT(Table64[[#This Row],[Order date]],"mmm-yyyy")</f>
        <v>Apr-2024</v>
      </c>
      <c r="Q1215" s="16" t="str">
        <f t="shared" si="18"/>
        <v/>
      </c>
    </row>
    <row r="1216" spans="1:17" x14ac:dyDescent="0.3">
      <c r="A1216" s="12">
        <v>11215</v>
      </c>
      <c r="B1216" s="1">
        <v>5625</v>
      </c>
      <c r="C1216" s="1" t="s">
        <v>16</v>
      </c>
      <c r="D1216" s="2">
        <v>16900.32</v>
      </c>
      <c r="E1216" s="1">
        <v>56</v>
      </c>
      <c r="F1216" s="1" t="s">
        <v>23</v>
      </c>
      <c r="G1216" s="3">
        <v>45337</v>
      </c>
      <c r="H1216" s="2">
        <v>11345.95</v>
      </c>
      <c r="I1216" s="13" t="s">
        <v>14</v>
      </c>
      <c r="J1216" s="14" t="s">
        <v>15</v>
      </c>
      <c r="K1216" s="14">
        <v>844</v>
      </c>
      <c r="L1216" s="15">
        <v>45397</v>
      </c>
      <c r="M1216" s="16">
        <v>11</v>
      </c>
      <c r="N12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16" s="31">
        <f>IF(Table64[[#This Row],[date validity flag]]&lt;&gt;"Valid","",Table64[[#This Row],[shipment date ]]-Table64[[#This Row],[Order date]])</f>
        <v>60</v>
      </c>
      <c r="P1216" s="27" t="str">
        <f>TEXT(Table64[[#This Row],[Order date]],"mmm-yyyy")</f>
        <v>Feb-2024</v>
      </c>
      <c r="Q1216" s="16" t="str">
        <f t="shared" si="18"/>
        <v>Delayed</v>
      </c>
    </row>
    <row r="1217" spans="1:17" x14ac:dyDescent="0.3">
      <c r="A1217" s="17">
        <v>11216</v>
      </c>
      <c r="B1217" s="4">
        <v>6891</v>
      </c>
      <c r="C1217" s="4" t="s">
        <v>16</v>
      </c>
      <c r="D1217" s="5">
        <v>89250.19</v>
      </c>
      <c r="E1217" s="4">
        <v>96</v>
      </c>
      <c r="F1217" s="4" t="s">
        <v>13</v>
      </c>
      <c r="G1217" s="6">
        <v>45383</v>
      </c>
      <c r="H1217" s="5">
        <v>110484.82</v>
      </c>
      <c r="I1217" s="18" t="s">
        <v>17</v>
      </c>
      <c r="J1217" s="14" t="s">
        <v>15</v>
      </c>
      <c r="K1217" s="14">
        <v>1020</v>
      </c>
      <c r="L1217" s="15">
        <v>45332</v>
      </c>
      <c r="M1217" s="16">
        <v>11</v>
      </c>
      <c r="N121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17" s="31" t="str">
        <f>IF(Table64[[#This Row],[date validity flag]]&lt;&gt;"Valid","",Table64[[#This Row],[shipment date ]]-Table64[[#This Row],[Order date]])</f>
        <v/>
      </c>
      <c r="P1217" s="27" t="str">
        <f>TEXT(Table64[[#This Row],[Order date]],"mmm-yyyy")</f>
        <v>Apr-2024</v>
      </c>
      <c r="Q1217" s="16" t="str">
        <f t="shared" si="18"/>
        <v/>
      </c>
    </row>
    <row r="1218" spans="1:17" x14ac:dyDescent="0.3">
      <c r="A1218" s="12">
        <v>11217</v>
      </c>
      <c r="B1218" s="1">
        <v>6277</v>
      </c>
      <c r="C1218" s="1" t="s">
        <v>16</v>
      </c>
      <c r="D1218" s="2">
        <v>75150.48</v>
      </c>
      <c r="E1218" s="1">
        <v>84</v>
      </c>
      <c r="F1218" s="1" t="s">
        <v>23</v>
      </c>
      <c r="G1218" s="3">
        <v>45306</v>
      </c>
      <c r="H1218" s="2">
        <v>72726.850000000006</v>
      </c>
      <c r="I1218" s="13" t="s">
        <v>17</v>
      </c>
      <c r="J1218" s="14" t="s">
        <v>18</v>
      </c>
      <c r="K1218" s="14">
        <v>182</v>
      </c>
      <c r="L1218" s="15">
        <v>45361</v>
      </c>
      <c r="M1218" s="16">
        <v>10</v>
      </c>
      <c r="N12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18" s="31">
        <f>IF(Table64[[#This Row],[date validity flag]]&lt;&gt;"Valid","",Table64[[#This Row],[shipment date ]]-Table64[[#This Row],[Order date]])</f>
        <v>55</v>
      </c>
      <c r="P1218" s="27" t="str">
        <f>TEXT(Table64[[#This Row],[Order date]],"mmm-yyyy")</f>
        <v>Jan-2024</v>
      </c>
      <c r="Q1218" s="16" t="str">
        <f t="shared" ref="Q1218:Q1281" si="19">IF(O1218="","",IF(O1218&gt;0,"Delayed","On Time"))</f>
        <v>Delayed</v>
      </c>
    </row>
    <row r="1219" spans="1:17" x14ac:dyDescent="0.3">
      <c r="A1219" s="17">
        <v>11218</v>
      </c>
      <c r="B1219" s="4">
        <v>6716</v>
      </c>
      <c r="C1219" s="4" t="s">
        <v>12</v>
      </c>
      <c r="D1219" s="5">
        <v>26284.43</v>
      </c>
      <c r="E1219" s="4">
        <v>50</v>
      </c>
      <c r="F1219" s="4" t="s">
        <v>13</v>
      </c>
      <c r="G1219" s="6">
        <v>45383</v>
      </c>
      <c r="H1219" s="5">
        <v>53985.440000000002</v>
      </c>
      <c r="I1219" s="18" t="s">
        <v>17</v>
      </c>
      <c r="J1219" s="14" t="s">
        <v>18</v>
      </c>
      <c r="K1219" s="14">
        <v>132</v>
      </c>
      <c r="L1219" s="15">
        <v>45361</v>
      </c>
      <c r="M1219" s="16">
        <v>13</v>
      </c>
      <c r="N121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19" s="31" t="str">
        <f>IF(Table64[[#This Row],[date validity flag]]&lt;&gt;"Valid","",Table64[[#This Row],[shipment date ]]-Table64[[#This Row],[Order date]])</f>
        <v/>
      </c>
      <c r="P1219" s="27" t="str">
        <f>TEXT(Table64[[#This Row],[Order date]],"mmm-yyyy")</f>
        <v>Apr-2024</v>
      </c>
      <c r="Q1219" s="16" t="str">
        <f t="shared" si="19"/>
        <v/>
      </c>
    </row>
    <row r="1220" spans="1:17" x14ac:dyDescent="0.3">
      <c r="A1220" s="12">
        <v>11219</v>
      </c>
      <c r="B1220" s="1">
        <v>5719</v>
      </c>
      <c r="C1220" s="1" t="s">
        <v>16</v>
      </c>
      <c r="D1220" s="2">
        <v>47367.7</v>
      </c>
      <c r="E1220" s="1">
        <v>75</v>
      </c>
      <c r="F1220" s="1" t="s">
        <v>21</v>
      </c>
      <c r="G1220" s="3">
        <v>45361</v>
      </c>
      <c r="H1220" s="2">
        <v>140871.37</v>
      </c>
      <c r="I1220" s="13" t="s">
        <v>20</v>
      </c>
      <c r="J1220" s="14" t="s">
        <v>19</v>
      </c>
      <c r="K1220" s="14">
        <v>106</v>
      </c>
      <c r="L1220" s="15">
        <v>45332</v>
      </c>
      <c r="M1220" s="16">
        <v>14</v>
      </c>
      <c r="N122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20" s="31" t="str">
        <f>IF(Table64[[#This Row],[date validity flag]]&lt;&gt;"Valid","",Table64[[#This Row],[shipment date ]]-Table64[[#This Row],[Order date]])</f>
        <v/>
      </c>
      <c r="P1220" s="27" t="str">
        <f>TEXT(Table64[[#This Row],[Order date]],"mmm-yyyy")</f>
        <v>Mar-2024</v>
      </c>
      <c r="Q1220" s="16" t="str">
        <f t="shared" si="19"/>
        <v/>
      </c>
    </row>
    <row r="1221" spans="1:17" x14ac:dyDescent="0.3">
      <c r="A1221" s="17">
        <v>11220</v>
      </c>
      <c r="B1221" s="4">
        <v>5303</v>
      </c>
      <c r="C1221" s="4" t="s">
        <v>16</v>
      </c>
      <c r="D1221" s="5">
        <v>57163.6</v>
      </c>
      <c r="E1221" s="4">
        <v>15</v>
      </c>
      <c r="F1221" s="4" t="s">
        <v>23</v>
      </c>
      <c r="G1221" s="6">
        <v>45337</v>
      </c>
      <c r="H1221" s="5">
        <v>38787.29</v>
      </c>
      <c r="I1221" s="18" t="s">
        <v>17</v>
      </c>
      <c r="J1221" s="14" t="s">
        <v>18</v>
      </c>
      <c r="K1221" s="14">
        <v>425</v>
      </c>
      <c r="L1221" s="15">
        <v>45397</v>
      </c>
      <c r="M1221" s="16">
        <v>1</v>
      </c>
      <c r="N12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1" s="31">
        <f>IF(Table64[[#This Row],[date validity flag]]&lt;&gt;"Valid","",Table64[[#This Row],[shipment date ]]-Table64[[#This Row],[Order date]])</f>
        <v>60</v>
      </c>
      <c r="P1221" s="27" t="str">
        <f>TEXT(Table64[[#This Row],[Order date]],"mmm-yyyy")</f>
        <v>Feb-2024</v>
      </c>
      <c r="Q1221" s="16" t="str">
        <f t="shared" si="19"/>
        <v>Delayed</v>
      </c>
    </row>
    <row r="1222" spans="1:17" x14ac:dyDescent="0.3">
      <c r="A1222" s="12">
        <v>11221</v>
      </c>
      <c r="B1222" s="1">
        <v>5639</v>
      </c>
      <c r="C1222" s="1" t="s">
        <v>16</v>
      </c>
      <c r="D1222" s="2">
        <v>59897.64</v>
      </c>
      <c r="E1222" s="1">
        <v>32</v>
      </c>
      <c r="F1222" s="1" t="s">
        <v>23</v>
      </c>
      <c r="G1222" s="3">
        <v>45337</v>
      </c>
      <c r="H1222" s="2">
        <v>127768.66</v>
      </c>
      <c r="I1222" s="13" t="s">
        <v>20</v>
      </c>
      <c r="J1222" s="14" t="s">
        <v>18</v>
      </c>
      <c r="K1222" s="14">
        <v>398</v>
      </c>
      <c r="L1222" s="15">
        <v>45361</v>
      </c>
      <c r="M1222" s="16">
        <v>13</v>
      </c>
      <c r="N12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2" s="31">
        <f>IF(Table64[[#This Row],[date validity flag]]&lt;&gt;"Valid","",Table64[[#This Row],[shipment date ]]-Table64[[#This Row],[Order date]])</f>
        <v>24</v>
      </c>
      <c r="P1222" s="27" t="str">
        <f>TEXT(Table64[[#This Row],[Order date]],"mmm-yyyy")</f>
        <v>Feb-2024</v>
      </c>
      <c r="Q1222" s="16" t="str">
        <f t="shared" si="19"/>
        <v>Delayed</v>
      </c>
    </row>
    <row r="1223" spans="1:17" x14ac:dyDescent="0.3">
      <c r="A1223" s="17">
        <v>11222</v>
      </c>
      <c r="B1223" s="4">
        <v>5056</v>
      </c>
      <c r="C1223" s="4" t="s">
        <v>16</v>
      </c>
      <c r="D1223" s="5">
        <v>19042.86</v>
      </c>
      <c r="E1223" s="4">
        <v>28</v>
      </c>
      <c r="F1223" s="4" t="s">
        <v>22</v>
      </c>
      <c r="G1223" s="6">
        <v>45383</v>
      </c>
      <c r="H1223" s="5">
        <v>44168.9</v>
      </c>
      <c r="I1223" s="18" t="s">
        <v>14</v>
      </c>
      <c r="J1223" s="14" t="s">
        <v>19</v>
      </c>
      <c r="K1223" s="14">
        <v>320</v>
      </c>
      <c r="L1223" s="15">
        <v>45361</v>
      </c>
      <c r="M1223" s="16">
        <v>10</v>
      </c>
      <c r="N122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23" s="31" t="str">
        <f>IF(Table64[[#This Row],[date validity flag]]&lt;&gt;"Valid","",Table64[[#This Row],[shipment date ]]-Table64[[#This Row],[Order date]])</f>
        <v/>
      </c>
      <c r="P1223" s="27" t="str">
        <f>TEXT(Table64[[#This Row],[Order date]],"mmm-yyyy")</f>
        <v>Apr-2024</v>
      </c>
      <c r="Q1223" s="16" t="str">
        <f t="shared" si="19"/>
        <v/>
      </c>
    </row>
    <row r="1224" spans="1:17" x14ac:dyDescent="0.3">
      <c r="A1224" s="12">
        <v>11223</v>
      </c>
      <c r="B1224" s="1">
        <v>5726</v>
      </c>
      <c r="C1224" s="1" t="s">
        <v>16</v>
      </c>
      <c r="D1224" s="2">
        <v>70376.17</v>
      </c>
      <c r="E1224" s="1">
        <v>22</v>
      </c>
      <c r="F1224" s="1" t="s">
        <v>21</v>
      </c>
      <c r="G1224" s="3">
        <v>45306</v>
      </c>
      <c r="H1224" s="2">
        <v>16541.259999999998</v>
      </c>
      <c r="I1224" s="13" t="s">
        <v>17</v>
      </c>
      <c r="J1224" s="14" t="s">
        <v>19</v>
      </c>
      <c r="K1224" s="14">
        <v>160</v>
      </c>
      <c r="L1224" s="15">
        <v>45332</v>
      </c>
      <c r="M1224" s="16">
        <v>9</v>
      </c>
      <c r="N12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4" s="31">
        <f>IF(Table64[[#This Row],[date validity flag]]&lt;&gt;"Valid","",Table64[[#This Row],[shipment date ]]-Table64[[#This Row],[Order date]])</f>
        <v>26</v>
      </c>
      <c r="P1224" s="27" t="str">
        <f>TEXT(Table64[[#This Row],[Order date]],"mmm-yyyy")</f>
        <v>Jan-2024</v>
      </c>
      <c r="Q1224" s="16" t="str">
        <f t="shared" si="19"/>
        <v>Delayed</v>
      </c>
    </row>
    <row r="1225" spans="1:17" x14ac:dyDescent="0.3">
      <c r="A1225" s="17">
        <v>11224</v>
      </c>
      <c r="B1225" s="4">
        <v>5526</v>
      </c>
      <c r="C1225" s="4" t="s">
        <v>16</v>
      </c>
      <c r="D1225" s="5">
        <v>60229.23</v>
      </c>
      <c r="E1225" s="4">
        <v>17</v>
      </c>
      <c r="F1225" s="4" t="s">
        <v>23</v>
      </c>
      <c r="G1225" s="6">
        <v>45361</v>
      </c>
      <c r="H1225" s="5">
        <v>160080.04999999999</v>
      </c>
      <c r="I1225" s="18" t="s">
        <v>14</v>
      </c>
      <c r="J1225" s="14" t="s">
        <v>19</v>
      </c>
      <c r="K1225" s="14">
        <v>918</v>
      </c>
      <c r="L1225" s="15">
        <v>45361</v>
      </c>
      <c r="M1225" s="16">
        <v>1</v>
      </c>
      <c r="N12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5" s="31">
        <f>IF(Table64[[#This Row],[date validity flag]]&lt;&gt;"Valid","",Table64[[#This Row],[shipment date ]]-Table64[[#This Row],[Order date]])</f>
        <v>0</v>
      </c>
      <c r="P1225" s="27" t="str">
        <f>TEXT(Table64[[#This Row],[Order date]],"mmm-yyyy")</f>
        <v>Mar-2024</v>
      </c>
      <c r="Q1225" s="16" t="str">
        <f t="shared" si="19"/>
        <v>On Time</v>
      </c>
    </row>
    <row r="1226" spans="1:17" x14ac:dyDescent="0.3">
      <c r="A1226" s="12">
        <v>11225</v>
      </c>
      <c r="B1226" s="1">
        <v>5474</v>
      </c>
      <c r="C1226" s="1" t="s">
        <v>16</v>
      </c>
      <c r="D1226" s="2">
        <v>22230.99</v>
      </c>
      <c r="E1226" s="1">
        <v>59</v>
      </c>
      <c r="F1226" s="1" t="s">
        <v>23</v>
      </c>
      <c r="G1226" s="3">
        <v>45337</v>
      </c>
      <c r="H1226" s="2">
        <v>138317.88</v>
      </c>
      <c r="I1226" s="13" t="s">
        <v>14</v>
      </c>
      <c r="J1226" s="14" t="s">
        <v>18</v>
      </c>
      <c r="K1226" s="14">
        <v>936</v>
      </c>
      <c r="L1226" s="15">
        <v>45361</v>
      </c>
      <c r="M1226" s="16">
        <v>1</v>
      </c>
      <c r="N122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6" s="31">
        <f>IF(Table64[[#This Row],[date validity flag]]&lt;&gt;"Valid","",Table64[[#This Row],[shipment date ]]-Table64[[#This Row],[Order date]])</f>
        <v>24</v>
      </c>
      <c r="P1226" s="27" t="str">
        <f>TEXT(Table64[[#This Row],[Order date]],"mmm-yyyy")</f>
        <v>Feb-2024</v>
      </c>
      <c r="Q1226" s="16" t="str">
        <f t="shared" si="19"/>
        <v>Delayed</v>
      </c>
    </row>
    <row r="1227" spans="1:17" x14ac:dyDescent="0.3">
      <c r="A1227" s="17">
        <v>11226</v>
      </c>
      <c r="B1227" s="4">
        <v>5028</v>
      </c>
      <c r="C1227" s="4" t="s">
        <v>16</v>
      </c>
      <c r="D1227" s="5">
        <v>48438.39</v>
      </c>
      <c r="E1227" s="4">
        <v>90</v>
      </c>
      <c r="F1227" s="4" t="s">
        <v>21</v>
      </c>
      <c r="G1227" s="6">
        <v>45337</v>
      </c>
      <c r="H1227" s="5">
        <v>139950.88</v>
      </c>
      <c r="I1227" s="18" t="s">
        <v>17</v>
      </c>
      <c r="J1227" s="14" t="s">
        <v>19</v>
      </c>
      <c r="K1227" s="14">
        <v>125</v>
      </c>
      <c r="L1227" s="15">
        <v>45397</v>
      </c>
      <c r="M1227" s="16">
        <v>14</v>
      </c>
      <c r="N12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7" s="31">
        <f>IF(Table64[[#This Row],[date validity flag]]&lt;&gt;"Valid","",Table64[[#This Row],[shipment date ]]-Table64[[#This Row],[Order date]])</f>
        <v>60</v>
      </c>
      <c r="P1227" s="27" t="str">
        <f>TEXT(Table64[[#This Row],[Order date]],"mmm-yyyy")</f>
        <v>Feb-2024</v>
      </c>
      <c r="Q1227" s="16" t="str">
        <f t="shared" si="19"/>
        <v>Delayed</v>
      </c>
    </row>
    <row r="1228" spans="1:17" x14ac:dyDescent="0.3">
      <c r="A1228" s="12">
        <v>11227</v>
      </c>
      <c r="B1228" s="1">
        <v>5078</v>
      </c>
      <c r="C1228" s="1" t="s">
        <v>12</v>
      </c>
      <c r="D1228" s="2">
        <v>77794.009999999995</v>
      </c>
      <c r="E1228" s="1">
        <v>71</v>
      </c>
      <c r="F1228" s="1" t="s">
        <v>13</v>
      </c>
      <c r="G1228" s="3">
        <v>45306</v>
      </c>
      <c r="H1228" s="2">
        <v>148831.72</v>
      </c>
      <c r="I1228" s="13" t="s">
        <v>14</v>
      </c>
      <c r="J1228" s="14" t="s">
        <v>15</v>
      </c>
      <c r="K1228" s="14">
        <v>1231</v>
      </c>
      <c r="L1228" s="15">
        <v>45397</v>
      </c>
      <c r="M1228" s="16">
        <v>12</v>
      </c>
      <c r="N12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8" s="31">
        <f>IF(Table64[[#This Row],[date validity flag]]&lt;&gt;"Valid","",Table64[[#This Row],[shipment date ]]-Table64[[#This Row],[Order date]])</f>
        <v>91</v>
      </c>
      <c r="P1228" s="27" t="str">
        <f>TEXT(Table64[[#This Row],[Order date]],"mmm-yyyy")</f>
        <v>Jan-2024</v>
      </c>
      <c r="Q1228" s="16" t="str">
        <f t="shared" si="19"/>
        <v>Delayed</v>
      </c>
    </row>
    <row r="1229" spans="1:17" x14ac:dyDescent="0.3">
      <c r="A1229" s="17">
        <v>11228</v>
      </c>
      <c r="B1229" s="4">
        <v>6240</v>
      </c>
      <c r="C1229" s="4" t="s">
        <v>16</v>
      </c>
      <c r="D1229" s="5">
        <v>58899.91</v>
      </c>
      <c r="E1229" s="4">
        <v>57</v>
      </c>
      <c r="F1229" s="4" t="s">
        <v>23</v>
      </c>
      <c r="G1229" s="6">
        <v>45306</v>
      </c>
      <c r="H1229" s="5">
        <v>51195.42</v>
      </c>
      <c r="I1229" s="18" t="s">
        <v>17</v>
      </c>
      <c r="J1229" s="14" t="s">
        <v>15</v>
      </c>
      <c r="K1229" s="14">
        <v>378</v>
      </c>
      <c r="L1229" s="15">
        <v>45397</v>
      </c>
      <c r="M1229" s="16">
        <v>10</v>
      </c>
      <c r="N12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29" s="31">
        <f>IF(Table64[[#This Row],[date validity flag]]&lt;&gt;"Valid","",Table64[[#This Row],[shipment date ]]-Table64[[#This Row],[Order date]])</f>
        <v>91</v>
      </c>
      <c r="P1229" s="27" t="str">
        <f>TEXT(Table64[[#This Row],[Order date]],"mmm-yyyy")</f>
        <v>Jan-2024</v>
      </c>
      <c r="Q1229" s="16" t="str">
        <f t="shared" si="19"/>
        <v>Delayed</v>
      </c>
    </row>
    <row r="1230" spans="1:17" x14ac:dyDescent="0.3">
      <c r="A1230" s="12">
        <v>11229</v>
      </c>
      <c r="B1230" s="1">
        <v>6410</v>
      </c>
      <c r="C1230" s="1" t="s">
        <v>16</v>
      </c>
      <c r="D1230" s="2">
        <v>80990.850000000006</v>
      </c>
      <c r="E1230" s="1">
        <v>26</v>
      </c>
      <c r="F1230" s="1" t="s">
        <v>22</v>
      </c>
      <c r="G1230" s="3">
        <v>45361</v>
      </c>
      <c r="H1230" s="2">
        <v>106426.03</v>
      </c>
      <c r="I1230" s="13" t="s">
        <v>20</v>
      </c>
      <c r="J1230" s="14" t="s">
        <v>15</v>
      </c>
      <c r="K1230" s="14">
        <v>171</v>
      </c>
      <c r="L1230" s="15">
        <v>45332</v>
      </c>
      <c r="M1230" s="16">
        <v>8</v>
      </c>
      <c r="N123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30" s="31" t="str">
        <f>IF(Table64[[#This Row],[date validity flag]]&lt;&gt;"Valid","",Table64[[#This Row],[shipment date ]]-Table64[[#This Row],[Order date]])</f>
        <v/>
      </c>
      <c r="P1230" s="27" t="str">
        <f>TEXT(Table64[[#This Row],[Order date]],"mmm-yyyy")</f>
        <v>Mar-2024</v>
      </c>
      <c r="Q1230" s="16" t="str">
        <f t="shared" si="19"/>
        <v/>
      </c>
    </row>
    <row r="1231" spans="1:17" x14ac:dyDescent="0.3">
      <c r="A1231" s="17">
        <v>11230</v>
      </c>
      <c r="B1231" s="4">
        <v>5365</v>
      </c>
      <c r="C1231" s="4" t="s">
        <v>12</v>
      </c>
      <c r="D1231" s="5">
        <v>57450.7</v>
      </c>
      <c r="E1231" s="4">
        <v>25</v>
      </c>
      <c r="F1231" s="4" t="s">
        <v>23</v>
      </c>
      <c r="G1231" s="6">
        <v>45383</v>
      </c>
      <c r="H1231" s="5">
        <v>118563.06</v>
      </c>
      <c r="I1231" s="18" t="s">
        <v>14</v>
      </c>
      <c r="J1231" s="14" t="s">
        <v>18</v>
      </c>
      <c r="K1231" s="14">
        <v>90</v>
      </c>
      <c r="L1231" s="15">
        <v>45361</v>
      </c>
      <c r="M1231" s="16">
        <v>6</v>
      </c>
      <c r="N123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31" s="31" t="str">
        <f>IF(Table64[[#This Row],[date validity flag]]&lt;&gt;"Valid","",Table64[[#This Row],[shipment date ]]-Table64[[#This Row],[Order date]])</f>
        <v/>
      </c>
      <c r="P1231" s="27" t="str">
        <f>TEXT(Table64[[#This Row],[Order date]],"mmm-yyyy")</f>
        <v>Apr-2024</v>
      </c>
      <c r="Q1231" s="16" t="str">
        <f t="shared" si="19"/>
        <v/>
      </c>
    </row>
    <row r="1232" spans="1:17" x14ac:dyDescent="0.3">
      <c r="A1232" s="12">
        <v>11231</v>
      </c>
      <c r="B1232" s="1">
        <v>5666</v>
      </c>
      <c r="C1232" s="1" t="s">
        <v>16</v>
      </c>
      <c r="D1232" s="2">
        <v>34274.14</v>
      </c>
      <c r="E1232" s="1">
        <v>10</v>
      </c>
      <c r="F1232" s="1" t="s">
        <v>22</v>
      </c>
      <c r="G1232" s="3">
        <v>45306</v>
      </c>
      <c r="H1232" s="2">
        <v>143216.97</v>
      </c>
      <c r="I1232" s="13" t="s">
        <v>17</v>
      </c>
      <c r="J1232" s="14" t="s">
        <v>15</v>
      </c>
      <c r="K1232" s="14">
        <v>1240</v>
      </c>
      <c r="L1232" s="15">
        <v>45332</v>
      </c>
      <c r="M1232" s="16">
        <v>6</v>
      </c>
      <c r="N123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32" s="31">
        <f>IF(Table64[[#This Row],[date validity flag]]&lt;&gt;"Valid","",Table64[[#This Row],[shipment date ]]-Table64[[#This Row],[Order date]])</f>
        <v>26</v>
      </c>
      <c r="P1232" s="27" t="str">
        <f>TEXT(Table64[[#This Row],[Order date]],"mmm-yyyy")</f>
        <v>Jan-2024</v>
      </c>
      <c r="Q1232" s="16" t="str">
        <f t="shared" si="19"/>
        <v>Delayed</v>
      </c>
    </row>
    <row r="1233" spans="1:17" x14ac:dyDescent="0.3">
      <c r="A1233" s="17">
        <v>11232</v>
      </c>
      <c r="B1233" s="4">
        <v>5526</v>
      </c>
      <c r="C1233" s="4" t="s">
        <v>16</v>
      </c>
      <c r="D1233" s="5">
        <v>84983.41</v>
      </c>
      <c r="E1233" s="4">
        <v>45</v>
      </c>
      <c r="F1233" s="4" t="s">
        <v>22</v>
      </c>
      <c r="G1233" s="6">
        <v>45383</v>
      </c>
      <c r="H1233" s="5">
        <v>79708.3</v>
      </c>
      <c r="I1233" s="18" t="s">
        <v>17</v>
      </c>
      <c r="J1233" s="14" t="s">
        <v>18</v>
      </c>
      <c r="K1233" s="14">
        <v>971</v>
      </c>
      <c r="L1233" s="15">
        <v>45361</v>
      </c>
      <c r="M1233" s="16">
        <v>12</v>
      </c>
      <c r="N12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33" s="31" t="str">
        <f>IF(Table64[[#This Row],[date validity flag]]&lt;&gt;"Valid","",Table64[[#This Row],[shipment date ]]-Table64[[#This Row],[Order date]])</f>
        <v/>
      </c>
      <c r="P1233" s="27" t="str">
        <f>TEXT(Table64[[#This Row],[Order date]],"mmm-yyyy")</f>
        <v>Apr-2024</v>
      </c>
      <c r="Q1233" s="16" t="str">
        <f t="shared" si="19"/>
        <v/>
      </c>
    </row>
    <row r="1234" spans="1:17" x14ac:dyDescent="0.3">
      <c r="A1234" s="12">
        <v>11233</v>
      </c>
      <c r="B1234" s="1">
        <v>5699</v>
      </c>
      <c r="C1234" s="1" t="s">
        <v>16</v>
      </c>
      <c r="D1234" s="2">
        <v>71072.160000000003</v>
      </c>
      <c r="E1234" s="1">
        <v>83</v>
      </c>
      <c r="F1234" s="1" t="s">
        <v>23</v>
      </c>
      <c r="G1234" s="3">
        <v>45361</v>
      </c>
      <c r="H1234" s="2">
        <v>121898.34</v>
      </c>
      <c r="I1234" s="13" t="s">
        <v>14</v>
      </c>
      <c r="J1234" s="14" t="s">
        <v>18</v>
      </c>
      <c r="K1234" s="14">
        <v>691</v>
      </c>
      <c r="L1234" s="15">
        <v>45361</v>
      </c>
      <c r="M1234" s="16">
        <v>9</v>
      </c>
      <c r="N12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34" s="31">
        <f>IF(Table64[[#This Row],[date validity flag]]&lt;&gt;"Valid","",Table64[[#This Row],[shipment date ]]-Table64[[#This Row],[Order date]])</f>
        <v>0</v>
      </c>
      <c r="P1234" s="27" t="str">
        <f>TEXT(Table64[[#This Row],[Order date]],"mmm-yyyy")</f>
        <v>Mar-2024</v>
      </c>
      <c r="Q1234" s="16" t="str">
        <f t="shared" si="19"/>
        <v>On Time</v>
      </c>
    </row>
    <row r="1235" spans="1:17" x14ac:dyDescent="0.3">
      <c r="A1235" s="17">
        <v>11234</v>
      </c>
      <c r="B1235" s="4">
        <v>6336</v>
      </c>
      <c r="C1235" s="4" t="s">
        <v>16</v>
      </c>
      <c r="D1235" s="5">
        <v>57830.26</v>
      </c>
      <c r="E1235" s="4">
        <v>11</v>
      </c>
      <c r="F1235" s="4" t="s">
        <v>23</v>
      </c>
      <c r="G1235" s="6">
        <v>45383</v>
      </c>
      <c r="H1235" s="5">
        <v>79237.11</v>
      </c>
      <c r="I1235" s="18" t="s">
        <v>20</v>
      </c>
      <c r="J1235" s="14" t="s">
        <v>15</v>
      </c>
      <c r="K1235" s="14">
        <v>1096</v>
      </c>
      <c r="L1235" s="15">
        <v>45361</v>
      </c>
      <c r="M1235" s="16">
        <v>4</v>
      </c>
      <c r="N123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35" s="31" t="str">
        <f>IF(Table64[[#This Row],[date validity flag]]&lt;&gt;"Valid","",Table64[[#This Row],[shipment date ]]-Table64[[#This Row],[Order date]])</f>
        <v/>
      </c>
      <c r="P1235" s="27" t="str">
        <f>TEXT(Table64[[#This Row],[Order date]],"mmm-yyyy")</f>
        <v>Apr-2024</v>
      </c>
      <c r="Q1235" s="16" t="str">
        <f t="shared" si="19"/>
        <v/>
      </c>
    </row>
    <row r="1236" spans="1:17" x14ac:dyDescent="0.3">
      <c r="A1236" s="12">
        <v>11235</v>
      </c>
      <c r="B1236" s="1">
        <v>5883</v>
      </c>
      <c r="C1236" s="1" t="s">
        <v>12</v>
      </c>
      <c r="D1236" s="2">
        <v>45977.71</v>
      </c>
      <c r="E1236" s="1">
        <v>77</v>
      </c>
      <c r="F1236" s="1" t="s">
        <v>22</v>
      </c>
      <c r="G1236" s="3">
        <v>45337</v>
      </c>
      <c r="H1236" s="2">
        <v>48978.83</v>
      </c>
      <c r="I1236" s="13" t="s">
        <v>17</v>
      </c>
      <c r="J1236" s="14" t="s">
        <v>19</v>
      </c>
      <c r="K1236" s="14">
        <v>328</v>
      </c>
      <c r="L1236" s="15">
        <v>45397</v>
      </c>
      <c r="M1236" s="16">
        <v>8</v>
      </c>
      <c r="N12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36" s="31">
        <f>IF(Table64[[#This Row],[date validity flag]]&lt;&gt;"Valid","",Table64[[#This Row],[shipment date ]]-Table64[[#This Row],[Order date]])</f>
        <v>60</v>
      </c>
      <c r="P1236" s="27" t="str">
        <f>TEXT(Table64[[#This Row],[Order date]],"mmm-yyyy")</f>
        <v>Feb-2024</v>
      </c>
      <c r="Q1236" s="16" t="str">
        <f t="shared" si="19"/>
        <v>Delayed</v>
      </c>
    </row>
    <row r="1237" spans="1:17" x14ac:dyDescent="0.3">
      <c r="A1237" s="17">
        <v>11236</v>
      </c>
      <c r="B1237" s="4">
        <v>6031</v>
      </c>
      <c r="C1237" s="4" t="s">
        <v>16</v>
      </c>
      <c r="D1237" s="5">
        <v>40464.49</v>
      </c>
      <c r="E1237" s="4">
        <v>53</v>
      </c>
      <c r="F1237" s="4" t="s">
        <v>21</v>
      </c>
      <c r="G1237" s="6">
        <v>45383</v>
      </c>
      <c r="H1237" s="5">
        <v>132165.28</v>
      </c>
      <c r="I1237" s="18" t="s">
        <v>14</v>
      </c>
      <c r="J1237" s="14" t="s">
        <v>18</v>
      </c>
      <c r="K1237" s="14">
        <v>812</v>
      </c>
      <c r="L1237" s="15">
        <v>45332</v>
      </c>
      <c r="M1237" s="16">
        <v>4</v>
      </c>
      <c r="N123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37" s="31" t="str">
        <f>IF(Table64[[#This Row],[date validity flag]]&lt;&gt;"Valid","",Table64[[#This Row],[shipment date ]]-Table64[[#This Row],[Order date]])</f>
        <v/>
      </c>
      <c r="P1237" s="27" t="str">
        <f>TEXT(Table64[[#This Row],[Order date]],"mmm-yyyy")</f>
        <v>Apr-2024</v>
      </c>
      <c r="Q1237" s="16" t="str">
        <f t="shared" si="19"/>
        <v/>
      </c>
    </row>
    <row r="1238" spans="1:17" x14ac:dyDescent="0.3">
      <c r="A1238" s="12">
        <v>11237</v>
      </c>
      <c r="B1238" s="1">
        <v>6027</v>
      </c>
      <c r="C1238" s="1" t="s">
        <v>12</v>
      </c>
      <c r="D1238" s="2">
        <v>45440.02</v>
      </c>
      <c r="E1238" s="1">
        <v>72</v>
      </c>
      <c r="F1238" s="1" t="s">
        <v>21</v>
      </c>
      <c r="G1238" s="3">
        <v>45361</v>
      </c>
      <c r="H1238" s="2">
        <v>81571.22</v>
      </c>
      <c r="I1238" s="13" t="s">
        <v>14</v>
      </c>
      <c r="J1238" s="14" t="s">
        <v>15</v>
      </c>
      <c r="K1238" s="14">
        <v>518</v>
      </c>
      <c r="L1238" s="15">
        <v>45332</v>
      </c>
      <c r="M1238" s="16">
        <v>14</v>
      </c>
      <c r="N12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38" s="31" t="str">
        <f>IF(Table64[[#This Row],[date validity flag]]&lt;&gt;"Valid","",Table64[[#This Row],[shipment date ]]-Table64[[#This Row],[Order date]])</f>
        <v/>
      </c>
      <c r="P1238" s="27" t="str">
        <f>TEXT(Table64[[#This Row],[Order date]],"mmm-yyyy")</f>
        <v>Mar-2024</v>
      </c>
      <c r="Q1238" s="16" t="str">
        <f t="shared" si="19"/>
        <v/>
      </c>
    </row>
    <row r="1239" spans="1:17" x14ac:dyDescent="0.3">
      <c r="A1239" s="17">
        <v>11238</v>
      </c>
      <c r="B1239" s="4">
        <v>6647</v>
      </c>
      <c r="C1239" s="4" t="s">
        <v>16</v>
      </c>
      <c r="D1239" s="5">
        <v>25219.35</v>
      </c>
      <c r="E1239" s="4">
        <v>68</v>
      </c>
      <c r="F1239" s="4" t="s">
        <v>23</v>
      </c>
      <c r="G1239" s="6">
        <v>45361</v>
      </c>
      <c r="H1239" s="5">
        <v>24310.66</v>
      </c>
      <c r="I1239" s="18" t="s">
        <v>14</v>
      </c>
      <c r="J1239" s="14" t="s">
        <v>18</v>
      </c>
      <c r="K1239" s="14">
        <v>1473</v>
      </c>
      <c r="L1239" s="15">
        <v>45361</v>
      </c>
      <c r="M1239" s="16">
        <v>2</v>
      </c>
      <c r="N123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39" s="31">
        <f>IF(Table64[[#This Row],[date validity flag]]&lt;&gt;"Valid","",Table64[[#This Row],[shipment date ]]-Table64[[#This Row],[Order date]])</f>
        <v>0</v>
      </c>
      <c r="P1239" s="27" t="str">
        <f>TEXT(Table64[[#This Row],[Order date]],"mmm-yyyy")</f>
        <v>Mar-2024</v>
      </c>
      <c r="Q1239" s="16" t="str">
        <f t="shared" si="19"/>
        <v>On Time</v>
      </c>
    </row>
    <row r="1240" spans="1:17" x14ac:dyDescent="0.3">
      <c r="A1240" s="12">
        <v>11239</v>
      </c>
      <c r="B1240" s="1">
        <v>5919</v>
      </c>
      <c r="C1240" s="1" t="s">
        <v>16</v>
      </c>
      <c r="D1240" s="2">
        <v>49398.99</v>
      </c>
      <c r="E1240" s="1">
        <v>95</v>
      </c>
      <c r="F1240" s="1" t="s">
        <v>13</v>
      </c>
      <c r="G1240" s="3">
        <v>45361</v>
      </c>
      <c r="H1240" s="2">
        <v>130896.95</v>
      </c>
      <c r="I1240" s="13" t="s">
        <v>20</v>
      </c>
      <c r="J1240" s="14" t="s">
        <v>19</v>
      </c>
      <c r="K1240" s="14">
        <v>58</v>
      </c>
      <c r="L1240" s="15">
        <v>45332</v>
      </c>
      <c r="M1240" s="16">
        <v>11</v>
      </c>
      <c r="N124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40" s="31" t="str">
        <f>IF(Table64[[#This Row],[date validity flag]]&lt;&gt;"Valid","",Table64[[#This Row],[shipment date ]]-Table64[[#This Row],[Order date]])</f>
        <v/>
      </c>
      <c r="P1240" s="27" t="str">
        <f>TEXT(Table64[[#This Row],[Order date]],"mmm-yyyy")</f>
        <v>Mar-2024</v>
      </c>
      <c r="Q1240" s="16" t="str">
        <f t="shared" si="19"/>
        <v/>
      </c>
    </row>
    <row r="1241" spans="1:17" x14ac:dyDescent="0.3">
      <c r="A1241" s="17">
        <v>11240</v>
      </c>
      <c r="B1241" s="4">
        <v>5750</v>
      </c>
      <c r="C1241" s="4" t="s">
        <v>16</v>
      </c>
      <c r="D1241" s="5">
        <v>8520.91</v>
      </c>
      <c r="E1241" s="4">
        <v>28</v>
      </c>
      <c r="F1241" s="4" t="s">
        <v>21</v>
      </c>
      <c r="G1241" s="6">
        <v>45383</v>
      </c>
      <c r="H1241" s="5">
        <v>54942.97</v>
      </c>
      <c r="I1241" s="18" t="s">
        <v>17</v>
      </c>
      <c r="J1241" s="14" t="s">
        <v>19</v>
      </c>
      <c r="K1241" s="14">
        <v>62</v>
      </c>
      <c r="L1241" s="15">
        <v>45397</v>
      </c>
      <c r="M1241" s="16">
        <v>8</v>
      </c>
      <c r="N12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41" s="31">
        <f>IF(Table64[[#This Row],[date validity flag]]&lt;&gt;"Valid","",Table64[[#This Row],[shipment date ]]-Table64[[#This Row],[Order date]])</f>
        <v>14</v>
      </c>
      <c r="P1241" s="27" t="str">
        <f>TEXT(Table64[[#This Row],[Order date]],"mmm-yyyy")</f>
        <v>Apr-2024</v>
      </c>
      <c r="Q1241" s="16" t="str">
        <f t="shared" si="19"/>
        <v>Delayed</v>
      </c>
    </row>
    <row r="1242" spans="1:17" x14ac:dyDescent="0.3">
      <c r="A1242" s="12">
        <v>11241</v>
      </c>
      <c r="B1242" s="1">
        <v>5363</v>
      </c>
      <c r="C1242" s="1" t="s">
        <v>12</v>
      </c>
      <c r="D1242" s="2">
        <v>45188.12</v>
      </c>
      <c r="E1242" s="1">
        <v>75</v>
      </c>
      <c r="F1242" s="1" t="s">
        <v>23</v>
      </c>
      <c r="G1242" s="3">
        <v>45337</v>
      </c>
      <c r="H1242" s="2">
        <v>115750.94</v>
      </c>
      <c r="I1242" s="13" t="s">
        <v>17</v>
      </c>
      <c r="J1242" s="14" t="s">
        <v>15</v>
      </c>
      <c r="K1242" s="14">
        <v>973</v>
      </c>
      <c r="L1242" s="15">
        <v>45332</v>
      </c>
      <c r="M1242" s="16">
        <v>12</v>
      </c>
      <c r="N124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42" s="31" t="str">
        <f>IF(Table64[[#This Row],[date validity flag]]&lt;&gt;"Valid","",Table64[[#This Row],[shipment date ]]-Table64[[#This Row],[Order date]])</f>
        <v/>
      </c>
      <c r="P1242" s="27" t="str">
        <f>TEXT(Table64[[#This Row],[Order date]],"mmm-yyyy")</f>
        <v>Feb-2024</v>
      </c>
      <c r="Q1242" s="16" t="str">
        <f t="shared" si="19"/>
        <v/>
      </c>
    </row>
    <row r="1243" spans="1:17" x14ac:dyDescent="0.3">
      <c r="A1243" s="17">
        <v>11242</v>
      </c>
      <c r="B1243" s="4">
        <v>6775</v>
      </c>
      <c r="C1243" s="4" t="s">
        <v>12</v>
      </c>
      <c r="D1243" s="5">
        <v>46079.839999999997</v>
      </c>
      <c r="E1243" s="4">
        <v>65</v>
      </c>
      <c r="F1243" s="4" t="s">
        <v>21</v>
      </c>
      <c r="G1243" s="6">
        <v>45306</v>
      </c>
      <c r="H1243" s="5">
        <v>50023.69</v>
      </c>
      <c r="I1243" s="18" t="s">
        <v>17</v>
      </c>
      <c r="J1243" s="14" t="s">
        <v>18</v>
      </c>
      <c r="K1243" s="14">
        <v>972</v>
      </c>
      <c r="L1243" s="15">
        <v>45361</v>
      </c>
      <c r="M1243" s="16">
        <v>7</v>
      </c>
      <c r="N12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43" s="31">
        <f>IF(Table64[[#This Row],[date validity flag]]&lt;&gt;"Valid","",Table64[[#This Row],[shipment date ]]-Table64[[#This Row],[Order date]])</f>
        <v>55</v>
      </c>
      <c r="P1243" s="27" t="str">
        <f>TEXT(Table64[[#This Row],[Order date]],"mmm-yyyy")</f>
        <v>Jan-2024</v>
      </c>
      <c r="Q1243" s="16" t="str">
        <f t="shared" si="19"/>
        <v>Delayed</v>
      </c>
    </row>
    <row r="1244" spans="1:17" x14ac:dyDescent="0.3">
      <c r="A1244" s="12">
        <v>11243</v>
      </c>
      <c r="B1244" s="1">
        <v>6532</v>
      </c>
      <c r="C1244" s="1" t="s">
        <v>12</v>
      </c>
      <c r="D1244" s="2">
        <v>9131.34</v>
      </c>
      <c r="E1244" s="1">
        <v>49</v>
      </c>
      <c r="F1244" s="1" t="s">
        <v>13</v>
      </c>
      <c r="G1244" s="3">
        <v>45337</v>
      </c>
      <c r="H1244" s="2">
        <v>91668.71</v>
      </c>
      <c r="I1244" s="13" t="s">
        <v>17</v>
      </c>
      <c r="J1244" s="14" t="s">
        <v>18</v>
      </c>
      <c r="K1244" s="14">
        <v>1125</v>
      </c>
      <c r="L1244" s="15">
        <v>45397</v>
      </c>
      <c r="M1244" s="16">
        <v>4</v>
      </c>
      <c r="N12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44" s="31">
        <f>IF(Table64[[#This Row],[date validity flag]]&lt;&gt;"Valid","",Table64[[#This Row],[shipment date ]]-Table64[[#This Row],[Order date]])</f>
        <v>60</v>
      </c>
      <c r="P1244" s="27" t="str">
        <f>TEXT(Table64[[#This Row],[Order date]],"mmm-yyyy")</f>
        <v>Feb-2024</v>
      </c>
      <c r="Q1244" s="16" t="str">
        <f t="shared" si="19"/>
        <v>Delayed</v>
      </c>
    </row>
    <row r="1245" spans="1:17" x14ac:dyDescent="0.3">
      <c r="A1245" s="17">
        <v>11244</v>
      </c>
      <c r="B1245" s="4">
        <v>6298</v>
      </c>
      <c r="C1245" s="4" t="s">
        <v>16</v>
      </c>
      <c r="D1245" s="5">
        <v>25811.99</v>
      </c>
      <c r="E1245" s="4">
        <v>47</v>
      </c>
      <c r="F1245" s="4" t="s">
        <v>23</v>
      </c>
      <c r="G1245" s="6">
        <v>45383</v>
      </c>
      <c r="H1245" s="5">
        <v>33327.019999999997</v>
      </c>
      <c r="I1245" s="18" t="s">
        <v>17</v>
      </c>
      <c r="J1245" s="14" t="s">
        <v>18</v>
      </c>
      <c r="K1245" s="14">
        <v>1282</v>
      </c>
      <c r="L1245" s="15">
        <v>45397</v>
      </c>
      <c r="M1245" s="16">
        <v>9</v>
      </c>
      <c r="N124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45" s="31">
        <f>IF(Table64[[#This Row],[date validity flag]]&lt;&gt;"Valid","",Table64[[#This Row],[shipment date ]]-Table64[[#This Row],[Order date]])</f>
        <v>14</v>
      </c>
      <c r="P1245" s="27" t="str">
        <f>TEXT(Table64[[#This Row],[Order date]],"mmm-yyyy")</f>
        <v>Apr-2024</v>
      </c>
      <c r="Q1245" s="16" t="str">
        <f t="shared" si="19"/>
        <v>Delayed</v>
      </c>
    </row>
    <row r="1246" spans="1:17" x14ac:dyDescent="0.3">
      <c r="A1246" s="12">
        <v>11245</v>
      </c>
      <c r="B1246" s="1">
        <v>6530</v>
      </c>
      <c r="C1246" s="1" t="s">
        <v>16</v>
      </c>
      <c r="D1246" s="2">
        <v>20102.61</v>
      </c>
      <c r="E1246" s="1">
        <v>52</v>
      </c>
      <c r="F1246" s="1" t="s">
        <v>13</v>
      </c>
      <c r="G1246" s="3">
        <v>45383</v>
      </c>
      <c r="H1246" s="2">
        <v>106813.71</v>
      </c>
      <c r="I1246" s="13" t="s">
        <v>17</v>
      </c>
      <c r="J1246" s="14" t="s">
        <v>18</v>
      </c>
      <c r="K1246" s="14">
        <v>1475</v>
      </c>
      <c r="L1246" s="15">
        <v>45361</v>
      </c>
      <c r="M1246" s="16">
        <v>9</v>
      </c>
      <c r="N124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46" s="31" t="str">
        <f>IF(Table64[[#This Row],[date validity flag]]&lt;&gt;"Valid","",Table64[[#This Row],[shipment date ]]-Table64[[#This Row],[Order date]])</f>
        <v/>
      </c>
      <c r="P1246" s="27" t="str">
        <f>TEXT(Table64[[#This Row],[Order date]],"mmm-yyyy")</f>
        <v>Apr-2024</v>
      </c>
      <c r="Q1246" s="16" t="str">
        <f t="shared" si="19"/>
        <v/>
      </c>
    </row>
    <row r="1247" spans="1:17" x14ac:dyDescent="0.3">
      <c r="A1247" s="17">
        <v>11246</v>
      </c>
      <c r="B1247" s="4">
        <v>5806</v>
      </c>
      <c r="C1247" s="4" t="s">
        <v>12</v>
      </c>
      <c r="D1247" s="5">
        <v>9568.93</v>
      </c>
      <c r="E1247" s="4">
        <v>88</v>
      </c>
      <c r="F1247" s="4" t="s">
        <v>23</v>
      </c>
      <c r="G1247" s="6">
        <v>45306</v>
      </c>
      <c r="H1247" s="5">
        <v>67980.14</v>
      </c>
      <c r="I1247" s="18" t="s">
        <v>20</v>
      </c>
      <c r="J1247" s="14" t="s">
        <v>15</v>
      </c>
      <c r="K1247" s="14">
        <v>1264</v>
      </c>
      <c r="L1247" s="15">
        <v>45332</v>
      </c>
      <c r="M1247" s="16">
        <v>8</v>
      </c>
      <c r="N12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47" s="31">
        <f>IF(Table64[[#This Row],[date validity flag]]&lt;&gt;"Valid","",Table64[[#This Row],[shipment date ]]-Table64[[#This Row],[Order date]])</f>
        <v>26</v>
      </c>
      <c r="P1247" s="27" t="str">
        <f>TEXT(Table64[[#This Row],[Order date]],"mmm-yyyy")</f>
        <v>Jan-2024</v>
      </c>
      <c r="Q1247" s="16" t="str">
        <f t="shared" si="19"/>
        <v>Delayed</v>
      </c>
    </row>
    <row r="1248" spans="1:17" x14ac:dyDescent="0.3">
      <c r="A1248" s="12">
        <v>11247</v>
      </c>
      <c r="B1248" s="1">
        <v>5739</v>
      </c>
      <c r="C1248" s="1" t="s">
        <v>12</v>
      </c>
      <c r="D1248" s="2">
        <v>61136.81</v>
      </c>
      <c r="E1248" s="1">
        <v>54</v>
      </c>
      <c r="F1248" s="1" t="s">
        <v>13</v>
      </c>
      <c r="G1248" s="3">
        <v>45383</v>
      </c>
      <c r="H1248" s="2">
        <v>69952.95</v>
      </c>
      <c r="I1248" s="13" t="s">
        <v>17</v>
      </c>
      <c r="J1248" s="14" t="s">
        <v>19</v>
      </c>
      <c r="K1248" s="14">
        <v>1124</v>
      </c>
      <c r="L1248" s="15">
        <v>45361</v>
      </c>
      <c r="M1248" s="16">
        <v>14</v>
      </c>
      <c r="N124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48" s="31" t="str">
        <f>IF(Table64[[#This Row],[date validity flag]]&lt;&gt;"Valid","",Table64[[#This Row],[shipment date ]]-Table64[[#This Row],[Order date]])</f>
        <v/>
      </c>
      <c r="P1248" s="27" t="str">
        <f>TEXT(Table64[[#This Row],[Order date]],"mmm-yyyy")</f>
        <v>Apr-2024</v>
      </c>
      <c r="Q1248" s="16" t="str">
        <f t="shared" si="19"/>
        <v/>
      </c>
    </row>
    <row r="1249" spans="1:17" x14ac:dyDescent="0.3">
      <c r="A1249" s="17">
        <v>11248</v>
      </c>
      <c r="B1249" s="4">
        <v>6907</v>
      </c>
      <c r="C1249" s="4" t="s">
        <v>16</v>
      </c>
      <c r="D1249" s="5">
        <v>85539.18</v>
      </c>
      <c r="E1249" s="4">
        <v>60</v>
      </c>
      <c r="F1249" s="4" t="s">
        <v>21</v>
      </c>
      <c r="G1249" s="6">
        <v>45361</v>
      </c>
      <c r="H1249" s="5">
        <v>20518.73</v>
      </c>
      <c r="I1249" s="18" t="s">
        <v>14</v>
      </c>
      <c r="J1249" s="14" t="s">
        <v>15</v>
      </c>
      <c r="K1249" s="14">
        <v>1466</v>
      </c>
      <c r="L1249" s="15">
        <v>45332</v>
      </c>
      <c r="M1249" s="16">
        <v>1</v>
      </c>
      <c r="N124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49" s="31" t="str">
        <f>IF(Table64[[#This Row],[date validity flag]]&lt;&gt;"Valid","",Table64[[#This Row],[shipment date ]]-Table64[[#This Row],[Order date]])</f>
        <v/>
      </c>
      <c r="P1249" s="27" t="str">
        <f>TEXT(Table64[[#This Row],[Order date]],"mmm-yyyy")</f>
        <v>Mar-2024</v>
      </c>
      <c r="Q1249" s="16" t="str">
        <f t="shared" si="19"/>
        <v/>
      </c>
    </row>
    <row r="1250" spans="1:17" x14ac:dyDescent="0.3">
      <c r="A1250" s="12">
        <v>11249</v>
      </c>
      <c r="B1250" s="1">
        <v>6039</v>
      </c>
      <c r="C1250" s="1" t="s">
        <v>16</v>
      </c>
      <c r="D1250" s="2">
        <v>52989.03</v>
      </c>
      <c r="E1250" s="1">
        <v>57</v>
      </c>
      <c r="F1250" s="1" t="s">
        <v>21</v>
      </c>
      <c r="G1250" s="3">
        <v>45361</v>
      </c>
      <c r="H1250" s="2">
        <v>139731.57</v>
      </c>
      <c r="I1250" s="13" t="s">
        <v>20</v>
      </c>
      <c r="J1250" s="14" t="s">
        <v>18</v>
      </c>
      <c r="K1250" s="14">
        <v>702</v>
      </c>
      <c r="L1250" s="15">
        <v>45332</v>
      </c>
      <c r="M1250" s="16">
        <v>7</v>
      </c>
      <c r="N125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50" s="31" t="str">
        <f>IF(Table64[[#This Row],[date validity flag]]&lt;&gt;"Valid","",Table64[[#This Row],[shipment date ]]-Table64[[#This Row],[Order date]])</f>
        <v/>
      </c>
      <c r="P1250" s="27" t="str">
        <f>TEXT(Table64[[#This Row],[Order date]],"mmm-yyyy")</f>
        <v>Mar-2024</v>
      </c>
      <c r="Q1250" s="16" t="str">
        <f t="shared" si="19"/>
        <v/>
      </c>
    </row>
    <row r="1251" spans="1:17" x14ac:dyDescent="0.3">
      <c r="A1251" s="17">
        <v>11250</v>
      </c>
      <c r="B1251" s="4">
        <v>6216</v>
      </c>
      <c r="C1251" s="4" t="s">
        <v>12</v>
      </c>
      <c r="D1251" s="5">
        <v>63232.38</v>
      </c>
      <c r="E1251" s="4">
        <v>47</v>
      </c>
      <c r="F1251" s="4" t="s">
        <v>13</v>
      </c>
      <c r="G1251" s="6">
        <v>45361</v>
      </c>
      <c r="H1251" s="5">
        <v>131810.41</v>
      </c>
      <c r="I1251" s="18" t="s">
        <v>14</v>
      </c>
      <c r="J1251" s="14" t="s">
        <v>18</v>
      </c>
      <c r="K1251" s="14">
        <v>670</v>
      </c>
      <c r="L1251" s="15">
        <v>45397</v>
      </c>
      <c r="M1251" s="16">
        <v>5</v>
      </c>
      <c r="N125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51" s="31">
        <f>IF(Table64[[#This Row],[date validity flag]]&lt;&gt;"Valid","",Table64[[#This Row],[shipment date ]]-Table64[[#This Row],[Order date]])</f>
        <v>36</v>
      </c>
      <c r="P1251" s="27" t="str">
        <f>TEXT(Table64[[#This Row],[Order date]],"mmm-yyyy")</f>
        <v>Mar-2024</v>
      </c>
      <c r="Q1251" s="16" t="str">
        <f t="shared" si="19"/>
        <v>Delayed</v>
      </c>
    </row>
    <row r="1252" spans="1:17" x14ac:dyDescent="0.3">
      <c r="A1252" s="12">
        <v>11251</v>
      </c>
      <c r="B1252" s="1">
        <v>6655</v>
      </c>
      <c r="C1252" s="1" t="s">
        <v>16</v>
      </c>
      <c r="D1252" s="2">
        <v>16822.740000000002</v>
      </c>
      <c r="E1252" s="1">
        <v>31</v>
      </c>
      <c r="F1252" s="1" t="s">
        <v>13</v>
      </c>
      <c r="G1252" s="3">
        <v>45361</v>
      </c>
      <c r="H1252" s="2">
        <v>38229.9</v>
      </c>
      <c r="I1252" s="13" t="s">
        <v>17</v>
      </c>
      <c r="J1252" s="14" t="s">
        <v>19</v>
      </c>
      <c r="K1252" s="14">
        <v>1373</v>
      </c>
      <c r="L1252" s="15">
        <v>45361</v>
      </c>
      <c r="M1252" s="16">
        <v>7</v>
      </c>
      <c r="N125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52" s="31">
        <f>IF(Table64[[#This Row],[date validity flag]]&lt;&gt;"Valid","",Table64[[#This Row],[shipment date ]]-Table64[[#This Row],[Order date]])</f>
        <v>0</v>
      </c>
      <c r="P1252" s="27" t="str">
        <f>TEXT(Table64[[#This Row],[Order date]],"mmm-yyyy")</f>
        <v>Mar-2024</v>
      </c>
      <c r="Q1252" s="16" t="str">
        <f t="shared" si="19"/>
        <v>On Time</v>
      </c>
    </row>
    <row r="1253" spans="1:17" x14ac:dyDescent="0.3">
      <c r="A1253" s="17">
        <v>11252</v>
      </c>
      <c r="B1253" s="4">
        <v>5485</v>
      </c>
      <c r="C1253" s="4" t="s">
        <v>12</v>
      </c>
      <c r="D1253" s="5">
        <v>69750.61</v>
      </c>
      <c r="E1253" s="4">
        <v>46</v>
      </c>
      <c r="F1253" s="4" t="s">
        <v>13</v>
      </c>
      <c r="G1253" s="6">
        <v>45361</v>
      </c>
      <c r="H1253" s="5">
        <v>140870.67000000001</v>
      </c>
      <c r="I1253" s="18" t="s">
        <v>20</v>
      </c>
      <c r="J1253" s="14" t="s">
        <v>18</v>
      </c>
      <c r="K1253" s="14">
        <v>245</v>
      </c>
      <c r="L1253" s="15">
        <v>45397</v>
      </c>
      <c r="M1253" s="16">
        <v>12</v>
      </c>
      <c r="N12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53" s="31">
        <f>IF(Table64[[#This Row],[date validity flag]]&lt;&gt;"Valid","",Table64[[#This Row],[shipment date ]]-Table64[[#This Row],[Order date]])</f>
        <v>36</v>
      </c>
      <c r="P1253" s="27" t="str">
        <f>TEXT(Table64[[#This Row],[Order date]],"mmm-yyyy")</f>
        <v>Mar-2024</v>
      </c>
      <c r="Q1253" s="16" t="str">
        <f t="shared" si="19"/>
        <v>Delayed</v>
      </c>
    </row>
    <row r="1254" spans="1:17" x14ac:dyDescent="0.3">
      <c r="A1254" s="12">
        <v>11253</v>
      </c>
      <c r="B1254" s="1">
        <v>5028</v>
      </c>
      <c r="C1254" s="1" t="s">
        <v>12</v>
      </c>
      <c r="D1254" s="2">
        <v>18071.689999999999</v>
      </c>
      <c r="E1254" s="1">
        <v>26</v>
      </c>
      <c r="F1254" s="1" t="s">
        <v>23</v>
      </c>
      <c r="G1254" s="3">
        <v>45383</v>
      </c>
      <c r="H1254" s="2">
        <v>67034.009999999995</v>
      </c>
      <c r="I1254" s="13" t="s">
        <v>17</v>
      </c>
      <c r="J1254" s="14" t="s">
        <v>15</v>
      </c>
      <c r="K1254" s="14">
        <v>466</v>
      </c>
      <c r="L1254" s="15">
        <v>45361</v>
      </c>
      <c r="M1254" s="16">
        <v>9</v>
      </c>
      <c r="N12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54" s="31" t="str">
        <f>IF(Table64[[#This Row],[date validity flag]]&lt;&gt;"Valid","",Table64[[#This Row],[shipment date ]]-Table64[[#This Row],[Order date]])</f>
        <v/>
      </c>
      <c r="P1254" s="27" t="str">
        <f>TEXT(Table64[[#This Row],[Order date]],"mmm-yyyy")</f>
        <v>Apr-2024</v>
      </c>
      <c r="Q1254" s="16" t="str">
        <f t="shared" si="19"/>
        <v/>
      </c>
    </row>
    <row r="1255" spans="1:17" x14ac:dyDescent="0.3">
      <c r="A1255" s="17">
        <v>11254</v>
      </c>
      <c r="B1255" s="4">
        <v>5714</v>
      </c>
      <c r="C1255" s="4" t="s">
        <v>16</v>
      </c>
      <c r="D1255" s="5">
        <v>97414.94</v>
      </c>
      <c r="E1255" s="4">
        <v>5</v>
      </c>
      <c r="F1255" s="4" t="s">
        <v>21</v>
      </c>
      <c r="G1255" s="6">
        <v>45306</v>
      </c>
      <c r="H1255" s="5">
        <v>128225.24</v>
      </c>
      <c r="I1255" s="18" t="s">
        <v>20</v>
      </c>
      <c r="J1255" s="14" t="s">
        <v>15</v>
      </c>
      <c r="K1255" s="14">
        <v>713</v>
      </c>
      <c r="L1255" s="15">
        <v>45361</v>
      </c>
      <c r="M1255" s="16">
        <v>2</v>
      </c>
      <c r="N12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55" s="31">
        <f>IF(Table64[[#This Row],[date validity flag]]&lt;&gt;"Valid","",Table64[[#This Row],[shipment date ]]-Table64[[#This Row],[Order date]])</f>
        <v>55</v>
      </c>
      <c r="P1255" s="27" t="str">
        <f>TEXT(Table64[[#This Row],[Order date]],"mmm-yyyy")</f>
        <v>Jan-2024</v>
      </c>
      <c r="Q1255" s="16" t="str">
        <f t="shared" si="19"/>
        <v>Delayed</v>
      </c>
    </row>
    <row r="1256" spans="1:17" x14ac:dyDescent="0.3">
      <c r="A1256" s="12">
        <v>11255</v>
      </c>
      <c r="B1256" s="1">
        <v>6063</v>
      </c>
      <c r="C1256" s="1" t="s">
        <v>16</v>
      </c>
      <c r="D1256" s="2">
        <v>36048.9</v>
      </c>
      <c r="E1256" s="1">
        <v>84</v>
      </c>
      <c r="F1256" s="1" t="s">
        <v>23</v>
      </c>
      <c r="G1256" s="3">
        <v>45306</v>
      </c>
      <c r="H1256" s="2">
        <v>67530.61</v>
      </c>
      <c r="I1256" s="13" t="s">
        <v>14</v>
      </c>
      <c r="J1256" s="14" t="s">
        <v>19</v>
      </c>
      <c r="K1256" s="14">
        <v>1493</v>
      </c>
      <c r="L1256" s="15">
        <v>45397</v>
      </c>
      <c r="M1256" s="16">
        <v>13</v>
      </c>
      <c r="N12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56" s="31">
        <f>IF(Table64[[#This Row],[date validity flag]]&lt;&gt;"Valid","",Table64[[#This Row],[shipment date ]]-Table64[[#This Row],[Order date]])</f>
        <v>91</v>
      </c>
      <c r="P1256" s="27" t="str">
        <f>TEXT(Table64[[#This Row],[Order date]],"mmm-yyyy")</f>
        <v>Jan-2024</v>
      </c>
      <c r="Q1256" s="16" t="str">
        <f t="shared" si="19"/>
        <v>Delayed</v>
      </c>
    </row>
    <row r="1257" spans="1:17" x14ac:dyDescent="0.3">
      <c r="A1257" s="17">
        <v>11256</v>
      </c>
      <c r="B1257" s="4">
        <v>6977</v>
      </c>
      <c r="C1257" s="4" t="s">
        <v>12</v>
      </c>
      <c r="D1257" s="5">
        <v>98754.880000000005</v>
      </c>
      <c r="E1257" s="4">
        <v>52</v>
      </c>
      <c r="F1257" s="4" t="s">
        <v>21</v>
      </c>
      <c r="G1257" s="6">
        <v>45361</v>
      </c>
      <c r="H1257" s="5">
        <v>11020.13</v>
      </c>
      <c r="I1257" s="18" t="s">
        <v>17</v>
      </c>
      <c r="J1257" s="14" t="s">
        <v>15</v>
      </c>
      <c r="K1257" s="14">
        <v>1429</v>
      </c>
      <c r="L1257" s="15">
        <v>45361</v>
      </c>
      <c r="M1257" s="16">
        <v>14</v>
      </c>
      <c r="N12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57" s="31">
        <f>IF(Table64[[#This Row],[date validity flag]]&lt;&gt;"Valid","",Table64[[#This Row],[shipment date ]]-Table64[[#This Row],[Order date]])</f>
        <v>0</v>
      </c>
      <c r="P1257" s="27" t="str">
        <f>TEXT(Table64[[#This Row],[Order date]],"mmm-yyyy")</f>
        <v>Mar-2024</v>
      </c>
      <c r="Q1257" s="16" t="str">
        <f t="shared" si="19"/>
        <v>On Time</v>
      </c>
    </row>
    <row r="1258" spans="1:17" x14ac:dyDescent="0.3">
      <c r="A1258" s="12">
        <v>11257</v>
      </c>
      <c r="B1258" s="1">
        <v>6297</v>
      </c>
      <c r="C1258" s="1" t="s">
        <v>12</v>
      </c>
      <c r="D1258" s="2">
        <v>80166.990000000005</v>
      </c>
      <c r="E1258" s="1">
        <v>75</v>
      </c>
      <c r="F1258" s="1" t="s">
        <v>22</v>
      </c>
      <c r="G1258" s="3">
        <v>45383</v>
      </c>
      <c r="H1258" s="2">
        <v>40903.019999999997</v>
      </c>
      <c r="I1258" s="13" t="s">
        <v>20</v>
      </c>
      <c r="J1258" s="14" t="s">
        <v>15</v>
      </c>
      <c r="K1258" s="14">
        <v>197</v>
      </c>
      <c r="L1258" s="15">
        <v>45361</v>
      </c>
      <c r="M1258" s="16">
        <v>11</v>
      </c>
      <c r="N125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58" s="31" t="str">
        <f>IF(Table64[[#This Row],[date validity flag]]&lt;&gt;"Valid","",Table64[[#This Row],[shipment date ]]-Table64[[#This Row],[Order date]])</f>
        <v/>
      </c>
      <c r="P1258" s="27" t="str">
        <f>TEXT(Table64[[#This Row],[Order date]],"mmm-yyyy")</f>
        <v>Apr-2024</v>
      </c>
      <c r="Q1258" s="16" t="str">
        <f t="shared" si="19"/>
        <v/>
      </c>
    </row>
    <row r="1259" spans="1:17" x14ac:dyDescent="0.3">
      <c r="A1259" s="17">
        <v>11258</v>
      </c>
      <c r="B1259" s="4">
        <v>6255</v>
      </c>
      <c r="C1259" s="4" t="s">
        <v>12</v>
      </c>
      <c r="D1259" s="5">
        <v>66729.3</v>
      </c>
      <c r="E1259" s="4">
        <v>54</v>
      </c>
      <c r="F1259" s="4" t="s">
        <v>23</v>
      </c>
      <c r="G1259" s="6">
        <v>45337</v>
      </c>
      <c r="H1259" s="5">
        <v>133185.85</v>
      </c>
      <c r="I1259" s="18" t="s">
        <v>20</v>
      </c>
      <c r="J1259" s="14" t="s">
        <v>15</v>
      </c>
      <c r="K1259" s="14">
        <v>1050</v>
      </c>
      <c r="L1259" s="15">
        <v>45332</v>
      </c>
      <c r="M1259" s="16">
        <v>4</v>
      </c>
      <c r="N125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59" s="31" t="str">
        <f>IF(Table64[[#This Row],[date validity flag]]&lt;&gt;"Valid","",Table64[[#This Row],[shipment date ]]-Table64[[#This Row],[Order date]])</f>
        <v/>
      </c>
      <c r="P1259" s="27" t="str">
        <f>TEXT(Table64[[#This Row],[Order date]],"mmm-yyyy")</f>
        <v>Feb-2024</v>
      </c>
      <c r="Q1259" s="16" t="str">
        <f t="shared" si="19"/>
        <v/>
      </c>
    </row>
    <row r="1260" spans="1:17" x14ac:dyDescent="0.3">
      <c r="A1260" s="12">
        <v>11259</v>
      </c>
      <c r="B1260" s="1">
        <v>5086</v>
      </c>
      <c r="C1260" s="1" t="s">
        <v>16</v>
      </c>
      <c r="D1260" s="2">
        <v>30067.52</v>
      </c>
      <c r="E1260" s="1">
        <v>33</v>
      </c>
      <c r="F1260" s="1" t="s">
        <v>21</v>
      </c>
      <c r="G1260" s="3">
        <v>45337</v>
      </c>
      <c r="H1260" s="2">
        <v>16998.79</v>
      </c>
      <c r="I1260" s="13" t="s">
        <v>20</v>
      </c>
      <c r="J1260" s="14" t="s">
        <v>15</v>
      </c>
      <c r="K1260" s="14">
        <v>1438</v>
      </c>
      <c r="L1260" s="15">
        <v>45361</v>
      </c>
      <c r="M1260" s="16">
        <v>4</v>
      </c>
      <c r="N12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60" s="31">
        <f>IF(Table64[[#This Row],[date validity flag]]&lt;&gt;"Valid","",Table64[[#This Row],[shipment date ]]-Table64[[#This Row],[Order date]])</f>
        <v>24</v>
      </c>
      <c r="P1260" s="27" t="str">
        <f>TEXT(Table64[[#This Row],[Order date]],"mmm-yyyy")</f>
        <v>Feb-2024</v>
      </c>
      <c r="Q1260" s="16" t="str">
        <f t="shared" si="19"/>
        <v>Delayed</v>
      </c>
    </row>
    <row r="1261" spans="1:17" x14ac:dyDescent="0.3">
      <c r="A1261" s="17">
        <v>11260</v>
      </c>
      <c r="B1261" s="4">
        <v>6498</v>
      </c>
      <c r="C1261" s="4" t="s">
        <v>12</v>
      </c>
      <c r="D1261" s="5">
        <v>18848.919999999998</v>
      </c>
      <c r="E1261" s="4">
        <v>50</v>
      </c>
      <c r="F1261" s="4" t="s">
        <v>21</v>
      </c>
      <c r="G1261" s="6">
        <v>45383</v>
      </c>
      <c r="H1261" s="5">
        <v>50450.62</v>
      </c>
      <c r="I1261" s="18" t="s">
        <v>20</v>
      </c>
      <c r="J1261" s="14" t="s">
        <v>18</v>
      </c>
      <c r="K1261" s="14">
        <v>413</v>
      </c>
      <c r="L1261" s="15">
        <v>45361</v>
      </c>
      <c r="M1261" s="16">
        <v>2</v>
      </c>
      <c r="N126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61" s="31" t="str">
        <f>IF(Table64[[#This Row],[date validity flag]]&lt;&gt;"Valid","",Table64[[#This Row],[shipment date ]]-Table64[[#This Row],[Order date]])</f>
        <v/>
      </c>
      <c r="P1261" s="27" t="str">
        <f>TEXT(Table64[[#This Row],[Order date]],"mmm-yyyy")</f>
        <v>Apr-2024</v>
      </c>
      <c r="Q1261" s="16" t="str">
        <f t="shared" si="19"/>
        <v/>
      </c>
    </row>
    <row r="1262" spans="1:17" x14ac:dyDescent="0.3">
      <c r="A1262" s="12">
        <v>11261</v>
      </c>
      <c r="B1262" s="1">
        <v>5126</v>
      </c>
      <c r="C1262" s="1" t="s">
        <v>12</v>
      </c>
      <c r="D1262" s="2">
        <v>47732.43</v>
      </c>
      <c r="E1262" s="1">
        <v>38</v>
      </c>
      <c r="F1262" s="1" t="s">
        <v>23</v>
      </c>
      <c r="G1262" s="3">
        <v>45361</v>
      </c>
      <c r="H1262" s="2">
        <v>102278.9</v>
      </c>
      <c r="I1262" s="13" t="s">
        <v>17</v>
      </c>
      <c r="J1262" s="14" t="s">
        <v>15</v>
      </c>
      <c r="K1262" s="14">
        <v>451</v>
      </c>
      <c r="L1262" s="15">
        <v>45397</v>
      </c>
      <c r="M1262" s="16">
        <v>3</v>
      </c>
      <c r="N12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62" s="31">
        <f>IF(Table64[[#This Row],[date validity flag]]&lt;&gt;"Valid","",Table64[[#This Row],[shipment date ]]-Table64[[#This Row],[Order date]])</f>
        <v>36</v>
      </c>
      <c r="P1262" s="27" t="str">
        <f>TEXT(Table64[[#This Row],[Order date]],"mmm-yyyy")</f>
        <v>Mar-2024</v>
      </c>
      <c r="Q1262" s="16" t="str">
        <f t="shared" si="19"/>
        <v>Delayed</v>
      </c>
    </row>
    <row r="1263" spans="1:17" x14ac:dyDescent="0.3">
      <c r="A1263" s="17">
        <v>11262</v>
      </c>
      <c r="B1263" s="4">
        <v>5812</v>
      </c>
      <c r="C1263" s="4" t="s">
        <v>16</v>
      </c>
      <c r="D1263" s="5">
        <v>93389.54</v>
      </c>
      <c r="E1263" s="4">
        <v>27</v>
      </c>
      <c r="F1263" s="4" t="s">
        <v>23</v>
      </c>
      <c r="G1263" s="6">
        <v>45306</v>
      </c>
      <c r="H1263" s="5">
        <v>38748.980000000003</v>
      </c>
      <c r="I1263" s="18" t="s">
        <v>14</v>
      </c>
      <c r="J1263" s="14" t="s">
        <v>19</v>
      </c>
      <c r="K1263" s="14">
        <v>655</v>
      </c>
      <c r="L1263" s="15">
        <v>45397</v>
      </c>
      <c r="M1263" s="16">
        <v>11</v>
      </c>
      <c r="N12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63" s="31">
        <f>IF(Table64[[#This Row],[date validity flag]]&lt;&gt;"Valid","",Table64[[#This Row],[shipment date ]]-Table64[[#This Row],[Order date]])</f>
        <v>91</v>
      </c>
      <c r="P1263" s="27" t="str">
        <f>TEXT(Table64[[#This Row],[Order date]],"mmm-yyyy")</f>
        <v>Jan-2024</v>
      </c>
      <c r="Q1263" s="16" t="str">
        <f t="shared" si="19"/>
        <v>Delayed</v>
      </c>
    </row>
    <row r="1264" spans="1:17" x14ac:dyDescent="0.3">
      <c r="A1264" s="12">
        <v>11263</v>
      </c>
      <c r="B1264" s="1">
        <v>5537</v>
      </c>
      <c r="C1264" s="1" t="s">
        <v>16</v>
      </c>
      <c r="D1264" s="2">
        <v>38967.5</v>
      </c>
      <c r="E1264" s="1">
        <v>98</v>
      </c>
      <c r="F1264" s="1" t="s">
        <v>21</v>
      </c>
      <c r="G1264" s="3">
        <v>45383</v>
      </c>
      <c r="H1264" s="2">
        <v>154089.10999999999</v>
      </c>
      <c r="I1264" s="13" t="s">
        <v>20</v>
      </c>
      <c r="J1264" s="14" t="s">
        <v>19</v>
      </c>
      <c r="K1264" s="14">
        <v>278</v>
      </c>
      <c r="L1264" s="15">
        <v>45361</v>
      </c>
      <c r="M1264" s="16">
        <v>14</v>
      </c>
      <c r="N126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64" s="31" t="str">
        <f>IF(Table64[[#This Row],[date validity flag]]&lt;&gt;"Valid","",Table64[[#This Row],[shipment date ]]-Table64[[#This Row],[Order date]])</f>
        <v/>
      </c>
      <c r="P1264" s="27" t="str">
        <f>TEXT(Table64[[#This Row],[Order date]],"mmm-yyyy")</f>
        <v>Apr-2024</v>
      </c>
      <c r="Q1264" s="16" t="str">
        <f t="shared" si="19"/>
        <v/>
      </c>
    </row>
    <row r="1265" spans="1:17" x14ac:dyDescent="0.3">
      <c r="A1265" s="17">
        <v>11264</v>
      </c>
      <c r="B1265" s="4">
        <v>5145</v>
      </c>
      <c r="C1265" s="4" t="s">
        <v>16</v>
      </c>
      <c r="D1265" s="5">
        <v>77371.28</v>
      </c>
      <c r="E1265" s="4">
        <v>15</v>
      </c>
      <c r="F1265" s="4" t="s">
        <v>23</v>
      </c>
      <c r="G1265" s="6">
        <v>45337</v>
      </c>
      <c r="H1265" s="5">
        <v>62113.91</v>
      </c>
      <c r="I1265" s="18" t="s">
        <v>17</v>
      </c>
      <c r="J1265" s="14" t="s">
        <v>15</v>
      </c>
      <c r="K1265" s="14">
        <v>586</v>
      </c>
      <c r="L1265" s="15">
        <v>45332</v>
      </c>
      <c r="M1265" s="16">
        <v>14</v>
      </c>
      <c r="N126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65" s="31" t="str">
        <f>IF(Table64[[#This Row],[date validity flag]]&lt;&gt;"Valid","",Table64[[#This Row],[shipment date ]]-Table64[[#This Row],[Order date]])</f>
        <v/>
      </c>
      <c r="P1265" s="27" t="str">
        <f>TEXT(Table64[[#This Row],[Order date]],"mmm-yyyy")</f>
        <v>Feb-2024</v>
      </c>
      <c r="Q1265" s="16" t="str">
        <f t="shared" si="19"/>
        <v/>
      </c>
    </row>
    <row r="1266" spans="1:17" x14ac:dyDescent="0.3">
      <c r="A1266" s="12">
        <v>11265</v>
      </c>
      <c r="B1266" s="1">
        <v>6549</v>
      </c>
      <c r="C1266" s="1" t="s">
        <v>16</v>
      </c>
      <c r="D1266" s="2">
        <v>59422.61</v>
      </c>
      <c r="E1266" s="1">
        <v>96</v>
      </c>
      <c r="F1266" s="1" t="s">
        <v>13</v>
      </c>
      <c r="G1266" s="3">
        <v>45337</v>
      </c>
      <c r="H1266" s="2">
        <v>12262.55</v>
      </c>
      <c r="I1266" s="13" t="s">
        <v>14</v>
      </c>
      <c r="J1266" s="14" t="s">
        <v>19</v>
      </c>
      <c r="K1266" s="14">
        <v>317</v>
      </c>
      <c r="L1266" s="15">
        <v>45332</v>
      </c>
      <c r="M1266" s="16">
        <v>13</v>
      </c>
      <c r="N126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66" s="31" t="str">
        <f>IF(Table64[[#This Row],[date validity flag]]&lt;&gt;"Valid","",Table64[[#This Row],[shipment date ]]-Table64[[#This Row],[Order date]])</f>
        <v/>
      </c>
      <c r="P1266" s="27" t="str">
        <f>TEXT(Table64[[#This Row],[Order date]],"mmm-yyyy")</f>
        <v>Feb-2024</v>
      </c>
      <c r="Q1266" s="16" t="str">
        <f t="shared" si="19"/>
        <v/>
      </c>
    </row>
    <row r="1267" spans="1:17" x14ac:dyDescent="0.3">
      <c r="A1267" s="17">
        <v>11266</v>
      </c>
      <c r="B1267" s="4">
        <v>6236</v>
      </c>
      <c r="C1267" s="4" t="s">
        <v>16</v>
      </c>
      <c r="D1267" s="5">
        <v>40462.04</v>
      </c>
      <c r="E1267" s="4">
        <v>61</v>
      </c>
      <c r="F1267" s="4" t="s">
        <v>23</v>
      </c>
      <c r="G1267" s="6">
        <v>45337</v>
      </c>
      <c r="H1267" s="5">
        <v>71660.45</v>
      </c>
      <c r="I1267" s="18" t="s">
        <v>20</v>
      </c>
      <c r="J1267" s="14" t="s">
        <v>15</v>
      </c>
      <c r="K1267" s="14">
        <v>1478</v>
      </c>
      <c r="L1267" s="15">
        <v>45397</v>
      </c>
      <c r="M1267" s="16">
        <v>8</v>
      </c>
      <c r="N12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67" s="31">
        <f>IF(Table64[[#This Row],[date validity flag]]&lt;&gt;"Valid","",Table64[[#This Row],[shipment date ]]-Table64[[#This Row],[Order date]])</f>
        <v>60</v>
      </c>
      <c r="P1267" s="27" t="str">
        <f>TEXT(Table64[[#This Row],[Order date]],"mmm-yyyy")</f>
        <v>Feb-2024</v>
      </c>
      <c r="Q1267" s="16" t="str">
        <f t="shared" si="19"/>
        <v>Delayed</v>
      </c>
    </row>
    <row r="1268" spans="1:17" x14ac:dyDescent="0.3">
      <c r="A1268" s="12">
        <v>11267</v>
      </c>
      <c r="B1268" s="1">
        <v>5025</v>
      </c>
      <c r="C1268" s="1" t="s">
        <v>16</v>
      </c>
      <c r="D1268" s="2">
        <v>98107.54</v>
      </c>
      <c r="E1268" s="1">
        <v>21</v>
      </c>
      <c r="F1268" s="1" t="s">
        <v>23</v>
      </c>
      <c r="G1268" s="3">
        <v>45361</v>
      </c>
      <c r="H1268" s="2">
        <v>170730.38</v>
      </c>
      <c r="I1268" s="13" t="s">
        <v>14</v>
      </c>
      <c r="J1268" s="14" t="s">
        <v>19</v>
      </c>
      <c r="K1268" s="14">
        <v>1084</v>
      </c>
      <c r="L1268" s="15">
        <v>45361</v>
      </c>
      <c r="M1268" s="16">
        <v>12</v>
      </c>
      <c r="N12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68" s="31">
        <f>IF(Table64[[#This Row],[date validity flag]]&lt;&gt;"Valid","",Table64[[#This Row],[shipment date ]]-Table64[[#This Row],[Order date]])</f>
        <v>0</v>
      </c>
      <c r="P1268" s="27" t="str">
        <f>TEXT(Table64[[#This Row],[Order date]],"mmm-yyyy")</f>
        <v>Mar-2024</v>
      </c>
      <c r="Q1268" s="16" t="str">
        <f t="shared" si="19"/>
        <v>On Time</v>
      </c>
    </row>
    <row r="1269" spans="1:17" x14ac:dyDescent="0.3">
      <c r="A1269" s="17">
        <v>11268</v>
      </c>
      <c r="B1269" s="4">
        <v>6604</v>
      </c>
      <c r="C1269" s="4" t="s">
        <v>12</v>
      </c>
      <c r="D1269" s="5">
        <v>47646.91</v>
      </c>
      <c r="E1269" s="4">
        <v>46</v>
      </c>
      <c r="F1269" s="4" t="s">
        <v>23</v>
      </c>
      <c r="G1269" s="6">
        <v>45337</v>
      </c>
      <c r="H1269" s="5">
        <v>52696.89</v>
      </c>
      <c r="I1269" s="18" t="s">
        <v>14</v>
      </c>
      <c r="J1269" s="14" t="s">
        <v>19</v>
      </c>
      <c r="K1269" s="14">
        <v>1393</v>
      </c>
      <c r="L1269" s="15">
        <v>45361</v>
      </c>
      <c r="M1269" s="16">
        <v>9</v>
      </c>
      <c r="N12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69" s="31">
        <f>IF(Table64[[#This Row],[date validity flag]]&lt;&gt;"Valid","",Table64[[#This Row],[shipment date ]]-Table64[[#This Row],[Order date]])</f>
        <v>24</v>
      </c>
      <c r="P1269" s="27" t="str">
        <f>TEXT(Table64[[#This Row],[Order date]],"mmm-yyyy")</f>
        <v>Feb-2024</v>
      </c>
      <c r="Q1269" s="16" t="str">
        <f t="shared" si="19"/>
        <v>Delayed</v>
      </c>
    </row>
    <row r="1270" spans="1:17" x14ac:dyDescent="0.3">
      <c r="A1270" s="12">
        <v>11269</v>
      </c>
      <c r="B1270" s="1">
        <v>6418</v>
      </c>
      <c r="C1270" s="1" t="s">
        <v>16</v>
      </c>
      <c r="D1270" s="2">
        <v>15071.4</v>
      </c>
      <c r="E1270" s="1">
        <v>69</v>
      </c>
      <c r="F1270" s="1" t="s">
        <v>21</v>
      </c>
      <c r="G1270" s="3">
        <v>45383</v>
      </c>
      <c r="H1270" s="2">
        <v>51318.36</v>
      </c>
      <c r="I1270" s="13" t="s">
        <v>17</v>
      </c>
      <c r="J1270" s="14" t="s">
        <v>15</v>
      </c>
      <c r="K1270" s="14">
        <v>175</v>
      </c>
      <c r="L1270" s="15">
        <v>45332</v>
      </c>
      <c r="M1270" s="16">
        <v>6</v>
      </c>
      <c r="N127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70" s="31" t="str">
        <f>IF(Table64[[#This Row],[date validity flag]]&lt;&gt;"Valid","",Table64[[#This Row],[shipment date ]]-Table64[[#This Row],[Order date]])</f>
        <v/>
      </c>
      <c r="P1270" s="27" t="str">
        <f>TEXT(Table64[[#This Row],[Order date]],"mmm-yyyy")</f>
        <v>Apr-2024</v>
      </c>
      <c r="Q1270" s="16" t="str">
        <f t="shared" si="19"/>
        <v/>
      </c>
    </row>
    <row r="1271" spans="1:17" x14ac:dyDescent="0.3">
      <c r="A1271" s="17">
        <v>11270</v>
      </c>
      <c r="B1271" s="4">
        <v>5067</v>
      </c>
      <c r="C1271" s="4" t="s">
        <v>12</v>
      </c>
      <c r="D1271" s="5">
        <v>21267.87</v>
      </c>
      <c r="E1271" s="4">
        <v>6</v>
      </c>
      <c r="F1271" s="4" t="s">
        <v>13</v>
      </c>
      <c r="G1271" s="6">
        <v>45383</v>
      </c>
      <c r="H1271" s="5">
        <v>151152.18</v>
      </c>
      <c r="I1271" s="18" t="s">
        <v>14</v>
      </c>
      <c r="J1271" s="14" t="s">
        <v>15</v>
      </c>
      <c r="K1271" s="14">
        <v>355</v>
      </c>
      <c r="L1271" s="15">
        <v>45332</v>
      </c>
      <c r="M1271" s="16">
        <v>10</v>
      </c>
      <c r="N127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71" s="31" t="str">
        <f>IF(Table64[[#This Row],[date validity flag]]&lt;&gt;"Valid","",Table64[[#This Row],[shipment date ]]-Table64[[#This Row],[Order date]])</f>
        <v/>
      </c>
      <c r="P1271" s="27" t="str">
        <f>TEXT(Table64[[#This Row],[Order date]],"mmm-yyyy")</f>
        <v>Apr-2024</v>
      </c>
      <c r="Q1271" s="16" t="str">
        <f t="shared" si="19"/>
        <v/>
      </c>
    </row>
    <row r="1272" spans="1:17" x14ac:dyDescent="0.3">
      <c r="A1272" s="12">
        <v>11271</v>
      </c>
      <c r="B1272" s="1">
        <v>5233</v>
      </c>
      <c r="C1272" s="1" t="s">
        <v>16</v>
      </c>
      <c r="D1272" s="2">
        <v>52861.15</v>
      </c>
      <c r="E1272" s="1">
        <v>38</v>
      </c>
      <c r="F1272" s="1" t="s">
        <v>22</v>
      </c>
      <c r="G1272" s="3">
        <v>45337</v>
      </c>
      <c r="H1272" s="2">
        <v>153499.59</v>
      </c>
      <c r="I1272" s="13" t="s">
        <v>17</v>
      </c>
      <c r="J1272" s="14" t="s">
        <v>18</v>
      </c>
      <c r="K1272" s="14">
        <v>1162</v>
      </c>
      <c r="L1272" s="15">
        <v>45332</v>
      </c>
      <c r="M1272" s="16">
        <v>2</v>
      </c>
      <c r="N127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72" s="31" t="str">
        <f>IF(Table64[[#This Row],[date validity flag]]&lt;&gt;"Valid","",Table64[[#This Row],[shipment date ]]-Table64[[#This Row],[Order date]])</f>
        <v/>
      </c>
      <c r="P1272" s="27" t="str">
        <f>TEXT(Table64[[#This Row],[Order date]],"mmm-yyyy")</f>
        <v>Feb-2024</v>
      </c>
      <c r="Q1272" s="16" t="str">
        <f t="shared" si="19"/>
        <v/>
      </c>
    </row>
    <row r="1273" spans="1:17" x14ac:dyDescent="0.3">
      <c r="A1273" s="17">
        <v>11272</v>
      </c>
      <c r="B1273" s="4">
        <v>5109</v>
      </c>
      <c r="C1273" s="4" t="s">
        <v>16</v>
      </c>
      <c r="D1273" s="5">
        <v>29382.07</v>
      </c>
      <c r="E1273" s="4">
        <v>62</v>
      </c>
      <c r="F1273" s="4" t="s">
        <v>22</v>
      </c>
      <c r="G1273" s="6">
        <v>45383</v>
      </c>
      <c r="H1273" s="5">
        <v>135990.07999999999</v>
      </c>
      <c r="I1273" s="18" t="s">
        <v>20</v>
      </c>
      <c r="J1273" s="14" t="s">
        <v>15</v>
      </c>
      <c r="K1273" s="14">
        <v>1428</v>
      </c>
      <c r="L1273" s="15">
        <v>45397</v>
      </c>
      <c r="M1273" s="16">
        <v>2</v>
      </c>
      <c r="N12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3" s="31">
        <f>IF(Table64[[#This Row],[date validity flag]]&lt;&gt;"Valid","",Table64[[#This Row],[shipment date ]]-Table64[[#This Row],[Order date]])</f>
        <v>14</v>
      </c>
      <c r="P1273" s="27" t="str">
        <f>TEXT(Table64[[#This Row],[Order date]],"mmm-yyyy")</f>
        <v>Apr-2024</v>
      </c>
      <c r="Q1273" s="16" t="str">
        <f t="shared" si="19"/>
        <v>Delayed</v>
      </c>
    </row>
    <row r="1274" spans="1:17" x14ac:dyDescent="0.3">
      <c r="A1274" s="12">
        <v>11273</v>
      </c>
      <c r="B1274" s="1">
        <v>6170</v>
      </c>
      <c r="C1274" s="1" t="s">
        <v>16</v>
      </c>
      <c r="D1274" s="2">
        <v>69957.009999999995</v>
      </c>
      <c r="E1274" s="1">
        <v>86</v>
      </c>
      <c r="F1274" s="1" t="s">
        <v>13</v>
      </c>
      <c r="G1274" s="3">
        <v>45337</v>
      </c>
      <c r="H1274" s="2">
        <v>45754.080000000002</v>
      </c>
      <c r="I1274" s="13" t="s">
        <v>14</v>
      </c>
      <c r="J1274" s="14" t="s">
        <v>15</v>
      </c>
      <c r="K1274" s="14">
        <v>677</v>
      </c>
      <c r="L1274" s="15">
        <v>45361</v>
      </c>
      <c r="M1274" s="16">
        <v>7</v>
      </c>
      <c r="N12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4" s="31">
        <f>IF(Table64[[#This Row],[date validity flag]]&lt;&gt;"Valid","",Table64[[#This Row],[shipment date ]]-Table64[[#This Row],[Order date]])</f>
        <v>24</v>
      </c>
      <c r="P1274" s="27" t="str">
        <f>TEXT(Table64[[#This Row],[Order date]],"mmm-yyyy")</f>
        <v>Feb-2024</v>
      </c>
      <c r="Q1274" s="16" t="str">
        <f t="shared" si="19"/>
        <v>Delayed</v>
      </c>
    </row>
    <row r="1275" spans="1:17" x14ac:dyDescent="0.3">
      <c r="A1275" s="17">
        <v>11274</v>
      </c>
      <c r="B1275" s="4">
        <v>5111</v>
      </c>
      <c r="C1275" s="4" t="s">
        <v>16</v>
      </c>
      <c r="D1275" s="5">
        <v>17346</v>
      </c>
      <c r="E1275" s="4">
        <v>62</v>
      </c>
      <c r="F1275" s="4" t="s">
        <v>13</v>
      </c>
      <c r="G1275" s="6">
        <v>45337</v>
      </c>
      <c r="H1275" s="5">
        <v>115847.31</v>
      </c>
      <c r="I1275" s="18" t="s">
        <v>14</v>
      </c>
      <c r="J1275" s="14" t="s">
        <v>18</v>
      </c>
      <c r="K1275" s="14">
        <v>1425</v>
      </c>
      <c r="L1275" s="15">
        <v>45397</v>
      </c>
      <c r="M1275" s="16">
        <v>8</v>
      </c>
      <c r="N127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5" s="31">
        <f>IF(Table64[[#This Row],[date validity flag]]&lt;&gt;"Valid","",Table64[[#This Row],[shipment date ]]-Table64[[#This Row],[Order date]])</f>
        <v>60</v>
      </c>
      <c r="P1275" s="27" t="str">
        <f>TEXT(Table64[[#This Row],[Order date]],"mmm-yyyy")</f>
        <v>Feb-2024</v>
      </c>
      <c r="Q1275" s="16" t="str">
        <f t="shared" si="19"/>
        <v>Delayed</v>
      </c>
    </row>
    <row r="1276" spans="1:17" x14ac:dyDescent="0.3">
      <c r="A1276" s="12">
        <v>11275</v>
      </c>
      <c r="B1276" s="1">
        <v>5228</v>
      </c>
      <c r="C1276" s="1" t="s">
        <v>16</v>
      </c>
      <c r="D1276" s="2">
        <v>84458.96</v>
      </c>
      <c r="E1276" s="1">
        <v>82</v>
      </c>
      <c r="F1276" s="1" t="s">
        <v>13</v>
      </c>
      <c r="G1276" s="3">
        <v>45306</v>
      </c>
      <c r="H1276" s="2">
        <v>146989.31</v>
      </c>
      <c r="I1276" s="13" t="s">
        <v>17</v>
      </c>
      <c r="J1276" s="14" t="s">
        <v>15</v>
      </c>
      <c r="K1276" s="14">
        <v>738</v>
      </c>
      <c r="L1276" s="15">
        <v>45361</v>
      </c>
      <c r="M1276" s="16">
        <v>8</v>
      </c>
      <c r="N12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6" s="31">
        <f>IF(Table64[[#This Row],[date validity flag]]&lt;&gt;"Valid","",Table64[[#This Row],[shipment date ]]-Table64[[#This Row],[Order date]])</f>
        <v>55</v>
      </c>
      <c r="P1276" s="27" t="str">
        <f>TEXT(Table64[[#This Row],[Order date]],"mmm-yyyy")</f>
        <v>Jan-2024</v>
      </c>
      <c r="Q1276" s="16" t="str">
        <f t="shared" si="19"/>
        <v>Delayed</v>
      </c>
    </row>
    <row r="1277" spans="1:17" x14ac:dyDescent="0.3">
      <c r="A1277" s="17">
        <v>11276</v>
      </c>
      <c r="B1277" s="4">
        <v>5111</v>
      </c>
      <c r="C1277" s="4" t="s">
        <v>16</v>
      </c>
      <c r="D1277" s="5">
        <v>49961.26</v>
      </c>
      <c r="E1277" s="4">
        <v>78</v>
      </c>
      <c r="F1277" s="4" t="s">
        <v>21</v>
      </c>
      <c r="G1277" s="6">
        <v>45361</v>
      </c>
      <c r="H1277" s="5">
        <v>100960.73</v>
      </c>
      <c r="I1277" s="18" t="s">
        <v>20</v>
      </c>
      <c r="J1277" s="14" t="s">
        <v>15</v>
      </c>
      <c r="K1277" s="14">
        <v>1087</v>
      </c>
      <c r="L1277" s="15">
        <v>45397</v>
      </c>
      <c r="M1277" s="16">
        <v>14</v>
      </c>
      <c r="N12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7" s="31">
        <f>IF(Table64[[#This Row],[date validity flag]]&lt;&gt;"Valid","",Table64[[#This Row],[shipment date ]]-Table64[[#This Row],[Order date]])</f>
        <v>36</v>
      </c>
      <c r="P1277" s="27" t="str">
        <f>TEXT(Table64[[#This Row],[Order date]],"mmm-yyyy")</f>
        <v>Mar-2024</v>
      </c>
      <c r="Q1277" s="16" t="str">
        <f t="shared" si="19"/>
        <v>Delayed</v>
      </c>
    </row>
    <row r="1278" spans="1:17" x14ac:dyDescent="0.3">
      <c r="A1278" s="12">
        <v>11277</v>
      </c>
      <c r="B1278" s="1">
        <v>6494</v>
      </c>
      <c r="C1278" s="1" t="s">
        <v>16</v>
      </c>
      <c r="D1278" s="2">
        <v>18546.580000000002</v>
      </c>
      <c r="E1278" s="1">
        <v>74</v>
      </c>
      <c r="F1278" s="1" t="s">
        <v>22</v>
      </c>
      <c r="G1278" s="3">
        <v>45361</v>
      </c>
      <c r="H1278" s="2">
        <v>141069.68</v>
      </c>
      <c r="I1278" s="13" t="s">
        <v>20</v>
      </c>
      <c r="J1278" s="14" t="s">
        <v>18</v>
      </c>
      <c r="K1278" s="14">
        <v>1330</v>
      </c>
      <c r="L1278" s="15">
        <v>45361</v>
      </c>
      <c r="M1278" s="16">
        <v>6</v>
      </c>
      <c r="N127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8" s="31">
        <f>IF(Table64[[#This Row],[date validity flag]]&lt;&gt;"Valid","",Table64[[#This Row],[shipment date ]]-Table64[[#This Row],[Order date]])</f>
        <v>0</v>
      </c>
      <c r="P1278" s="27" t="str">
        <f>TEXT(Table64[[#This Row],[Order date]],"mmm-yyyy")</f>
        <v>Mar-2024</v>
      </c>
      <c r="Q1278" s="16" t="str">
        <f t="shared" si="19"/>
        <v>On Time</v>
      </c>
    </row>
    <row r="1279" spans="1:17" x14ac:dyDescent="0.3">
      <c r="A1279" s="17">
        <v>11278</v>
      </c>
      <c r="B1279" s="4">
        <v>5034</v>
      </c>
      <c r="C1279" s="4" t="s">
        <v>16</v>
      </c>
      <c r="D1279" s="5">
        <v>95214.56</v>
      </c>
      <c r="E1279" s="4">
        <v>46</v>
      </c>
      <c r="F1279" s="4" t="s">
        <v>13</v>
      </c>
      <c r="G1279" s="6">
        <v>45306</v>
      </c>
      <c r="H1279" s="5">
        <v>16845.28</v>
      </c>
      <c r="I1279" s="18" t="s">
        <v>17</v>
      </c>
      <c r="J1279" s="14" t="s">
        <v>15</v>
      </c>
      <c r="K1279" s="14">
        <v>1282</v>
      </c>
      <c r="L1279" s="15">
        <v>45332</v>
      </c>
      <c r="M1279" s="16">
        <v>10</v>
      </c>
      <c r="N12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79" s="31">
        <f>IF(Table64[[#This Row],[date validity flag]]&lt;&gt;"Valid","",Table64[[#This Row],[shipment date ]]-Table64[[#This Row],[Order date]])</f>
        <v>26</v>
      </c>
      <c r="P1279" s="27" t="str">
        <f>TEXT(Table64[[#This Row],[Order date]],"mmm-yyyy")</f>
        <v>Jan-2024</v>
      </c>
      <c r="Q1279" s="16" t="str">
        <f t="shared" si="19"/>
        <v>Delayed</v>
      </c>
    </row>
    <row r="1280" spans="1:17" x14ac:dyDescent="0.3">
      <c r="A1280" s="12">
        <v>11279</v>
      </c>
      <c r="B1280" s="1">
        <v>5623</v>
      </c>
      <c r="C1280" s="1" t="s">
        <v>12</v>
      </c>
      <c r="D1280" s="2">
        <v>47785.85</v>
      </c>
      <c r="E1280" s="1">
        <v>13</v>
      </c>
      <c r="F1280" s="1" t="s">
        <v>21</v>
      </c>
      <c r="G1280" s="3">
        <v>45306</v>
      </c>
      <c r="H1280" s="2">
        <v>38744.14</v>
      </c>
      <c r="I1280" s="13" t="s">
        <v>17</v>
      </c>
      <c r="J1280" s="14" t="s">
        <v>15</v>
      </c>
      <c r="K1280" s="14">
        <v>330</v>
      </c>
      <c r="L1280" s="15">
        <v>45332</v>
      </c>
      <c r="M1280" s="16">
        <v>8</v>
      </c>
      <c r="N12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80" s="31">
        <f>IF(Table64[[#This Row],[date validity flag]]&lt;&gt;"Valid","",Table64[[#This Row],[shipment date ]]-Table64[[#This Row],[Order date]])</f>
        <v>26</v>
      </c>
      <c r="P1280" s="27" t="str">
        <f>TEXT(Table64[[#This Row],[Order date]],"mmm-yyyy")</f>
        <v>Jan-2024</v>
      </c>
      <c r="Q1280" s="16" t="str">
        <f t="shared" si="19"/>
        <v>Delayed</v>
      </c>
    </row>
    <row r="1281" spans="1:17" x14ac:dyDescent="0.3">
      <c r="A1281" s="17">
        <v>11280</v>
      </c>
      <c r="B1281" s="4">
        <v>6800</v>
      </c>
      <c r="C1281" s="4" t="s">
        <v>16</v>
      </c>
      <c r="D1281" s="5">
        <v>86040.81</v>
      </c>
      <c r="E1281" s="4">
        <v>95</v>
      </c>
      <c r="F1281" s="4" t="s">
        <v>22</v>
      </c>
      <c r="G1281" s="6">
        <v>45361</v>
      </c>
      <c r="H1281" s="5">
        <v>85915.82</v>
      </c>
      <c r="I1281" s="18" t="s">
        <v>17</v>
      </c>
      <c r="J1281" s="14" t="s">
        <v>18</v>
      </c>
      <c r="K1281" s="14">
        <v>492</v>
      </c>
      <c r="L1281" s="15">
        <v>45332</v>
      </c>
      <c r="M1281" s="16">
        <v>14</v>
      </c>
      <c r="N128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81" s="31" t="str">
        <f>IF(Table64[[#This Row],[date validity flag]]&lt;&gt;"Valid","",Table64[[#This Row],[shipment date ]]-Table64[[#This Row],[Order date]])</f>
        <v/>
      </c>
      <c r="P1281" s="27" t="str">
        <f>TEXT(Table64[[#This Row],[Order date]],"mmm-yyyy")</f>
        <v>Mar-2024</v>
      </c>
      <c r="Q1281" s="16" t="str">
        <f t="shared" si="19"/>
        <v/>
      </c>
    </row>
    <row r="1282" spans="1:17" x14ac:dyDescent="0.3">
      <c r="A1282" s="12">
        <v>11281</v>
      </c>
      <c r="B1282" s="1">
        <v>6960</v>
      </c>
      <c r="C1282" s="1" t="s">
        <v>12</v>
      </c>
      <c r="D1282" s="2">
        <v>29573.75</v>
      </c>
      <c r="E1282" s="1">
        <v>94</v>
      </c>
      <c r="F1282" s="1" t="s">
        <v>23</v>
      </c>
      <c r="G1282" s="3">
        <v>45337</v>
      </c>
      <c r="H1282" s="2">
        <v>33611.06</v>
      </c>
      <c r="I1282" s="13" t="s">
        <v>17</v>
      </c>
      <c r="J1282" s="14" t="s">
        <v>18</v>
      </c>
      <c r="K1282" s="14">
        <v>886</v>
      </c>
      <c r="L1282" s="15">
        <v>45397</v>
      </c>
      <c r="M1282" s="16">
        <v>1</v>
      </c>
      <c r="N12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82" s="31">
        <f>IF(Table64[[#This Row],[date validity flag]]&lt;&gt;"Valid","",Table64[[#This Row],[shipment date ]]-Table64[[#This Row],[Order date]])</f>
        <v>60</v>
      </c>
      <c r="P1282" s="27" t="str">
        <f>TEXT(Table64[[#This Row],[Order date]],"mmm-yyyy")</f>
        <v>Feb-2024</v>
      </c>
      <c r="Q1282" s="16" t="str">
        <f t="shared" ref="Q1282:Q1345" si="20">IF(O1282="","",IF(O1282&gt;0,"Delayed","On Time"))</f>
        <v>Delayed</v>
      </c>
    </row>
    <row r="1283" spans="1:17" x14ac:dyDescent="0.3">
      <c r="A1283" s="17">
        <v>11282</v>
      </c>
      <c r="B1283" s="4">
        <v>6393</v>
      </c>
      <c r="C1283" s="4" t="s">
        <v>16</v>
      </c>
      <c r="D1283" s="5">
        <v>48893.27</v>
      </c>
      <c r="E1283" s="4">
        <v>3</v>
      </c>
      <c r="F1283" s="4" t="s">
        <v>21</v>
      </c>
      <c r="G1283" s="6">
        <v>45337</v>
      </c>
      <c r="H1283" s="5">
        <v>44536.75</v>
      </c>
      <c r="I1283" s="18" t="s">
        <v>14</v>
      </c>
      <c r="J1283" s="14" t="s">
        <v>19</v>
      </c>
      <c r="K1283" s="14">
        <v>438</v>
      </c>
      <c r="L1283" s="15">
        <v>45332</v>
      </c>
      <c r="M1283" s="16">
        <v>9</v>
      </c>
      <c r="N128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83" s="31" t="str">
        <f>IF(Table64[[#This Row],[date validity flag]]&lt;&gt;"Valid","",Table64[[#This Row],[shipment date ]]-Table64[[#This Row],[Order date]])</f>
        <v/>
      </c>
      <c r="P1283" s="27" t="str">
        <f>TEXT(Table64[[#This Row],[Order date]],"mmm-yyyy")</f>
        <v>Feb-2024</v>
      </c>
      <c r="Q1283" s="16" t="str">
        <f t="shared" si="20"/>
        <v/>
      </c>
    </row>
    <row r="1284" spans="1:17" x14ac:dyDescent="0.3">
      <c r="A1284" s="12">
        <v>11283</v>
      </c>
      <c r="B1284" s="1">
        <v>5748</v>
      </c>
      <c r="C1284" s="1" t="s">
        <v>12</v>
      </c>
      <c r="D1284" s="2">
        <v>64845.62</v>
      </c>
      <c r="E1284" s="1">
        <v>94</v>
      </c>
      <c r="F1284" s="1" t="s">
        <v>22</v>
      </c>
      <c r="G1284" s="3">
        <v>45361</v>
      </c>
      <c r="H1284" s="2">
        <v>10491.15</v>
      </c>
      <c r="I1284" s="13" t="s">
        <v>14</v>
      </c>
      <c r="J1284" s="14" t="s">
        <v>15</v>
      </c>
      <c r="K1284" s="14">
        <v>666</v>
      </c>
      <c r="L1284" s="15">
        <v>45361</v>
      </c>
      <c r="M1284" s="16">
        <v>13</v>
      </c>
      <c r="N12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84" s="31">
        <f>IF(Table64[[#This Row],[date validity flag]]&lt;&gt;"Valid","",Table64[[#This Row],[shipment date ]]-Table64[[#This Row],[Order date]])</f>
        <v>0</v>
      </c>
      <c r="P1284" s="27" t="str">
        <f>TEXT(Table64[[#This Row],[Order date]],"mmm-yyyy")</f>
        <v>Mar-2024</v>
      </c>
      <c r="Q1284" s="16" t="str">
        <f t="shared" si="20"/>
        <v>On Time</v>
      </c>
    </row>
    <row r="1285" spans="1:17" x14ac:dyDescent="0.3">
      <c r="A1285" s="17">
        <v>11284</v>
      </c>
      <c r="B1285" s="4">
        <v>5595</v>
      </c>
      <c r="C1285" s="4" t="s">
        <v>16</v>
      </c>
      <c r="D1285" s="5">
        <v>97448.71</v>
      </c>
      <c r="E1285" s="4">
        <v>6</v>
      </c>
      <c r="F1285" s="4" t="s">
        <v>21</v>
      </c>
      <c r="G1285" s="6">
        <v>45337</v>
      </c>
      <c r="H1285" s="5">
        <v>138811.75</v>
      </c>
      <c r="I1285" s="18" t="s">
        <v>14</v>
      </c>
      <c r="J1285" s="14" t="s">
        <v>19</v>
      </c>
      <c r="K1285" s="14">
        <v>196</v>
      </c>
      <c r="L1285" s="15">
        <v>45397</v>
      </c>
      <c r="M1285" s="16">
        <v>12</v>
      </c>
      <c r="N12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85" s="31">
        <f>IF(Table64[[#This Row],[date validity flag]]&lt;&gt;"Valid","",Table64[[#This Row],[shipment date ]]-Table64[[#This Row],[Order date]])</f>
        <v>60</v>
      </c>
      <c r="P1285" s="27" t="str">
        <f>TEXT(Table64[[#This Row],[Order date]],"mmm-yyyy")</f>
        <v>Feb-2024</v>
      </c>
      <c r="Q1285" s="16" t="str">
        <f t="shared" si="20"/>
        <v>Delayed</v>
      </c>
    </row>
    <row r="1286" spans="1:17" x14ac:dyDescent="0.3">
      <c r="A1286" s="12">
        <v>11285</v>
      </c>
      <c r="B1286" s="1">
        <v>6578</v>
      </c>
      <c r="C1286" s="1" t="s">
        <v>12</v>
      </c>
      <c r="D1286" s="2">
        <v>59534.68</v>
      </c>
      <c r="E1286" s="1">
        <v>93</v>
      </c>
      <c r="F1286" s="1" t="s">
        <v>22</v>
      </c>
      <c r="G1286" s="3">
        <v>45306</v>
      </c>
      <c r="H1286" s="2">
        <v>100648.01</v>
      </c>
      <c r="I1286" s="13" t="s">
        <v>14</v>
      </c>
      <c r="J1286" s="14" t="s">
        <v>19</v>
      </c>
      <c r="K1286" s="14">
        <v>1352</v>
      </c>
      <c r="L1286" s="15">
        <v>45361</v>
      </c>
      <c r="M1286" s="16">
        <v>1</v>
      </c>
      <c r="N128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86" s="31">
        <f>IF(Table64[[#This Row],[date validity flag]]&lt;&gt;"Valid","",Table64[[#This Row],[shipment date ]]-Table64[[#This Row],[Order date]])</f>
        <v>55</v>
      </c>
      <c r="P1286" s="27" t="str">
        <f>TEXT(Table64[[#This Row],[Order date]],"mmm-yyyy")</f>
        <v>Jan-2024</v>
      </c>
      <c r="Q1286" s="16" t="str">
        <f t="shared" si="20"/>
        <v>Delayed</v>
      </c>
    </row>
    <row r="1287" spans="1:17" x14ac:dyDescent="0.3">
      <c r="A1287" s="17">
        <v>11286</v>
      </c>
      <c r="B1287" s="4">
        <v>5425</v>
      </c>
      <c r="C1287" s="4" t="s">
        <v>16</v>
      </c>
      <c r="D1287" s="5">
        <v>54646.34</v>
      </c>
      <c r="E1287" s="4">
        <v>8</v>
      </c>
      <c r="F1287" s="4" t="s">
        <v>22</v>
      </c>
      <c r="G1287" s="6">
        <v>45337</v>
      </c>
      <c r="H1287" s="5">
        <v>31665.8</v>
      </c>
      <c r="I1287" s="18" t="s">
        <v>17</v>
      </c>
      <c r="J1287" s="14" t="s">
        <v>18</v>
      </c>
      <c r="K1287" s="14">
        <v>570</v>
      </c>
      <c r="L1287" s="15">
        <v>45397</v>
      </c>
      <c r="M1287" s="16">
        <v>13</v>
      </c>
      <c r="N12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87" s="31">
        <f>IF(Table64[[#This Row],[date validity flag]]&lt;&gt;"Valid","",Table64[[#This Row],[shipment date ]]-Table64[[#This Row],[Order date]])</f>
        <v>60</v>
      </c>
      <c r="P1287" s="27" t="str">
        <f>TEXT(Table64[[#This Row],[Order date]],"mmm-yyyy")</f>
        <v>Feb-2024</v>
      </c>
      <c r="Q1287" s="16" t="str">
        <f t="shared" si="20"/>
        <v>Delayed</v>
      </c>
    </row>
    <row r="1288" spans="1:17" x14ac:dyDescent="0.3">
      <c r="A1288" s="12">
        <v>11287</v>
      </c>
      <c r="B1288" s="1">
        <v>5613</v>
      </c>
      <c r="C1288" s="1" t="s">
        <v>16</v>
      </c>
      <c r="D1288" s="2">
        <v>21928.76</v>
      </c>
      <c r="E1288" s="1">
        <v>44</v>
      </c>
      <c r="F1288" s="1" t="s">
        <v>23</v>
      </c>
      <c r="G1288" s="3">
        <v>45337</v>
      </c>
      <c r="H1288" s="2">
        <v>30874.73</v>
      </c>
      <c r="I1288" s="13" t="s">
        <v>20</v>
      </c>
      <c r="J1288" s="14" t="s">
        <v>15</v>
      </c>
      <c r="K1288" s="14">
        <v>679</v>
      </c>
      <c r="L1288" s="15">
        <v>45361</v>
      </c>
      <c r="M1288" s="16">
        <v>3</v>
      </c>
      <c r="N12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88" s="31">
        <f>IF(Table64[[#This Row],[date validity flag]]&lt;&gt;"Valid","",Table64[[#This Row],[shipment date ]]-Table64[[#This Row],[Order date]])</f>
        <v>24</v>
      </c>
      <c r="P1288" s="27" t="str">
        <f>TEXT(Table64[[#This Row],[Order date]],"mmm-yyyy")</f>
        <v>Feb-2024</v>
      </c>
      <c r="Q1288" s="16" t="str">
        <f t="shared" si="20"/>
        <v>Delayed</v>
      </c>
    </row>
    <row r="1289" spans="1:17" x14ac:dyDescent="0.3">
      <c r="A1289" s="17">
        <v>11288</v>
      </c>
      <c r="B1289" s="4">
        <v>6542</v>
      </c>
      <c r="C1289" s="4" t="s">
        <v>16</v>
      </c>
      <c r="D1289" s="5">
        <v>13710.94</v>
      </c>
      <c r="E1289" s="4">
        <v>33</v>
      </c>
      <c r="F1289" s="4" t="s">
        <v>21</v>
      </c>
      <c r="G1289" s="6">
        <v>45383</v>
      </c>
      <c r="H1289" s="5">
        <v>149820</v>
      </c>
      <c r="I1289" s="18" t="s">
        <v>14</v>
      </c>
      <c r="J1289" s="14" t="s">
        <v>15</v>
      </c>
      <c r="K1289" s="14">
        <v>483</v>
      </c>
      <c r="L1289" s="15">
        <v>45361</v>
      </c>
      <c r="M1289" s="16">
        <v>12</v>
      </c>
      <c r="N128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89" s="31" t="str">
        <f>IF(Table64[[#This Row],[date validity flag]]&lt;&gt;"Valid","",Table64[[#This Row],[shipment date ]]-Table64[[#This Row],[Order date]])</f>
        <v/>
      </c>
      <c r="P1289" s="27" t="str">
        <f>TEXT(Table64[[#This Row],[Order date]],"mmm-yyyy")</f>
        <v>Apr-2024</v>
      </c>
      <c r="Q1289" s="16" t="str">
        <f t="shared" si="20"/>
        <v/>
      </c>
    </row>
    <row r="1290" spans="1:17" x14ac:dyDescent="0.3">
      <c r="A1290" s="12">
        <v>11289</v>
      </c>
      <c r="B1290" s="1">
        <v>5692</v>
      </c>
      <c r="C1290" s="1" t="s">
        <v>16</v>
      </c>
      <c r="D1290" s="2">
        <v>25299.05</v>
      </c>
      <c r="E1290" s="1">
        <v>81</v>
      </c>
      <c r="F1290" s="1" t="s">
        <v>13</v>
      </c>
      <c r="G1290" s="3">
        <v>45383</v>
      </c>
      <c r="H1290" s="2">
        <v>120989.92</v>
      </c>
      <c r="I1290" s="13" t="s">
        <v>20</v>
      </c>
      <c r="J1290" s="14" t="s">
        <v>18</v>
      </c>
      <c r="K1290" s="14">
        <v>193</v>
      </c>
      <c r="L1290" s="15">
        <v>45397</v>
      </c>
      <c r="M1290" s="16">
        <v>9</v>
      </c>
      <c r="N12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0" s="31">
        <f>IF(Table64[[#This Row],[date validity flag]]&lt;&gt;"Valid","",Table64[[#This Row],[shipment date ]]-Table64[[#This Row],[Order date]])</f>
        <v>14</v>
      </c>
      <c r="P1290" s="27" t="str">
        <f>TEXT(Table64[[#This Row],[Order date]],"mmm-yyyy")</f>
        <v>Apr-2024</v>
      </c>
      <c r="Q1290" s="16" t="str">
        <f t="shared" si="20"/>
        <v>Delayed</v>
      </c>
    </row>
    <row r="1291" spans="1:17" x14ac:dyDescent="0.3">
      <c r="A1291" s="17">
        <v>11290</v>
      </c>
      <c r="B1291" s="4">
        <v>6306</v>
      </c>
      <c r="C1291" s="4" t="s">
        <v>16</v>
      </c>
      <c r="D1291" s="5">
        <v>24780.46</v>
      </c>
      <c r="E1291" s="4">
        <v>75</v>
      </c>
      <c r="F1291" s="4" t="s">
        <v>23</v>
      </c>
      <c r="G1291" s="6">
        <v>45383</v>
      </c>
      <c r="H1291" s="5">
        <v>146474.57999999999</v>
      </c>
      <c r="I1291" s="18" t="s">
        <v>14</v>
      </c>
      <c r="J1291" s="14" t="s">
        <v>19</v>
      </c>
      <c r="K1291" s="14">
        <v>338</v>
      </c>
      <c r="L1291" s="15">
        <v>45397</v>
      </c>
      <c r="M1291" s="16">
        <v>11</v>
      </c>
      <c r="N12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1" s="31">
        <f>IF(Table64[[#This Row],[date validity flag]]&lt;&gt;"Valid","",Table64[[#This Row],[shipment date ]]-Table64[[#This Row],[Order date]])</f>
        <v>14</v>
      </c>
      <c r="P1291" s="27" t="str">
        <f>TEXT(Table64[[#This Row],[Order date]],"mmm-yyyy")</f>
        <v>Apr-2024</v>
      </c>
      <c r="Q1291" s="16" t="str">
        <f t="shared" si="20"/>
        <v>Delayed</v>
      </c>
    </row>
    <row r="1292" spans="1:17" x14ac:dyDescent="0.3">
      <c r="A1292" s="12">
        <v>11291</v>
      </c>
      <c r="B1292" s="1">
        <v>6344</v>
      </c>
      <c r="C1292" s="1" t="s">
        <v>16</v>
      </c>
      <c r="D1292" s="2">
        <v>17558.830000000002</v>
      </c>
      <c r="E1292" s="1">
        <v>77</v>
      </c>
      <c r="F1292" s="1" t="s">
        <v>23</v>
      </c>
      <c r="G1292" s="3">
        <v>45337</v>
      </c>
      <c r="H1292" s="2">
        <v>97295.31</v>
      </c>
      <c r="I1292" s="13" t="s">
        <v>17</v>
      </c>
      <c r="J1292" s="14" t="s">
        <v>18</v>
      </c>
      <c r="K1292" s="14">
        <v>1459</v>
      </c>
      <c r="L1292" s="15">
        <v>45332</v>
      </c>
      <c r="M1292" s="16">
        <v>5</v>
      </c>
      <c r="N129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92" s="31" t="str">
        <f>IF(Table64[[#This Row],[date validity flag]]&lt;&gt;"Valid","",Table64[[#This Row],[shipment date ]]-Table64[[#This Row],[Order date]])</f>
        <v/>
      </c>
      <c r="P1292" s="27" t="str">
        <f>TEXT(Table64[[#This Row],[Order date]],"mmm-yyyy")</f>
        <v>Feb-2024</v>
      </c>
      <c r="Q1292" s="16" t="str">
        <f t="shared" si="20"/>
        <v/>
      </c>
    </row>
    <row r="1293" spans="1:17" x14ac:dyDescent="0.3">
      <c r="A1293" s="17">
        <v>11292</v>
      </c>
      <c r="B1293" s="4">
        <v>6762</v>
      </c>
      <c r="C1293" s="4" t="s">
        <v>16</v>
      </c>
      <c r="D1293" s="5">
        <v>60123.91</v>
      </c>
      <c r="E1293" s="4">
        <v>50</v>
      </c>
      <c r="F1293" s="4" t="s">
        <v>22</v>
      </c>
      <c r="G1293" s="6">
        <v>45361</v>
      </c>
      <c r="H1293" s="5">
        <v>106302.77</v>
      </c>
      <c r="I1293" s="18" t="s">
        <v>14</v>
      </c>
      <c r="J1293" s="14" t="s">
        <v>15</v>
      </c>
      <c r="K1293" s="14">
        <v>63</v>
      </c>
      <c r="L1293" s="15">
        <v>45332</v>
      </c>
      <c r="M1293" s="16">
        <v>9</v>
      </c>
      <c r="N129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93" s="31" t="str">
        <f>IF(Table64[[#This Row],[date validity flag]]&lt;&gt;"Valid","",Table64[[#This Row],[shipment date ]]-Table64[[#This Row],[Order date]])</f>
        <v/>
      </c>
      <c r="P1293" s="27" t="str">
        <f>TEXT(Table64[[#This Row],[Order date]],"mmm-yyyy")</f>
        <v>Mar-2024</v>
      </c>
      <c r="Q1293" s="16" t="str">
        <f t="shared" si="20"/>
        <v/>
      </c>
    </row>
    <row r="1294" spans="1:17" x14ac:dyDescent="0.3">
      <c r="A1294" s="12">
        <v>11293</v>
      </c>
      <c r="B1294" s="1">
        <v>6467</v>
      </c>
      <c r="C1294" s="1" t="s">
        <v>16</v>
      </c>
      <c r="D1294" s="2">
        <v>41321.160000000003</v>
      </c>
      <c r="E1294" s="1">
        <v>11</v>
      </c>
      <c r="F1294" s="1" t="s">
        <v>13</v>
      </c>
      <c r="G1294" s="3">
        <v>45306</v>
      </c>
      <c r="H1294" s="2">
        <v>58318.86</v>
      </c>
      <c r="I1294" s="13" t="s">
        <v>14</v>
      </c>
      <c r="J1294" s="14" t="s">
        <v>18</v>
      </c>
      <c r="K1294" s="14">
        <v>306</v>
      </c>
      <c r="L1294" s="15">
        <v>45361</v>
      </c>
      <c r="M1294" s="16">
        <v>9</v>
      </c>
      <c r="N12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4" s="31">
        <f>IF(Table64[[#This Row],[date validity flag]]&lt;&gt;"Valid","",Table64[[#This Row],[shipment date ]]-Table64[[#This Row],[Order date]])</f>
        <v>55</v>
      </c>
      <c r="P1294" s="27" t="str">
        <f>TEXT(Table64[[#This Row],[Order date]],"mmm-yyyy")</f>
        <v>Jan-2024</v>
      </c>
      <c r="Q1294" s="16" t="str">
        <f t="shared" si="20"/>
        <v>Delayed</v>
      </c>
    </row>
    <row r="1295" spans="1:17" x14ac:dyDescent="0.3">
      <c r="A1295" s="17">
        <v>11294</v>
      </c>
      <c r="B1295" s="4">
        <v>6976</v>
      </c>
      <c r="C1295" s="4" t="s">
        <v>12</v>
      </c>
      <c r="D1295" s="5">
        <v>39287.629999999997</v>
      </c>
      <c r="E1295" s="4">
        <v>95</v>
      </c>
      <c r="F1295" s="4" t="s">
        <v>21</v>
      </c>
      <c r="G1295" s="6">
        <v>45337</v>
      </c>
      <c r="H1295" s="5">
        <v>117052.61</v>
      </c>
      <c r="I1295" s="18" t="s">
        <v>14</v>
      </c>
      <c r="J1295" s="14" t="s">
        <v>15</v>
      </c>
      <c r="K1295" s="14">
        <v>1419</v>
      </c>
      <c r="L1295" s="15">
        <v>45361</v>
      </c>
      <c r="M1295" s="16">
        <v>6</v>
      </c>
      <c r="N12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5" s="31">
        <f>IF(Table64[[#This Row],[date validity flag]]&lt;&gt;"Valid","",Table64[[#This Row],[shipment date ]]-Table64[[#This Row],[Order date]])</f>
        <v>24</v>
      </c>
      <c r="P1295" s="27" t="str">
        <f>TEXT(Table64[[#This Row],[Order date]],"mmm-yyyy")</f>
        <v>Feb-2024</v>
      </c>
      <c r="Q1295" s="16" t="str">
        <f t="shared" si="20"/>
        <v>Delayed</v>
      </c>
    </row>
    <row r="1296" spans="1:17" x14ac:dyDescent="0.3">
      <c r="A1296" s="12">
        <v>11295</v>
      </c>
      <c r="B1296" s="1">
        <v>5315</v>
      </c>
      <c r="C1296" s="1" t="s">
        <v>16</v>
      </c>
      <c r="D1296" s="2">
        <v>65188.32</v>
      </c>
      <c r="E1296" s="1">
        <v>28</v>
      </c>
      <c r="F1296" s="1" t="s">
        <v>13</v>
      </c>
      <c r="G1296" s="3">
        <v>45361</v>
      </c>
      <c r="H1296" s="2">
        <v>174750.76</v>
      </c>
      <c r="I1296" s="13" t="s">
        <v>17</v>
      </c>
      <c r="J1296" s="14" t="s">
        <v>19</v>
      </c>
      <c r="K1296" s="14">
        <v>1418</v>
      </c>
      <c r="L1296" s="15">
        <v>45361</v>
      </c>
      <c r="M1296" s="16">
        <v>11</v>
      </c>
      <c r="N12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6" s="31">
        <f>IF(Table64[[#This Row],[date validity flag]]&lt;&gt;"Valid","",Table64[[#This Row],[shipment date ]]-Table64[[#This Row],[Order date]])</f>
        <v>0</v>
      </c>
      <c r="P1296" s="27" t="str">
        <f>TEXT(Table64[[#This Row],[Order date]],"mmm-yyyy")</f>
        <v>Mar-2024</v>
      </c>
      <c r="Q1296" s="16" t="str">
        <f t="shared" si="20"/>
        <v>On Time</v>
      </c>
    </row>
    <row r="1297" spans="1:17" x14ac:dyDescent="0.3">
      <c r="A1297" s="17">
        <v>11296</v>
      </c>
      <c r="B1297" s="4">
        <v>5877</v>
      </c>
      <c r="C1297" s="4" t="s">
        <v>16</v>
      </c>
      <c r="D1297" s="5">
        <v>93387.55</v>
      </c>
      <c r="E1297" s="4">
        <v>70</v>
      </c>
      <c r="F1297" s="4" t="s">
        <v>13</v>
      </c>
      <c r="G1297" s="6">
        <v>45337</v>
      </c>
      <c r="H1297" s="5">
        <v>124214.03</v>
      </c>
      <c r="I1297" s="18" t="s">
        <v>17</v>
      </c>
      <c r="J1297" s="14" t="s">
        <v>15</v>
      </c>
      <c r="K1297" s="14">
        <v>1473</v>
      </c>
      <c r="L1297" s="15">
        <v>45397</v>
      </c>
      <c r="M1297" s="16">
        <v>1</v>
      </c>
      <c r="N12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7" s="31">
        <f>IF(Table64[[#This Row],[date validity flag]]&lt;&gt;"Valid","",Table64[[#This Row],[shipment date ]]-Table64[[#This Row],[Order date]])</f>
        <v>60</v>
      </c>
      <c r="P1297" s="27" t="str">
        <f>TEXT(Table64[[#This Row],[Order date]],"mmm-yyyy")</f>
        <v>Feb-2024</v>
      </c>
      <c r="Q1297" s="16" t="str">
        <f t="shared" si="20"/>
        <v>Delayed</v>
      </c>
    </row>
    <row r="1298" spans="1:17" x14ac:dyDescent="0.3">
      <c r="A1298" s="12">
        <v>11297</v>
      </c>
      <c r="B1298" s="1">
        <v>6990</v>
      </c>
      <c r="C1298" s="1" t="s">
        <v>16</v>
      </c>
      <c r="D1298" s="2">
        <v>25810.58</v>
      </c>
      <c r="E1298" s="1">
        <v>41</v>
      </c>
      <c r="F1298" s="1" t="s">
        <v>13</v>
      </c>
      <c r="G1298" s="3">
        <v>45306</v>
      </c>
      <c r="H1298" s="2">
        <v>25639.87</v>
      </c>
      <c r="I1298" s="13" t="s">
        <v>14</v>
      </c>
      <c r="J1298" s="14" t="s">
        <v>19</v>
      </c>
      <c r="K1298" s="14">
        <v>1280</v>
      </c>
      <c r="L1298" s="15">
        <v>45397</v>
      </c>
      <c r="M1298" s="16">
        <v>10</v>
      </c>
      <c r="N12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298" s="31">
        <f>IF(Table64[[#This Row],[date validity flag]]&lt;&gt;"Valid","",Table64[[#This Row],[shipment date ]]-Table64[[#This Row],[Order date]])</f>
        <v>91</v>
      </c>
      <c r="P1298" s="27" t="str">
        <f>TEXT(Table64[[#This Row],[Order date]],"mmm-yyyy")</f>
        <v>Jan-2024</v>
      </c>
      <c r="Q1298" s="16" t="str">
        <f t="shared" si="20"/>
        <v>Delayed</v>
      </c>
    </row>
    <row r="1299" spans="1:17" x14ac:dyDescent="0.3">
      <c r="A1299" s="17">
        <v>11298</v>
      </c>
      <c r="B1299" s="4">
        <v>6765</v>
      </c>
      <c r="C1299" s="4" t="s">
        <v>16</v>
      </c>
      <c r="D1299" s="5">
        <v>43306.07</v>
      </c>
      <c r="E1299" s="4">
        <v>16</v>
      </c>
      <c r="F1299" s="4" t="s">
        <v>13</v>
      </c>
      <c r="G1299" s="6">
        <v>45337</v>
      </c>
      <c r="H1299" s="5">
        <v>113073.62</v>
      </c>
      <c r="I1299" s="18" t="s">
        <v>14</v>
      </c>
      <c r="J1299" s="14" t="s">
        <v>19</v>
      </c>
      <c r="K1299" s="14">
        <v>907</v>
      </c>
      <c r="L1299" s="15">
        <v>45332</v>
      </c>
      <c r="M1299" s="16">
        <v>7</v>
      </c>
      <c r="N129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299" s="31" t="str">
        <f>IF(Table64[[#This Row],[date validity flag]]&lt;&gt;"Valid","",Table64[[#This Row],[shipment date ]]-Table64[[#This Row],[Order date]])</f>
        <v/>
      </c>
      <c r="P1299" s="27" t="str">
        <f>TEXT(Table64[[#This Row],[Order date]],"mmm-yyyy")</f>
        <v>Feb-2024</v>
      </c>
      <c r="Q1299" s="16" t="str">
        <f t="shared" si="20"/>
        <v/>
      </c>
    </row>
    <row r="1300" spans="1:17" x14ac:dyDescent="0.3">
      <c r="A1300" s="12">
        <v>11299</v>
      </c>
      <c r="B1300" s="1">
        <v>6401</v>
      </c>
      <c r="C1300" s="1" t="s">
        <v>16</v>
      </c>
      <c r="D1300" s="2">
        <v>82557.759999999995</v>
      </c>
      <c r="E1300" s="1">
        <v>68</v>
      </c>
      <c r="F1300" s="1" t="s">
        <v>13</v>
      </c>
      <c r="G1300" s="3">
        <v>45306</v>
      </c>
      <c r="H1300" s="2">
        <v>85605.66</v>
      </c>
      <c r="I1300" s="13" t="s">
        <v>20</v>
      </c>
      <c r="J1300" s="14" t="s">
        <v>15</v>
      </c>
      <c r="K1300" s="14">
        <v>992</v>
      </c>
      <c r="L1300" s="15">
        <v>45361</v>
      </c>
      <c r="M1300" s="16">
        <v>14</v>
      </c>
      <c r="N13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00" s="31">
        <f>IF(Table64[[#This Row],[date validity flag]]&lt;&gt;"Valid","",Table64[[#This Row],[shipment date ]]-Table64[[#This Row],[Order date]])</f>
        <v>55</v>
      </c>
      <c r="P1300" s="27" t="str">
        <f>TEXT(Table64[[#This Row],[Order date]],"mmm-yyyy")</f>
        <v>Jan-2024</v>
      </c>
      <c r="Q1300" s="16" t="str">
        <f t="shared" si="20"/>
        <v>Delayed</v>
      </c>
    </row>
    <row r="1301" spans="1:17" x14ac:dyDescent="0.3">
      <c r="A1301" s="17">
        <v>11300</v>
      </c>
      <c r="B1301" s="4">
        <v>6313</v>
      </c>
      <c r="C1301" s="4" t="s">
        <v>12</v>
      </c>
      <c r="D1301" s="5">
        <v>80005.03</v>
      </c>
      <c r="E1301" s="4">
        <v>99</v>
      </c>
      <c r="F1301" s="4" t="s">
        <v>22</v>
      </c>
      <c r="G1301" s="6">
        <v>45337</v>
      </c>
      <c r="H1301" s="5">
        <v>133716.35</v>
      </c>
      <c r="I1301" s="18" t="s">
        <v>17</v>
      </c>
      <c r="J1301" s="14" t="s">
        <v>15</v>
      </c>
      <c r="K1301" s="14">
        <v>1245</v>
      </c>
      <c r="L1301" s="15">
        <v>45332</v>
      </c>
      <c r="M1301" s="16">
        <v>6</v>
      </c>
      <c r="N130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01" s="31" t="str">
        <f>IF(Table64[[#This Row],[date validity flag]]&lt;&gt;"Valid","",Table64[[#This Row],[shipment date ]]-Table64[[#This Row],[Order date]])</f>
        <v/>
      </c>
      <c r="P1301" s="27" t="str">
        <f>TEXT(Table64[[#This Row],[Order date]],"mmm-yyyy")</f>
        <v>Feb-2024</v>
      </c>
      <c r="Q1301" s="16" t="str">
        <f t="shared" si="20"/>
        <v/>
      </c>
    </row>
    <row r="1302" spans="1:17" x14ac:dyDescent="0.3">
      <c r="A1302" s="12">
        <v>11301</v>
      </c>
      <c r="B1302" s="1">
        <v>6461</v>
      </c>
      <c r="C1302" s="1" t="s">
        <v>16</v>
      </c>
      <c r="D1302" s="2">
        <v>36208.620000000003</v>
      </c>
      <c r="E1302" s="1">
        <v>48</v>
      </c>
      <c r="F1302" s="1" t="s">
        <v>22</v>
      </c>
      <c r="G1302" s="3">
        <v>45306</v>
      </c>
      <c r="H1302" s="2">
        <v>98393.09</v>
      </c>
      <c r="I1302" s="13" t="s">
        <v>14</v>
      </c>
      <c r="J1302" s="14" t="s">
        <v>19</v>
      </c>
      <c r="K1302" s="14">
        <v>513</v>
      </c>
      <c r="L1302" s="15">
        <v>45397</v>
      </c>
      <c r="M1302" s="16">
        <v>9</v>
      </c>
      <c r="N130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02" s="31">
        <f>IF(Table64[[#This Row],[date validity flag]]&lt;&gt;"Valid","",Table64[[#This Row],[shipment date ]]-Table64[[#This Row],[Order date]])</f>
        <v>91</v>
      </c>
      <c r="P1302" s="27" t="str">
        <f>TEXT(Table64[[#This Row],[Order date]],"mmm-yyyy")</f>
        <v>Jan-2024</v>
      </c>
      <c r="Q1302" s="16" t="str">
        <f t="shared" si="20"/>
        <v>Delayed</v>
      </c>
    </row>
    <row r="1303" spans="1:17" x14ac:dyDescent="0.3">
      <c r="A1303" s="17">
        <v>11302</v>
      </c>
      <c r="B1303" s="4">
        <v>5662</v>
      </c>
      <c r="C1303" s="4" t="s">
        <v>16</v>
      </c>
      <c r="D1303" s="5">
        <v>21362.65</v>
      </c>
      <c r="E1303" s="4">
        <v>56</v>
      </c>
      <c r="F1303" s="4" t="s">
        <v>23</v>
      </c>
      <c r="G1303" s="6">
        <v>45337</v>
      </c>
      <c r="H1303" s="5">
        <v>52066.02</v>
      </c>
      <c r="I1303" s="18" t="s">
        <v>20</v>
      </c>
      <c r="J1303" s="14" t="s">
        <v>18</v>
      </c>
      <c r="K1303" s="14">
        <v>319</v>
      </c>
      <c r="L1303" s="15">
        <v>45397</v>
      </c>
      <c r="M1303" s="16">
        <v>7</v>
      </c>
      <c r="N13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03" s="31">
        <f>IF(Table64[[#This Row],[date validity flag]]&lt;&gt;"Valid","",Table64[[#This Row],[shipment date ]]-Table64[[#This Row],[Order date]])</f>
        <v>60</v>
      </c>
      <c r="P1303" s="27" t="str">
        <f>TEXT(Table64[[#This Row],[Order date]],"mmm-yyyy")</f>
        <v>Feb-2024</v>
      </c>
      <c r="Q1303" s="16" t="str">
        <f t="shared" si="20"/>
        <v>Delayed</v>
      </c>
    </row>
    <row r="1304" spans="1:17" x14ac:dyDescent="0.3">
      <c r="A1304" s="12">
        <v>11303</v>
      </c>
      <c r="B1304" s="1">
        <v>5277</v>
      </c>
      <c r="C1304" s="1" t="s">
        <v>16</v>
      </c>
      <c r="D1304" s="2">
        <v>73298.990000000005</v>
      </c>
      <c r="E1304" s="1">
        <v>64</v>
      </c>
      <c r="F1304" s="1" t="s">
        <v>22</v>
      </c>
      <c r="G1304" s="3">
        <v>45306</v>
      </c>
      <c r="H1304" s="2">
        <v>165901.06</v>
      </c>
      <c r="I1304" s="13" t="s">
        <v>20</v>
      </c>
      <c r="J1304" s="14" t="s">
        <v>15</v>
      </c>
      <c r="K1304" s="14">
        <v>1294</v>
      </c>
      <c r="L1304" s="15">
        <v>45397</v>
      </c>
      <c r="M1304" s="16">
        <v>14</v>
      </c>
      <c r="N13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04" s="31">
        <f>IF(Table64[[#This Row],[date validity flag]]&lt;&gt;"Valid","",Table64[[#This Row],[shipment date ]]-Table64[[#This Row],[Order date]])</f>
        <v>91</v>
      </c>
      <c r="P1304" s="27" t="str">
        <f>TEXT(Table64[[#This Row],[Order date]],"mmm-yyyy")</f>
        <v>Jan-2024</v>
      </c>
      <c r="Q1304" s="16" t="str">
        <f t="shared" si="20"/>
        <v>Delayed</v>
      </c>
    </row>
    <row r="1305" spans="1:17" x14ac:dyDescent="0.3">
      <c r="A1305" s="17">
        <v>11304</v>
      </c>
      <c r="B1305" s="4">
        <v>6734</v>
      </c>
      <c r="C1305" s="4" t="s">
        <v>16</v>
      </c>
      <c r="D1305" s="5">
        <v>30033.94</v>
      </c>
      <c r="E1305" s="4">
        <v>59</v>
      </c>
      <c r="F1305" s="4" t="s">
        <v>23</v>
      </c>
      <c r="G1305" s="6">
        <v>45383</v>
      </c>
      <c r="H1305" s="5">
        <v>116856.3</v>
      </c>
      <c r="I1305" s="18" t="s">
        <v>17</v>
      </c>
      <c r="J1305" s="14" t="s">
        <v>19</v>
      </c>
      <c r="K1305" s="14">
        <v>1225</v>
      </c>
      <c r="L1305" s="15">
        <v>45332</v>
      </c>
      <c r="M1305" s="16">
        <v>12</v>
      </c>
      <c r="N130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05" s="31" t="str">
        <f>IF(Table64[[#This Row],[date validity flag]]&lt;&gt;"Valid","",Table64[[#This Row],[shipment date ]]-Table64[[#This Row],[Order date]])</f>
        <v/>
      </c>
      <c r="P1305" s="27" t="str">
        <f>TEXT(Table64[[#This Row],[Order date]],"mmm-yyyy")</f>
        <v>Apr-2024</v>
      </c>
      <c r="Q1305" s="16" t="str">
        <f t="shared" si="20"/>
        <v/>
      </c>
    </row>
    <row r="1306" spans="1:17" x14ac:dyDescent="0.3">
      <c r="A1306" s="12">
        <v>11305</v>
      </c>
      <c r="B1306" s="1">
        <v>6606</v>
      </c>
      <c r="C1306" s="1" t="s">
        <v>16</v>
      </c>
      <c r="D1306" s="2">
        <v>86707.65</v>
      </c>
      <c r="E1306" s="1">
        <v>90</v>
      </c>
      <c r="F1306" s="1" t="s">
        <v>23</v>
      </c>
      <c r="G1306" s="3">
        <v>45337</v>
      </c>
      <c r="H1306" s="2">
        <v>95705.66</v>
      </c>
      <c r="I1306" s="13" t="s">
        <v>20</v>
      </c>
      <c r="J1306" s="14" t="s">
        <v>19</v>
      </c>
      <c r="K1306" s="14">
        <v>672</v>
      </c>
      <c r="L1306" s="15">
        <v>45397</v>
      </c>
      <c r="M1306" s="16">
        <v>11</v>
      </c>
      <c r="N13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06" s="31">
        <f>IF(Table64[[#This Row],[date validity flag]]&lt;&gt;"Valid","",Table64[[#This Row],[shipment date ]]-Table64[[#This Row],[Order date]])</f>
        <v>60</v>
      </c>
      <c r="P1306" s="27" t="str">
        <f>TEXT(Table64[[#This Row],[Order date]],"mmm-yyyy")</f>
        <v>Feb-2024</v>
      </c>
      <c r="Q1306" s="16" t="str">
        <f t="shared" si="20"/>
        <v>Delayed</v>
      </c>
    </row>
    <row r="1307" spans="1:17" x14ac:dyDescent="0.3">
      <c r="A1307" s="17">
        <v>11306</v>
      </c>
      <c r="B1307" s="4">
        <v>6527</v>
      </c>
      <c r="C1307" s="4" t="s">
        <v>16</v>
      </c>
      <c r="D1307" s="5">
        <v>95667.11</v>
      </c>
      <c r="E1307" s="4">
        <v>62</v>
      </c>
      <c r="F1307" s="4" t="s">
        <v>21</v>
      </c>
      <c r="G1307" s="6">
        <v>45337</v>
      </c>
      <c r="H1307" s="5">
        <v>95698.62</v>
      </c>
      <c r="I1307" s="18" t="s">
        <v>14</v>
      </c>
      <c r="J1307" s="14" t="s">
        <v>18</v>
      </c>
      <c r="K1307" s="14">
        <v>1256</v>
      </c>
      <c r="L1307" s="15">
        <v>45361</v>
      </c>
      <c r="M1307" s="16">
        <v>12</v>
      </c>
      <c r="N13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07" s="31">
        <f>IF(Table64[[#This Row],[date validity flag]]&lt;&gt;"Valid","",Table64[[#This Row],[shipment date ]]-Table64[[#This Row],[Order date]])</f>
        <v>24</v>
      </c>
      <c r="P1307" s="27" t="str">
        <f>TEXT(Table64[[#This Row],[Order date]],"mmm-yyyy")</f>
        <v>Feb-2024</v>
      </c>
      <c r="Q1307" s="16" t="str">
        <f t="shared" si="20"/>
        <v>Delayed</v>
      </c>
    </row>
    <row r="1308" spans="1:17" x14ac:dyDescent="0.3">
      <c r="A1308" s="12">
        <v>11307</v>
      </c>
      <c r="B1308" s="1">
        <v>5624</v>
      </c>
      <c r="C1308" s="1" t="s">
        <v>16</v>
      </c>
      <c r="D1308" s="2">
        <v>62137.95</v>
      </c>
      <c r="E1308" s="1">
        <v>76</v>
      </c>
      <c r="F1308" s="1" t="s">
        <v>13</v>
      </c>
      <c r="G1308" s="3">
        <v>45361</v>
      </c>
      <c r="H1308" s="2">
        <v>95839.51</v>
      </c>
      <c r="I1308" s="13" t="s">
        <v>17</v>
      </c>
      <c r="J1308" s="14" t="s">
        <v>15</v>
      </c>
      <c r="K1308" s="14">
        <v>1472</v>
      </c>
      <c r="L1308" s="15">
        <v>45332</v>
      </c>
      <c r="M1308" s="16">
        <v>13</v>
      </c>
      <c r="N130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08" s="31" t="str">
        <f>IF(Table64[[#This Row],[date validity flag]]&lt;&gt;"Valid","",Table64[[#This Row],[shipment date ]]-Table64[[#This Row],[Order date]])</f>
        <v/>
      </c>
      <c r="P1308" s="27" t="str">
        <f>TEXT(Table64[[#This Row],[Order date]],"mmm-yyyy")</f>
        <v>Mar-2024</v>
      </c>
      <c r="Q1308" s="16" t="str">
        <f t="shared" si="20"/>
        <v/>
      </c>
    </row>
    <row r="1309" spans="1:17" x14ac:dyDescent="0.3">
      <c r="A1309" s="17">
        <v>11308</v>
      </c>
      <c r="B1309" s="4">
        <v>5516</v>
      </c>
      <c r="C1309" s="4" t="s">
        <v>12</v>
      </c>
      <c r="D1309" s="5">
        <v>68876.7</v>
      </c>
      <c r="E1309" s="4">
        <v>11</v>
      </c>
      <c r="F1309" s="4" t="s">
        <v>22</v>
      </c>
      <c r="G1309" s="6">
        <v>45361</v>
      </c>
      <c r="H1309" s="5">
        <v>150886.04</v>
      </c>
      <c r="I1309" s="18" t="s">
        <v>17</v>
      </c>
      <c r="J1309" s="14" t="s">
        <v>19</v>
      </c>
      <c r="K1309" s="14">
        <v>121</v>
      </c>
      <c r="L1309" s="15">
        <v>45397</v>
      </c>
      <c r="M1309" s="16">
        <v>4</v>
      </c>
      <c r="N13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09" s="31">
        <f>IF(Table64[[#This Row],[date validity flag]]&lt;&gt;"Valid","",Table64[[#This Row],[shipment date ]]-Table64[[#This Row],[Order date]])</f>
        <v>36</v>
      </c>
      <c r="P1309" s="27" t="str">
        <f>TEXT(Table64[[#This Row],[Order date]],"mmm-yyyy")</f>
        <v>Mar-2024</v>
      </c>
      <c r="Q1309" s="16" t="str">
        <f t="shared" si="20"/>
        <v>Delayed</v>
      </c>
    </row>
    <row r="1310" spans="1:17" x14ac:dyDescent="0.3">
      <c r="A1310" s="12">
        <v>11309</v>
      </c>
      <c r="B1310" s="1">
        <v>6374</v>
      </c>
      <c r="C1310" s="1" t="s">
        <v>16</v>
      </c>
      <c r="D1310" s="2">
        <v>46001.24</v>
      </c>
      <c r="E1310" s="1">
        <v>89</v>
      </c>
      <c r="F1310" s="1" t="s">
        <v>21</v>
      </c>
      <c r="G1310" s="3">
        <v>45306</v>
      </c>
      <c r="H1310" s="2">
        <v>40931.94</v>
      </c>
      <c r="I1310" s="13" t="s">
        <v>14</v>
      </c>
      <c r="J1310" s="14" t="s">
        <v>18</v>
      </c>
      <c r="K1310" s="14">
        <v>1491</v>
      </c>
      <c r="L1310" s="15">
        <v>45332</v>
      </c>
      <c r="M1310" s="16">
        <v>7</v>
      </c>
      <c r="N13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10" s="31">
        <f>IF(Table64[[#This Row],[date validity flag]]&lt;&gt;"Valid","",Table64[[#This Row],[shipment date ]]-Table64[[#This Row],[Order date]])</f>
        <v>26</v>
      </c>
      <c r="P1310" s="27" t="str">
        <f>TEXT(Table64[[#This Row],[Order date]],"mmm-yyyy")</f>
        <v>Jan-2024</v>
      </c>
      <c r="Q1310" s="16" t="str">
        <f t="shared" si="20"/>
        <v>Delayed</v>
      </c>
    </row>
    <row r="1311" spans="1:17" x14ac:dyDescent="0.3">
      <c r="A1311" s="17">
        <v>11310</v>
      </c>
      <c r="B1311" s="4">
        <v>5843</v>
      </c>
      <c r="C1311" s="4" t="s">
        <v>12</v>
      </c>
      <c r="D1311" s="5">
        <v>45374.29</v>
      </c>
      <c r="E1311" s="4">
        <v>18</v>
      </c>
      <c r="F1311" s="4" t="s">
        <v>22</v>
      </c>
      <c r="G1311" s="6">
        <v>45337</v>
      </c>
      <c r="H1311" s="5">
        <v>174348.63</v>
      </c>
      <c r="I1311" s="18" t="s">
        <v>17</v>
      </c>
      <c r="J1311" s="14" t="s">
        <v>19</v>
      </c>
      <c r="K1311" s="14">
        <v>1356</v>
      </c>
      <c r="L1311" s="15">
        <v>45332</v>
      </c>
      <c r="M1311" s="16">
        <v>2</v>
      </c>
      <c r="N131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11" s="31" t="str">
        <f>IF(Table64[[#This Row],[date validity flag]]&lt;&gt;"Valid","",Table64[[#This Row],[shipment date ]]-Table64[[#This Row],[Order date]])</f>
        <v/>
      </c>
      <c r="P1311" s="27" t="str">
        <f>TEXT(Table64[[#This Row],[Order date]],"mmm-yyyy")</f>
        <v>Feb-2024</v>
      </c>
      <c r="Q1311" s="16" t="str">
        <f t="shared" si="20"/>
        <v/>
      </c>
    </row>
    <row r="1312" spans="1:17" x14ac:dyDescent="0.3">
      <c r="A1312" s="12">
        <v>11311</v>
      </c>
      <c r="B1312" s="1">
        <v>6470</v>
      </c>
      <c r="C1312" s="1" t="s">
        <v>16</v>
      </c>
      <c r="D1312" s="2">
        <v>75680.899999999994</v>
      </c>
      <c r="E1312" s="1">
        <v>19</v>
      </c>
      <c r="F1312" s="1" t="s">
        <v>23</v>
      </c>
      <c r="G1312" s="3">
        <v>45306</v>
      </c>
      <c r="H1312" s="2">
        <v>17748.29</v>
      </c>
      <c r="I1312" s="13" t="s">
        <v>20</v>
      </c>
      <c r="J1312" s="14" t="s">
        <v>15</v>
      </c>
      <c r="K1312" s="14">
        <v>123</v>
      </c>
      <c r="L1312" s="15">
        <v>45397</v>
      </c>
      <c r="M1312" s="16">
        <v>6</v>
      </c>
      <c r="N131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12" s="31">
        <f>IF(Table64[[#This Row],[date validity flag]]&lt;&gt;"Valid","",Table64[[#This Row],[shipment date ]]-Table64[[#This Row],[Order date]])</f>
        <v>91</v>
      </c>
      <c r="P1312" s="27" t="str">
        <f>TEXT(Table64[[#This Row],[Order date]],"mmm-yyyy")</f>
        <v>Jan-2024</v>
      </c>
      <c r="Q1312" s="16" t="str">
        <f t="shared" si="20"/>
        <v>Delayed</v>
      </c>
    </row>
    <row r="1313" spans="1:17" x14ac:dyDescent="0.3">
      <c r="A1313" s="17">
        <v>11312</v>
      </c>
      <c r="B1313" s="4">
        <v>6854</v>
      </c>
      <c r="C1313" s="4" t="s">
        <v>16</v>
      </c>
      <c r="D1313" s="5">
        <v>39120.46</v>
      </c>
      <c r="E1313" s="4">
        <v>87</v>
      </c>
      <c r="F1313" s="4" t="s">
        <v>22</v>
      </c>
      <c r="G1313" s="6">
        <v>45383</v>
      </c>
      <c r="H1313" s="5">
        <v>127431.72</v>
      </c>
      <c r="I1313" s="18" t="s">
        <v>17</v>
      </c>
      <c r="J1313" s="14" t="s">
        <v>18</v>
      </c>
      <c r="K1313" s="14">
        <v>404</v>
      </c>
      <c r="L1313" s="15">
        <v>45397</v>
      </c>
      <c r="M1313" s="16">
        <v>6</v>
      </c>
      <c r="N13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13" s="31">
        <f>IF(Table64[[#This Row],[date validity flag]]&lt;&gt;"Valid","",Table64[[#This Row],[shipment date ]]-Table64[[#This Row],[Order date]])</f>
        <v>14</v>
      </c>
      <c r="P1313" s="27" t="str">
        <f>TEXT(Table64[[#This Row],[Order date]],"mmm-yyyy")</f>
        <v>Apr-2024</v>
      </c>
      <c r="Q1313" s="16" t="str">
        <f t="shared" si="20"/>
        <v>Delayed</v>
      </c>
    </row>
    <row r="1314" spans="1:17" x14ac:dyDescent="0.3">
      <c r="A1314" s="12">
        <v>11313</v>
      </c>
      <c r="B1314" s="1">
        <v>5350</v>
      </c>
      <c r="C1314" s="1" t="s">
        <v>12</v>
      </c>
      <c r="D1314" s="2">
        <v>49256.27</v>
      </c>
      <c r="E1314" s="1">
        <v>55</v>
      </c>
      <c r="F1314" s="1" t="s">
        <v>13</v>
      </c>
      <c r="G1314" s="3">
        <v>45361</v>
      </c>
      <c r="H1314" s="2">
        <v>71251</v>
      </c>
      <c r="I1314" s="13" t="s">
        <v>17</v>
      </c>
      <c r="J1314" s="14" t="s">
        <v>19</v>
      </c>
      <c r="K1314" s="14">
        <v>546</v>
      </c>
      <c r="L1314" s="15">
        <v>45332</v>
      </c>
      <c r="M1314" s="16">
        <v>2</v>
      </c>
      <c r="N131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14" s="31" t="str">
        <f>IF(Table64[[#This Row],[date validity flag]]&lt;&gt;"Valid","",Table64[[#This Row],[shipment date ]]-Table64[[#This Row],[Order date]])</f>
        <v/>
      </c>
      <c r="P1314" s="27" t="str">
        <f>TEXT(Table64[[#This Row],[Order date]],"mmm-yyyy")</f>
        <v>Mar-2024</v>
      </c>
      <c r="Q1314" s="16" t="str">
        <f t="shared" si="20"/>
        <v/>
      </c>
    </row>
    <row r="1315" spans="1:17" x14ac:dyDescent="0.3">
      <c r="A1315" s="17">
        <v>11314</v>
      </c>
      <c r="B1315" s="4">
        <v>6631</v>
      </c>
      <c r="C1315" s="4" t="s">
        <v>12</v>
      </c>
      <c r="D1315" s="5">
        <v>35644.800000000003</v>
      </c>
      <c r="E1315" s="4">
        <v>82</v>
      </c>
      <c r="F1315" s="4" t="s">
        <v>23</v>
      </c>
      <c r="G1315" s="6">
        <v>45306</v>
      </c>
      <c r="H1315" s="5">
        <v>81910.11</v>
      </c>
      <c r="I1315" s="18" t="s">
        <v>14</v>
      </c>
      <c r="J1315" s="14" t="s">
        <v>18</v>
      </c>
      <c r="K1315" s="14">
        <v>1401</v>
      </c>
      <c r="L1315" s="15">
        <v>45332</v>
      </c>
      <c r="M1315" s="16">
        <v>14</v>
      </c>
      <c r="N131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15" s="31">
        <f>IF(Table64[[#This Row],[date validity flag]]&lt;&gt;"Valid","",Table64[[#This Row],[shipment date ]]-Table64[[#This Row],[Order date]])</f>
        <v>26</v>
      </c>
      <c r="P1315" s="27" t="str">
        <f>TEXT(Table64[[#This Row],[Order date]],"mmm-yyyy")</f>
        <v>Jan-2024</v>
      </c>
      <c r="Q1315" s="16" t="str">
        <f t="shared" si="20"/>
        <v>Delayed</v>
      </c>
    </row>
    <row r="1316" spans="1:17" x14ac:dyDescent="0.3">
      <c r="A1316" s="12">
        <v>11315</v>
      </c>
      <c r="B1316" s="1">
        <v>6688</v>
      </c>
      <c r="C1316" s="1" t="s">
        <v>16</v>
      </c>
      <c r="D1316" s="2">
        <v>87376.79</v>
      </c>
      <c r="E1316" s="1">
        <v>26</v>
      </c>
      <c r="F1316" s="1" t="s">
        <v>23</v>
      </c>
      <c r="G1316" s="3">
        <v>45306</v>
      </c>
      <c r="H1316" s="2">
        <v>148193.31</v>
      </c>
      <c r="I1316" s="13" t="s">
        <v>20</v>
      </c>
      <c r="J1316" s="14" t="s">
        <v>15</v>
      </c>
      <c r="K1316" s="14">
        <v>1037</v>
      </c>
      <c r="L1316" s="15">
        <v>45397</v>
      </c>
      <c r="M1316" s="16">
        <v>4</v>
      </c>
      <c r="N13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16" s="31">
        <f>IF(Table64[[#This Row],[date validity flag]]&lt;&gt;"Valid","",Table64[[#This Row],[shipment date ]]-Table64[[#This Row],[Order date]])</f>
        <v>91</v>
      </c>
      <c r="P1316" s="27" t="str">
        <f>TEXT(Table64[[#This Row],[Order date]],"mmm-yyyy")</f>
        <v>Jan-2024</v>
      </c>
      <c r="Q1316" s="16" t="str">
        <f t="shared" si="20"/>
        <v>Delayed</v>
      </c>
    </row>
    <row r="1317" spans="1:17" x14ac:dyDescent="0.3">
      <c r="A1317" s="17">
        <v>11316</v>
      </c>
      <c r="B1317" s="4">
        <v>5823</v>
      </c>
      <c r="C1317" s="4" t="s">
        <v>16</v>
      </c>
      <c r="D1317" s="5">
        <v>27302.05</v>
      </c>
      <c r="E1317" s="4">
        <v>6</v>
      </c>
      <c r="F1317" s="4" t="s">
        <v>21</v>
      </c>
      <c r="G1317" s="6">
        <v>45361</v>
      </c>
      <c r="H1317" s="5">
        <v>96640.67</v>
      </c>
      <c r="I1317" s="18" t="s">
        <v>20</v>
      </c>
      <c r="J1317" s="14" t="s">
        <v>18</v>
      </c>
      <c r="K1317" s="14">
        <v>629</v>
      </c>
      <c r="L1317" s="15">
        <v>45361</v>
      </c>
      <c r="M1317" s="16">
        <v>8</v>
      </c>
      <c r="N13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17" s="31">
        <f>IF(Table64[[#This Row],[date validity flag]]&lt;&gt;"Valid","",Table64[[#This Row],[shipment date ]]-Table64[[#This Row],[Order date]])</f>
        <v>0</v>
      </c>
      <c r="P1317" s="27" t="str">
        <f>TEXT(Table64[[#This Row],[Order date]],"mmm-yyyy")</f>
        <v>Mar-2024</v>
      </c>
      <c r="Q1317" s="16" t="str">
        <f t="shared" si="20"/>
        <v>On Time</v>
      </c>
    </row>
    <row r="1318" spans="1:17" x14ac:dyDescent="0.3">
      <c r="A1318" s="12">
        <v>11317</v>
      </c>
      <c r="B1318" s="1">
        <v>6161</v>
      </c>
      <c r="C1318" s="1" t="s">
        <v>16</v>
      </c>
      <c r="D1318" s="2">
        <v>69276.02</v>
      </c>
      <c r="E1318" s="1">
        <v>4</v>
      </c>
      <c r="F1318" s="1" t="s">
        <v>13</v>
      </c>
      <c r="G1318" s="3">
        <v>45337</v>
      </c>
      <c r="H1318" s="2">
        <v>136613.32999999999</v>
      </c>
      <c r="I1318" s="13" t="s">
        <v>17</v>
      </c>
      <c r="J1318" s="14" t="s">
        <v>15</v>
      </c>
      <c r="K1318" s="14">
        <v>959</v>
      </c>
      <c r="L1318" s="15">
        <v>45332</v>
      </c>
      <c r="M1318" s="16">
        <v>8</v>
      </c>
      <c r="N131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18" s="31" t="str">
        <f>IF(Table64[[#This Row],[date validity flag]]&lt;&gt;"Valid","",Table64[[#This Row],[shipment date ]]-Table64[[#This Row],[Order date]])</f>
        <v/>
      </c>
      <c r="P1318" s="27" t="str">
        <f>TEXT(Table64[[#This Row],[Order date]],"mmm-yyyy")</f>
        <v>Feb-2024</v>
      </c>
      <c r="Q1318" s="16" t="str">
        <f t="shared" si="20"/>
        <v/>
      </c>
    </row>
    <row r="1319" spans="1:17" x14ac:dyDescent="0.3">
      <c r="A1319" s="17">
        <v>11318</v>
      </c>
      <c r="B1319" s="4">
        <v>5759</v>
      </c>
      <c r="C1319" s="4" t="s">
        <v>12</v>
      </c>
      <c r="D1319" s="5">
        <v>9590.69</v>
      </c>
      <c r="E1319" s="4">
        <v>29</v>
      </c>
      <c r="F1319" s="4" t="s">
        <v>23</v>
      </c>
      <c r="G1319" s="6">
        <v>45306</v>
      </c>
      <c r="H1319" s="5">
        <v>91784.42</v>
      </c>
      <c r="I1319" s="18" t="s">
        <v>20</v>
      </c>
      <c r="J1319" s="14" t="s">
        <v>19</v>
      </c>
      <c r="K1319" s="14">
        <v>422</v>
      </c>
      <c r="L1319" s="15">
        <v>45332</v>
      </c>
      <c r="M1319" s="16">
        <v>13</v>
      </c>
      <c r="N131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19" s="31">
        <f>IF(Table64[[#This Row],[date validity flag]]&lt;&gt;"Valid","",Table64[[#This Row],[shipment date ]]-Table64[[#This Row],[Order date]])</f>
        <v>26</v>
      </c>
      <c r="P1319" s="27" t="str">
        <f>TEXT(Table64[[#This Row],[Order date]],"mmm-yyyy")</f>
        <v>Jan-2024</v>
      </c>
      <c r="Q1319" s="16" t="str">
        <f t="shared" si="20"/>
        <v>Delayed</v>
      </c>
    </row>
    <row r="1320" spans="1:17" x14ac:dyDescent="0.3">
      <c r="A1320" s="12">
        <v>11319</v>
      </c>
      <c r="B1320" s="1">
        <v>5899</v>
      </c>
      <c r="C1320" s="1" t="s">
        <v>16</v>
      </c>
      <c r="D1320" s="2">
        <v>43485.98</v>
      </c>
      <c r="E1320" s="1">
        <v>59</v>
      </c>
      <c r="F1320" s="1" t="s">
        <v>13</v>
      </c>
      <c r="G1320" s="3">
        <v>45361</v>
      </c>
      <c r="H1320" s="2">
        <v>149390.1</v>
      </c>
      <c r="I1320" s="13" t="s">
        <v>20</v>
      </c>
      <c r="J1320" s="14" t="s">
        <v>15</v>
      </c>
      <c r="K1320" s="14">
        <v>411</v>
      </c>
      <c r="L1320" s="15">
        <v>45361</v>
      </c>
      <c r="M1320" s="16">
        <v>8</v>
      </c>
      <c r="N13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20" s="31">
        <f>IF(Table64[[#This Row],[date validity flag]]&lt;&gt;"Valid","",Table64[[#This Row],[shipment date ]]-Table64[[#This Row],[Order date]])</f>
        <v>0</v>
      </c>
      <c r="P1320" s="27" t="str">
        <f>TEXT(Table64[[#This Row],[Order date]],"mmm-yyyy")</f>
        <v>Mar-2024</v>
      </c>
      <c r="Q1320" s="16" t="str">
        <f t="shared" si="20"/>
        <v>On Time</v>
      </c>
    </row>
    <row r="1321" spans="1:17" x14ac:dyDescent="0.3">
      <c r="A1321" s="17">
        <v>11320</v>
      </c>
      <c r="B1321" s="4">
        <v>5243</v>
      </c>
      <c r="C1321" s="4" t="s">
        <v>16</v>
      </c>
      <c r="D1321" s="5">
        <v>52767.55</v>
      </c>
      <c r="E1321" s="4">
        <v>98</v>
      </c>
      <c r="F1321" s="4" t="s">
        <v>22</v>
      </c>
      <c r="G1321" s="6">
        <v>45337</v>
      </c>
      <c r="H1321" s="5">
        <v>84185.97</v>
      </c>
      <c r="I1321" s="18" t="s">
        <v>20</v>
      </c>
      <c r="J1321" s="14" t="s">
        <v>19</v>
      </c>
      <c r="K1321" s="14">
        <v>142</v>
      </c>
      <c r="L1321" s="15">
        <v>45397</v>
      </c>
      <c r="M1321" s="16">
        <v>8</v>
      </c>
      <c r="N132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21" s="31">
        <f>IF(Table64[[#This Row],[date validity flag]]&lt;&gt;"Valid","",Table64[[#This Row],[shipment date ]]-Table64[[#This Row],[Order date]])</f>
        <v>60</v>
      </c>
      <c r="P1321" s="27" t="str">
        <f>TEXT(Table64[[#This Row],[Order date]],"mmm-yyyy")</f>
        <v>Feb-2024</v>
      </c>
      <c r="Q1321" s="16" t="str">
        <f t="shared" si="20"/>
        <v>Delayed</v>
      </c>
    </row>
    <row r="1322" spans="1:17" x14ac:dyDescent="0.3">
      <c r="A1322" s="12">
        <v>11321</v>
      </c>
      <c r="B1322" s="1">
        <v>5543</v>
      </c>
      <c r="C1322" s="1" t="s">
        <v>16</v>
      </c>
      <c r="D1322" s="2">
        <v>50606.93</v>
      </c>
      <c r="E1322" s="1">
        <v>17</v>
      </c>
      <c r="F1322" s="1" t="s">
        <v>13</v>
      </c>
      <c r="G1322" s="3">
        <v>45383</v>
      </c>
      <c r="H1322" s="2">
        <v>15132.45</v>
      </c>
      <c r="I1322" s="13" t="s">
        <v>20</v>
      </c>
      <c r="J1322" s="14" t="s">
        <v>19</v>
      </c>
      <c r="K1322" s="14">
        <v>1394</v>
      </c>
      <c r="L1322" s="15">
        <v>45397</v>
      </c>
      <c r="M1322" s="16">
        <v>1</v>
      </c>
      <c r="N13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22" s="31">
        <f>IF(Table64[[#This Row],[date validity flag]]&lt;&gt;"Valid","",Table64[[#This Row],[shipment date ]]-Table64[[#This Row],[Order date]])</f>
        <v>14</v>
      </c>
      <c r="P1322" s="27" t="str">
        <f>TEXT(Table64[[#This Row],[Order date]],"mmm-yyyy")</f>
        <v>Apr-2024</v>
      </c>
      <c r="Q1322" s="16" t="str">
        <f t="shared" si="20"/>
        <v>Delayed</v>
      </c>
    </row>
    <row r="1323" spans="1:17" x14ac:dyDescent="0.3">
      <c r="A1323" s="17">
        <v>11322</v>
      </c>
      <c r="B1323" s="4">
        <v>6064</v>
      </c>
      <c r="C1323" s="4" t="s">
        <v>12</v>
      </c>
      <c r="D1323" s="5">
        <v>10825.5</v>
      </c>
      <c r="E1323" s="4">
        <v>43</v>
      </c>
      <c r="F1323" s="4" t="s">
        <v>23</v>
      </c>
      <c r="G1323" s="6">
        <v>45361</v>
      </c>
      <c r="H1323" s="5">
        <v>47573.46</v>
      </c>
      <c r="I1323" s="18" t="s">
        <v>14</v>
      </c>
      <c r="J1323" s="14" t="s">
        <v>15</v>
      </c>
      <c r="K1323" s="14">
        <v>373</v>
      </c>
      <c r="L1323" s="15">
        <v>45361</v>
      </c>
      <c r="M1323" s="16">
        <v>2</v>
      </c>
      <c r="N13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23" s="31">
        <f>IF(Table64[[#This Row],[date validity flag]]&lt;&gt;"Valid","",Table64[[#This Row],[shipment date ]]-Table64[[#This Row],[Order date]])</f>
        <v>0</v>
      </c>
      <c r="P1323" s="27" t="str">
        <f>TEXT(Table64[[#This Row],[Order date]],"mmm-yyyy")</f>
        <v>Mar-2024</v>
      </c>
      <c r="Q1323" s="16" t="str">
        <f t="shared" si="20"/>
        <v>On Time</v>
      </c>
    </row>
    <row r="1324" spans="1:17" x14ac:dyDescent="0.3">
      <c r="A1324" s="12">
        <v>11323</v>
      </c>
      <c r="B1324" s="1">
        <v>5229</v>
      </c>
      <c r="C1324" s="1" t="s">
        <v>16</v>
      </c>
      <c r="D1324" s="2">
        <v>11213.93</v>
      </c>
      <c r="E1324" s="1">
        <v>80</v>
      </c>
      <c r="F1324" s="1" t="s">
        <v>21</v>
      </c>
      <c r="G1324" s="3">
        <v>45306</v>
      </c>
      <c r="H1324" s="2">
        <v>100834.39</v>
      </c>
      <c r="I1324" s="13" t="s">
        <v>17</v>
      </c>
      <c r="J1324" s="14" t="s">
        <v>19</v>
      </c>
      <c r="K1324" s="14">
        <v>433</v>
      </c>
      <c r="L1324" s="15">
        <v>45397</v>
      </c>
      <c r="M1324" s="16">
        <v>12</v>
      </c>
      <c r="N132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24" s="31">
        <f>IF(Table64[[#This Row],[date validity flag]]&lt;&gt;"Valid","",Table64[[#This Row],[shipment date ]]-Table64[[#This Row],[Order date]])</f>
        <v>91</v>
      </c>
      <c r="P1324" s="27" t="str">
        <f>TEXT(Table64[[#This Row],[Order date]],"mmm-yyyy")</f>
        <v>Jan-2024</v>
      </c>
      <c r="Q1324" s="16" t="str">
        <f t="shared" si="20"/>
        <v>Delayed</v>
      </c>
    </row>
    <row r="1325" spans="1:17" x14ac:dyDescent="0.3">
      <c r="A1325" s="17">
        <v>11324</v>
      </c>
      <c r="B1325" s="4">
        <v>5548</v>
      </c>
      <c r="C1325" s="4" t="s">
        <v>12</v>
      </c>
      <c r="D1325" s="5">
        <v>63606.74</v>
      </c>
      <c r="E1325" s="4">
        <v>66</v>
      </c>
      <c r="F1325" s="4" t="s">
        <v>23</v>
      </c>
      <c r="G1325" s="6">
        <v>45383</v>
      </c>
      <c r="H1325" s="5">
        <v>24018.03</v>
      </c>
      <c r="I1325" s="18" t="s">
        <v>14</v>
      </c>
      <c r="J1325" s="14" t="s">
        <v>18</v>
      </c>
      <c r="K1325" s="14">
        <v>624</v>
      </c>
      <c r="L1325" s="15">
        <v>45397</v>
      </c>
      <c r="M1325" s="16">
        <v>4</v>
      </c>
      <c r="N13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25" s="31">
        <f>IF(Table64[[#This Row],[date validity flag]]&lt;&gt;"Valid","",Table64[[#This Row],[shipment date ]]-Table64[[#This Row],[Order date]])</f>
        <v>14</v>
      </c>
      <c r="P1325" s="27" t="str">
        <f>TEXT(Table64[[#This Row],[Order date]],"mmm-yyyy")</f>
        <v>Apr-2024</v>
      </c>
      <c r="Q1325" s="16" t="str">
        <f t="shared" si="20"/>
        <v>Delayed</v>
      </c>
    </row>
    <row r="1326" spans="1:17" x14ac:dyDescent="0.3">
      <c r="A1326" s="12">
        <v>11325</v>
      </c>
      <c r="B1326" s="1">
        <v>5920</v>
      </c>
      <c r="C1326" s="1" t="s">
        <v>16</v>
      </c>
      <c r="D1326" s="2">
        <v>16884.150000000001</v>
      </c>
      <c r="E1326" s="1">
        <v>34</v>
      </c>
      <c r="F1326" s="1" t="s">
        <v>13</v>
      </c>
      <c r="G1326" s="3">
        <v>45337</v>
      </c>
      <c r="H1326" s="2">
        <v>162058.44</v>
      </c>
      <c r="I1326" s="13" t="s">
        <v>14</v>
      </c>
      <c r="J1326" s="14" t="s">
        <v>19</v>
      </c>
      <c r="K1326" s="14">
        <v>785</v>
      </c>
      <c r="L1326" s="15">
        <v>45332</v>
      </c>
      <c r="M1326" s="16">
        <v>12</v>
      </c>
      <c r="N132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26" s="31" t="str">
        <f>IF(Table64[[#This Row],[date validity flag]]&lt;&gt;"Valid","",Table64[[#This Row],[shipment date ]]-Table64[[#This Row],[Order date]])</f>
        <v/>
      </c>
      <c r="P1326" s="27" t="str">
        <f>TEXT(Table64[[#This Row],[Order date]],"mmm-yyyy")</f>
        <v>Feb-2024</v>
      </c>
      <c r="Q1326" s="16" t="str">
        <f t="shared" si="20"/>
        <v/>
      </c>
    </row>
    <row r="1327" spans="1:17" x14ac:dyDescent="0.3">
      <c r="A1327" s="17">
        <v>11326</v>
      </c>
      <c r="B1327" s="4">
        <v>6247</v>
      </c>
      <c r="C1327" s="4" t="s">
        <v>16</v>
      </c>
      <c r="D1327" s="5">
        <v>74042.27</v>
      </c>
      <c r="E1327" s="4">
        <v>8</v>
      </c>
      <c r="F1327" s="4" t="s">
        <v>13</v>
      </c>
      <c r="G1327" s="6">
        <v>45337</v>
      </c>
      <c r="H1327" s="5">
        <v>118884.38</v>
      </c>
      <c r="I1327" s="18" t="s">
        <v>17</v>
      </c>
      <c r="J1327" s="14" t="s">
        <v>15</v>
      </c>
      <c r="K1327" s="14">
        <v>786</v>
      </c>
      <c r="L1327" s="15">
        <v>45332</v>
      </c>
      <c r="M1327" s="16">
        <v>9</v>
      </c>
      <c r="N132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27" s="31" t="str">
        <f>IF(Table64[[#This Row],[date validity flag]]&lt;&gt;"Valid","",Table64[[#This Row],[shipment date ]]-Table64[[#This Row],[Order date]])</f>
        <v/>
      </c>
      <c r="P1327" s="27" t="str">
        <f>TEXT(Table64[[#This Row],[Order date]],"mmm-yyyy")</f>
        <v>Feb-2024</v>
      </c>
      <c r="Q1327" s="16" t="str">
        <f t="shared" si="20"/>
        <v/>
      </c>
    </row>
    <row r="1328" spans="1:17" x14ac:dyDescent="0.3">
      <c r="A1328" s="12">
        <v>11327</v>
      </c>
      <c r="B1328" s="1">
        <v>5006</v>
      </c>
      <c r="C1328" s="1" t="s">
        <v>16</v>
      </c>
      <c r="D1328" s="2">
        <v>72892.100000000006</v>
      </c>
      <c r="E1328" s="1">
        <v>13</v>
      </c>
      <c r="F1328" s="1" t="s">
        <v>23</v>
      </c>
      <c r="G1328" s="3">
        <v>45361</v>
      </c>
      <c r="H1328" s="2">
        <v>95885.63</v>
      </c>
      <c r="I1328" s="13" t="s">
        <v>20</v>
      </c>
      <c r="J1328" s="14" t="s">
        <v>18</v>
      </c>
      <c r="K1328" s="14">
        <v>395</v>
      </c>
      <c r="L1328" s="15">
        <v>45332</v>
      </c>
      <c r="M1328" s="16">
        <v>3</v>
      </c>
      <c r="N132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28" s="31" t="str">
        <f>IF(Table64[[#This Row],[date validity flag]]&lt;&gt;"Valid","",Table64[[#This Row],[shipment date ]]-Table64[[#This Row],[Order date]])</f>
        <v/>
      </c>
      <c r="P1328" s="27" t="str">
        <f>TEXT(Table64[[#This Row],[Order date]],"mmm-yyyy")</f>
        <v>Mar-2024</v>
      </c>
      <c r="Q1328" s="16" t="str">
        <f t="shared" si="20"/>
        <v/>
      </c>
    </row>
    <row r="1329" spans="1:17" x14ac:dyDescent="0.3">
      <c r="A1329" s="17">
        <v>11328</v>
      </c>
      <c r="B1329" s="4">
        <v>6346</v>
      </c>
      <c r="C1329" s="4" t="s">
        <v>16</v>
      </c>
      <c r="D1329" s="5">
        <v>84059.12</v>
      </c>
      <c r="E1329" s="4">
        <v>8</v>
      </c>
      <c r="F1329" s="4" t="s">
        <v>13</v>
      </c>
      <c r="G1329" s="6">
        <v>45361</v>
      </c>
      <c r="H1329" s="5">
        <v>102490.68</v>
      </c>
      <c r="I1329" s="18" t="s">
        <v>14</v>
      </c>
      <c r="J1329" s="14" t="s">
        <v>18</v>
      </c>
      <c r="K1329" s="14">
        <v>1176</v>
      </c>
      <c r="L1329" s="15">
        <v>45361</v>
      </c>
      <c r="M1329" s="16">
        <v>14</v>
      </c>
      <c r="N13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29" s="31">
        <f>IF(Table64[[#This Row],[date validity flag]]&lt;&gt;"Valid","",Table64[[#This Row],[shipment date ]]-Table64[[#This Row],[Order date]])</f>
        <v>0</v>
      </c>
      <c r="P1329" s="27" t="str">
        <f>TEXT(Table64[[#This Row],[Order date]],"mmm-yyyy")</f>
        <v>Mar-2024</v>
      </c>
      <c r="Q1329" s="16" t="str">
        <f t="shared" si="20"/>
        <v>On Time</v>
      </c>
    </row>
    <row r="1330" spans="1:17" x14ac:dyDescent="0.3">
      <c r="A1330" s="12">
        <v>11329</v>
      </c>
      <c r="B1330" s="1">
        <v>5468</v>
      </c>
      <c r="C1330" s="1" t="s">
        <v>16</v>
      </c>
      <c r="D1330" s="2">
        <v>16408.34</v>
      </c>
      <c r="E1330" s="1">
        <v>94</v>
      </c>
      <c r="F1330" s="1" t="s">
        <v>22</v>
      </c>
      <c r="G1330" s="3">
        <v>45361</v>
      </c>
      <c r="H1330" s="2">
        <v>90976.37</v>
      </c>
      <c r="I1330" s="13" t="s">
        <v>20</v>
      </c>
      <c r="J1330" s="14" t="s">
        <v>19</v>
      </c>
      <c r="K1330" s="14">
        <v>1288</v>
      </c>
      <c r="L1330" s="15">
        <v>45397</v>
      </c>
      <c r="M1330" s="16">
        <v>6</v>
      </c>
      <c r="N13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30" s="31">
        <f>IF(Table64[[#This Row],[date validity flag]]&lt;&gt;"Valid","",Table64[[#This Row],[shipment date ]]-Table64[[#This Row],[Order date]])</f>
        <v>36</v>
      </c>
      <c r="P1330" s="27" t="str">
        <f>TEXT(Table64[[#This Row],[Order date]],"mmm-yyyy")</f>
        <v>Mar-2024</v>
      </c>
      <c r="Q1330" s="16" t="str">
        <f t="shared" si="20"/>
        <v>Delayed</v>
      </c>
    </row>
    <row r="1331" spans="1:17" x14ac:dyDescent="0.3">
      <c r="A1331" s="17">
        <v>11330</v>
      </c>
      <c r="B1331" s="4">
        <v>6756</v>
      </c>
      <c r="C1331" s="4" t="s">
        <v>16</v>
      </c>
      <c r="D1331" s="5">
        <v>8539.66</v>
      </c>
      <c r="E1331" s="4">
        <v>96</v>
      </c>
      <c r="F1331" s="4" t="s">
        <v>23</v>
      </c>
      <c r="G1331" s="6">
        <v>45337</v>
      </c>
      <c r="H1331" s="5">
        <v>32600.57</v>
      </c>
      <c r="I1331" s="18" t="s">
        <v>14</v>
      </c>
      <c r="J1331" s="14" t="s">
        <v>19</v>
      </c>
      <c r="K1331" s="14">
        <v>1265</v>
      </c>
      <c r="L1331" s="15">
        <v>45397</v>
      </c>
      <c r="M1331" s="16">
        <v>7</v>
      </c>
      <c r="N13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31" s="31">
        <f>IF(Table64[[#This Row],[date validity flag]]&lt;&gt;"Valid","",Table64[[#This Row],[shipment date ]]-Table64[[#This Row],[Order date]])</f>
        <v>60</v>
      </c>
      <c r="P1331" s="27" t="str">
        <f>TEXT(Table64[[#This Row],[Order date]],"mmm-yyyy")</f>
        <v>Feb-2024</v>
      </c>
      <c r="Q1331" s="16" t="str">
        <f t="shared" si="20"/>
        <v>Delayed</v>
      </c>
    </row>
    <row r="1332" spans="1:17" x14ac:dyDescent="0.3">
      <c r="A1332" s="12">
        <v>11331</v>
      </c>
      <c r="B1332" s="1">
        <v>5075</v>
      </c>
      <c r="C1332" s="1" t="s">
        <v>16</v>
      </c>
      <c r="D1332" s="2">
        <v>66501.19</v>
      </c>
      <c r="E1332" s="1">
        <v>94</v>
      </c>
      <c r="F1332" s="1" t="s">
        <v>21</v>
      </c>
      <c r="G1332" s="3">
        <v>45383</v>
      </c>
      <c r="H1332" s="2">
        <v>74026.73</v>
      </c>
      <c r="I1332" s="13" t="s">
        <v>14</v>
      </c>
      <c r="J1332" s="14" t="s">
        <v>15</v>
      </c>
      <c r="K1332" s="14">
        <v>768</v>
      </c>
      <c r="L1332" s="15">
        <v>45332</v>
      </c>
      <c r="M1332" s="16">
        <v>8</v>
      </c>
      <c r="N13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32" s="31" t="str">
        <f>IF(Table64[[#This Row],[date validity flag]]&lt;&gt;"Valid","",Table64[[#This Row],[shipment date ]]-Table64[[#This Row],[Order date]])</f>
        <v/>
      </c>
      <c r="P1332" s="27" t="str">
        <f>TEXT(Table64[[#This Row],[Order date]],"mmm-yyyy")</f>
        <v>Apr-2024</v>
      </c>
      <c r="Q1332" s="16" t="str">
        <f t="shared" si="20"/>
        <v/>
      </c>
    </row>
    <row r="1333" spans="1:17" x14ac:dyDescent="0.3">
      <c r="A1333" s="17">
        <v>11332</v>
      </c>
      <c r="B1333" s="4">
        <v>5004</v>
      </c>
      <c r="C1333" s="4" t="s">
        <v>16</v>
      </c>
      <c r="D1333" s="5">
        <v>73185.77</v>
      </c>
      <c r="E1333" s="4">
        <v>65</v>
      </c>
      <c r="F1333" s="4" t="s">
        <v>23</v>
      </c>
      <c r="G1333" s="6">
        <v>45337</v>
      </c>
      <c r="H1333" s="5">
        <v>93723.51</v>
      </c>
      <c r="I1333" s="18" t="s">
        <v>17</v>
      </c>
      <c r="J1333" s="14" t="s">
        <v>18</v>
      </c>
      <c r="K1333" s="14">
        <v>830</v>
      </c>
      <c r="L1333" s="15">
        <v>45332</v>
      </c>
      <c r="M1333" s="16">
        <v>13</v>
      </c>
      <c r="N133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33" s="31" t="str">
        <f>IF(Table64[[#This Row],[date validity flag]]&lt;&gt;"Valid","",Table64[[#This Row],[shipment date ]]-Table64[[#This Row],[Order date]])</f>
        <v/>
      </c>
      <c r="P1333" s="27" t="str">
        <f>TEXT(Table64[[#This Row],[Order date]],"mmm-yyyy")</f>
        <v>Feb-2024</v>
      </c>
      <c r="Q1333" s="16" t="str">
        <f t="shared" si="20"/>
        <v/>
      </c>
    </row>
    <row r="1334" spans="1:17" x14ac:dyDescent="0.3">
      <c r="A1334" s="12">
        <v>11333</v>
      </c>
      <c r="B1334" s="1">
        <v>6871</v>
      </c>
      <c r="C1334" s="1" t="s">
        <v>16</v>
      </c>
      <c r="D1334" s="2">
        <v>20880.240000000002</v>
      </c>
      <c r="E1334" s="1">
        <v>43</v>
      </c>
      <c r="F1334" s="1" t="s">
        <v>22</v>
      </c>
      <c r="G1334" s="3">
        <v>45306</v>
      </c>
      <c r="H1334" s="2">
        <v>142388.97</v>
      </c>
      <c r="I1334" s="13" t="s">
        <v>17</v>
      </c>
      <c r="J1334" s="14" t="s">
        <v>15</v>
      </c>
      <c r="K1334" s="14">
        <v>1069</v>
      </c>
      <c r="L1334" s="15">
        <v>45361</v>
      </c>
      <c r="M1334" s="16">
        <v>7</v>
      </c>
      <c r="N133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34" s="31">
        <f>IF(Table64[[#This Row],[date validity flag]]&lt;&gt;"Valid","",Table64[[#This Row],[shipment date ]]-Table64[[#This Row],[Order date]])</f>
        <v>55</v>
      </c>
      <c r="P1334" s="27" t="str">
        <f>TEXT(Table64[[#This Row],[Order date]],"mmm-yyyy")</f>
        <v>Jan-2024</v>
      </c>
      <c r="Q1334" s="16" t="str">
        <f t="shared" si="20"/>
        <v>Delayed</v>
      </c>
    </row>
    <row r="1335" spans="1:17" x14ac:dyDescent="0.3">
      <c r="A1335" s="17">
        <v>11334</v>
      </c>
      <c r="B1335" s="4">
        <v>5646</v>
      </c>
      <c r="C1335" s="4" t="s">
        <v>16</v>
      </c>
      <c r="D1335" s="5">
        <v>24967.8</v>
      </c>
      <c r="E1335" s="4">
        <v>39</v>
      </c>
      <c r="F1335" s="4" t="s">
        <v>22</v>
      </c>
      <c r="G1335" s="6">
        <v>45337</v>
      </c>
      <c r="H1335" s="5">
        <v>140308.1</v>
      </c>
      <c r="I1335" s="18" t="s">
        <v>17</v>
      </c>
      <c r="J1335" s="14" t="s">
        <v>19</v>
      </c>
      <c r="K1335" s="14">
        <v>1267</v>
      </c>
      <c r="L1335" s="15">
        <v>45397</v>
      </c>
      <c r="M1335" s="16">
        <v>3</v>
      </c>
      <c r="N13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35" s="31">
        <f>IF(Table64[[#This Row],[date validity flag]]&lt;&gt;"Valid","",Table64[[#This Row],[shipment date ]]-Table64[[#This Row],[Order date]])</f>
        <v>60</v>
      </c>
      <c r="P1335" s="27" t="str">
        <f>TEXT(Table64[[#This Row],[Order date]],"mmm-yyyy")</f>
        <v>Feb-2024</v>
      </c>
      <c r="Q1335" s="16" t="str">
        <f t="shared" si="20"/>
        <v>Delayed</v>
      </c>
    </row>
    <row r="1336" spans="1:17" x14ac:dyDescent="0.3">
      <c r="A1336" s="12">
        <v>11335</v>
      </c>
      <c r="B1336" s="1">
        <v>5118</v>
      </c>
      <c r="C1336" s="1" t="s">
        <v>12</v>
      </c>
      <c r="D1336" s="2">
        <v>32529.58</v>
      </c>
      <c r="E1336" s="1">
        <v>81</v>
      </c>
      <c r="F1336" s="1" t="s">
        <v>22</v>
      </c>
      <c r="G1336" s="3">
        <v>45306</v>
      </c>
      <c r="H1336" s="2">
        <v>130777.76</v>
      </c>
      <c r="I1336" s="13" t="s">
        <v>14</v>
      </c>
      <c r="J1336" s="14" t="s">
        <v>18</v>
      </c>
      <c r="K1336" s="14">
        <v>1453</v>
      </c>
      <c r="L1336" s="15">
        <v>45361</v>
      </c>
      <c r="M1336" s="16">
        <v>6</v>
      </c>
      <c r="N13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36" s="31">
        <f>IF(Table64[[#This Row],[date validity flag]]&lt;&gt;"Valid","",Table64[[#This Row],[shipment date ]]-Table64[[#This Row],[Order date]])</f>
        <v>55</v>
      </c>
      <c r="P1336" s="27" t="str">
        <f>TEXT(Table64[[#This Row],[Order date]],"mmm-yyyy")</f>
        <v>Jan-2024</v>
      </c>
      <c r="Q1336" s="16" t="str">
        <f t="shared" si="20"/>
        <v>Delayed</v>
      </c>
    </row>
    <row r="1337" spans="1:17" x14ac:dyDescent="0.3">
      <c r="A1337" s="17">
        <v>11336</v>
      </c>
      <c r="B1337" s="4">
        <v>5881</v>
      </c>
      <c r="C1337" s="4" t="s">
        <v>12</v>
      </c>
      <c r="D1337" s="5">
        <v>9430.6299999999992</v>
      </c>
      <c r="E1337" s="4">
        <v>59</v>
      </c>
      <c r="F1337" s="4" t="s">
        <v>22</v>
      </c>
      <c r="G1337" s="6">
        <v>45383</v>
      </c>
      <c r="H1337" s="5">
        <v>86393.17</v>
      </c>
      <c r="I1337" s="18" t="s">
        <v>17</v>
      </c>
      <c r="J1337" s="14" t="s">
        <v>15</v>
      </c>
      <c r="K1337" s="14">
        <v>1476</v>
      </c>
      <c r="L1337" s="15">
        <v>45397</v>
      </c>
      <c r="M1337" s="16">
        <v>5</v>
      </c>
      <c r="N133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37" s="31">
        <f>IF(Table64[[#This Row],[date validity flag]]&lt;&gt;"Valid","",Table64[[#This Row],[shipment date ]]-Table64[[#This Row],[Order date]])</f>
        <v>14</v>
      </c>
      <c r="P1337" s="27" t="str">
        <f>TEXT(Table64[[#This Row],[Order date]],"mmm-yyyy")</f>
        <v>Apr-2024</v>
      </c>
      <c r="Q1337" s="16" t="str">
        <f t="shared" si="20"/>
        <v>Delayed</v>
      </c>
    </row>
    <row r="1338" spans="1:17" x14ac:dyDescent="0.3">
      <c r="A1338" s="12">
        <v>11337</v>
      </c>
      <c r="B1338" s="1">
        <v>6630</v>
      </c>
      <c r="C1338" s="1" t="s">
        <v>16</v>
      </c>
      <c r="D1338" s="2">
        <v>12700.28</v>
      </c>
      <c r="E1338" s="1">
        <v>84</v>
      </c>
      <c r="F1338" s="1" t="s">
        <v>22</v>
      </c>
      <c r="G1338" s="3">
        <v>45361</v>
      </c>
      <c r="H1338" s="2">
        <v>169547.48</v>
      </c>
      <c r="I1338" s="13" t="s">
        <v>20</v>
      </c>
      <c r="J1338" s="14" t="s">
        <v>15</v>
      </c>
      <c r="K1338" s="14">
        <v>713</v>
      </c>
      <c r="L1338" s="15">
        <v>45361</v>
      </c>
      <c r="M1338" s="16">
        <v>13</v>
      </c>
      <c r="N133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38" s="31">
        <f>IF(Table64[[#This Row],[date validity flag]]&lt;&gt;"Valid","",Table64[[#This Row],[shipment date ]]-Table64[[#This Row],[Order date]])</f>
        <v>0</v>
      </c>
      <c r="P1338" s="27" t="str">
        <f>TEXT(Table64[[#This Row],[Order date]],"mmm-yyyy")</f>
        <v>Mar-2024</v>
      </c>
      <c r="Q1338" s="16" t="str">
        <f t="shared" si="20"/>
        <v>On Time</v>
      </c>
    </row>
    <row r="1339" spans="1:17" x14ac:dyDescent="0.3">
      <c r="A1339" s="17">
        <v>11338</v>
      </c>
      <c r="B1339" s="4">
        <v>5504</v>
      </c>
      <c r="C1339" s="4" t="s">
        <v>16</v>
      </c>
      <c r="D1339" s="5">
        <v>35003.75</v>
      </c>
      <c r="E1339" s="4">
        <v>88</v>
      </c>
      <c r="F1339" s="4" t="s">
        <v>21</v>
      </c>
      <c r="G1339" s="6">
        <v>45361</v>
      </c>
      <c r="H1339" s="5">
        <v>123422.66</v>
      </c>
      <c r="I1339" s="18" t="s">
        <v>20</v>
      </c>
      <c r="J1339" s="14" t="s">
        <v>15</v>
      </c>
      <c r="K1339" s="14">
        <v>649</v>
      </c>
      <c r="L1339" s="15">
        <v>45332</v>
      </c>
      <c r="M1339" s="16">
        <v>12</v>
      </c>
      <c r="N133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39" s="31" t="str">
        <f>IF(Table64[[#This Row],[date validity flag]]&lt;&gt;"Valid","",Table64[[#This Row],[shipment date ]]-Table64[[#This Row],[Order date]])</f>
        <v/>
      </c>
      <c r="P1339" s="27" t="str">
        <f>TEXT(Table64[[#This Row],[Order date]],"mmm-yyyy")</f>
        <v>Mar-2024</v>
      </c>
      <c r="Q1339" s="16" t="str">
        <f t="shared" si="20"/>
        <v/>
      </c>
    </row>
    <row r="1340" spans="1:17" x14ac:dyDescent="0.3">
      <c r="A1340" s="12">
        <v>11339</v>
      </c>
      <c r="B1340" s="1">
        <v>5947</v>
      </c>
      <c r="C1340" s="1" t="s">
        <v>16</v>
      </c>
      <c r="D1340" s="2">
        <v>41947.89</v>
      </c>
      <c r="E1340" s="1">
        <v>86</v>
      </c>
      <c r="F1340" s="1" t="s">
        <v>13</v>
      </c>
      <c r="G1340" s="3">
        <v>45337</v>
      </c>
      <c r="H1340" s="2">
        <v>152332.39000000001</v>
      </c>
      <c r="I1340" s="13" t="s">
        <v>14</v>
      </c>
      <c r="J1340" s="14" t="s">
        <v>15</v>
      </c>
      <c r="K1340" s="14">
        <v>60</v>
      </c>
      <c r="L1340" s="15">
        <v>45361</v>
      </c>
      <c r="M1340" s="16">
        <v>10</v>
      </c>
      <c r="N13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0" s="31">
        <f>IF(Table64[[#This Row],[date validity flag]]&lt;&gt;"Valid","",Table64[[#This Row],[shipment date ]]-Table64[[#This Row],[Order date]])</f>
        <v>24</v>
      </c>
      <c r="P1340" s="27" t="str">
        <f>TEXT(Table64[[#This Row],[Order date]],"mmm-yyyy")</f>
        <v>Feb-2024</v>
      </c>
      <c r="Q1340" s="16" t="str">
        <f t="shared" si="20"/>
        <v>Delayed</v>
      </c>
    </row>
    <row r="1341" spans="1:17" x14ac:dyDescent="0.3">
      <c r="A1341" s="17">
        <v>11340</v>
      </c>
      <c r="B1341" s="4">
        <v>5574</v>
      </c>
      <c r="C1341" s="4" t="s">
        <v>16</v>
      </c>
      <c r="D1341" s="5">
        <v>33304.36</v>
      </c>
      <c r="E1341" s="4">
        <v>93</v>
      </c>
      <c r="F1341" s="4" t="s">
        <v>22</v>
      </c>
      <c r="G1341" s="6">
        <v>45361</v>
      </c>
      <c r="H1341" s="5">
        <v>102621.54</v>
      </c>
      <c r="I1341" s="18" t="s">
        <v>17</v>
      </c>
      <c r="J1341" s="14" t="s">
        <v>15</v>
      </c>
      <c r="K1341" s="14">
        <v>236</v>
      </c>
      <c r="L1341" s="15">
        <v>45361</v>
      </c>
      <c r="M1341" s="16">
        <v>4</v>
      </c>
      <c r="N134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1" s="31">
        <f>IF(Table64[[#This Row],[date validity flag]]&lt;&gt;"Valid","",Table64[[#This Row],[shipment date ]]-Table64[[#This Row],[Order date]])</f>
        <v>0</v>
      </c>
      <c r="P1341" s="27" t="str">
        <f>TEXT(Table64[[#This Row],[Order date]],"mmm-yyyy")</f>
        <v>Mar-2024</v>
      </c>
      <c r="Q1341" s="16" t="str">
        <f t="shared" si="20"/>
        <v>On Time</v>
      </c>
    </row>
    <row r="1342" spans="1:17" x14ac:dyDescent="0.3">
      <c r="A1342" s="12">
        <v>11341</v>
      </c>
      <c r="B1342" s="1">
        <v>6465</v>
      </c>
      <c r="C1342" s="1" t="s">
        <v>16</v>
      </c>
      <c r="D1342" s="2">
        <v>57056.01</v>
      </c>
      <c r="E1342" s="1">
        <v>86</v>
      </c>
      <c r="F1342" s="1" t="s">
        <v>22</v>
      </c>
      <c r="G1342" s="3">
        <v>45383</v>
      </c>
      <c r="H1342" s="2">
        <v>89172.02</v>
      </c>
      <c r="I1342" s="13" t="s">
        <v>17</v>
      </c>
      <c r="J1342" s="14" t="s">
        <v>18</v>
      </c>
      <c r="K1342" s="14">
        <v>775</v>
      </c>
      <c r="L1342" s="15">
        <v>45332</v>
      </c>
      <c r="M1342" s="16">
        <v>1</v>
      </c>
      <c r="N134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42" s="31" t="str">
        <f>IF(Table64[[#This Row],[date validity flag]]&lt;&gt;"Valid","",Table64[[#This Row],[shipment date ]]-Table64[[#This Row],[Order date]])</f>
        <v/>
      </c>
      <c r="P1342" s="27" t="str">
        <f>TEXT(Table64[[#This Row],[Order date]],"mmm-yyyy")</f>
        <v>Apr-2024</v>
      </c>
      <c r="Q1342" s="16" t="str">
        <f t="shared" si="20"/>
        <v/>
      </c>
    </row>
    <row r="1343" spans="1:17" x14ac:dyDescent="0.3">
      <c r="A1343" s="17">
        <v>11342</v>
      </c>
      <c r="B1343" s="4">
        <v>5194</v>
      </c>
      <c r="C1343" s="4" t="s">
        <v>16</v>
      </c>
      <c r="D1343" s="5">
        <v>90977.39</v>
      </c>
      <c r="E1343" s="4">
        <v>44</v>
      </c>
      <c r="F1343" s="4" t="s">
        <v>23</v>
      </c>
      <c r="G1343" s="6">
        <v>45361</v>
      </c>
      <c r="H1343" s="5">
        <v>13347.41</v>
      </c>
      <c r="I1343" s="18" t="s">
        <v>17</v>
      </c>
      <c r="J1343" s="14" t="s">
        <v>15</v>
      </c>
      <c r="K1343" s="14">
        <v>1088</v>
      </c>
      <c r="L1343" s="15">
        <v>45397</v>
      </c>
      <c r="M1343" s="16">
        <v>14</v>
      </c>
      <c r="N13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3" s="31">
        <f>IF(Table64[[#This Row],[date validity flag]]&lt;&gt;"Valid","",Table64[[#This Row],[shipment date ]]-Table64[[#This Row],[Order date]])</f>
        <v>36</v>
      </c>
      <c r="P1343" s="27" t="str">
        <f>TEXT(Table64[[#This Row],[Order date]],"mmm-yyyy")</f>
        <v>Mar-2024</v>
      </c>
      <c r="Q1343" s="16" t="str">
        <f t="shared" si="20"/>
        <v>Delayed</v>
      </c>
    </row>
    <row r="1344" spans="1:17" x14ac:dyDescent="0.3">
      <c r="A1344" s="12">
        <v>11343</v>
      </c>
      <c r="B1344" s="1">
        <v>5847</v>
      </c>
      <c r="C1344" s="1" t="s">
        <v>16</v>
      </c>
      <c r="D1344" s="2">
        <v>10415.200000000001</v>
      </c>
      <c r="E1344" s="1">
        <v>9</v>
      </c>
      <c r="F1344" s="1" t="s">
        <v>21</v>
      </c>
      <c r="G1344" s="3">
        <v>45337</v>
      </c>
      <c r="H1344" s="2">
        <v>148307.07</v>
      </c>
      <c r="I1344" s="13" t="s">
        <v>20</v>
      </c>
      <c r="J1344" s="14" t="s">
        <v>18</v>
      </c>
      <c r="K1344" s="14">
        <v>827</v>
      </c>
      <c r="L1344" s="15">
        <v>45397</v>
      </c>
      <c r="M1344" s="16">
        <v>13</v>
      </c>
      <c r="N13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4" s="31">
        <f>IF(Table64[[#This Row],[date validity flag]]&lt;&gt;"Valid","",Table64[[#This Row],[shipment date ]]-Table64[[#This Row],[Order date]])</f>
        <v>60</v>
      </c>
      <c r="P1344" s="27" t="str">
        <f>TEXT(Table64[[#This Row],[Order date]],"mmm-yyyy")</f>
        <v>Feb-2024</v>
      </c>
      <c r="Q1344" s="16" t="str">
        <f t="shared" si="20"/>
        <v>Delayed</v>
      </c>
    </row>
    <row r="1345" spans="1:17" x14ac:dyDescent="0.3">
      <c r="A1345" s="17">
        <v>11344</v>
      </c>
      <c r="B1345" s="4">
        <v>5715</v>
      </c>
      <c r="C1345" s="4" t="s">
        <v>16</v>
      </c>
      <c r="D1345" s="5">
        <v>26917.64</v>
      </c>
      <c r="E1345" s="4">
        <v>37</v>
      </c>
      <c r="F1345" s="4" t="s">
        <v>21</v>
      </c>
      <c r="G1345" s="6">
        <v>45383</v>
      </c>
      <c r="H1345" s="5">
        <v>164991.92000000001</v>
      </c>
      <c r="I1345" s="18" t="s">
        <v>17</v>
      </c>
      <c r="J1345" s="14" t="s">
        <v>15</v>
      </c>
      <c r="K1345" s="14">
        <v>1370</v>
      </c>
      <c r="L1345" s="15">
        <v>45332</v>
      </c>
      <c r="M1345" s="16">
        <v>7</v>
      </c>
      <c r="N134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45" s="31" t="str">
        <f>IF(Table64[[#This Row],[date validity flag]]&lt;&gt;"Valid","",Table64[[#This Row],[shipment date ]]-Table64[[#This Row],[Order date]])</f>
        <v/>
      </c>
      <c r="P1345" s="27" t="str">
        <f>TEXT(Table64[[#This Row],[Order date]],"mmm-yyyy")</f>
        <v>Apr-2024</v>
      </c>
      <c r="Q1345" s="16" t="str">
        <f t="shared" si="20"/>
        <v/>
      </c>
    </row>
    <row r="1346" spans="1:17" x14ac:dyDescent="0.3">
      <c r="A1346" s="12">
        <v>11345</v>
      </c>
      <c r="B1346" s="1">
        <v>6416</v>
      </c>
      <c r="C1346" s="1" t="s">
        <v>16</v>
      </c>
      <c r="D1346" s="2">
        <v>26884.94</v>
      </c>
      <c r="E1346" s="1">
        <v>74</v>
      </c>
      <c r="F1346" s="1" t="s">
        <v>13</v>
      </c>
      <c r="G1346" s="3">
        <v>45306</v>
      </c>
      <c r="H1346" s="2">
        <v>100012.46</v>
      </c>
      <c r="I1346" s="13" t="s">
        <v>20</v>
      </c>
      <c r="J1346" s="14" t="s">
        <v>19</v>
      </c>
      <c r="K1346" s="14">
        <v>460</v>
      </c>
      <c r="L1346" s="15">
        <v>45361</v>
      </c>
      <c r="M1346" s="16">
        <v>8</v>
      </c>
      <c r="N13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6" s="31">
        <f>IF(Table64[[#This Row],[date validity flag]]&lt;&gt;"Valid","",Table64[[#This Row],[shipment date ]]-Table64[[#This Row],[Order date]])</f>
        <v>55</v>
      </c>
      <c r="P1346" s="27" t="str">
        <f>TEXT(Table64[[#This Row],[Order date]],"mmm-yyyy")</f>
        <v>Jan-2024</v>
      </c>
      <c r="Q1346" s="16" t="str">
        <f t="shared" ref="Q1346:Q1409" si="21">IF(O1346="","",IF(O1346&gt;0,"Delayed","On Time"))</f>
        <v>Delayed</v>
      </c>
    </row>
    <row r="1347" spans="1:17" x14ac:dyDescent="0.3">
      <c r="A1347" s="17">
        <v>11346</v>
      </c>
      <c r="B1347" s="4">
        <v>6050</v>
      </c>
      <c r="C1347" s="4" t="s">
        <v>16</v>
      </c>
      <c r="D1347" s="5">
        <v>15074.81</v>
      </c>
      <c r="E1347" s="4">
        <v>36</v>
      </c>
      <c r="F1347" s="4" t="s">
        <v>21</v>
      </c>
      <c r="G1347" s="6">
        <v>45337</v>
      </c>
      <c r="H1347" s="5">
        <v>169467.06</v>
      </c>
      <c r="I1347" s="18" t="s">
        <v>17</v>
      </c>
      <c r="J1347" s="14" t="s">
        <v>19</v>
      </c>
      <c r="K1347" s="14">
        <v>1005</v>
      </c>
      <c r="L1347" s="15">
        <v>45361</v>
      </c>
      <c r="M1347" s="16">
        <v>2</v>
      </c>
      <c r="N134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7" s="31">
        <f>IF(Table64[[#This Row],[date validity flag]]&lt;&gt;"Valid","",Table64[[#This Row],[shipment date ]]-Table64[[#This Row],[Order date]])</f>
        <v>24</v>
      </c>
      <c r="P1347" s="27" t="str">
        <f>TEXT(Table64[[#This Row],[Order date]],"mmm-yyyy")</f>
        <v>Feb-2024</v>
      </c>
      <c r="Q1347" s="16" t="str">
        <f t="shared" si="21"/>
        <v>Delayed</v>
      </c>
    </row>
    <row r="1348" spans="1:17" x14ac:dyDescent="0.3">
      <c r="A1348" s="12">
        <v>11347</v>
      </c>
      <c r="B1348" s="1">
        <v>6459</v>
      </c>
      <c r="C1348" s="1" t="s">
        <v>16</v>
      </c>
      <c r="D1348" s="2">
        <v>83281.84</v>
      </c>
      <c r="E1348" s="1">
        <v>92</v>
      </c>
      <c r="F1348" s="1" t="s">
        <v>23</v>
      </c>
      <c r="G1348" s="3">
        <v>45306</v>
      </c>
      <c r="H1348" s="2">
        <v>34966.480000000003</v>
      </c>
      <c r="I1348" s="13" t="s">
        <v>17</v>
      </c>
      <c r="J1348" s="14" t="s">
        <v>15</v>
      </c>
      <c r="K1348" s="14">
        <v>634</v>
      </c>
      <c r="L1348" s="15">
        <v>45361</v>
      </c>
      <c r="M1348" s="16">
        <v>7</v>
      </c>
      <c r="N13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8" s="31">
        <f>IF(Table64[[#This Row],[date validity flag]]&lt;&gt;"Valid","",Table64[[#This Row],[shipment date ]]-Table64[[#This Row],[Order date]])</f>
        <v>55</v>
      </c>
      <c r="P1348" s="27" t="str">
        <f>TEXT(Table64[[#This Row],[Order date]],"mmm-yyyy")</f>
        <v>Jan-2024</v>
      </c>
      <c r="Q1348" s="16" t="str">
        <f t="shared" si="21"/>
        <v>Delayed</v>
      </c>
    </row>
    <row r="1349" spans="1:17" x14ac:dyDescent="0.3">
      <c r="A1349" s="17">
        <v>11348</v>
      </c>
      <c r="B1349" s="4">
        <v>5173</v>
      </c>
      <c r="C1349" s="4" t="s">
        <v>16</v>
      </c>
      <c r="D1349" s="5">
        <v>81503.23</v>
      </c>
      <c r="E1349" s="4">
        <v>28</v>
      </c>
      <c r="F1349" s="4" t="s">
        <v>23</v>
      </c>
      <c r="G1349" s="6">
        <v>45383</v>
      </c>
      <c r="H1349" s="5">
        <v>91814.53</v>
      </c>
      <c r="I1349" s="18" t="s">
        <v>14</v>
      </c>
      <c r="J1349" s="14" t="s">
        <v>19</v>
      </c>
      <c r="K1349" s="14">
        <v>1125</v>
      </c>
      <c r="L1349" s="15">
        <v>45397</v>
      </c>
      <c r="M1349" s="16">
        <v>6</v>
      </c>
      <c r="N13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49" s="31">
        <f>IF(Table64[[#This Row],[date validity flag]]&lt;&gt;"Valid","",Table64[[#This Row],[shipment date ]]-Table64[[#This Row],[Order date]])</f>
        <v>14</v>
      </c>
      <c r="P1349" s="27" t="str">
        <f>TEXT(Table64[[#This Row],[Order date]],"mmm-yyyy")</f>
        <v>Apr-2024</v>
      </c>
      <c r="Q1349" s="16" t="str">
        <f t="shared" si="21"/>
        <v>Delayed</v>
      </c>
    </row>
    <row r="1350" spans="1:17" x14ac:dyDescent="0.3">
      <c r="A1350" s="12">
        <v>11349</v>
      </c>
      <c r="B1350" s="1">
        <v>6324</v>
      </c>
      <c r="C1350" s="1" t="s">
        <v>16</v>
      </c>
      <c r="D1350" s="2">
        <v>46139.5</v>
      </c>
      <c r="E1350" s="1">
        <v>42</v>
      </c>
      <c r="F1350" s="1" t="s">
        <v>13</v>
      </c>
      <c r="G1350" s="3">
        <v>45337</v>
      </c>
      <c r="H1350" s="2">
        <v>178544.52</v>
      </c>
      <c r="I1350" s="13" t="s">
        <v>14</v>
      </c>
      <c r="J1350" s="14" t="s">
        <v>18</v>
      </c>
      <c r="K1350" s="14">
        <v>1101</v>
      </c>
      <c r="L1350" s="15">
        <v>45361</v>
      </c>
      <c r="M1350" s="16">
        <v>5</v>
      </c>
      <c r="N13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50" s="31">
        <f>IF(Table64[[#This Row],[date validity flag]]&lt;&gt;"Valid","",Table64[[#This Row],[shipment date ]]-Table64[[#This Row],[Order date]])</f>
        <v>24</v>
      </c>
      <c r="P1350" s="27" t="str">
        <f>TEXT(Table64[[#This Row],[Order date]],"mmm-yyyy")</f>
        <v>Feb-2024</v>
      </c>
      <c r="Q1350" s="16" t="str">
        <f t="shared" si="21"/>
        <v>Delayed</v>
      </c>
    </row>
    <row r="1351" spans="1:17" x14ac:dyDescent="0.3">
      <c r="A1351" s="17">
        <v>11350</v>
      </c>
      <c r="B1351" s="4">
        <v>6669</v>
      </c>
      <c r="C1351" s="4" t="s">
        <v>16</v>
      </c>
      <c r="D1351" s="5">
        <v>56237.760000000002</v>
      </c>
      <c r="E1351" s="4">
        <v>43</v>
      </c>
      <c r="F1351" s="4" t="s">
        <v>23</v>
      </c>
      <c r="G1351" s="6">
        <v>45337</v>
      </c>
      <c r="H1351" s="5">
        <v>104826.2</v>
      </c>
      <c r="I1351" s="18" t="s">
        <v>17</v>
      </c>
      <c r="J1351" s="14" t="s">
        <v>15</v>
      </c>
      <c r="K1351" s="14">
        <v>626</v>
      </c>
      <c r="L1351" s="15">
        <v>45397</v>
      </c>
      <c r="M1351" s="16">
        <v>13</v>
      </c>
      <c r="N135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51" s="31">
        <f>IF(Table64[[#This Row],[date validity flag]]&lt;&gt;"Valid","",Table64[[#This Row],[shipment date ]]-Table64[[#This Row],[Order date]])</f>
        <v>60</v>
      </c>
      <c r="P1351" s="27" t="str">
        <f>TEXT(Table64[[#This Row],[Order date]],"mmm-yyyy")</f>
        <v>Feb-2024</v>
      </c>
      <c r="Q1351" s="16" t="str">
        <f t="shared" si="21"/>
        <v>Delayed</v>
      </c>
    </row>
    <row r="1352" spans="1:17" x14ac:dyDescent="0.3">
      <c r="A1352" s="12">
        <v>11351</v>
      </c>
      <c r="B1352" s="1">
        <v>5326</v>
      </c>
      <c r="C1352" s="1" t="s">
        <v>16</v>
      </c>
      <c r="D1352" s="2">
        <v>34840.58</v>
      </c>
      <c r="E1352" s="1">
        <v>85</v>
      </c>
      <c r="F1352" s="1" t="s">
        <v>22</v>
      </c>
      <c r="G1352" s="3">
        <v>45383</v>
      </c>
      <c r="H1352" s="2">
        <v>23665.119999999999</v>
      </c>
      <c r="I1352" s="13" t="s">
        <v>17</v>
      </c>
      <c r="J1352" s="14" t="s">
        <v>18</v>
      </c>
      <c r="K1352" s="14">
        <v>1090</v>
      </c>
      <c r="L1352" s="15">
        <v>45361</v>
      </c>
      <c r="M1352" s="16">
        <v>4</v>
      </c>
      <c r="N13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52" s="31" t="str">
        <f>IF(Table64[[#This Row],[date validity flag]]&lt;&gt;"Valid","",Table64[[#This Row],[shipment date ]]-Table64[[#This Row],[Order date]])</f>
        <v/>
      </c>
      <c r="P1352" s="27" t="str">
        <f>TEXT(Table64[[#This Row],[Order date]],"mmm-yyyy")</f>
        <v>Apr-2024</v>
      </c>
      <c r="Q1352" s="16" t="str">
        <f t="shared" si="21"/>
        <v/>
      </c>
    </row>
    <row r="1353" spans="1:17" x14ac:dyDescent="0.3">
      <c r="A1353" s="17">
        <v>11352</v>
      </c>
      <c r="B1353" s="4">
        <v>6434</v>
      </c>
      <c r="C1353" s="4" t="s">
        <v>16</v>
      </c>
      <c r="D1353" s="5">
        <v>59340.41</v>
      </c>
      <c r="E1353" s="4">
        <v>88</v>
      </c>
      <c r="F1353" s="4" t="s">
        <v>22</v>
      </c>
      <c r="G1353" s="6">
        <v>45361</v>
      </c>
      <c r="H1353" s="5">
        <v>110325.62</v>
      </c>
      <c r="I1353" s="18" t="s">
        <v>17</v>
      </c>
      <c r="J1353" s="14" t="s">
        <v>15</v>
      </c>
      <c r="K1353" s="14">
        <v>1424</v>
      </c>
      <c r="L1353" s="15">
        <v>45332</v>
      </c>
      <c r="M1353" s="16">
        <v>2</v>
      </c>
      <c r="N1353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53" s="31" t="str">
        <f>IF(Table64[[#This Row],[date validity flag]]&lt;&gt;"Valid","",Table64[[#This Row],[shipment date ]]-Table64[[#This Row],[Order date]])</f>
        <v/>
      </c>
      <c r="P1353" s="27" t="str">
        <f>TEXT(Table64[[#This Row],[Order date]],"mmm-yyyy")</f>
        <v>Mar-2024</v>
      </c>
      <c r="Q1353" s="16" t="str">
        <f t="shared" si="21"/>
        <v/>
      </c>
    </row>
    <row r="1354" spans="1:17" x14ac:dyDescent="0.3">
      <c r="A1354" s="12">
        <v>11353</v>
      </c>
      <c r="B1354" s="1">
        <v>6142</v>
      </c>
      <c r="C1354" s="1" t="s">
        <v>16</v>
      </c>
      <c r="D1354" s="2">
        <v>50567.57</v>
      </c>
      <c r="E1354" s="1">
        <v>42</v>
      </c>
      <c r="F1354" s="1" t="s">
        <v>23</v>
      </c>
      <c r="G1354" s="3">
        <v>45337</v>
      </c>
      <c r="H1354" s="2">
        <v>63413.4</v>
      </c>
      <c r="I1354" s="13" t="s">
        <v>14</v>
      </c>
      <c r="J1354" s="14" t="s">
        <v>19</v>
      </c>
      <c r="K1354" s="14">
        <v>1302</v>
      </c>
      <c r="L1354" s="15">
        <v>45332</v>
      </c>
      <c r="M1354" s="16">
        <v>10</v>
      </c>
      <c r="N135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54" s="31" t="str">
        <f>IF(Table64[[#This Row],[date validity flag]]&lt;&gt;"Valid","",Table64[[#This Row],[shipment date ]]-Table64[[#This Row],[Order date]])</f>
        <v/>
      </c>
      <c r="P1354" s="27" t="str">
        <f>TEXT(Table64[[#This Row],[Order date]],"mmm-yyyy")</f>
        <v>Feb-2024</v>
      </c>
      <c r="Q1354" s="16" t="str">
        <f t="shared" si="21"/>
        <v/>
      </c>
    </row>
    <row r="1355" spans="1:17" x14ac:dyDescent="0.3">
      <c r="A1355" s="17">
        <v>11354</v>
      </c>
      <c r="B1355" s="4">
        <v>5836</v>
      </c>
      <c r="C1355" s="4" t="s">
        <v>12</v>
      </c>
      <c r="D1355" s="5">
        <v>41563.279999999999</v>
      </c>
      <c r="E1355" s="4">
        <v>66</v>
      </c>
      <c r="F1355" s="4" t="s">
        <v>13</v>
      </c>
      <c r="G1355" s="6">
        <v>45337</v>
      </c>
      <c r="H1355" s="5">
        <v>169975.78</v>
      </c>
      <c r="I1355" s="18" t="s">
        <v>20</v>
      </c>
      <c r="J1355" s="14" t="s">
        <v>18</v>
      </c>
      <c r="K1355" s="14">
        <v>1038</v>
      </c>
      <c r="L1355" s="15">
        <v>45397</v>
      </c>
      <c r="M1355" s="16">
        <v>6</v>
      </c>
      <c r="N135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55" s="31">
        <f>IF(Table64[[#This Row],[date validity flag]]&lt;&gt;"Valid","",Table64[[#This Row],[shipment date ]]-Table64[[#This Row],[Order date]])</f>
        <v>60</v>
      </c>
      <c r="P1355" s="27" t="str">
        <f>TEXT(Table64[[#This Row],[Order date]],"mmm-yyyy")</f>
        <v>Feb-2024</v>
      </c>
      <c r="Q1355" s="16" t="str">
        <f t="shared" si="21"/>
        <v>Delayed</v>
      </c>
    </row>
    <row r="1356" spans="1:17" x14ac:dyDescent="0.3">
      <c r="A1356" s="12">
        <v>11355</v>
      </c>
      <c r="B1356" s="1">
        <v>6811</v>
      </c>
      <c r="C1356" s="1" t="s">
        <v>16</v>
      </c>
      <c r="D1356" s="2">
        <v>74331.429999999993</v>
      </c>
      <c r="E1356" s="1">
        <v>55</v>
      </c>
      <c r="F1356" s="1" t="s">
        <v>21</v>
      </c>
      <c r="G1356" s="3">
        <v>45306</v>
      </c>
      <c r="H1356" s="2">
        <v>122740.62</v>
      </c>
      <c r="I1356" s="13" t="s">
        <v>17</v>
      </c>
      <c r="J1356" s="14" t="s">
        <v>19</v>
      </c>
      <c r="K1356" s="14">
        <v>1283</v>
      </c>
      <c r="L1356" s="15">
        <v>45397</v>
      </c>
      <c r="M1356" s="16">
        <v>5</v>
      </c>
      <c r="N13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56" s="31">
        <f>IF(Table64[[#This Row],[date validity flag]]&lt;&gt;"Valid","",Table64[[#This Row],[shipment date ]]-Table64[[#This Row],[Order date]])</f>
        <v>91</v>
      </c>
      <c r="P1356" s="27" t="str">
        <f>TEXT(Table64[[#This Row],[Order date]],"mmm-yyyy")</f>
        <v>Jan-2024</v>
      </c>
      <c r="Q1356" s="16" t="str">
        <f t="shared" si="21"/>
        <v>Delayed</v>
      </c>
    </row>
    <row r="1357" spans="1:17" x14ac:dyDescent="0.3">
      <c r="A1357" s="17">
        <v>11356</v>
      </c>
      <c r="B1357" s="4">
        <v>5724</v>
      </c>
      <c r="C1357" s="4" t="s">
        <v>16</v>
      </c>
      <c r="D1357" s="5">
        <v>54173.34</v>
      </c>
      <c r="E1357" s="4">
        <v>72</v>
      </c>
      <c r="F1357" s="4" t="s">
        <v>13</v>
      </c>
      <c r="G1357" s="6">
        <v>45361</v>
      </c>
      <c r="H1357" s="5">
        <v>35698.480000000003</v>
      </c>
      <c r="I1357" s="18" t="s">
        <v>17</v>
      </c>
      <c r="J1357" s="14" t="s">
        <v>19</v>
      </c>
      <c r="K1357" s="14">
        <v>1367</v>
      </c>
      <c r="L1357" s="15">
        <v>45332</v>
      </c>
      <c r="M1357" s="16">
        <v>2</v>
      </c>
      <c r="N135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57" s="31" t="str">
        <f>IF(Table64[[#This Row],[date validity flag]]&lt;&gt;"Valid","",Table64[[#This Row],[shipment date ]]-Table64[[#This Row],[Order date]])</f>
        <v/>
      </c>
      <c r="P1357" s="27" t="str">
        <f>TEXT(Table64[[#This Row],[Order date]],"mmm-yyyy")</f>
        <v>Mar-2024</v>
      </c>
      <c r="Q1357" s="16" t="str">
        <f t="shared" si="21"/>
        <v/>
      </c>
    </row>
    <row r="1358" spans="1:17" x14ac:dyDescent="0.3">
      <c r="A1358" s="12">
        <v>11357</v>
      </c>
      <c r="B1358" s="1">
        <v>5225</v>
      </c>
      <c r="C1358" s="1" t="s">
        <v>16</v>
      </c>
      <c r="D1358" s="2">
        <v>17200.2</v>
      </c>
      <c r="E1358" s="1">
        <v>48</v>
      </c>
      <c r="F1358" s="1" t="s">
        <v>21</v>
      </c>
      <c r="G1358" s="3">
        <v>45306</v>
      </c>
      <c r="H1358" s="2">
        <v>97396.87</v>
      </c>
      <c r="I1358" s="13" t="s">
        <v>14</v>
      </c>
      <c r="J1358" s="14" t="s">
        <v>15</v>
      </c>
      <c r="K1358" s="14">
        <v>792</v>
      </c>
      <c r="L1358" s="15">
        <v>45332</v>
      </c>
      <c r="M1358" s="16">
        <v>10</v>
      </c>
      <c r="N13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58" s="31">
        <f>IF(Table64[[#This Row],[date validity flag]]&lt;&gt;"Valid","",Table64[[#This Row],[shipment date ]]-Table64[[#This Row],[Order date]])</f>
        <v>26</v>
      </c>
      <c r="P1358" s="27" t="str">
        <f>TEXT(Table64[[#This Row],[Order date]],"mmm-yyyy")</f>
        <v>Jan-2024</v>
      </c>
      <c r="Q1358" s="16" t="str">
        <f t="shared" si="21"/>
        <v>Delayed</v>
      </c>
    </row>
    <row r="1359" spans="1:17" x14ac:dyDescent="0.3">
      <c r="A1359" s="17">
        <v>11358</v>
      </c>
      <c r="B1359" s="4">
        <v>5532</v>
      </c>
      <c r="C1359" s="4" t="s">
        <v>16</v>
      </c>
      <c r="D1359" s="5">
        <v>28583.42</v>
      </c>
      <c r="E1359" s="4">
        <v>91</v>
      </c>
      <c r="F1359" s="4" t="s">
        <v>23</v>
      </c>
      <c r="G1359" s="6">
        <v>45306</v>
      </c>
      <c r="H1359" s="5">
        <v>146745.37</v>
      </c>
      <c r="I1359" s="18" t="s">
        <v>17</v>
      </c>
      <c r="J1359" s="14" t="s">
        <v>18</v>
      </c>
      <c r="K1359" s="14">
        <v>1177</v>
      </c>
      <c r="L1359" s="15">
        <v>45361</v>
      </c>
      <c r="M1359" s="16">
        <v>7</v>
      </c>
      <c r="N13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59" s="31">
        <f>IF(Table64[[#This Row],[date validity flag]]&lt;&gt;"Valid","",Table64[[#This Row],[shipment date ]]-Table64[[#This Row],[Order date]])</f>
        <v>55</v>
      </c>
      <c r="P1359" s="27" t="str">
        <f>TEXT(Table64[[#This Row],[Order date]],"mmm-yyyy")</f>
        <v>Jan-2024</v>
      </c>
      <c r="Q1359" s="16" t="str">
        <f t="shared" si="21"/>
        <v>Delayed</v>
      </c>
    </row>
    <row r="1360" spans="1:17" x14ac:dyDescent="0.3">
      <c r="A1360" s="12">
        <v>11359</v>
      </c>
      <c r="B1360" s="1">
        <v>5113</v>
      </c>
      <c r="C1360" s="1" t="s">
        <v>12</v>
      </c>
      <c r="D1360" s="2">
        <v>96336.84</v>
      </c>
      <c r="E1360" s="1">
        <v>22</v>
      </c>
      <c r="F1360" s="1" t="s">
        <v>23</v>
      </c>
      <c r="G1360" s="3">
        <v>45361</v>
      </c>
      <c r="H1360" s="2">
        <v>61828.9</v>
      </c>
      <c r="I1360" s="13" t="s">
        <v>14</v>
      </c>
      <c r="J1360" s="14" t="s">
        <v>19</v>
      </c>
      <c r="K1360" s="14">
        <v>253</v>
      </c>
      <c r="L1360" s="15">
        <v>45332</v>
      </c>
      <c r="M1360" s="16">
        <v>6</v>
      </c>
      <c r="N136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60" s="31" t="str">
        <f>IF(Table64[[#This Row],[date validity flag]]&lt;&gt;"Valid","",Table64[[#This Row],[shipment date ]]-Table64[[#This Row],[Order date]])</f>
        <v/>
      </c>
      <c r="P1360" s="27" t="str">
        <f>TEXT(Table64[[#This Row],[Order date]],"mmm-yyyy")</f>
        <v>Mar-2024</v>
      </c>
      <c r="Q1360" s="16" t="str">
        <f t="shared" si="21"/>
        <v/>
      </c>
    </row>
    <row r="1361" spans="1:17" x14ac:dyDescent="0.3">
      <c r="A1361" s="17">
        <v>11360</v>
      </c>
      <c r="B1361" s="4">
        <v>5140</v>
      </c>
      <c r="C1361" s="4" t="s">
        <v>12</v>
      </c>
      <c r="D1361" s="5">
        <v>81079.64</v>
      </c>
      <c r="E1361" s="4">
        <v>27</v>
      </c>
      <c r="F1361" s="4" t="s">
        <v>22</v>
      </c>
      <c r="G1361" s="6">
        <v>45361</v>
      </c>
      <c r="H1361" s="5">
        <v>140805.82</v>
      </c>
      <c r="I1361" s="18" t="s">
        <v>14</v>
      </c>
      <c r="J1361" s="14" t="s">
        <v>15</v>
      </c>
      <c r="K1361" s="14">
        <v>1126</v>
      </c>
      <c r="L1361" s="15">
        <v>45397</v>
      </c>
      <c r="M1361" s="16">
        <v>12</v>
      </c>
      <c r="N136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61" s="31">
        <f>IF(Table64[[#This Row],[date validity flag]]&lt;&gt;"Valid","",Table64[[#This Row],[shipment date ]]-Table64[[#This Row],[Order date]])</f>
        <v>36</v>
      </c>
      <c r="P1361" s="27" t="str">
        <f>TEXT(Table64[[#This Row],[Order date]],"mmm-yyyy")</f>
        <v>Mar-2024</v>
      </c>
      <c r="Q1361" s="16" t="str">
        <f t="shared" si="21"/>
        <v>Delayed</v>
      </c>
    </row>
    <row r="1362" spans="1:17" x14ac:dyDescent="0.3">
      <c r="A1362" s="12">
        <v>11361</v>
      </c>
      <c r="B1362" s="1">
        <v>5559</v>
      </c>
      <c r="C1362" s="1" t="s">
        <v>16</v>
      </c>
      <c r="D1362" s="2">
        <v>21273.21</v>
      </c>
      <c r="E1362" s="1">
        <v>93</v>
      </c>
      <c r="F1362" s="1" t="s">
        <v>21</v>
      </c>
      <c r="G1362" s="3">
        <v>45383</v>
      </c>
      <c r="H1362" s="2">
        <v>71131.34</v>
      </c>
      <c r="I1362" s="13" t="s">
        <v>14</v>
      </c>
      <c r="J1362" s="14" t="s">
        <v>15</v>
      </c>
      <c r="K1362" s="14">
        <v>1023</v>
      </c>
      <c r="L1362" s="15">
        <v>45332</v>
      </c>
      <c r="M1362" s="16">
        <v>11</v>
      </c>
      <c r="N136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62" s="31" t="str">
        <f>IF(Table64[[#This Row],[date validity flag]]&lt;&gt;"Valid","",Table64[[#This Row],[shipment date ]]-Table64[[#This Row],[Order date]])</f>
        <v/>
      </c>
      <c r="P1362" s="27" t="str">
        <f>TEXT(Table64[[#This Row],[Order date]],"mmm-yyyy")</f>
        <v>Apr-2024</v>
      </c>
      <c r="Q1362" s="16" t="str">
        <f t="shared" si="21"/>
        <v/>
      </c>
    </row>
    <row r="1363" spans="1:17" x14ac:dyDescent="0.3">
      <c r="A1363" s="17">
        <v>11362</v>
      </c>
      <c r="B1363" s="4">
        <v>5001</v>
      </c>
      <c r="C1363" s="4" t="s">
        <v>16</v>
      </c>
      <c r="D1363" s="5">
        <v>14514.88</v>
      </c>
      <c r="E1363" s="4">
        <v>67</v>
      </c>
      <c r="F1363" s="4" t="s">
        <v>13</v>
      </c>
      <c r="G1363" s="6">
        <v>45361</v>
      </c>
      <c r="H1363" s="5">
        <v>90033.87</v>
      </c>
      <c r="I1363" s="18" t="s">
        <v>14</v>
      </c>
      <c r="J1363" s="14" t="s">
        <v>15</v>
      </c>
      <c r="K1363" s="14">
        <v>989</v>
      </c>
      <c r="L1363" s="15">
        <v>45397</v>
      </c>
      <c r="M1363" s="16">
        <v>9</v>
      </c>
      <c r="N13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63" s="31">
        <f>IF(Table64[[#This Row],[date validity flag]]&lt;&gt;"Valid","",Table64[[#This Row],[shipment date ]]-Table64[[#This Row],[Order date]])</f>
        <v>36</v>
      </c>
      <c r="P1363" s="27" t="str">
        <f>TEXT(Table64[[#This Row],[Order date]],"mmm-yyyy")</f>
        <v>Mar-2024</v>
      </c>
      <c r="Q1363" s="16" t="str">
        <f t="shared" si="21"/>
        <v>Delayed</v>
      </c>
    </row>
    <row r="1364" spans="1:17" x14ac:dyDescent="0.3">
      <c r="A1364" s="12">
        <v>11363</v>
      </c>
      <c r="B1364" s="1">
        <v>5090</v>
      </c>
      <c r="C1364" s="1" t="s">
        <v>16</v>
      </c>
      <c r="D1364" s="2">
        <v>39062.620000000003</v>
      </c>
      <c r="E1364" s="1">
        <v>13</v>
      </c>
      <c r="F1364" s="1" t="s">
        <v>23</v>
      </c>
      <c r="G1364" s="3">
        <v>45337</v>
      </c>
      <c r="H1364" s="2">
        <v>121136.1</v>
      </c>
      <c r="I1364" s="13" t="s">
        <v>20</v>
      </c>
      <c r="J1364" s="14" t="s">
        <v>19</v>
      </c>
      <c r="K1364" s="14">
        <v>1448</v>
      </c>
      <c r="L1364" s="15">
        <v>45397</v>
      </c>
      <c r="M1364" s="16">
        <v>11</v>
      </c>
      <c r="N13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64" s="31">
        <f>IF(Table64[[#This Row],[date validity flag]]&lt;&gt;"Valid","",Table64[[#This Row],[shipment date ]]-Table64[[#This Row],[Order date]])</f>
        <v>60</v>
      </c>
      <c r="P1364" s="27" t="str">
        <f>TEXT(Table64[[#This Row],[Order date]],"mmm-yyyy")</f>
        <v>Feb-2024</v>
      </c>
      <c r="Q1364" s="16" t="str">
        <f t="shared" si="21"/>
        <v>Delayed</v>
      </c>
    </row>
    <row r="1365" spans="1:17" x14ac:dyDescent="0.3">
      <c r="A1365" s="17">
        <v>11364</v>
      </c>
      <c r="B1365" s="4">
        <v>5654</v>
      </c>
      <c r="C1365" s="4" t="s">
        <v>16</v>
      </c>
      <c r="D1365" s="5">
        <v>67186.570000000007</v>
      </c>
      <c r="E1365" s="4">
        <v>45</v>
      </c>
      <c r="F1365" s="4" t="s">
        <v>13</v>
      </c>
      <c r="G1365" s="6">
        <v>45361</v>
      </c>
      <c r="H1365" s="5">
        <v>47316.47</v>
      </c>
      <c r="I1365" s="18" t="s">
        <v>20</v>
      </c>
      <c r="J1365" s="14" t="s">
        <v>15</v>
      </c>
      <c r="K1365" s="14">
        <v>1127</v>
      </c>
      <c r="L1365" s="15">
        <v>45361</v>
      </c>
      <c r="M1365" s="16">
        <v>10</v>
      </c>
      <c r="N136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65" s="31">
        <f>IF(Table64[[#This Row],[date validity flag]]&lt;&gt;"Valid","",Table64[[#This Row],[shipment date ]]-Table64[[#This Row],[Order date]])</f>
        <v>0</v>
      </c>
      <c r="P1365" s="27" t="str">
        <f>TEXT(Table64[[#This Row],[Order date]],"mmm-yyyy")</f>
        <v>Mar-2024</v>
      </c>
      <c r="Q1365" s="16" t="str">
        <f t="shared" si="21"/>
        <v>On Time</v>
      </c>
    </row>
    <row r="1366" spans="1:17" x14ac:dyDescent="0.3">
      <c r="A1366" s="12">
        <v>11365</v>
      </c>
      <c r="B1366" s="1">
        <v>5320</v>
      </c>
      <c r="C1366" s="1" t="s">
        <v>16</v>
      </c>
      <c r="D1366" s="2">
        <v>90131.74</v>
      </c>
      <c r="E1366" s="1">
        <v>10</v>
      </c>
      <c r="F1366" s="1" t="s">
        <v>22</v>
      </c>
      <c r="G1366" s="3">
        <v>45383</v>
      </c>
      <c r="H1366" s="2">
        <v>82836.11</v>
      </c>
      <c r="I1366" s="13" t="s">
        <v>17</v>
      </c>
      <c r="J1366" s="14" t="s">
        <v>18</v>
      </c>
      <c r="K1366" s="14">
        <v>1349</v>
      </c>
      <c r="L1366" s="15">
        <v>45361</v>
      </c>
      <c r="M1366" s="16">
        <v>5</v>
      </c>
      <c r="N136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66" s="31" t="str">
        <f>IF(Table64[[#This Row],[date validity flag]]&lt;&gt;"Valid","",Table64[[#This Row],[shipment date ]]-Table64[[#This Row],[Order date]])</f>
        <v/>
      </c>
      <c r="P1366" s="27" t="str">
        <f>TEXT(Table64[[#This Row],[Order date]],"mmm-yyyy")</f>
        <v>Apr-2024</v>
      </c>
      <c r="Q1366" s="16" t="str">
        <f t="shared" si="21"/>
        <v/>
      </c>
    </row>
    <row r="1367" spans="1:17" x14ac:dyDescent="0.3">
      <c r="A1367" s="17">
        <v>11366</v>
      </c>
      <c r="B1367" s="4">
        <v>6574</v>
      </c>
      <c r="C1367" s="4" t="s">
        <v>16</v>
      </c>
      <c r="D1367" s="5">
        <v>58000.76</v>
      </c>
      <c r="E1367" s="4">
        <v>9</v>
      </c>
      <c r="F1367" s="4" t="s">
        <v>21</v>
      </c>
      <c r="G1367" s="6">
        <v>45383</v>
      </c>
      <c r="H1367" s="5">
        <v>128000.74</v>
      </c>
      <c r="I1367" s="18" t="s">
        <v>14</v>
      </c>
      <c r="J1367" s="14" t="s">
        <v>18</v>
      </c>
      <c r="K1367" s="14">
        <v>1408</v>
      </c>
      <c r="L1367" s="15">
        <v>45361</v>
      </c>
      <c r="M1367" s="16">
        <v>9</v>
      </c>
      <c r="N136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67" s="31" t="str">
        <f>IF(Table64[[#This Row],[date validity flag]]&lt;&gt;"Valid","",Table64[[#This Row],[shipment date ]]-Table64[[#This Row],[Order date]])</f>
        <v/>
      </c>
      <c r="P1367" s="27" t="str">
        <f>TEXT(Table64[[#This Row],[Order date]],"mmm-yyyy")</f>
        <v>Apr-2024</v>
      </c>
      <c r="Q1367" s="16" t="str">
        <f t="shared" si="21"/>
        <v/>
      </c>
    </row>
    <row r="1368" spans="1:17" x14ac:dyDescent="0.3">
      <c r="A1368" s="12">
        <v>11367</v>
      </c>
      <c r="B1368" s="1">
        <v>6829</v>
      </c>
      <c r="C1368" s="1" t="s">
        <v>16</v>
      </c>
      <c r="D1368" s="2">
        <v>21055.88</v>
      </c>
      <c r="E1368" s="1">
        <v>54</v>
      </c>
      <c r="F1368" s="1" t="s">
        <v>21</v>
      </c>
      <c r="G1368" s="3">
        <v>45383</v>
      </c>
      <c r="H1368" s="2">
        <v>117074.56</v>
      </c>
      <c r="I1368" s="13" t="s">
        <v>20</v>
      </c>
      <c r="J1368" s="14" t="s">
        <v>19</v>
      </c>
      <c r="K1368" s="14">
        <v>1104</v>
      </c>
      <c r="L1368" s="15">
        <v>45361</v>
      </c>
      <c r="M1368" s="16">
        <v>9</v>
      </c>
      <c r="N136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68" s="31" t="str">
        <f>IF(Table64[[#This Row],[date validity flag]]&lt;&gt;"Valid","",Table64[[#This Row],[shipment date ]]-Table64[[#This Row],[Order date]])</f>
        <v/>
      </c>
      <c r="P1368" s="27" t="str">
        <f>TEXT(Table64[[#This Row],[Order date]],"mmm-yyyy")</f>
        <v>Apr-2024</v>
      </c>
      <c r="Q1368" s="16" t="str">
        <f t="shared" si="21"/>
        <v/>
      </c>
    </row>
    <row r="1369" spans="1:17" x14ac:dyDescent="0.3">
      <c r="A1369" s="17">
        <v>11368</v>
      </c>
      <c r="B1369" s="4">
        <v>6918</v>
      </c>
      <c r="C1369" s="4" t="s">
        <v>16</v>
      </c>
      <c r="D1369" s="5">
        <v>92117.27</v>
      </c>
      <c r="E1369" s="4">
        <v>27</v>
      </c>
      <c r="F1369" s="4" t="s">
        <v>23</v>
      </c>
      <c r="G1369" s="6">
        <v>45361</v>
      </c>
      <c r="H1369" s="5">
        <v>42778.74</v>
      </c>
      <c r="I1369" s="18" t="s">
        <v>17</v>
      </c>
      <c r="J1369" s="14" t="s">
        <v>18</v>
      </c>
      <c r="K1369" s="14">
        <v>1208</v>
      </c>
      <c r="L1369" s="15">
        <v>45332</v>
      </c>
      <c r="M1369" s="16">
        <v>13</v>
      </c>
      <c r="N136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69" s="31" t="str">
        <f>IF(Table64[[#This Row],[date validity flag]]&lt;&gt;"Valid","",Table64[[#This Row],[shipment date ]]-Table64[[#This Row],[Order date]])</f>
        <v/>
      </c>
      <c r="P1369" s="27" t="str">
        <f>TEXT(Table64[[#This Row],[Order date]],"mmm-yyyy")</f>
        <v>Mar-2024</v>
      </c>
      <c r="Q1369" s="16" t="str">
        <f t="shared" si="21"/>
        <v/>
      </c>
    </row>
    <row r="1370" spans="1:17" x14ac:dyDescent="0.3">
      <c r="A1370" s="12">
        <v>11369</v>
      </c>
      <c r="B1370" s="1">
        <v>5139</v>
      </c>
      <c r="C1370" s="1" t="s">
        <v>16</v>
      </c>
      <c r="D1370" s="2">
        <v>52952.15</v>
      </c>
      <c r="E1370" s="1">
        <v>34</v>
      </c>
      <c r="F1370" s="1" t="s">
        <v>21</v>
      </c>
      <c r="G1370" s="3">
        <v>45361</v>
      </c>
      <c r="H1370" s="2">
        <v>138314.31</v>
      </c>
      <c r="I1370" s="13" t="s">
        <v>14</v>
      </c>
      <c r="J1370" s="14" t="s">
        <v>15</v>
      </c>
      <c r="K1370" s="14">
        <v>1131</v>
      </c>
      <c r="L1370" s="15">
        <v>45361</v>
      </c>
      <c r="M1370" s="16">
        <v>1</v>
      </c>
      <c r="N13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0" s="31">
        <f>IF(Table64[[#This Row],[date validity flag]]&lt;&gt;"Valid","",Table64[[#This Row],[shipment date ]]-Table64[[#This Row],[Order date]])</f>
        <v>0</v>
      </c>
      <c r="P1370" s="27" t="str">
        <f>TEXT(Table64[[#This Row],[Order date]],"mmm-yyyy")</f>
        <v>Mar-2024</v>
      </c>
      <c r="Q1370" s="16" t="str">
        <f t="shared" si="21"/>
        <v>On Time</v>
      </c>
    </row>
    <row r="1371" spans="1:17" x14ac:dyDescent="0.3">
      <c r="A1371" s="17">
        <v>11370</v>
      </c>
      <c r="B1371" s="4">
        <v>6535</v>
      </c>
      <c r="C1371" s="4" t="s">
        <v>16</v>
      </c>
      <c r="D1371" s="5">
        <v>86833.95</v>
      </c>
      <c r="E1371" s="4">
        <v>1</v>
      </c>
      <c r="F1371" s="4" t="s">
        <v>23</v>
      </c>
      <c r="G1371" s="6">
        <v>45306</v>
      </c>
      <c r="H1371" s="5">
        <v>156804.23000000001</v>
      </c>
      <c r="I1371" s="18" t="s">
        <v>17</v>
      </c>
      <c r="J1371" s="14" t="s">
        <v>19</v>
      </c>
      <c r="K1371" s="14">
        <v>154</v>
      </c>
      <c r="L1371" s="15">
        <v>45332</v>
      </c>
      <c r="M1371" s="16">
        <v>5</v>
      </c>
      <c r="N13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1" s="31">
        <f>IF(Table64[[#This Row],[date validity flag]]&lt;&gt;"Valid","",Table64[[#This Row],[shipment date ]]-Table64[[#This Row],[Order date]])</f>
        <v>26</v>
      </c>
      <c r="P1371" s="27" t="str">
        <f>TEXT(Table64[[#This Row],[Order date]],"mmm-yyyy")</f>
        <v>Jan-2024</v>
      </c>
      <c r="Q1371" s="16" t="str">
        <f t="shared" si="21"/>
        <v>Delayed</v>
      </c>
    </row>
    <row r="1372" spans="1:17" x14ac:dyDescent="0.3">
      <c r="A1372" s="12">
        <v>11371</v>
      </c>
      <c r="B1372" s="1">
        <v>6892</v>
      </c>
      <c r="C1372" s="1" t="s">
        <v>16</v>
      </c>
      <c r="D1372" s="2">
        <v>27013.03</v>
      </c>
      <c r="E1372" s="1">
        <v>32</v>
      </c>
      <c r="F1372" s="1" t="s">
        <v>22</v>
      </c>
      <c r="G1372" s="3">
        <v>45306</v>
      </c>
      <c r="H1372" s="2">
        <v>30201.64</v>
      </c>
      <c r="I1372" s="13" t="s">
        <v>20</v>
      </c>
      <c r="J1372" s="14" t="s">
        <v>15</v>
      </c>
      <c r="K1372" s="14">
        <v>1339</v>
      </c>
      <c r="L1372" s="15">
        <v>45361</v>
      </c>
      <c r="M1372" s="16">
        <v>9</v>
      </c>
      <c r="N13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2" s="31">
        <f>IF(Table64[[#This Row],[date validity flag]]&lt;&gt;"Valid","",Table64[[#This Row],[shipment date ]]-Table64[[#This Row],[Order date]])</f>
        <v>55</v>
      </c>
      <c r="P1372" s="27" t="str">
        <f>TEXT(Table64[[#This Row],[Order date]],"mmm-yyyy")</f>
        <v>Jan-2024</v>
      </c>
      <c r="Q1372" s="16" t="str">
        <f t="shared" si="21"/>
        <v>Delayed</v>
      </c>
    </row>
    <row r="1373" spans="1:17" x14ac:dyDescent="0.3">
      <c r="A1373" s="17">
        <v>11372</v>
      </c>
      <c r="B1373" s="4">
        <v>5845</v>
      </c>
      <c r="C1373" s="4" t="s">
        <v>16</v>
      </c>
      <c r="D1373" s="5">
        <v>73784.59</v>
      </c>
      <c r="E1373" s="4">
        <v>89</v>
      </c>
      <c r="F1373" s="4" t="s">
        <v>21</v>
      </c>
      <c r="G1373" s="6">
        <v>45337</v>
      </c>
      <c r="H1373" s="5">
        <v>82956.73</v>
      </c>
      <c r="I1373" s="18" t="s">
        <v>17</v>
      </c>
      <c r="J1373" s="14" t="s">
        <v>19</v>
      </c>
      <c r="K1373" s="14">
        <v>302</v>
      </c>
      <c r="L1373" s="15">
        <v>45361</v>
      </c>
      <c r="M1373" s="16">
        <v>7</v>
      </c>
      <c r="N13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3" s="31">
        <f>IF(Table64[[#This Row],[date validity flag]]&lt;&gt;"Valid","",Table64[[#This Row],[shipment date ]]-Table64[[#This Row],[Order date]])</f>
        <v>24</v>
      </c>
      <c r="P1373" s="27" t="str">
        <f>TEXT(Table64[[#This Row],[Order date]],"mmm-yyyy")</f>
        <v>Feb-2024</v>
      </c>
      <c r="Q1373" s="16" t="str">
        <f t="shared" si="21"/>
        <v>Delayed</v>
      </c>
    </row>
    <row r="1374" spans="1:17" x14ac:dyDescent="0.3">
      <c r="A1374" s="12">
        <v>11373</v>
      </c>
      <c r="B1374" s="1">
        <v>5259</v>
      </c>
      <c r="C1374" s="1" t="s">
        <v>16</v>
      </c>
      <c r="D1374" s="2">
        <v>44764.19</v>
      </c>
      <c r="E1374" s="1">
        <v>93</v>
      </c>
      <c r="F1374" s="1" t="s">
        <v>23</v>
      </c>
      <c r="G1374" s="3">
        <v>45306</v>
      </c>
      <c r="H1374" s="2">
        <v>94663.92</v>
      </c>
      <c r="I1374" s="13" t="s">
        <v>17</v>
      </c>
      <c r="J1374" s="14" t="s">
        <v>19</v>
      </c>
      <c r="K1374" s="14">
        <v>344</v>
      </c>
      <c r="L1374" s="15">
        <v>45397</v>
      </c>
      <c r="M1374" s="16">
        <v>6</v>
      </c>
      <c r="N13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4" s="31">
        <f>IF(Table64[[#This Row],[date validity flag]]&lt;&gt;"Valid","",Table64[[#This Row],[shipment date ]]-Table64[[#This Row],[Order date]])</f>
        <v>91</v>
      </c>
      <c r="P1374" s="27" t="str">
        <f>TEXT(Table64[[#This Row],[Order date]],"mmm-yyyy")</f>
        <v>Jan-2024</v>
      </c>
      <c r="Q1374" s="16" t="str">
        <f t="shared" si="21"/>
        <v>Delayed</v>
      </c>
    </row>
    <row r="1375" spans="1:17" x14ac:dyDescent="0.3">
      <c r="A1375" s="17">
        <v>11374</v>
      </c>
      <c r="B1375" s="4">
        <v>6697</v>
      </c>
      <c r="C1375" s="4" t="s">
        <v>16</v>
      </c>
      <c r="D1375" s="5">
        <v>62772.97</v>
      </c>
      <c r="E1375" s="4">
        <v>71</v>
      </c>
      <c r="F1375" s="4" t="s">
        <v>13</v>
      </c>
      <c r="G1375" s="6">
        <v>45337</v>
      </c>
      <c r="H1375" s="5">
        <v>41356.080000000002</v>
      </c>
      <c r="I1375" s="18" t="s">
        <v>14</v>
      </c>
      <c r="J1375" s="14" t="s">
        <v>15</v>
      </c>
      <c r="K1375" s="14">
        <v>717</v>
      </c>
      <c r="L1375" s="15">
        <v>45332</v>
      </c>
      <c r="M1375" s="16">
        <v>6</v>
      </c>
      <c r="N13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75" s="31" t="str">
        <f>IF(Table64[[#This Row],[date validity flag]]&lt;&gt;"Valid","",Table64[[#This Row],[shipment date ]]-Table64[[#This Row],[Order date]])</f>
        <v/>
      </c>
      <c r="P1375" s="27" t="str">
        <f>TEXT(Table64[[#This Row],[Order date]],"mmm-yyyy")</f>
        <v>Feb-2024</v>
      </c>
      <c r="Q1375" s="16" t="str">
        <f t="shared" si="21"/>
        <v/>
      </c>
    </row>
    <row r="1376" spans="1:17" x14ac:dyDescent="0.3">
      <c r="A1376" s="12">
        <v>11375</v>
      </c>
      <c r="B1376" s="1">
        <v>5902</v>
      </c>
      <c r="C1376" s="1" t="s">
        <v>16</v>
      </c>
      <c r="D1376" s="2">
        <v>26811.24</v>
      </c>
      <c r="E1376" s="1">
        <v>67</v>
      </c>
      <c r="F1376" s="1" t="s">
        <v>23</v>
      </c>
      <c r="G1376" s="3">
        <v>45383</v>
      </c>
      <c r="H1376" s="2">
        <v>152732.63</v>
      </c>
      <c r="I1376" s="13" t="s">
        <v>14</v>
      </c>
      <c r="J1376" s="14" t="s">
        <v>18</v>
      </c>
      <c r="K1376" s="14">
        <v>1231</v>
      </c>
      <c r="L1376" s="15">
        <v>45397</v>
      </c>
      <c r="M1376" s="16">
        <v>11</v>
      </c>
      <c r="N13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6" s="31">
        <f>IF(Table64[[#This Row],[date validity flag]]&lt;&gt;"Valid","",Table64[[#This Row],[shipment date ]]-Table64[[#This Row],[Order date]])</f>
        <v>14</v>
      </c>
      <c r="P1376" s="27" t="str">
        <f>TEXT(Table64[[#This Row],[Order date]],"mmm-yyyy")</f>
        <v>Apr-2024</v>
      </c>
      <c r="Q1376" s="16" t="str">
        <f t="shared" si="21"/>
        <v>Delayed</v>
      </c>
    </row>
    <row r="1377" spans="1:17" x14ac:dyDescent="0.3">
      <c r="A1377" s="17">
        <v>11376</v>
      </c>
      <c r="B1377" s="4">
        <v>5690</v>
      </c>
      <c r="C1377" s="4" t="s">
        <v>12</v>
      </c>
      <c r="D1377" s="5">
        <v>50768.18</v>
      </c>
      <c r="E1377" s="4">
        <v>84</v>
      </c>
      <c r="F1377" s="4" t="s">
        <v>21</v>
      </c>
      <c r="G1377" s="6">
        <v>45306</v>
      </c>
      <c r="H1377" s="5">
        <v>148875.29999999999</v>
      </c>
      <c r="I1377" s="18" t="s">
        <v>14</v>
      </c>
      <c r="J1377" s="14" t="s">
        <v>18</v>
      </c>
      <c r="K1377" s="14">
        <v>598</v>
      </c>
      <c r="L1377" s="15">
        <v>45361</v>
      </c>
      <c r="M1377" s="16">
        <v>7</v>
      </c>
      <c r="N13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7" s="31">
        <f>IF(Table64[[#This Row],[date validity flag]]&lt;&gt;"Valid","",Table64[[#This Row],[shipment date ]]-Table64[[#This Row],[Order date]])</f>
        <v>55</v>
      </c>
      <c r="P1377" s="27" t="str">
        <f>TEXT(Table64[[#This Row],[Order date]],"mmm-yyyy")</f>
        <v>Jan-2024</v>
      </c>
      <c r="Q1377" s="16" t="str">
        <f t="shared" si="21"/>
        <v>Delayed</v>
      </c>
    </row>
    <row r="1378" spans="1:17" x14ac:dyDescent="0.3">
      <c r="A1378" s="12">
        <v>11377</v>
      </c>
      <c r="B1378" s="1">
        <v>5010</v>
      </c>
      <c r="C1378" s="1" t="s">
        <v>16</v>
      </c>
      <c r="D1378" s="2">
        <v>41640.129999999997</v>
      </c>
      <c r="E1378" s="1">
        <v>20</v>
      </c>
      <c r="F1378" s="1" t="s">
        <v>22</v>
      </c>
      <c r="G1378" s="3">
        <v>45361</v>
      </c>
      <c r="H1378" s="2">
        <v>109431.24</v>
      </c>
      <c r="I1378" s="13" t="s">
        <v>20</v>
      </c>
      <c r="J1378" s="14" t="s">
        <v>19</v>
      </c>
      <c r="K1378" s="14">
        <v>680</v>
      </c>
      <c r="L1378" s="15">
        <v>45332</v>
      </c>
      <c r="M1378" s="16">
        <v>1</v>
      </c>
      <c r="N137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78" s="31" t="str">
        <f>IF(Table64[[#This Row],[date validity flag]]&lt;&gt;"Valid","",Table64[[#This Row],[shipment date ]]-Table64[[#This Row],[Order date]])</f>
        <v/>
      </c>
      <c r="P1378" s="27" t="str">
        <f>TEXT(Table64[[#This Row],[Order date]],"mmm-yyyy")</f>
        <v>Mar-2024</v>
      </c>
      <c r="Q1378" s="16" t="str">
        <f t="shared" si="21"/>
        <v/>
      </c>
    </row>
    <row r="1379" spans="1:17" x14ac:dyDescent="0.3">
      <c r="A1379" s="17">
        <v>11378</v>
      </c>
      <c r="B1379" s="4">
        <v>5261</v>
      </c>
      <c r="C1379" s="4" t="s">
        <v>16</v>
      </c>
      <c r="D1379" s="5">
        <v>27768.19</v>
      </c>
      <c r="E1379" s="4">
        <v>94</v>
      </c>
      <c r="F1379" s="4" t="s">
        <v>21</v>
      </c>
      <c r="G1379" s="6">
        <v>45306</v>
      </c>
      <c r="H1379" s="5">
        <v>39125.800000000003</v>
      </c>
      <c r="I1379" s="18" t="s">
        <v>17</v>
      </c>
      <c r="J1379" s="14" t="s">
        <v>15</v>
      </c>
      <c r="K1379" s="14">
        <v>1140</v>
      </c>
      <c r="L1379" s="15">
        <v>45361</v>
      </c>
      <c r="M1379" s="16">
        <v>4</v>
      </c>
      <c r="N13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79" s="31">
        <f>IF(Table64[[#This Row],[date validity flag]]&lt;&gt;"Valid","",Table64[[#This Row],[shipment date ]]-Table64[[#This Row],[Order date]])</f>
        <v>55</v>
      </c>
      <c r="P1379" s="27" t="str">
        <f>TEXT(Table64[[#This Row],[Order date]],"mmm-yyyy")</f>
        <v>Jan-2024</v>
      </c>
      <c r="Q1379" s="16" t="str">
        <f t="shared" si="21"/>
        <v>Delayed</v>
      </c>
    </row>
    <row r="1380" spans="1:17" x14ac:dyDescent="0.3">
      <c r="A1380" s="12">
        <v>11379</v>
      </c>
      <c r="B1380" s="1">
        <v>6943</v>
      </c>
      <c r="C1380" s="1" t="s">
        <v>16</v>
      </c>
      <c r="D1380" s="2">
        <v>35827.07</v>
      </c>
      <c r="E1380" s="1">
        <v>35</v>
      </c>
      <c r="F1380" s="1" t="s">
        <v>21</v>
      </c>
      <c r="G1380" s="3">
        <v>45337</v>
      </c>
      <c r="H1380" s="2">
        <v>174005.44</v>
      </c>
      <c r="I1380" s="13" t="s">
        <v>17</v>
      </c>
      <c r="J1380" s="14" t="s">
        <v>15</v>
      </c>
      <c r="K1380" s="14">
        <v>348</v>
      </c>
      <c r="L1380" s="15">
        <v>45397</v>
      </c>
      <c r="M1380" s="16">
        <v>13</v>
      </c>
      <c r="N13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0" s="31">
        <f>IF(Table64[[#This Row],[date validity flag]]&lt;&gt;"Valid","",Table64[[#This Row],[shipment date ]]-Table64[[#This Row],[Order date]])</f>
        <v>60</v>
      </c>
      <c r="P1380" s="27" t="str">
        <f>TEXT(Table64[[#This Row],[Order date]],"mmm-yyyy")</f>
        <v>Feb-2024</v>
      </c>
      <c r="Q1380" s="16" t="str">
        <f t="shared" si="21"/>
        <v>Delayed</v>
      </c>
    </row>
    <row r="1381" spans="1:17" x14ac:dyDescent="0.3">
      <c r="A1381" s="17">
        <v>11380</v>
      </c>
      <c r="B1381" s="4">
        <v>6674</v>
      </c>
      <c r="C1381" s="4" t="s">
        <v>12</v>
      </c>
      <c r="D1381" s="5">
        <v>68029.06</v>
      </c>
      <c r="E1381" s="4">
        <v>99</v>
      </c>
      <c r="F1381" s="4" t="s">
        <v>23</v>
      </c>
      <c r="G1381" s="6">
        <v>45306</v>
      </c>
      <c r="H1381" s="5">
        <v>88695.93</v>
      </c>
      <c r="I1381" s="18" t="s">
        <v>17</v>
      </c>
      <c r="J1381" s="14" t="s">
        <v>19</v>
      </c>
      <c r="K1381" s="14">
        <v>150</v>
      </c>
      <c r="L1381" s="15">
        <v>45332</v>
      </c>
      <c r="M1381" s="16">
        <v>1</v>
      </c>
      <c r="N138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1" s="31">
        <f>IF(Table64[[#This Row],[date validity flag]]&lt;&gt;"Valid","",Table64[[#This Row],[shipment date ]]-Table64[[#This Row],[Order date]])</f>
        <v>26</v>
      </c>
      <c r="P1381" s="27" t="str">
        <f>TEXT(Table64[[#This Row],[Order date]],"mmm-yyyy")</f>
        <v>Jan-2024</v>
      </c>
      <c r="Q1381" s="16" t="str">
        <f t="shared" si="21"/>
        <v>Delayed</v>
      </c>
    </row>
    <row r="1382" spans="1:17" x14ac:dyDescent="0.3">
      <c r="A1382" s="12">
        <v>11381</v>
      </c>
      <c r="B1382" s="1">
        <v>5172</v>
      </c>
      <c r="C1382" s="1" t="s">
        <v>16</v>
      </c>
      <c r="D1382" s="2">
        <v>56136.07</v>
      </c>
      <c r="E1382" s="1">
        <v>91</v>
      </c>
      <c r="F1382" s="1" t="s">
        <v>13</v>
      </c>
      <c r="G1382" s="3">
        <v>45383</v>
      </c>
      <c r="H1382" s="2">
        <v>84662.65</v>
      </c>
      <c r="I1382" s="13" t="s">
        <v>20</v>
      </c>
      <c r="J1382" s="14" t="s">
        <v>18</v>
      </c>
      <c r="K1382" s="14">
        <v>1129</v>
      </c>
      <c r="L1382" s="15">
        <v>45397</v>
      </c>
      <c r="M1382" s="16">
        <v>6</v>
      </c>
      <c r="N138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2" s="31">
        <f>IF(Table64[[#This Row],[date validity flag]]&lt;&gt;"Valid","",Table64[[#This Row],[shipment date ]]-Table64[[#This Row],[Order date]])</f>
        <v>14</v>
      </c>
      <c r="P1382" s="27" t="str">
        <f>TEXT(Table64[[#This Row],[Order date]],"mmm-yyyy")</f>
        <v>Apr-2024</v>
      </c>
      <c r="Q1382" s="16" t="str">
        <f t="shared" si="21"/>
        <v>Delayed</v>
      </c>
    </row>
    <row r="1383" spans="1:17" x14ac:dyDescent="0.3">
      <c r="A1383" s="17">
        <v>11382</v>
      </c>
      <c r="B1383" s="4">
        <v>5898</v>
      </c>
      <c r="C1383" s="4" t="s">
        <v>16</v>
      </c>
      <c r="D1383" s="5">
        <v>77159.89</v>
      </c>
      <c r="E1383" s="4">
        <v>90</v>
      </c>
      <c r="F1383" s="4" t="s">
        <v>21</v>
      </c>
      <c r="G1383" s="6">
        <v>45361</v>
      </c>
      <c r="H1383" s="5">
        <v>60806.06</v>
      </c>
      <c r="I1383" s="18" t="s">
        <v>17</v>
      </c>
      <c r="J1383" s="14" t="s">
        <v>15</v>
      </c>
      <c r="K1383" s="14">
        <v>381</v>
      </c>
      <c r="L1383" s="15">
        <v>45361</v>
      </c>
      <c r="M1383" s="16">
        <v>14</v>
      </c>
      <c r="N13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3" s="31">
        <f>IF(Table64[[#This Row],[date validity flag]]&lt;&gt;"Valid","",Table64[[#This Row],[shipment date ]]-Table64[[#This Row],[Order date]])</f>
        <v>0</v>
      </c>
      <c r="P1383" s="27" t="str">
        <f>TEXT(Table64[[#This Row],[Order date]],"mmm-yyyy")</f>
        <v>Mar-2024</v>
      </c>
      <c r="Q1383" s="16" t="str">
        <f t="shared" si="21"/>
        <v>On Time</v>
      </c>
    </row>
    <row r="1384" spans="1:17" x14ac:dyDescent="0.3">
      <c r="A1384" s="12">
        <v>11383</v>
      </c>
      <c r="B1384" s="1">
        <v>5013</v>
      </c>
      <c r="C1384" s="1" t="s">
        <v>16</v>
      </c>
      <c r="D1384" s="2">
        <v>88032.43</v>
      </c>
      <c r="E1384" s="1">
        <v>78</v>
      </c>
      <c r="F1384" s="1" t="s">
        <v>13</v>
      </c>
      <c r="G1384" s="3">
        <v>45337</v>
      </c>
      <c r="H1384" s="2">
        <v>40842.629999999997</v>
      </c>
      <c r="I1384" s="13" t="s">
        <v>20</v>
      </c>
      <c r="J1384" s="14" t="s">
        <v>18</v>
      </c>
      <c r="K1384" s="14">
        <v>885</v>
      </c>
      <c r="L1384" s="15">
        <v>45361</v>
      </c>
      <c r="M1384" s="16">
        <v>13</v>
      </c>
      <c r="N13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4" s="31">
        <f>IF(Table64[[#This Row],[date validity flag]]&lt;&gt;"Valid","",Table64[[#This Row],[shipment date ]]-Table64[[#This Row],[Order date]])</f>
        <v>24</v>
      </c>
      <c r="P1384" s="27" t="str">
        <f>TEXT(Table64[[#This Row],[Order date]],"mmm-yyyy")</f>
        <v>Feb-2024</v>
      </c>
      <c r="Q1384" s="16" t="str">
        <f t="shared" si="21"/>
        <v>Delayed</v>
      </c>
    </row>
    <row r="1385" spans="1:17" x14ac:dyDescent="0.3">
      <c r="A1385" s="17">
        <v>11384</v>
      </c>
      <c r="B1385" s="4">
        <v>6192</v>
      </c>
      <c r="C1385" s="4" t="s">
        <v>16</v>
      </c>
      <c r="D1385" s="5">
        <v>39742.5</v>
      </c>
      <c r="E1385" s="4">
        <v>17</v>
      </c>
      <c r="F1385" s="4" t="s">
        <v>23</v>
      </c>
      <c r="G1385" s="6">
        <v>45361</v>
      </c>
      <c r="H1385" s="5">
        <v>149783.07999999999</v>
      </c>
      <c r="I1385" s="18" t="s">
        <v>14</v>
      </c>
      <c r="J1385" s="14" t="s">
        <v>18</v>
      </c>
      <c r="K1385" s="14">
        <v>442</v>
      </c>
      <c r="L1385" s="15">
        <v>45361</v>
      </c>
      <c r="M1385" s="16">
        <v>4</v>
      </c>
      <c r="N13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5" s="31">
        <f>IF(Table64[[#This Row],[date validity flag]]&lt;&gt;"Valid","",Table64[[#This Row],[shipment date ]]-Table64[[#This Row],[Order date]])</f>
        <v>0</v>
      </c>
      <c r="P1385" s="27" t="str">
        <f>TEXT(Table64[[#This Row],[Order date]],"mmm-yyyy")</f>
        <v>Mar-2024</v>
      </c>
      <c r="Q1385" s="16" t="str">
        <f t="shared" si="21"/>
        <v>On Time</v>
      </c>
    </row>
    <row r="1386" spans="1:17" x14ac:dyDescent="0.3">
      <c r="A1386" s="12">
        <v>11385</v>
      </c>
      <c r="B1386" s="1">
        <v>6666</v>
      </c>
      <c r="C1386" s="1" t="s">
        <v>16</v>
      </c>
      <c r="D1386" s="2">
        <v>86502.47</v>
      </c>
      <c r="E1386" s="1">
        <v>18</v>
      </c>
      <c r="F1386" s="1" t="s">
        <v>13</v>
      </c>
      <c r="G1386" s="3">
        <v>45361</v>
      </c>
      <c r="H1386" s="2">
        <v>98631.37</v>
      </c>
      <c r="I1386" s="13" t="s">
        <v>17</v>
      </c>
      <c r="J1386" s="14" t="s">
        <v>19</v>
      </c>
      <c r="K1386" s="14">
        <v>923</v>
      </c>
      <c r="L1386" s="15">
        <v>45332</v>
      </c>
      <c r="M1386" s="16">
        <v>1</v>
      </c>
      <c r="N138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86" s="31" t="str">
        <f>IF(Table64[[#This Row],[date validity flag]]&lt;&gt;"Valid","",Table64[[#This Row],[shipment date ]]-Table64[[#This Row],[Order date]])</f>
        <v/>
      </c>
      <c r="P1386" s="27" t="str">
        <f>TEXT(Table64[[#This Row],[Order date]],"mmm-yyyy")</f>
        <v>Mar-2024</v>
      </c>
      <c r="Q1386" s="16" t="str">
        <f t="shared" si="21"/>
        <v/>
      </c>
    </row>
    <row r="1387" spans="1:17" x14ac:dyDescent="0.3">
      <c r="A1387" s="17">
        <v>11386</v>
      </c>
      <c r="B1387" s="4">
        <v>6620</v>
      </c>
      <c r="C1387" s="4" t="s">
        <v>16</v>
      </c>
      <c r="D1387" s="5">
        <v>60654.17</v>
      </c>
      <c r="E1387" s="4">
        <v>45</v>
      </c>
      <c r="F1387" s="4" t="s">
        <v>23</v>
      </c>
      <c r="G1387" s="6">
        <v>45337</v>
      </c>
      <c r="H1387" s="5">
        <v>159487.04000000001</v>
      </c>
      <c r="I1387" s="18" t="s">
        <v>14</v>
      </c>
      <c r="J1387" s="14" t="s">
        <v>19</v>
      </c>
      <c r="K1387" s="14">
        <v>430</v>
      </c>
      <c r="L1387" s="15">
        <v>45397</v>
      </c>
      <c r="M1387" s="16">
        <v>9</v>
      </c>
      <c r="N13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7" s="31">
        <f>IF(Table64[[#This Row],[date validity flag]]&lt;&gt;"Valid","",Table64[[#This Row],[shipment date ]]-Table64[[#This Row],[Order date]])</f>
        <v>60</v>
      </c>
      <c r="P1387" s="27" t="str">
        <f>TEXT(Table64[[#This Row],[Order date]],"mmm-yyyy")</f>
        <v>Feb-2024</v>
      </c>
      <c r="Q1387" s="16" t="str">
        <f t="shared" si="21"/>
        <v>Delayed</v>
      </c>
    </row>
    <row r="1388" spans="1:17" x14ac:dyDescent="0.3">
      <c r="A1388" s="12">
        <v>11387</v>
      </c>
      <c r="B1388" s="1">
        <v>5321</v>
      </c>
      <c r="C1388" s="1" t="s">
        <v>12</v>
      </c>
      <c r="D1388" s="2">
        <v>85177.21</v>
      </c>
      <c r="E1388" s="1">
        <v>93</v>
      </c>
      <c r="F1388" s="1" t="s">
        <v>22</v>
      </c>
      <c r="G1388" s="3">
        <v>45361</v>
      </c>
      <c r="H1388" s="2">
        <v>28953.85</v>
      </c>
      <c r="I1388" s="13" t="s">
        <v>17</v>
      </c>
      <c r="J1388" s="14" t="s">
        <v>18</v>
      </c>
      <c r="K1388" s="14">
        <v>141</v>
      </c>
      <c r="L1388" s="15">
        <v>45397</v>
      </c>
      <c r="M1388" s="16">
        <v>12</v>
      </c>
      <c r="N13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8" s="31">
        <f>IF(Table64[[#This Row],[date validity flag]]&lt;&gt;"Valid","",Table64[[#This Row],[shipment date ]]-Table64[[#This Row],[Order date]])</f>
        <v>36</v>
      </c>
      <c r="P1388" s="27" t="str">
        <f>TEXT(Table64[[#This Row],[Order date]],"mmm-yyyy")</f>
        <v>Mar-2024</v>
      </c>
      <c r="Q1388" s="16" t="str">
        <f t="shared" si="21"/>
        <v>Delayed</v>
      </c>
    </row>
    <row r="1389" spans="1:17" x14ac:dyDescent="0.3">
      <c r="A1389" s="17">
        <v>11388</v>
      </c>
      <c r="B1389" s="4">
        <v>6343</v>
      </c>
      <c r="C1389" s="4" t="s">
        <v>12</v>
      </c>
      <c r="D1389" s="5">
        <v>35865.79</v>
      </c>
      <c r="E1389" s="4">
        <v>84</v>
      </c>
      <c r="F1389" s="4" t="s">
        <v>13</v>
      </c>
      <c r="G1389" s="6">
        <v>45361</v>
      </c>
      <c r="H1389" s="5">
        <v>88292.98</v>
      </c>
      <c r="I1389" s="18" t="s">
        <v>14</v>
      </c>
      <c r="J1389" s="14" t="s">
        <v>15</v>
      </c>
      <c r="K1389" s="14">
        <v>496</v>
      </c>
      <c r="L1389" s="15">
        <v>45361</v>
      </c>
      <c r="M1389" s="16">
        <v>4</v>
      </c>
      <c r="N13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89" s="31">
        <f>IF(Table64[[#This Row],[date validity flag]]&lt;&gt;"Valid","",Table64[[#This Row],[shipment date ]]-Table64[[#This Row],[Order date]])</f>
        <v>0</v>
      </c>
      <c r="P1389" s="27" t="str">
        <f>TEXT(Table64[[#This Row],[Order date]],"mmm-yyyy")</f>
        <v>Mar-2024</v>
      </c>
      <c r="Q1389" s="16" t="str">
        <f t="shared" si="21"/>
        <v>On Time</v>
      </c>
    </row>
    <row r="1390" spans="1:17" x14ac:dyDescent="0.3">
      <c r="A1390" s="12">
        <v>11389</v>
      </c>
      <c r="B1390" s="1">
        <v>6637</v>
      </c>
      <c r="C1390" s="1" t="s">
        <v>12</v>
      </c>
      <c r="D1390" s="2">
        <v>24510.39</v>
      </c>
      <c r="E1390" s="1">
        <v>53</v>
      </c>
      <c r="F1390" s="1" t="s">
        <v>13</v>
      </c>
      <c r="G1390" s="3">
        <v>45306</v>
      </c>
      <c r="H1390" s="2">
        <v>14109.24</v>
      </c>
      <c r="I1390" s="13" t="s">
        <v>17</v>
      </c>
      <c r="J1390" s="14" t="s">
        <v>15</v>
      </c>
      <c r="K1390" s="14">
        <v>158</v>
      </c>
      <c r="L1390" s="15">
        <v>45397</v>
      </c>
      <c r="M1390" s="16">
        <v>12</v>
      </c>
      <c r="N139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90" s="31">
        <f>IF(Table64[[#This Row],[date validity flag]]&lt;&gt;"Valid","",Table64[[#This Row],[shipment date ]]-Table64[[#This Row],[Order date]])</f>
        <v>91</v>
      </c>
      <c r="P1390" s="27" t="str">
        <f>TEXT(Table64[[#This Row],[Order date]],"mmm-yyyy")</f>
        <v>Jan-2024</v>
      </c>
      <c r="Q1390" s="16" t="str">
        <f t="shared" si="21"/>
        <v>Delayed</v>
      </c>
    </row>
    <row r="1391" spans="1:17" x14ac:dyDescent="0.3">
      <c r="A1391" s="17">
        <v>11390</v>
      </c>
      <c r="B1391" s="4">
        <v>5329</v>
      </c>
      <c r="C1391" s="4" t="s">
        <v>16</v>
      </c>
      <c r="D1391" s="5">
        <v>78546.03</v>
      </c>
      <c r="E1391" s="4">
        <v>91</v>
      </c>
      <c r="F1391" s="4" t="s">
        <v>22</v>
      </c>
      <c r="G1391" s="6">
        <v>45361</v>
      </c>
      <c r="H1391" s="5">
        <v>34210.36</v>
      </c>
      <c r="I1391" s="18" t="s">
        <v>14</v>
      </c>
      <c r="J1391" s="14" t="s">
        <v>19</v>
      </c>
      <c r="K1391" s="14">
        <v>366</v>
      </c>
      <c r="L1391" s="15">
        <v>45332</v>
      </c>
      <c r="M1391" s="16">
        <v>6</v>
      </c>
      <c r="N139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91" s="31" t="str">
        <f>IF(Table64[[#This Row],[date validity flag]]&lt;&gt;"Valid","",Table64[[#This Row],[shipment date ]]-Table64[[#This Row],[Order date]])</f>
        <v/>
      </c>
      <c r="P1391" s="27" t="str">
        <f>TEXT(Table64[[#This Row],[Order date]],"mmm-yyyy")</f>
        <v>Mar-2024</v>
      </c>
      <c r="Q1391" s="16" t="str">
        <f t="shared" si="21"/>
        <v/>
      </c>
    </row>
    <row r="1392" spans="1:17" x14ac:dyDescent="0.3">
      <c r="A1392" s="12">
        <v>11391</v>
      </c>
      <c r="B1392" s="1">
        <v>5785</v>
      </c>
      <c r="C1392" s="1" t="s">
        <v>16</v>
      </c>
      <c r="D1392" s="2">
        <v>78156.160000000003</v>
      </c>
      <c r="E1392" s="1">
        <v>82</v>
      </c>
      <c r="F1392" s="1" t="s">
        <v>13</v>
      </c>
      <c r="G1392" s="3">
        <v>45361</v>
      </c>
      <c r="H1392" s="2">
        <v>43815.58</v>
      </c>
      <c r="I1392" s="13" t="s">
        <v>17</v>
      </c>
      <c r="J1392" s="14" t="s">
        <v>18</v>
      </c>
      <c r="K1392" s="14">
        <v>1241</v>
      </c>
      <c r="L1392" s="15">
        <v>45361</v>
      </c>
      <c r="M1392" s="16">
        <v>13</v>
      </c>
      <c r="N13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92" s="31">
        <f>IF(Table64[[#This Row],[date validity flag]]&lt;&gt;"Valid","",Table64[[#This Row],[shipment date ]]-Table64[[#This Row],[Order date]])</f>
        <v>0</v>
      </c>
      <c r="P1392" s="27" t="str">
        <f>TEXT(Table64[[#This Row],[Order date]],"mmm-yyyy")</f>
        <v>Mar-2024</v>
      </c>
      <c r="Q1392" s="16" t="str">
        <f t="shared" si="21"/>
        <v>On Time</v>
      </c>
    </row>
    <row r="1393" spans="1:17" x14ac:dyDescent="0.3">
      <c r="A1393" s="17">
        <v>11392</v>
      </c>
      <c r="B1393" s="4">
        <v>5777</v>
      </c>
      <c r="C1393" s="4" t="s">
        <v>16</v>
      </c>
      <c r="D1393" s="5">
        <v>92094.37</v>
      </c>
      <c r="E1393" s="4">
        <v>68</v>
      </c>
      <c r="F1393" s="4" t="s">
        <v>22</v>
      </c>
      <c r="G1393" s="6">
        <v>45361</v>
      </c>
      <c r="H1393" s="5">
        <v>63662.879999999997</v>
      </c>
      <c r="I1393" s="18" t="s">
        <v>17</v>
      </c>
      <c r="J1393" s="14" t="s">
        <v>15</v>
      </c>
      <c r="K1393" s="14">
        <v>491</v>
      </c>
      <c r="L1393" s="15">
        <v>45361</v>
      </c>
      <c r="M1393" s="16">
        <v>7</v>
      </c>
      <c r="N13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93" s="31">
        <f>IF(Table64[[#This Row],[date validity flag]]&lt;&gt;"Valid","",Table64[[#This Row],[shipment date ]]-Table64[[#This Row],[Order date]])</f>
        <v>0</v>
      </c>
      <c r="P1393" s="27" t="str">
        <f>TEXT(Table64[[#This Row],[Order date]],"mmm-yyyy")</f>
        <v>Mar-2024</v>
      </c>
      <c r="Q1393" s="16" t="str">
        <f t="shared" si="21"/>
        <v>On Time</v>
      </c>
    </row>
    <row r="1394" spans="1:17" x14ac:dyDescent="0.3">
      <c r="A1394" s="12">
        <v>11393</v>
      </c>
      <c r="B1394" s="1">
        <v>6995</v>
      </c>
      <c r="C1394" s="1" t="s">
        <v>16</v>
      </c>
      <c r="D1394" s="2">
        <v>64889.84</v>
      </c>
      <c r="E1394" s="1">
        <v>65</v>
      </c>
      <c r="F1394" s="1" t="s">
        <v>21</v>
      </c>
      <c r="G1394" s="3">
        <v>45361</v>
      </c>
      <c r="H1394" s="2">
        <v>136689.9</v>
      </c>
      <c r="I1394" s="13" t="s">
        <v>14</v>
      </c>
      <c r="J1394" s="14" t="s">
        <v>15</v>
      </c>
      <c r="K1394" s="14">
        <v>267</v>
      </c>
      <c r="L1394" s="15">
        <v>45361</v>
      </c>
      <c r="M1394" s="16">
        <v>8</v>
      </c>
      <c r="N139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94" s="31">
        <f>IF(Table64[[#This Row],[date validity flag]]&lt;&gt;"Valid","",Table64[[#This Row],[shipment date ]]-Table64[[#This Row],[Order date]])</f>
        <v>0</v>
      </c>
      <c r="P1394" s="27" t="str">
        <f>TEXT(Table64[[#This Row],[Order date]],"mmm-yyyy")</f>
        <v>Mar-2024</v>
      </c>
      <c r="Q1394" s="16" t="str">
        <f t="shared" si="21"/>
        <v>On Time</v>
      </c>
    </row>
    <row r="1395" spans="1:17" x14ac:dyDescent="0.3">
      <c r="A1395" s="17">
        <v>11394</v>
      </c>
      <c r="B1395" s="4">
        <v>5911</v>
      </c>
      <c r="C1395" s="4" t="s">
        <v>16</v>
      </c>
      <c r="D1395" s="5">
        <v>83481.61</v>
      </c>
      <c r="E1395" s="4">
        <v>1</v>
      </c>
      <c r="F1395" s="4" t="s">
        <v>23</v>
      </c>
      <c r="G1395" s="6">
        <v>45337</v>
      </c>
      <c r="H1395" s="5">
        <v>97541.01</v>
      </c>
      <c r="I1395" s="18" t="s">
        <v>20</v>
      </c>
      <c r="J1395" s="14" t="s">
        <v>19</v>
      </c>
      <c r="K1395" s="14">
        <v>1295</v>
      </c>
      <c r="L1395" s="15">
        <v>45332</v>
      </c>
      <c r="M1395" s="16">
        <v>12</v>
      </c>
      <c r="N139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95" s="31" t="str">
        <f>IF(Table64[[#This Row],[date validity flag]]&lt;&gt;"Valid","",Table64[[#This Row],[shipment date ]]-Table64[[#This Row],[Order date]])</f>
        <v/>
      </c>
      <c r="P1395" s="27" t="str">
        <f>TEXT(Table64[[#This Row],[Order date]],"mmm-yyyy")</f>
        <v>Feb-2024</v>
      </c>
      <c r="Q1395" s="16" t="str">
        <f t="shared" si="21"/>
        <v/>
      </c>
    </row>
    <row r="1396" spans="1:17" x14ac:dyDescent="0.3">
      <c r="A1396" s="12">
        <v>11395</v>
      </c>
      <c r="B1396" s="1">
        <v>6944</v>
      </c>
      <c r="C1396" s="1" t="s">
        <v>12</v>
      </c>
      <c r="D1396" s="2">
        <v>67327.320000000007</v>
      </c>
      <c r="E1396" s="1">
        <v>58</v>
      </c>
      <c r="F1396" s="1" t="s">
        <v>22</v>
      </c>
      <c r="G1396" s="3">
        <v>45383</v>
      </c>
      <c r="H1396" s="2">
        <v>75283.16</v>
      </c>
      <c r="I1396" s="13" t="s">
        <v>17</v>
      </c>
      <c r="J1396" s="14" t="s">
        <v>18</v>
      </c>
      <c r="K1396" s="14">
        <v>722</v>
      </c>
      <c r="L1396" s="15">
        <v>45361</v>
      </c>
      <c r="M1396" s="16">
        <v>13</v>
      </c>
      <c r="N139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396" s="31" t="str">
        <f>IF(Table64[[#This Row],[date validity flag]]&lt;&gt;"Valid","",Table64[[#This Row],[shipment date ]]-Table64[[#This Row],[Order date]])</f>
        <v/>
      </c>
      <c r="P1396" s="27" t="str">
        <f>TEXT(Table64[[#This Row],[Order date]],"mmm-yyyy")</f>
        <v>Apr-2024</v>
      </c>
      <c r="Q1396" s="16" t="str">
        <f t="shared" si="21"/>
        <v/>
      </c>
    </row>
    <row r="1397" spans="1:17" x14ac:dyDescent="0.3">
      <c r="A1397" s="17">
        <v>11396</v>
      </c>
      <c r="B1397" s="4">
        <v>6574</v>
      </c>
      <c r="C1397" s="4" t="s">
        <v>12</v>
      </c>
      <c r="D1397" s="5">
        <v>42468.95</v>
      </c>
      <c r="E1397" s="4">
        <v>26</v>
      </c>
      <c r="F1397" s="4" t="s">
        <v>13</v>
      </c>
      <c r="G1397" s="6">
        <v>45306</v>
      </c>
      <c r="H1397" s="5">
        <v>54989.3</v>
      </c>
      <c r="I1397" s="18" t="s">
        <v>20</v>
      </c>
      <c r="J1397" s="14" t="s">
        <v>15</v>
      </c>
      <c r="K1397" s="14">
        <v>327</v>
      </c>
      <c r="L1397" s="15">
        <v>45361</v>
      </c>
      <c r="M1397" s="16">
        <v>11</v>
      </c>
      <c r="N13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97" s="31">
        <f>IF(Table64[[#This Row],[date validity flag]]&lt;&gt;"Valid","",Table64[[#This Row],[shipment date ]]-Table64[[#This Row],[Order date]])</f>
        <v>55</v>
      </c>
      <c r="P1397" s="27" t="str">
        <f>TEXT(Table64[[#This Row],[Order date]],"mmm-yyyy")</f>
        <v>Jan-2024</v>
      </c>
      <c r="Q1397" s="16" t="str">
        <f t="shared" si="21"/>
        <v>Delayed</v>
      </c>
    </row>
    <row r="1398" spans="1:17" x14ac:dyDescent="0.3">
      <c r="A1398" s="12">
        <v>11397</v>
      </c>
      <c r="B1398" s="1">
        <v>6443</v>
      </c>
      <c r="C1398" s="1" t="s">
        <v>16</v>
      </c>
      <c r="D1398" s="2">
        <v>40887.1</v>
      </c>
      <c r="E1398" s="1">
        <v>20</v>
      </c>
      <c r="F1398" s="1" t="s">
        <v>22</v>
      </c>
      <c r="G1398" s="3">
        <v>45361</v>
      </c>
      <c r="H1398" s="2">
        <v>100290.97</v>
      </c>
      <c r="I1398" s="13" t="s">
        <v>20</v>
      </c>
      <c r="J1398" s="14" t="s">
        <v>19</v>
      </c>
      <c r="K1398" s="14">
        <v>1058</v>
      </c>
      <c r="L1398" s="15">
        <v>45361</v>
      </c>
      <c r="M1398" s="16">
        <v>9</v>
      </c>
      <c r="N13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98" s="31">
        <f>IF(Table64[[#This Row],[date validity flag]]&lt;&gt;"Valid","",Table64[[#This Row],[shipment date ]]-Table64[[#This Row],[Order date]])</f>
        <v>0</v>
      </c>
      <c r="P1398" s="27" t="str">
        <f>TEXT(Table64[[#This Row],[Order date]],"mmm-yyyy")</f>
        <v>Mar-2024</v>
      </c>
      <c r="Q1398" s="16" t="str">
        <f t="shared" si="21"/>
        <v>On Time</v>
      </c>
    </row>
    <row r="1399" spans="1:17" x14ac:dyDescent="0.3">
      <c r="A1399" s="17">
        <v>11398</v>
      </c>
      <c r="B1399" s="4">
        <v>6630</v>
      </c>
      <c r="C1399" s="4" t="s">
        <v>16</v>
      </c>
      <c r="D1399" s="5">
        <v>58250.57</v>
      </c>
      <c r="E1399" s="4">
        <v>87</v>
      </c>
      <c r="F1399" s="4" t="s">
        <v>13</v>
      </c>
      <c r="G1399" s="6">
        <v>45361</v>
      </c>
      <c r="H1399" s="5">
        <v>112992.1</v>
      </c>
      <c r="I1399" s="18" t="s">
        <v>14</v>
      </c>
      <c r="J1399" s="14" t="s">
        <v>15</v>
      </c>
      <c r="K1399" s="14">
        <v>618</v>
      </c>
      <c r="L1399" s="15">
        <v>45361</v>
      </c>
      <c r="M1399" s="16">
        <v>9</v>
      </c>
      <c r="N13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399" s="31">
        <f>IF(Table64[[#This Row],[date validity flag]]&lt;&gt;"Valid","",Table64[[#This Row],[shipment date ]]-Table64[[#This Row],[Order date]])</f>
        <v>0</v>
      </c>
      <c r="P1399" s="27" t="str">
        <f>TEXT(Table64[[#This Row],[Order date]],"mmm-yyyy")</f>
        <v>Mar-2024</v>
      </c>
      <c r="Q1399" s="16" t="str">
        <f t="shared" si="21"/>
        <v>On Time</v>
      </c>
    </row>
    <row r="1400" spans="1:17" x14ac:dyDescent="0.3">
      <c r="A1400" s="12">
        <v>11399</v>
      </c>
      <c r="B1400" s="1">
        <v>6119</v>
      </c>
      <c r="C1400" s="1" t="s">
        <v>12</v>
      </c>
      <c r="D1400" s="2">
        <v>19524.73</v>
      </c>
      <c r="E1400" s="1">
        <v>10</v>
      </c>
      <c r="F1400" s="1" t="s">
        <v>21</v>
      </c>
      <c r="G1400" s="3">
        <v>45337</v>
      </c>
      <c r="H1400" s="2">
        <v>177842.75</v>
      </c>
      <c r="I1400" s="13" t="s">
        <v>17</v>
      </c>
      <c r="J1400" s="14" t="s">
        <v>15</v>
      </c>
      <c r="K1400" s="14">
        <v>1059</v>
      </c>
      <c r="L1400" s="15">
        <v>45397</v>
      </c>
      <c r="M1400" s="16">
        <v>8</v>
      </c>
      <c r="N140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0" s="31">
        <f>IF(Table64[[#This Row],[date validity flag]]&lt;&gt;"Valid","",Table64[[#This Row],[shipment date ]]-Table64[[#This Row],[Order date]])</f>
        <v>60</v>
      </c>
      <c r="P1400" s="27" t="str">
        <f>TEXT(Table64[[#This Row],[Order date]],"mmm-yyyy")</f>
        <v>Feb-2024</v>
      </c>
      <c r="Q1400" s="16" t="str">
        <f t="shared" si="21"/>
        <v>Delayed</v>
      </c>
    </row>
    <row r="1401" spans="1:17" x14ac:dyDescent="0.3">
      <c r="A1401" s="17">
        <v>11400</v>
      </c>
      <c r="B1401" s="4">
        <v>6841</v>
      </c>
      <c r="C1401" s="4" t="s">
        <v>12</v>
      </c>
      <c r="D1401" s="5">
        <v>59970.58</v>
      </c>
      <c r="E1401" s="4">
        <v>59</v>
      </c>
      <c r="F1401" s="4" t="s">
        <v>22</v>
      </c>
      <c r="G1401" s="6">
        <v>45383</v>
      </c>
      <c r="H1401" s="5">
        <v>28975.26</v>
      </c>
      <c r="I1401" s="18" t="s">
        <v>17</v>
      </c>
      <c r="J1401" s="14" t="s">
        <v>15</v>
      </c>
      <c r="K1401" s="14">
        <v>924</v>
      </c>
      <c r="L1401" s="15">
        <v>45361</v>
      </c>
      <c r="M1401" s="16">
        <v>10</v>
      </c>
      <c r="N140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01" s="31" t="str">
        <f>IF(Table64[[#This Row],[date validity flag]]&lt;&gt;"Valid","",Table64[[#This Row],[shipment date ]]-Table64[[#This Row],[Order date]])</f>
        <v/>
      </c>
      <c r="P1401" s="27" t="str">
        <f>TEXT(Table64[[#This Row],[Order date]],"mmm-yyyy")</f>
        <v>Apr-2024</v>
      </c>
      <c r="Q1401" s="16" t="str">
        <f t="shared" si="21"/>
        <v/>
      </c>
    </row>
    <row r="1402" spans="1:17" x14ac:dyDescent="0.3">
      <c r="A1402" s="12">
        <v>11401</v>
      </c>
      <c r="B1402" s="1">
        <v>6605</v>
      </c>
      <c r="C1402" s="1" t="s">
        <v>16</v>
      </c>
      <c r="D1402" s="2">
        <v>33097.71</v>
      </c>
      <c r="E1402" s="1">
        <v>75</v>
      </c>
      <c r="F1402" s="1" t="s">
        <v>21</v>
      </c>
      <c r="G1402" s="3">
        <v>45361</v>
      </c>
      <c r="H1402" s="2">
        <v>27671.58</v>
      </c>
      <c r="I1402" s="13" t="s">
        <v>20</v>
      </c>
      <c r="J1402" s="14" t="s">
        <v>19</v>
      </c>
      <c r="K1402" s="14">
        <v>515</v>
      </c>
      <c r="L1402" s="15">
        <v>45332</v>
      </c>
      <c r="M1402" s="16">
        <v>11</v>
      </c>
      <c r="N140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02" s="31" t="str">
        <f>IF(Table64[[#This Row],[date validity flag]]&lt;&gt;"Valid","",Table64[[#This Row],[shipment date ]]-Table64[[#This Row],[Order date]])</f>
        <v/>
      </c>
      <c r="P1402" s="27" t="str">
        <f>TEXT(Table64[[#This Row],[Order date]],"mmm-yyyy")</f>
        <v>Mar-2024</v>
      </c>
      <c r="Q1402" s="16" t="str">
        <f t="shared" si="21"/>
        <v/>
      </c>
    </row>
    <row r="1403" spans="1:17" x14ac:dyDescent="0.3">
      <c r="A1403" s="17">
        <v>11402</v>
      </c>
      <c r="B1403" s="4">
        <v>5318</v>
      </c>
      <c r="C1403" s="4" t="s">
        <v>16</v>
      </c>
      <c r="D1403" s="5">
        <v>14575.03</v>
      </c>
      <c r="E1403" s="4">
        <v>41</v>
      </c>
      <c r="F1403" s="4" t="s">
        <v>23</v>
      </c>
      <c r="G1403" s="6">
        <v>45337</v>
      </c>
      <c r="H1403" s="5">
        <v>34899.56</v>
      </c>
      <c r="I1403" s="18" t="s">
        <v>14</v>
      </c>
      <c r="J1403" s="14" t="s">
        <v>18</v>
      </c>
      <c r="K1403" s="14">
        <v>888</v>
      </c>
      <c r="L1403" s="15">
        <v>45361</v>
      </c>
      <c r="M1403" s="16">
        <v>12</v>
      </c>
      <c r="N140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3" s="31">
        <f>IF(Table64[[#This Row],[date validity flag]]&lt;&gt;"Valid","",Table64[[#This Row],[shipment date ]]-Table64[[#This Row],[Order date]])</f>
        <v>24</v>
      </c>
      <c r="P1403" s="27" t="str">
        <f>TEXT(Table64[[#This Row],[Order date]],"mmm-yyyy")</f>
        <v>Feb-2024</v>
      </c>
      <c r="Q1403" s="16" t="str">
        <f t="shared" si="21"/>
        <v>Delayed</v>
      </c>
    </row>
    <row r="1404" spans="1:17" x14ac:dyDescent="0.3">
      <c r="A1404" s="12">
        <v>11403</v>
      </c>
      <c r="B1404" s="1">
        <v>6980</v>
      </c>
      <c r="C1404" s="1" t="s">
        <v>16</v>
      </c>
      <c r="D1404" s="2">
        <v>9463.7199999999993</v>
      </c>
      <c r="E1404" s="1">
        <v>5</v>
      </c>
      <c r="F1404" s="1" t="s">
        <v>13</v>
      </c>
      <c r="G1404" s="3">
        <v>45306</v>
      </c>
      <c r="H1404" s="2">
        <v>103553.57</v>
      </c>
      <c r="I1404" s="13" t="s">
        <v>17</v>
      </c>
      <c r="J1404" s="14" t="s">
        <v>19</v>
      </c>
      <c r="K1404" s="14">
        <v>803</v>
      </c>
      <c r="L1404" s="15">
        <v>45361</v>
      </c>
      <c r="M1404" s="16">
        <v>12</v>
      </c>
      <c r="N140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4" s="31">
        <f>IF(Table64[[#This Row],[date validity flag]]&lt;&gt;"Valid","",Table64[[#This Row],[shipment date ]]-Table64[[#This Row],[Order date]])</f>
        <v>55</v>
      </c>
      <c r="P1404" s="27" t="str">
        <f>TEXT(Table64[[#This Row],[Order date]],"mmm-yyyy")</f>
        <v>Jan-2024</v>
      </c>
      <c r="Q1404" s="16" t="str">
        <f t="shared" si="21"/>
        <v>Delayed</v>
      </c>
    </row>
    <row r="1405" spans="1:17" x14ac:dyDescent="0.3">
      <c r="A1405" s="17">
        <v>11404</v>
      </c>
      <c r="B1405" s="4">
        <v>5236</v>
      </c>
      <c r="C1405" s="4" t="s">
        <v>16</v>
      </c>
      <c r="D1405" s="5">
        <v>44397.63</v>
      </c>
      <c r="E1405" s="4">
        <v>65</v>
      </c>
      <c r="F1405" s="4" t="s">
        <v>13</v>
      </c>
      <c r="G1405" s="6">
        <v>45306</v>
      </c>
      <c r="H1405" s="5">
        <v>149793.89000000001</v>
      </c>
      <c r="I1405" s="18" t="s">
        <v>20</v>
      </c>
      <c r="J1405" s="14" t="s">
        <v>18</v>
      </c>
      <c r="K1405" s="14">
        <v>887</v>
      </c>
      <c r="L1405" s="15">
        <v>45397</v>
      </c>
      <c r="M1405" s="16">
        <v>14</v>
      </c>
      <c r="N140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5" s="31">
        <f>IF(Table64[[#This Row],[date validity flag]]&lt;&gt;"Valid","",Table64[[#This Row],[shipment date ]]-Table64[[#This Row],[Order date]])</f>
        <v>91</v>
      </c>
      <c r="P1405" s="27" t="str">
        <f>TEXT(Table64[[#This Row],[Order date]],"mmm-yyyy")</f>
        <v>Jan-2024</v>
      </c>
      <c r="Q1405" s="16" t="str">
        <f t="shared" si="21"/>
        <v>Delayed</v>
      </c>
    </row>
    <row r="1406" spans="1:17" x14ac:dyDescent="0.3">
      <c r="A1406" s="12">
        <v>11405</v>
      </c>
      <c r="B1406" s="1">
        <v>6970</v>
      </c>
      <c r="C1406" s="1" t="s">
        <v>16</v>
      </c>
      <c r="D1406" s="2">
        <v>84309.53</v>
      </c>
      <c r="E1406" s="1">
        <v>17</v>
      </c>
      <c r="F1406" s="1" t="s">
        <v>21</v>
      </c>
      <c r="G1406" s="3">
        <v>45361</v>
      </c>
      <c r="H1406" s="2">
        <v>129402.57</v>
      </c>
      <c r="I1406" s="13" t="s">
        <v>17</v>
      </c>
      <c r="J1406" s="14" t="s">
        <v>15</v>
      </c>
      <c r="K1406" s="14">
        <v>79</v>
      </c>
      <c r="L1406" s="15">
        <v>45361</v>
      </c>
      <c r="M1406" s="16">
        <v>3</v>
      </c>
      <c r="N140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6" s="31">
        <f>IF(Table64[[#This Row],[date validity flag]]&lt;&gt;"Valid","",Table64[[#This Row],[shipment date ]]-Table64[[#This Row],[Order date]])</f>
        <v>0</v>
      </c>
      <c r="P1406" s="27" t="str">
        <f>TEXT(Table64[[#This Row],[Order date]],"mmm-yyyy")</f>
        <v>Mar-2024</v>
      </c>
      <c r="Q1406" s="16" t="str">
        <f t="shared" si="21"/>
        <v>On Time</v>
      </c>
    </row>
    <row r="1407" spans="1:17" x14ac:dyDescent="0.3">
      <c r="A1407" s="17">
        <v>11406</v>
      </c>
      <c r="B1407" s="4">
        <v>5334</v>
      </c>
      <c r="C1407" s="4" t="s">
        <v>12</v>
      </c>
      <c r="D1407" s="5">
        <v>27019.47</v>
      </c>
      <c r="E1407" s="4">
        <v>22</v>
      </c>
      <c r="F1407" s="4" t="s">
        <v>23</v>
      </c>
      <c r="G1407" s="6">
        <v>45361</v>
      </c>
      <c r="H1407" s="5">
        <v>134505.71</v>
      </c>
      <c r="I1407" s="18" t="s">
        <v>14</v>
      </c>
      <c r="J1407" s="14" t="s">
        <v>18</v>
      </c>
      <c r="K1407" s="14">
        <v>408</v>
      </c>
      <c r="L1407" s="15">
        <v>45397</v>
      </c>
      <c r="M1407" s="16">
        <v>12</v>
      </c>
      <c r="N140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7" s="31">
        <f>IF(Table64[[#This Row],[date validity flag]]&lt;&gt;"Valid","",Table64[[#This Row],[shipment date ]]-Table64[[#This Row],[Order date]])</f>
        <v>36</v>
      </c>
      <c r="P1407" s="27" t="str">
        <f>TEXT(Table64[[#This Row],[Order date]],"mmm-yyyy")</f>
        <v>Mar-2024</v>
      </c>
      <c r="Q1407" s="16" t="str">
        <f t="shared" si="21"/>
        <v>Delayed</v>
      </c>
    </row>
    <row r="1408" spans="1:17" x14ac:dyDescent="0.3">
      <c r="A1408" s="12">
        <v>11407</v>
      </c>
      <c r="B1408" s="1">
        <v>6909</v>
      </c>
      <c r="C1408" s="1" t="s">
        <v>16</v>
      </c>
      <c r="D1408" s="2">
        <v>30313.53</v>
      </c>
      <c r="E1408" s="1">
        <v>98</v>
      </c>
      <c r="F1408" s="1" t="s">
        <v>22</v>
      </c>
      <c r="G1408" s="3">
        <v>45383</v>
      </c>
      <c r="H1408" s="2">
        <v>34102.32</v>
      </c>
      <c r="I1408" s="13" t="s">
        <v>14</v>
      </c>
      <c r="J1408" s="14" t="s">
        <v>15</v>
      </c>
      <c r="K1408" s="14">
        <v>1361</v>
      </c>
      <c r="L1408" s="15">
        <v>45332</v>
      </c>
      <c r="M1408" s="16">
        <v>2</v>
      </c>
      <c r="N140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08" s="31" t="str">
        <f>IF(Table64[[#This Row],[date validity flag]]&lt;&gt;"Valid","",Table64[[#This Row],[shipment date ]]-Table64[[#This Row],[Order date]])</f>
        <v/>
      </c>
      <c r="P1408" s="27" t="str">
        <f>TEXT(Table64[[#This Row],[Order date]],"mmm-yyyy")</f>
        <v>Apr-2024</v>
      </c>
      <c r="Q1408" s="16" t="str">
        <f t="shared" si="21"/>
        <v/>
      </c>
    </row>
    <row r="1409" spans="1:17" x14ac:dyDescent="0.3">
      <c r="A1409" s="17">
        <v>11408</v>
      </c>
      <c r="B1409" s="4">
        <v>5376</v>
      </c>
      <c r="C1409" s="4" t="s">
        <v>12</v>
      </c>
      <c r="D1409" s="5">
        <v>69793.149999999994</v>
      </c>
      <c r="E1409" s="4">
        <v>41</v>
      </c>
      <c r="F1409" s="4" t="s">
        <v>22</v>
      </c>
      <c r="G1409" s="6">
        <v>45383</v>
      </c>
      <c r="H1409" s="5">
        <v>59335.5</v>
      </c>
      <c r="I1409" s="18" t="s">
        <v>14</v>
      </c>
      <c r="J1409" s="14" t="s">
        <v>15</v>
      </c>
      <c r="K1409" s="14">
        <v>135</v>
      </c>
      <c r="L1409" s="15">
        <v>45397</v>
      </c>
      <c r="M1409" s="16">
        <v>5</v>
      </c>
      <c r="N140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09" s="31">
        <f>IF(Table64[[#This Row],[date validity flag]]&lt;&gt;"Valid","",Table64[[#This Row],[shipment date ]]-Table64[[#This Row],[Order date]])</f>
        <v>14</v>
      </c>
      <c r="P1409" s="27" t="str">
        <f>TEXT(Table64[[#This Row],[Order date]],"mmm-yyyy")</f>
        <v>Apr-2024</v>
      </c>
      <c r="Q1409" s="16" t="str">
        <f t="shared" si="21"/>
        <v>Delayed</v>
      </c>
    </row>
    <row r="1410" spans="1:17" x14ac:dyDescent="0.3">
      <c r="A1410" s="12">
        <v>11409</v>
      </c>
      <c r="B1410" s="1">
        <v>6483</v>
      </c>
      <c r="C1410" s="1" t="s">
        <v>12</v>
      </c>
      <c r="D1410" s="2">
        <v>90560.24</v>
      </c>
      <c r="E1410" s="1">
        <v>93</v>
      </c>
      <c r="F1410" s="1" t="s">
        <v>13</v>
      </c>
      <c r="G1410" s="3">
        <v>45361</v>
      </c>
      <c r="H1410" s="2">
        <v>125139.91</v>
      </c>
      <c r="I1410" s="13" t="s">
        <v>17</v>
      </c>
      <c r="J1410" s="14" t="s">
        <v>19</v>
      </c>
      <c r="K1410" s="14">
        <v>1307</v>
      </c>
      <c r="L1410" s="15">
        <v>45361</v>
      </c>
      <c r="M1410" s="16">
        <v>1</v>
      </c>
      <c r="N141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10" s="31">
        <f>IF(Table64[[#This Row],[date validity flag]]&lt;&gt;"Valid","",Table64[[#This Row],[shipment date ]]-Table64[[#This Row],[Order date]])</f>
        <v>0</v>
      </c>
      <c r="P1410" s="27" t="str">
        <f>TEXT(Table64[[#This Row],[Order date]],"mmm-yyyy")</f>
        <v>Mar-2024</v>
      </c>
      <c r="Q1410" s="16" t="str">
        <f t="shared" ref="Q1410:Q1473" si="22">IF(O1410="","",IF(O1410&gt;0,"Delayed","On Time"))</f>
        <v>On Time</v>
      </c>
    </row>
    <row r="1411" spans="1:17" x14ac:dyDescent="0.3">
      <c r="A1411" s="17">
        <v>11410</v>
      </c>
      <c r="B1411" s="4">
        <v>6161</v>
      </c>
      <c r="C1411" s="4" t="s">
        <v>16</v>
      </c>
      <c r="D1411" s="5">
        <v>55085.67</v>
      </c>
      <c r="E1411" s="4">
        <v>68</v>
      </c>
      <c r="F1411" s="4" t="s">
        <v>21</v>
      </c>
      <c r="G1411" s="6">
        <v>45337</v>
      </c>
      <c r="H1411" s="5">
        <v>92364.62</v>
      </c>
      <c r="I1411" s="18" t="s">
        <v>17</v>
      </c>
      <c r="J1411" s="14" t="s">
        <v>15</v>
      </c>
      <c r="K1411" s="14">
        <v>796</v>
      </c>
      <c r="L1411" s="15">
        <v>45332</v>
      </c>
      <c r="M1411" s="16">
        <v>3</v>
      </c>
      <c r="N141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11" s="31" t="str">
        <f>IF(Table64[[#This Row],[date validity flag]]&lt;&gt;"Valid","",Table64[[#This Row],[shipment date ]]-Table64[[#This Row],[Order date]])</f>
        <v/>
      </c>
      <c r="P1411" s="27" t="str">
        <f>TEXT(Table64[[#This Row],[Order date]],"mmm-yyyy")</f>
        <v>Feb-2024</v>
      </c>
      <c r="Q1411" s="16" t="str">
        <f t="shared" si="22"/>
        <v/>
      </c>
    </row>
    <row r="1412" spans="1:17" x14ac:dyDescent="0.3">
      <c r="A1412" s="12">
        <v>11411</v>
      </c>
      <c r="B1412" s="1">
        <v>6954</v>
      </c>
      <c r="C1412" s="1" t="s">
        <v>16</v>
      </c>
      <c r="D1412" s="2">
        <v>85047.24</v>
      </c>
      <c r="E1412" s="1">
        <v>69</v>
      </c>
      <c r="F1412" s="1" t="s">
        <v>21</v>
      </c>
      <c r="G1412" s="3">
        <v>45383</v>
      </c>
      <c r="H1412" s="2">
        <v>29288.61</v>
      </c>
      <c r="I1412" s="13" t="s">
        <v>17</v>
      </c>
      <c r="J1412" s="14" t="s">
        <v>19</v>
      </c>
      <c r="K1412" s="14">
        <v>362</v>
      </c>
      <c r="L1412" s="15">
        <v>45361</v>
      </c>
      <c r="M1412" s="16">
        <v>1</v>
      </c>
      <c r="N141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12" s="31" t="str">
        <f>IF(Table64[[#This Row],[date validity flag]]&lt;&gt;"Valid","",Table64[[#This Row],[shipment date ]]-Table64[[#This Row],[Order date]])</f>
        <v/>
      </c>
      <c r="P1412" s="27" t="str">
        <f>TEXT(Table64[[#This Row],[Order date]],"mmm-yyyy")</f>
        <v>Apr-2024</v>
      </c>
      <c r="Q1412" s="16" t="str">
        <f t="shared" si="22"/>
        <v/>
      </c>
    </row>
    <row r="1413" spans="1:17" x14ac:dyDescent="0.3">
      <c r="A1413" s="17">
        <v>11412</v>
      </c>
      <c r="B1413" s="4">
        <v>5588</v>
      </c>
      <c r="C1413" s="4" t="s">
        <v>16</v>
      </c>
      <c r="D1413" s="5">
        <v>70883.039999999994</v>
      </c>
      <c r="E1413" s="4">
        <v>11</v>
      </c>
      <c r="F1413" s="4" t="s">
        <v>22</v>
      </c>
      <c r="G1413" s="6">
        <v>45361</v>
      </c>
      <c r="H1413" s="5">
        <v>41243.660000000003</v>
      </c>
      <c r="I1413" s="18" t="s">
        <v>17</v>
      </c>
      <c r="J1413" s="14" t="s">
        <v>18</v>
      </c>
      <c r="K1413" s="14">
        <v>414</v>
      </c>
      <c r="L1413" s="15">
        <v>45397</v>
      </c>
      <c r="M1413" s="16">
        <v>13</v>
      </c>
      <c r="N141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13" s="31">
        <f>IF(Table64[[#This Row],[date validity flag]]&lt;&gt;"Valid","",Table64[[#This Row],[shipment date ]]-Table64[[#This Row],[Order date]])</f>
        <v>36</v>
      </c>
      <c r="P1413" s="27" t="str">
        <f>TEXT(Table64[[#This Row],[Order date]],"mmm-yyyy")</f>
        <v>Mar-2024</v>
      </c>
      <c r="Q1413" s="16" t="str">
        <f t="shared" si="22"/>
        <v>Delayed</v>
      </c>
    </row>
    <row r="1414" spans="1:17" x14ac:dyDescent="0.3">
      <c r="A1414" s="12">
        <v>11413</v>
      </c>
      <c r="B1414" s="1">
        <v>6571</v>
      </c>
      <c r="C1414" s="1" t="s">
        <v>12</v>
      </c>
      <c r="D1414" s="2">
        <v>94561.66</v>
      </c>
      <c r="E1414" s="1">
        <v>56</v>
      </c>
      <c r="F1414" s="1" t="s">
        <v>23</v>
      </c>
      <c r="G1414" s="3">
        <v>45383</v>
      </c>
      <c r="H1414" s="2">
        <v>84261.7</v>
      </c>
      <c r="I1414" s="13" t="s">
        <v>14</v>
      </c>
      <c r="J1414" s="14" t="s">
        <v>18</v>
      </c>
      <c r="K1414" s="14">
        <v>954</v>
      </c>
      <c r="L1414" s="15">
        <v>45332</v>
      </c>
      <c r="M1414" s="16">
        <v>3</v>
      </c>
      <c r="N141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14" s="31" t="str">
        <f>IF(Table64[[#This Row],[date validity flag]]&lt;&gt;"Valid","",Table64[[#This Row],[shipment date ]]-Table64[[#This Row],[Order date]])</f>
        <v/>
      </c>
      <c r="P1414" s="27" t="str">
        <f>TEXT(Table64[[#This Row],[Order date]],"mmm-yyyy")</f>
        <v>Apr-2024</v>
      </c>
      <c r="Q1414" s="16" t="str">
        <f t="shared" si="22"/>
        <v/>
      </c>
    </row>
    <row r="1415" spans="1:17" x14ac:dyDescent="0.3">
      <c r="A1415" s="17">
        <v>11414</v>
      </c>
      <c r="B1415" s="4">
        <v>5513</v>
      </c>
      <c r="C1415" s="4" t="s">
        <v>16</v>
      </c>
      <c r="D1415" s="5">
        <v>13512.77</v>
      </c>
      <c r="E1415" s="4">
        <v>51</v>
      </c>
      <c r="F1415" s="4" t="s">
        <v>23</v>
      </c>
      <c r="G1415" s="6">
        <v>45361</v>
      </c>
      <c r="H1415" s="5">
        <v>36135.61</v>
      </c>
      <c r="I1415" s="18" t="s">
        <v>20</v>
      </c>
      <c r="J1415" s="14" t="s">
        <v>15</v>
      </c>
      <c r="K1415" s="14">
        <v>1342</v>
      </c>
      <c r="L1415" s="15">
        <v>45332</v>
      </c>
      <c r="M1415" s="16">
        <v>13</v>
      </c>
      <c r="N141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15" s="31" t="str">
        <f>IF(Table64[[#This Row],[date validity flag]]&lt;&gt;"Valid","",Table64[[#This Row],[shipment date ]]-Table64[[#This Row],[Order date]])</f>
        <v/>
      </c>
      <c r="P1415" s="27" t="str">
        <f>TEXT(Table64[[#This Row],[Order date]],"mmm-yyyy")</f>
        <v>Mar-2024</v>
      </c>
      <c r="Q1415" s="16" t="str">
        <f t="shared" si="22"/>
        <v/>
      </c>
    </row>
    <row r="1416" spans="1:17" x14ac:dyDescent="0.3">
      <c r="A1416" s="12">
        <v>11415</v>
      </c>
      <c r="B1416" s="1">
        <v>6320</v>
      </c>
      <c r="C1416" s="1" t="s">
        <v>16</v>
      </c>
      <c r="D1416" s="2">
        <v>99902.63</v>
      </c>
      <c r="E1416" s="1">
        <v>21</v>
      </c>
      <c r="F1416" s="1" t="s">
        <v>22</v>
      </c>
      <c r="G1416" s="3">
        <v>45306</v>
      </c>
      <c r="H1416" s="2">
        <v>113306.22</v>
      </c>
      <c r="I1416" s="13" t="s">
        <v>17</v>
      </c>
      <c r="J1416" s="14" t="s">
        <v>19</v>
      </c>
      <c r="K1416" s="14">
        <v>747</v>
      </c>
      <c r="L1416" s="15">
        <v>45397</v>
      </c>
      <c r="M1416" s="16">
        <v>4</v>
      </c>
      <c r="N141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16" s="31">
        <f>IF(Table64[[#This Row],[date validity flag]]&lt;&gt;"Valid","",Table64[[#This Row],[shipment date ]]-Table64[[#This Row],[Order date]])</f>
        <v>91</v>
      </c>
      <c r="P1416" s="27" t="str">
        <f>TEXT(Table64[[#This Row],[Order date]],"mmm-yyyy")</f>
        <v>Jan-2024</v>
      </c>
      <c r="Q1416" s="16" t="str">
        <f t="shared" si="22"/>
        <v>Delayed</v>
      </c>
    </row>
    <row r="1417" spans="1:17" x14ac:dyDescent="0.3">
      <c r="A1417" s="17">
        <v>11416</v>
      </c>
      <c r="B1417" s="4">
        <v>6344</v>
      </c>
      <c r="C1417" s="4" t="s">
        <v>12</v>
      </c>
      <c r="D1417" s="5">
        <v>24489.1</v>
      </c>
      <c r="E1417" s="4">
        <v>99</v>
      </c>
      <c r="F1417" s="4" t="s">
        <v>22</v>
      </c>
      <c r="G1417" s="6">
        <v>45361</v>
      </c>
      <c r="H1417" s="5">
        <v>103141.75999999999</v>
      </c>
      <c r="I1417" s="18" t="s">
        <v>14</v>
      </c>
      <c r="J1417" s="14" t="s">
        <v>15</v>
      </c>
      <c r="K1417" s="14">
        <v>180</v>
      </c>
      <c r="L1417" s="15">
        <v>45397</v>
      </c>
      <c r="M1417" s="16">
        <v>7</v>
      </c>
      <c r="N141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17" s="31">
        <f>IF(Table64[[#This Row],[date validity flag]]&lt;&gt;"Valid","",Table64[[#This Row],[shipment date ]]-Table64[[#This Row],[Order date]])</f>
        <v>36</v>
      </c>
      <c r="P1417" s="27" t="str">
        <f>TEXT(Table64[[#This Row],[Order date]],"mmm-yyyy")</f>
        <v>Mar-2024</v>
      </c>
      <c r="Q1417" s="16" t="str">
        <f t="shared" si="22"/>
        <v>Delayed</v>
      </c>
    </row>
    <row r="1418" spans="1:17" x14ac:dyDescent="0.3">
      <c r="A1418" s="12">
        <v>11417</v>
      </c>
      <c r="B1418" s="1">
        <v>5918</v>
      </c>
      <c r="C1418" s="1" t="s">
        <v>16</v>
      </c>
      <c r="D1418" s="2">
        <v>75915.95</v>
      </c>
      <c r="E1418" s="1">
        <v>76</v>
      </c>
      <c r="F1418" s="1" t="s">
        <v>21</v>
      </c>
      <c r="G1418" s="3">
        <v>45306</v>
      </c>
      <c r="H1418" s="2">
        <v>132995.43</v>
      </c>
      <c r="I1418" s="13" t="s">
        <v>14</v>
      </c>
      <c r="J1418" s="14" t="s">
        <v>19</v>
      </c>
      <c r="K1418" s="14">
        <v>852</v>
      </c>
      <c r="L1418" s="15">
        <v>45332</v>
      </c>
      <c r="M1418" s="16">
        <v>12</v>
      </c>
      <c r="N141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18" s="31">
        <f>IF(Table64[[#This Row],[date validity flag]]&lt;&gt;"Valid","",Table64[[#This Row],[shipment date ]]-Table64[[#This Row],[Order date]])</f>
        <v>26</v>
      </c>
      <c r="P1418" s="27" t="str">
        <f>TEXT(Table64[[#This Row],[Order date]],"mmm-yyyy")</f>
        <v>Jan-2024</v>
      </c>
      <c r="Q1418" s="16" t="str">
        <f t="shared" si="22"/>
        <v>Delayed</v>
      </c>
    </row>
    <row r="1419" spans="1:17" x14ac:dyDescent="0.3">
      <c r="A1419" s="17">
        <v>11418</v>
      </c>
      <c r="B1419" s="4">
        <v>6596</v>
      </c>
      <c r="C1419" s="4" t="s">
        <v>16</v>
      </c>
      <c r="D1419" s="5">
        <v>33952.720000000001</v>
      </c>
      <c r="E1419" s="4">
        <v>26</v>
      </c>
      <c r="F1419" s="4" t="s">
        <v>23</v>
      </c>
      <c r="G1419" s="6">
        <v>45383</v>
      </c>
      <c r="H1419" s="5">
        <v>69281.149999999994</v>
      </c>
      <c r="I1419" s="18" t="s">
        <v>17</v>
      </c>
      <c r="J1419" s="14" t="s">
        <v>19</v>
      </c>
      <c r="K1419" s="14">
        <v>838</v>
      </c>
      <c r="L1419" s="15">
        <v>45332</v>
      </c>
      <c r="M1419" s="16">
        <v>12</v>
      </c>
      <c r="N1419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19" s="31" t="str">
        <f>IF(Table64[[#This Row],[date validity flag]]&lt;&gt;"Valid","",Table64[[#This Row],[shipment date ]]-Table64[[#This Row],[Order date]])</f>
        <v/>
      </c>
      <c r="P1419" s="27" t="str">
        <f>TEXT(Table64[[#This Row],[Order date]],"mmm-yyyy")</f>
        <v>Apr-2024</v>
      </c>
      <c r="Q1419" s="16" t="str">
        <f t="shared" si="22"/>
        <v/>
      </c>
    </row>
    <row r="1420" spans="1:17" x14ac:dyDescent="0.3">
      <c r="A1420" s="12">
        <v>11419</v>
      </c>
      <c r="B1420" s="1">
        <v>6856</v>
      </c>
      <c r="C1420" s="1" t="s">
        <v>16</v>
      </c>
      <c r="D1420" s="2">
        <v>54558.16</v>
      </c>
      <c r="E1420" s="1">
        <v>19</v>
      </c>
      <c r="F1420" s="1" t="s">
        <v>22</v>
      </c>
      <c r="G1420" s="3">
        <v>45361</v>
      </c>
      <c r="H1420" s="2">
        <v>18090.830000000002</v>
      </c>
      <c r="I1420" s="13" t="s">
        <v>20</v>
      </c>
      <c r="J1420" s="14" t="s">
        <v>19</v>
      </c>
      <c r="K1420" s="14">
        <v>400</v>
      </c>
      <c r="L1420" s="15">
        <v>45397</v>
      </c>
      <c r="M1420" s="16">
        <v>5</v>
      </c>
      <c r="N142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20" s="31">
        <f>IF(Table64[[#This Row],[date validity flag]]&lt;&gt;"Valid","",Table64[[#This Row],[shipment date ]]-Table64[[#This Row],[Order date]])</f>
        <v>36</v>
      </c>
      <c r="P1420" s="27" t="str">
        <f>TEXT(Table64[[#This Row],[Order date]],"mmm-yyyy")</f>
        <v>Mar-2024</v>
      </c>
      <c r="Q1420" s="16" t="str">
        <f t="shared" si="22"/>
        <v>Delayed</v>
      </c>
    </row>
    <row r="1421" spans="1:17" x14ac:dyDescent="0.3">
      <c r="A1421" s="17">
        <v>11420</v>
      </c>
      <c r="B1421" s="4">
        <v>6373</v>
      </c>
      <c r="C1421" s="4" t="s">
        <v>16</v>
      </c>
      <c r="D1421" s="5">
        <v>84047.55</v>
      </c>
      <c r="E1421" s="4">
        <v>60</v>
      </c>
      <c r="F1421" s="4" t="s">
        <v>22</v>
      </c>
      <c r="G1421" s="6">
        <v>45383</v>
      </c>
      <c r="H1421" s="5">
        <v>122841.9</v>
      </c>
      <c r="I1421" s="18" t="s">
        <v>14</v>
      </c>
      <c r="J1421" s="14" t="s">
        <v>18</v>
      </c>
      <c r="K1421" s="14">
        <v>229</v>
      </c>
      <c r="L1421" s="15">
        <v>45361</v>
      </c>
      <c r="M1421" s="16">
        <v>5</v>
      </c>
      <c r="N142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21" s="31" t="str">
        <f>IF(Table64[[#This Row],[date validity flag]]&lt;&gt;"Valid","",Table64[[#This Row],[shipment date ]]-Table64[[#This Row],[Order date]])</f>
        <v/>
      </c>
      <c r="P1421" s="27" t="str">
        <f>TEXT(Table64[[#This Row],[Order date]],"mmm-yyyy")</f>
        <v>Apr-2024</v>
      </c>
      <c r="Q1421" s="16" t="str">
        <f t="shared" si="22"/>
        <v/>
      </c>
    </row>
    <row r="1422" spans="1:17" x14ac:dyDescent="0.3">
      <c r="A1422" s="12">
        <v>11421</v>
      </c>
      <c r="B1422" s="1">
        <v>6864</v>
      </c>
      <c r="C1422" s="1" t="s">
        <v>12</v>
      </c>
      <c r="D1422" s="2">
        <v>73566.12</v>
      </c>
      <c r="E1422" s="1">
        <v>71</v>
      </c>
      <c r="F1422" s="1" t="s">
        <v>13</v>
      </c>
      <c r="G1422" s="3">
        <v>45306</v>
      </c>
      <c r="H1422" s="2">
        <v>90333.27</v>
      </c>
      <c r="I1422" s="13" t="s">
        <v>17</v>
      </c>
      <c r="J1422" s="14" t="s">
        <v>19</v>
      </c>
      <c r="K1422" s="14">
        <v>1236</v>
      </c>
      <c r="L1422" s="15">
        <v>45332</v>
      </c>
      <c r="M1422" s="16">
        <v>13</v>
      </c>
      <c r="N142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22" s="31">
        <f>IF(Table64[[#This Row],[date validity flag]]&lt;&gt;"Valid","",Table64[[#This Row],[shipment date ]]-Table64[[#This Row],[Order date]])</f>
        <v>26</v>
      </c>
      <c r="P1422" s="27" t="str">
        <f>TEXT(Table64[[#This Row],[Order date]],"mmm-yyyy")</f>
        <v>Jan-2024</v>
      </c>
      <c r="Q1422" s="16" t="str">
        <f t="shared" si="22"/>
        <v>Delayed</v>
      </c>
    </row>
    <row r="1423" spans="1:17" x14ac:dyDescent="0.3">
      <c r="A1423" s="17">
        <v>11422</v>
      </c>
      <c r="B1423" s="4">
        <v>6803</v>
      </c>
      <c r="C1423" s="4" t="s">
        <v>16</v>
      </c>
      <c r="D1423" s="5">
        <v>41189.46</v>
      </c>
      <c r="E1423" s="4">
        <v>47</v>
      </c>
      <c r="F1423" s="4" t="s">
        <v>22</v>
      </c>
      <c r="G1423" s="6">
        <v>45361</v>
      </c>
      <c r="H1423" s="5">
        <v>74271.899999999994</v>
      </c>
      <c r="I1423" s="18" t="s">
        <v>20</v>
      </c>
      <c r="J1423" s="14" t="s">
        <v>18</v>
      </c>
      <c r="K1423" s="14">
        <v>1169</v>
      </c>
      <c r="L1423" s="15">
        <v>45397</v>
      </c>
      <c r="M1423" s="16">
        <v>1</v>
      </c>
      <c r="N142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23" s="31">
        <f>IF(Table64[[#This Row],[date validity flag]]&lt;&gt;"Valid","",Table64[[#This Row],[shipment date ]]-Table64[[#This Row],[Order date]])</f>
        <v>36</v>
      </c>
      <c r="P1423" s="27" t="str">
        <f>TEXT(Table64[[#This Row],[Order date]],"mmm-yyyy")</f>
        <v>Mar-2024</v>
      </c>
      <c r="Q1423" s="16" t="str">
        <f t="shared" si="22"/>
        <v>Delayed</v>
      </c>
    </row>
    <row r="1424" spans="1:17" x14ac:dyDescent="0.3">
      <c r="A1424" s="12">
        <v>11423</v>
      </c>
      <c r="B1424" s="1">
        <v>5873</v>
      </c>
      <c r="C1424" s="1" t="s">
        <v>16</v>
      </c>
      <c r="D1424" s="2">
        <v>33156.44</v>
      </c>
      <c r="E1424" s="1">
        <v>71</v>
      </c>
      <c r="F1424" s="1" t="s">
        <v>22</v>
      </c>
      <c r="G1424" s="3">
        <v>45383</v>
      </c>
      <c r="H1424" s="2">
        <v>86353.279999999999</v>
      </c>
      <c r="I1424" s="13" t="s">
        <v>20</v>
      </c>
      <c r="J1424" s="14" t="s">
        <v>19</v>
      </c>
      <c r="K1424" s="14">
        <v>823</v>
      </c>
      <c r="L1424" s="15">
        <v>45361</v>
      </c>
      <c r="M1424" s="16">
        <v>8</v>
      </c>
      <c r="N142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24" s="31" t="str">
        <f>IF(Table64[[#This Row],[date validity flag]]&lt;&gt;"Valid","",Table64[[#This Row],[shipment date ]]-Table64[[#This Row],[Order date]])</f>
        <v/>
      </c>
      <c r="P1424" s="27" t="str">
        <f>TEXT(Table64[[#This Row],[Order date]],"mmm-yyyy")</f>
        <v>Apr-2024</v>
      </c>
      <c r="Q1424" s="16" t="str">
        <f t="shared" si="22"/>
        <v/>
      </c>
    </row>
    <row r="1425" spans="1:17" x14ac:dyDescent="0.3">
      <c r="A1425" s="17">
        <v>11424</v>
      </c>
      <c r="B1425" s="4">
        <v>6253</v>
      </c>
      <c r="C1425" s="4" t="s">
        <v>16</v>
      </c>
      <c r="D1425" s="5">
        <v>29604.51</v>
      </c>
      <c r="E1425" s="4">
        <v>26</v>
      </c>
      <c r="F1425" s="4" t="s">
        <v>23</v>
      </c>
      <c r="G1425" s="6">
        <v>45306</v>
      </c>
      <c r="H1425" s="5">
        <v>84138.3</v>
      </c>
      <c r="I1425" s="18" t="s">
        <v>14</v>
      </c>
      <c r="J1425" s="14" t="s">
        <v>18</v>
      </c>
      <c r="K1425" s="14">
        <v>559</v>
      </c>
      <c r="L1425" s="15">
        <v>45332</v>
      </c>
      <c r="M1425" s="16">
        <v>13</v>
      </c>
      <c r="N142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25" s="31">
        <f>IF(Table64[[#This Row],[date validity flag]]&lt;&gt;"Valid","",Table64[[#This Row],[shipment date ]]-Table64[[#This Row],[Order date]])</f>
        <v>26</v>
      </c>
      <c r="P1425" s="27" t="str">
        <f>TEXT(Table64[[#This Row],[Order date]],"mmm-yyyy")</f>
        <v>Jan-2024</v>
      </c>
      <c r="Q1425" s="16" t="str">
        <f t="shared" si="22"/>
        <v>Delayed</v>
      </c>
    </row>
    <row r="1426" spans="1:17" x14ac:dyDescent="0.3">
      <c r="A1426" s="12">
        <v>11425</v>
      </c>
      <c r="B1426" s="1">
        <v>5270</v>
      </c>
      <c r="C1426" s="1" t="s">
        <v>16</v>
      </c>
      <c r="D1426" s="2">
        <v>73378.899999999994</v>
      </c>
      <c r="E1426" s="1">
        <v>40</v>
      </c>
      <c r="F1426" s="1" t="s">
        <v>21</v>
      </c>
      <c r="G1426" s="3">
        <v>45383</v>
      </c>
      <c r="H1426" s="2">
        <v>42559.09</v>
      </c>
      <c r="I1426" s="13" t="s">
        <v>17</v>
      </c>
      <c r="J1426" s="14" t="s">
        <v>18</v>
      </c>
      <c r="K1426" s="14">
        <v>414</v>
      </c>
      <c r="L1426" s="15">
        <v>45332</v>
      </c>
      <c r="M1426" s="16">
        <v>4</v>
      </c>
      <c r="N1426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26" s="31" t="str">
        <f>IF(Table64[[#This Row],[date validity flag]]&lt;&gt;"Valid","",Table64[[#This Row],[shipment date ]]-Table64[[#This Row],[Order date]])</f>
        <v/>
      </c>
      <c r="P1426" s="27" t="str">
        <f>TEXT(Table64[[#This Row],[Order date]],"mmm-yyyy")</f>
        <v>Apr-2024</v>
      </c>
      <c r="Q1426" s="16" t="str">
        <f t="shared" si="22"/>
        <v/>
      </c>
    </row>
    <row r="1427" spans="1:17" x14ac:dyDescent="0.3">
      <c r="A1427" s="17">
        <v>11426</v>
      </c>
      <c r="B1427" s="4">
        <v>6852</v>
      </c>
      <c r="C1427" s="4" t="s">
        <v>16</v>
      </c>
      <c r="D1427" s="5">
        <v>31632.16</v>
      </c>
      <c r="E1427" s="4">
        <v>5</v>
      </c>
      <c r="F1427" s="4" t="s">
        <v>23</v>
      </c>
      <c r="G1427" s="6">
        <v>45337</v>
      </c>
      <c r="H1427" s="5">
        <v>34273.42</v>
      </c>
      <c r="I1427" s="18" t="s">
        <v>17</v>
      </c>
      <c r="J1427" s="14" t="s">
        <v>18</v>
      </c>
      <c r="K1427" s="14">
        <v>1030</v>
      </c>
      <c r="L1427" s="15">
        <v>45397</v>
      </c>
      <c r="M1427" s="16">
        <v>10</v>
      </c>
      <c r="N142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27" s="31">
        <f>IF(Table64[[#This Row],[date validity flag]]&lt;&gt;"Valid","",Table64[[#This Row],[shipment date ]]-Table64[[#This Row],[Order date]])</f>
        <v>60</v>
      </c>
      <c r="P1427" s="27" t="str">
        <f>TEXT(Table64[[#This Row],[Order date]],"mmm-yyyy")</f>
        <v>Feb-2024</v>
      </c>
      <c r="Q1427" s="16" t="str">
        <f t="shared" si="22"/>
        <v>Delayed</v>
      </c>
    </row>
    <row r="1428" spans="1:17" x14ac:dyDescent="0.3">
      <c r="A1428" s="12">
        <v>11427</v>
      </c>
      <c r="B1428" s="1">
        <v>5798</v>
      </c>
      <c r="C1428" s="1" t="s">
        <v>16</v>
      </c>
      <c r="D1428" s="2">
        <v>98545.46</v>
      </c>
      <c r="E1428" s="1">
        <v>21</v>
      </c>
      <c r="F1428" s="1" t="s">
        <v>21</v>
      </c>
      <c r="G1428" s="3">
        <v>45306</v>
      </c>
      <c r="H1428" s="2">
        <v>13715.25</v>
      </c>
      <c r="I1428" s="13" t="s">
        <v>14</v>
      </c>
      <c r="J1428" s="14" t="s">
        <v>15</v>
      </c>
      <c r="K1428" s="14">
        <v>402</v>
      </c>
      <c r="L1428" s="15">
        <v>45361</v>
      </c>
      <c r="M1428" s="16">
        <v>5</v>
      </c>
      <c r="N142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28" s="31">
        <f>IF(Table64[[#This Row],[date validity flag]]&lt;&gt;"Valid","",Table64[[#This Row],[shipment date ]]-Table64[[#This Row],[Order date]])</f>
        <v>55</v>
      </c>
      <c r="P1428" s="27" t="str">
        <f>TEXT(Table64[[#This Row],[Order date]],"mmm-yyyy")</f>
        <v>Jan-2024</v>
      </c>
      <c r="Q1428" s="16" t="str">
        <f t="shared" si="22"/>
        <v>Delayed</v>
      </c>
    </row>
    <row r="1429" spans="1:17" x14ac:dyDescent="0.3">
      <c r="A1429" s="17">
        <v>11428</v>
      </c>
      <c r="B1429" s="4">
        <v>6315</v>
      </c>
      <c r="C1429" s="4" t="s">
        <v>16</v>
      </c>
      <c r="D1429" s="5">
        <v>41019.19</v>
      </c>
      <c r="E1429" s="4">
        <v>78</v>
      </c>
      <c r="F1429" s="4" t="s">
        <v>13</v>
      </c>
      <c r="G1429" s="6">
        <v>45306</v>
      </c>
      <c r="H1429" s="5">
        <v>52541.38</v>
      </c>
      <c r="I1429" s="18" t="s">
        <v>20</v>
      </c>
      <c r="J1429" s="14" t="s">
        <v>19</v>
      </c>
      <c r="K1429" s="14">
        <v>849</v>
      </c>
      <c r="L1429" s="15">
        <v>45332</v>
      </c>
      <c r="M1429" s="16">
        <v>2</v>
      </c>
      <c r="N142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29" s="31">
        <f>IF(Table64[[#This Row],[date validity flag]]&lt;&gt;"Valid","",Table64[[#This Row],[shipment date ]]-Table64[[#This Row],[Order date]])</f>
        <v>26</v>
      </c>
      <c r="P1429" s="27" t="str">
        <f>TEXT(Table64[[#This Row],[Order date]],"mmm-yyyy")</f>
        <v>Jan-2024</v>
      </c>
      <c r="Q1429" s="16" t="str">
        <f t="shared" si="22"/>
        <v>Delayed</v>
      </c>
    </row>
    <row r="1430" spans="1:17" x14ac:dyDescent="0.3">
      <c r="A1430" s="12">
        <v>11429</v>
      </c>
      <c r="B1430" s="1">
        <v>5725</v>
      </c>
      <c r="C1430" s="1" t="s">
        <v>16</v>
      </c>
      <c r="D1430" s="2">
        <v>39441.129999999997</v>
      </c>
      <c r="E1430" s="1">
        <v>4</v>
      </c>
      <c r="F1430" s="1" t="s">
        <v>22</v>
      </c>
      <c r="G1430" s="3">
        <v>45306</v>
      </c>
      <c r="H1430" s="2">
        <v>129178.17</v>
      </c>
      <c r="I1430" s="13" t="s">
        <v>14</v>
      </c>
      <c r="J1430" s="14" t="s">
        <v>15</v>
      </c>
      <c r="K1430" s="14">
        <v>1156</v>
      </c>
      <c r="L1430" s="15">
        <v>45361</v>
      </c>
      <c r="M1430" s="16">
        <v>12</v>
      </c>
      <c r="N143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0" s="31">
        <f>IF(Table64[[#This Row],[date validity flag]]&lt;&gt;"Valid","",Table64[[#This Row],[shipment date ]]-Table64[[#This Row],[Order date]])</f>
        <v>55</v>
      </c>
      <c r="P1430" s="27" t="str">
        <f>TEXT(Table64[[#This Row],[Order date]],"mmm-yyyy")</f>
        <v>Jan-2024</v>
      </c>
      <c r="Q1430" s="16" t="str">
        <f t="shared" si="22"/>
        <v>Delayed</v>
      </c>
    </row>
    <row r="1431" spans="1:17" x14ac:dyDescent="0.3">
      <c r="A1431" s="17">
        <v>11430</v>
      </c>
      <c r="B1431" s="4">
        <v>6189</v>
      </c>
      <c r="C1431" s="4" t="s">
        <v>16</v>
      </c>
      <c r="D1431" s="5">
        <v>53633</v>
      </c>
      <c r="E1431" s="4">
        <v>23</v>
      </c>
      <c r="F1431" s="4" t="s">
        <v>13</v>
      </c>
      <c r="G1431" s="6">
        <v>45361</v>
      </c>
      <c r="H1431" s="5">
        <v>143899.45000000001</v>
      </c>
      <c r="I1431" s="18" t="s">
        <v>17</v>
      </c>
      <c r="J1431" s="14" t="s">
        <v>19</v>
      </c>
      <c r="K1431" s="14">
        <v>1298</v>
      </c>
      <c r="L1431" s="15">
        <v>45361</v>
      </c>
      <c r="M1431" s="16">
        <v>13</v>
      </c>
      <c r="N143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1" s="31">
        <f>IF(Table64[[#This Row],[date validity flag]]&lt;&gt;"Valid","",Table64[[#This Row],[shipment date ]]-Table64[[#This Row],[Order date]])</f>
        <v>0</v>
      </c>
      <c r="P1431" s="27" t="str">
        <f>TEXT(Table64[[#This Row],[Order date]],"mmm-yyyy")</f>
        <v>Mar-2024</v>
      </c>
      <c r="Q1431" s="16" t="str">
        <f t="shared" si="22"/>
        <v>On Time</v>
      </c>
    </row>
    <row r="1432" spans="1:17" x14ac:dyDescent="0.3">
      <c r="A1432" s="12">
        <v>11431</v>
      </c>
      <c r="B1432" s="1">
        <v>5005</v>
      </c>
      <c r="C1432" s="1" t="s">
        <v>12</v>
      </c>
      <c r="D1432" s="2">
        <v>58397.4</v>
      </c>
      <c r="E1432" s="1">
        <v>84</v>
      </c>
      <c r="F1432" s="1" t="s">
        <v>21</v>
      </c>
      <c r="G1432" s="3">
        <v>45361</v>
      </c>
      <c r="H1432" s="2">
        <v>83101.98</v>
      </c>
      <c r="I1432" s="13" t="s">
        <v>17</v>
      </c>
      <c r="J1432" s="14" t="s">
        <v>19</v>
      </c>
      <c r="K1432" s="14">
        <v>461</v>
      </c>
      <c r="L1432" s="15">
        <v>45332</v>
      </c>
      <c r="M1432" s="16">
        <v>1</v>
      </c>
      <c r="N143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32" s="31" t="str">
        <f>IF(Table64[[#This Row],[date validity flag]]&lt;&gt;"Valid","",Table64[[#This Row],[shipment date ]]-Table64[[#This Row],[Order date]])</f>
        <v/>
      </c>
      <c r="P1432" s="27" t="str">
        <f>TEXT(Table64[[#This Row],[Order date]],"mmm-yyyy")</f>
        <v>Mar-2024</v>
      </c>
      <c r="Q1432" s="16" t="str">
        <f t="shared" si="22"/>
        <v/>
      </c>
    </row>
    <row r="1433" spans="1:17" x14ac:dyDescent="0.3">
      <c r="A1433" s="17">
        <v>11432</v>
      </c>
      <c r="B1433" s="4">
        <v>5851</v>
      </c>
      <c r="C1433" s="4" t="s">
        <v>16</v>
      </c>
      <c r="D1433" s="5">
        <v>85575.1</v>
      </c>
      <c r="E1433" s="4">
        <v>15</v>
      </c>
      <c r="F1433" s="4" t="s">
        <v>23</v>
      </c>
      <c r="G1433" s="6">
        <v>45361</v>
      </c>
      <c r="H1433" s="5">
        <v>68303.45</v>
      </c>
      <c r="I1433" s="18" t="s">
        <v>17</v>
      </c>
      <c r="J1433" s="14" t="s">
        <v>15</v>
      </c>
      <c r="K1433" s="14">
        <v>784</v>
      </c>
      <c r="L1433" s="15">
        <v>45361</v>
      </c>
      <c r="M1433" s="16">
        <v>9</v>
      </c>
      <c r="N143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3" s="31">
        <f>IF(Table64[[#This Row],[date validity flag]]&lt;&gt;"Valid","",Table64[[#This Row],[shipment date ]]-Table64[[#This Row],[Order date]])</f>
        <v>0</v>
      </c>
      <c r="P1433" s="27" t="str">
        <f>TEXT(Table64[[#This Row],[Order date]],"mmm-yyyy")</f>
        <v>Mar-2024</v>
      </c>
      <c r="Q1433" s="16" t="str">
        <f t="shared" si="22"/>
        <v>On Time</v>
      </c>
    </row>
    <row r="1434" spans="1:17" x14ac:dyDescent="0.3">
      <c r="A1434" s="12">
        <v>11433</v>
      </c>
      <c r="B1434" s="1">
        <v>6403</v>
      </c>
      <c r="C1434" s="1" t="s">
        <v>16</v>
      </c>
      <c r="D1434" s="2">
        <v>17475.599999999999</v>
      </c>
      <c r="E1434" s="1">
        <v>93</v>
      </c>
      <c r="F1434" s="1" t="s">
        <v>23</v>
      </c>
      <c r="G1434" s="3">
        <v>45337</v>
      </c>
      <c r="H1434" s="2">
        <v>179625.35</v>
      </c>
      <c r="I1434" s="13" t="s">
        <v>14</v>
      </c>
      <c r="J1434" s="14" t="s">
        <v>18</v>
      </c>
      <c r="K1434" s="14">
        <v>1030</v>
      </c>
      <c r="L1434" s="15">
        <v>45332</v>
      </c>
      <c r="M1434" s="16">
        <v>2</v>
      </c>
      <c r="N143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34" s="31" t="str">
        <f>IF(Table64[[#This Row],[date validity flag]]&lt;&gt;"Valid","",Table64[[#This Row],[shipment date ]]-Table64[[#This Row],[Order date]])</f>
        <v/>
      </c>
      <c r="P1434" s="27" t="str">
        <f>TEXT(Table64[[#This Row],[Order date]],"mmm-yyyy")</f>
        <v>Feb-2024</v>
      </c>
      <c r="Q1434" s="16" t="str">
        <f t="shared" si="22"/>
        <v/>
      </c>
    </row>
    <row r="1435" spans="1:17" x14ac:dyDescent="0.3">
      <c r="A1435" s="17">
        <v>11434</v>
      </c>
      <c r="B1435" s="4">
        <v>5078</v>
      </c>
      <c r="C1435" s="4" t="s">
        <v>16</v>
      </c>
      <c r="D1435" s="5">
        <v>33673.29</v>
      </c>
      <c r="E1435" s="4">
        <v>8</v>
      </c>
      <c r="F1435" s="4" t="s">
        <v>13</v>
      </c>
      <c r="G1435" s="6">
        <v>45337</v>
      </c>
      <c r="H1435" s="5">
        <v>122524.18</v>
      </c>
      <c r="I1435" s="18" t="s">
        <v>14</v>
      </c>
      <c r="J1435" s="14" t="s">
        <v>19</v>
      </c>
      <c r="K1435" s="14">
        <v>167</v>
      </c>
      <c r="L1435" s="15">
        <v>45361</v>
      </c>
      <c r="M1435" s="16">
        <v>6</v>
      </c>
      <c r="N143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5" s="31">
        <f>IF(Table64[[#This Row],[date validity flag]]&lt;&gt;"Valid","",Table64[[#This Row],[shipment date ]]-Table64[[#This Row],[Order date]])</f>
        <v>24</v>
      </c>
      <c r="P1435" s="27" t="str">
        <f>TEXT(Table64[[#This Row],[Order date]],"mmm-yyyy")</f>
        <v>Feb-2024</v>
      </c>
      <c r="Q1435" s="16" t="str">
        <f t="shared" si="22"/>
        <v>Delayed</v>
      </c>
    </row>
    <row r="1436" spans="1:17" x14ac:dyDescent="0.3">
      <c r="A1436" s="12">
        <v>11435</v>
      </c>
      <c r="B1436" s="1">
        <v>6434</v>
      </c>
      <c r="C1436" s="1" t="s">
        <v>16</v>
      </c>
      <c r="D1436" s="2">
        <v>46130.04</v>
      </c>
      <c r="E1436" s="1">
        <v>41</v>
      </c>
      <c r="F1436" s="1" t="s">
        <v>21</v>
      </c>
      <c r="G1436" s="3">
        <v>45306</v>
      </c>
      <c r="H1436" s="2">
        <v>125858.36</v>
      </c>
      <c r="I1436" s="13" t="s">
        <v>20</v>
      </c>
      <c r="J1436" s="14" t="s">
        <v>18</v>
      </c>
      <c r="K1436" s="14">
        <v>531</v>
      </c>
      <c r="L1436" s="15">
        <v>45332</v>
      </c>
      <c r="M1436" s="16">
        <v>1</v>
      </c>
      <c r="N143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6" s="31">
        <f>IF(Table64[[#This Row],[date validity flag]]&lt;&gt;"Valid","",Table64[[#This Row],[shipment date ]]-Table64[[#This Row],[Order date]])</f>
        <v>26</v>
      </c>
      <c r="P1436" s="27" t="str">
        <f>TEXT(Table64[[#This Row],[Order date]],"mmm-yyyy")</f>
        <v>Jan-2024</v>
      </c>
      <c r="Q1436" s="16" t="str">
        <f t="shared" si="22"/>
        <v>Delayed</v>
      </c>
    </row>
    <row r="1437" spans="1:17" x14ac:dyDescent="0.3">
      <c r="A1437" s="17">
        <v>11436</v>
      </c>
      <c r="B1437" s="4">
        <v>5574</v>
      </c>
      <c r="C1437" s="4" t="s">
        <v>12</v>
      </c>
      <c r="D1437" s="5">
        <v>31131.69</v>
      </c>
      <c r="E1437" s="4">
        <v>19</v>
      </c>
      <c r="F1437" s="4" t="s">
        <v>13</v>
      </c>
      <c r="G1437" s="6">
        <v>45337</v>
      </c>
      <c r="H1437" s="5">
        <v>131583.46</v>
      </c>
      <c r="I1437" s="18" t="s">
        <v>20</v>
      </c>
      <c r="J1437" s="14" t="s">
        <v>15</v>
      </c>
      <c r="K1437" s="14">
        <v>241</v>
      </c>
      <c r="L1437" s="15">
        <v>45397</v>
      </c>
      <c r="M1437" s="16">
        <v>1</v>
      </c>
      <c r="N143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7" s="31">
        <f>IF(Table64[[#This Row],[date validity flag]]&lt;&gt;"Valid","",Table64[[#This Row],[shipment date ]]-Table64[[#This Row],[Order date]])</f>
        <v>60</v>
      </c>
      <c r="P1437" s="27" t="str">
        <f>TEXT(Table64[[#This Row],[Order date]],"mmm-yyyy")</f>
        <v>Feb-2024</v>
      </c>
      <c r="Q1437" s="16" t="str">
        <f t="shared" si="22"/>
        <v>Delayed</v>
      </c>
    </row>
    <row r="1438" spans="1:17" x14ac:dyDescent="0.3">
      <c r="A1438" s="12">
        <v>11437</v>
      </c>
      <c r="B1438" s="1">
        <v>5132</v>
      </c>
      <c r="C1438" s="1" t="s">
        <v>16</v>
      </c>
      <c r="D1438" s="2">
        <v>66001.7</v>
      </c>
      <c r="E1438" s="1">
        <v>46</v>
      </c>
      <c r="F1438" s="1" t="s">
        <v>13</v>
      </c>
      <c r="G1438" s="3">
        <v>45383</v>
      </c>
      <c r="H1438" s="2">
        <v>55859.67</v>
      </c>
      <c r="I1438" s="13" t="s">
        <v>20</v>
      </c>
      <c r="J1438" s="14" t="s">
        <v>18</v>
      </c>
      <c r="K1438" s="14">
        <v>640</v>
      </c>
      <c r="L1438" s="15">
        <v>45332</v>
      </c>
      <c r="M1438" s="16">
        <v>9</v>
      </c>
      <c r="N143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38" s="31" t="str">
        <f>IF(Table64[[#This Row],[date validity flag]]&lt;&gt;"Valid","",Table64[[#This Row],[shipment date ]]-Table64[[#This Row],[Order date]])</f>
        <v/>
      </c>
      <c r="P1438" s="27" t="str">
        <f>TEXT(Table64[[#This Row],[Order date]],"mmm-yyyy")</f>
        <v>Apr-2024</v>
      </c>
      <c r="Q1438" s="16" t="str">
        <f t="shared" si="22"/>
        <v/>
      </c>
    </row>
    <row r="1439" spans="1:17" x14ac:dyDescent="0.3">
      <c r="A1439" s="17">
        <v>11438</v>
      </c>
      <c r="B1439" s="4">
        <v>5601</v>
      </c>
      <c r="C1439" s="4" t="s">
        <v>16</v>
      </c>
      <c r="D1439" s="5">
        <v>57701.15</v>
      </c>
      <c r="E1439" s="4">
        <v>28</v>
      </c>
      <c r="F1439" s="4" t="s">
        <v>22</v>
      </c>
      <c r="G1439" s="6">
        <v>45306</v>
      </c>
      <c r="H1439" s="5">
        <v>134673.35</v>
      </c>
      <c r="I1439" s="18" t="s">
        <v>17</v>
      </c>
      <c r="J1439" s="14" t="s">
        <v>19</v>
      </c>
      <c r="K1439" s="14">
        <v>639</v>
      </c>
      <c r="L1439" s="15">
        <v>45332</v>
      </c>
      <c r="M1439" s="16">
        <v>4</v>
      </c>
      <c r="N143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39" s="31">
        <f>IF(Table64[[#This Row],[date validity flag]]&lt;&gt;"Valid","",Table64[[#This Row],[shipment date ]]-Table64[[#This Row],[Order date]])</f>
        <v>26</v>
      </c>
      <c r="P1439" s="27" t="str">
        <f>TEXT(Table64[[#This Row],[Order date]],"mmm-yyyy")</f>
        <v>Jan-2024</v>
      </c>
      <c r="Q1439" s="16" t="str">
        <f t="shared" si="22"/>
        <v>Delayed</v>
      </c>
    </row>
    <row r="1440" spans="1:17" x14ac:dyDescent="0.3">
      <c r="A1440" s="12">
        <v>11439</v>
      </c>
      <c r="B1440" s="1">
        <v>6773</v>
      </c>
      <c r="C1440" s="1" t="s">
        <v>16</v>
      </c>
      <c r="D1440" s="2">
        <v>52043.63</v>
      </c>
      <c r="E1440" s="1">
        <v>91</v>
      </c>
      <c r="F1440" s="1" t="s">
        <v>13</v>
      </c>
      <c r="G1440" s="3">
        <v>45306</v>
      </c>
      <c r="H1440" s="2">
        <v>65816.929999999993</v>
      </c>
      <c r="I1440" s="13" t="s">
        <v>20</v>
      </c>
      <c r="J1440" s="14" t="s">
        <v>19</v>
      </c>
      <c r="K1440" s="14">
        <v>708</v>
      </c>
      <c r="L1440" s="15">
        <v>45332</v>
      </c>
      <c r="M1440" s="16">
        <v>9</v>
      </c>
      <c r="N144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40" s="31">
        <f>IF(Table64[[#This Row],[date validity flag]]&lt;&gt;"Valid","",Table64[[#This Row],[shipment date ]]-Table64[[#This Row],[Order date]])</f>
        <v>26</v>
      </c>
      <c r="P1440" s="27" t="str">
        <f>TEXT(Table64[[#This Row],[Order date]],"mmm-yyyy")</f>
        <v>Jan-2024</v>
      </c>
      <c r="Q1440" s="16" t="str">
        <f t="shared" si="22"/>
        <v>Delayed</v>
      </c>
    </row>
    <row r="1441" spans="1:17" x14ac:dyDescent="0.3">
      <c r="A1441" s="17">
        <v>11440</v>
      </c>
      <c r="B1441" s="4">
        <v>6066</v>
      </c>
      <c r="C1441" s="4" t="s">
        <v>16</v>
      </c>
      <c r="D1441" s="5">
        <v>84014.89</v>
      </c>
      <c r="E1441" s="4">
        <v>68</v>
      </c>
      <c r="F1441" s="4" t="s">
        <v>22</v>
      </c>
      <c r="G1441" s="6">
        <v>45383</v>
      </c>
      <c r="H1441" s="5">
        <v>44850.32</v>
      </c>
      <c r="I1441" s="18" t="s">
        <v>14</v>
      </c>
      <c r="J1441" s="14" t="s">
        <v>19</v>
      </c>
      <c r="K1441" s="14">
        <v>156</v>
      </c>
      <c r="L1441" s="15">
        <v>45361</v>
      </c>
      <c r="M1441" s="16">
        <v>11</v>
      </c>
      <c r="N144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41" s="31" t="str">
        <f>IF(Table64[[#This Row],[date validity flag]]&lt;&gt;"Valid","",Table64[[#This Row],[shipment date ]]-Table64[[#This Row],[Order date]])</f>
        <v/>
      </c>
      <c r="P1441" s="27" t="str">
        <f>TEXT(Table64[[#This Row],[Order date]],"mmm-yyyy")</f>
        <v>Apr-2024</v>
      </c>
      <c r="Q1441" s="16" t="str">
        <f t="shared" si="22"/>
        <v/>
      </c>
    </row>
    <row r="1442" spans="1:17" x14ac:dyDescent="0.3">
      <c r="A1442" s="12">
        <v>11441</v>
      </c>
      <c r="B1442" s="1">
        <v>5089</v>
      </c>
      <c r="C1442" s="1" t="s">
        <v>16</v>
      </c>
      <c r="D1442" s="2">
        <v>52494.82</v>
      </c>
      <c r="E1442" s="1">
        <v>15</v>
      </c>
      <c r="F1442" s="1" t="s">
        <v>22</v>
      </c>
      <c r="G1442" s="3">
        <v>45306</v>
      </c>
      <c r="H1442" s="2">
        <v>26747.22</v>
      </c>
      <c r="I1442" s="13" t="s">
        <v>20</v>
      </c>
      <c r="J1442" s="14" t="s">
        <v>15</v>
      </c>
      <c r="K1442" s="14">
        <v>431</v>
      </c>
      <c r="L1442" s="15">
        <v>45397</v>
      </c>
      <c r="M1442" s="16">
        <v>5</v>
      </c>
      <c r="N144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42" s="31">
        <f>IF(Table64[[#This Row],[date validity flag]]&lt;&gt;"Valid","",Table64[[#This Row],[shipment date ]]-Table64[[#This Row],[Order date]])</f>
        <v>91</v>
      </c>
      <c r="P1442" s="27" t="str">
        <f>TEXT(Table64[[#This Row],[Order date]],"mmm-yyyy")</f>
        <v>Jan-2024</v>
      </c>
      <c r="Q1442" s="16" t="str">
        <f t="shared" si="22"/>
        <v>Delayed</v>
      </c>
    </row>
    <row r="1443" spans="1:17" x14ac:dyDescent="0.3">
      <c r="A1443" s="17">
        <v>11442</v>
      </c>
      <c r="B1443" s="4">
        <v>5402</v>
      </c>
      <c r="C1443" s="4" t="s">
        <v>16</v>
      </c>
      <c r="D1443" s="5">
        <v>20301.39</v>
      </c>
      <c r="E1443" s="4">
        <v>99</v>
      </c>
      <c r="F1443" s="4" t="s">
        <v>23</v>
      </c>
      <c r="G1443" s="6">
        <v>45337</v>
      </c>
      <c r="H1443" s="5">
        <v>63362.39</v>
      </c>
      <c r="I1443" s="18" t="s">
        <v>17</v>
      </c>
      <c r="J1443" s="14" t="s">
        <v>19</v>
      </c>
      <c r="K1443" s="14">
        <v>832</v>
      </c>
      <c r="L1443" s="15">
        <v>45361</v>
      </c>
      <c r="M1443" s="16">
        <v>7</v>
      </c>
      <c r="N144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43" s="31">
        <f>IF(Table64[[#This Row],[date validity flag]]&lt;&gt;"Valid","",Table64[[#This Row],[shipment date ]]-Table64[[#This Row],[Order date]])</f>
        <v>24</v>
      </c>
      <c r="P1443" s="27" t="str">
        <f>TEXT(Table64[[#This Row],[Order date]],"mmm-yyyy")</f>
        <v>Feb-2024</v>
      </c>
      <c r="Q1443" s="16" t="str">
        <f t="shared" si="22"/>
        <v>Delayed</v>
      </c>
    </row>
    <row r="1444" spans="1:17" x14ac:dyDescent="0.3">
      <c r="A1444" s="12">
        <v>11443</v>
      </c>
      <c r="B1444" s="1">
        <v>5296</v>
      </c>
      <c r="C1444" s="1" t="s">
        <v>16</v>
      </c>
      <c r="D1444" s="2">
        <v>55337.41</v>
      </c>
      <c r="E1444" s="1">
        <v>37</v>
      </c>
      <c r="F1444" s="1" t="s">
        <v>22</v>
      </c>
      <c r="G1444" s="3">
        <v>45361</v>
      </c>
      <c r="H1444" s="2">
        <v>75308.33</v>
      </c>
      <c r="I1444" s="13" t="s">
        <v>20</v>
      </c>
      <c r="J1444" s="14" t="s">
        <v>15</v>
      </c>
      <c r="K1444" s="14">
        <v>439</v>
      </c>
      <c r="L1444" s="15">
        <v>45361</v>
      </c>
      <c r="M1444" s="16">
        <v>1</v>
      </c>
      <c r="N144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44" s="31">
        <f>IF(Table64[[#This Row],[date validity flag]]&lt;&gt;"Valid","",Table64[[#This Row],[shipment date ]]-Table64[[#This Row],[Order date]])</f>
        <v>0</v>
      </c>
      <c r="P1444" s="27" t="str">
        <f>TEXT(Table64[[#This Row],[Order date]],"mmm-yyyy")</f>
        <v>Mar-2024</v>
      </c>
      <c r="Q1444" s="16" t="str">
        <f t="shared" si="22"/>
        <v>On Time</v>
      </c>
    </row>
    <row r="1445" spans="1:17" x14ac:dyDescent="0.3">
      <c r="A1445" s="17">
        <v>11444</v>
      </c>
      <c r="B1445" s="4">
        <v>6864</v>
      </c>
      <c r="C1445" s="4" t="s">
        <v>16</v>
      </c>
      <c r="D1445" s="5">
        <v>24320.080000000002</v>
      </c>
      <c r="E1445" s="4">
        <v>1</v>
      </c>
      <c r="F1445" s="4" t="s">
        <v>22</v>
      </c>
      <c r="G1445" s="6">
        <v>45383</v>
      </c>
      <c r="H1445" s="5">
        <v>138852.13</v>
      </c>
      <c r="I1445" s="18" t="s">
        <v>17</v>
      </c>
      <c r="J1445" s="14" t="s">
        <v>18</v>
      </c>
      <c r="K1445" s="14">
        <v>293</v>
      </c>
      <c r="L1445" s="15">
        <v>45332</v>
      </c>
      <c r="M1445" s="16">
        <v>6</v>
      </c>
      <c r="N144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45" s="31" t="str">
        <f>IF(Table64[[#This Row],[date validity flag]]&lt;&gt;"Valid","",Table64[[#This Row],[shipment date ]]-Table64[[#This Row],[Order date]])</f>
        <v/>
      </c>
      <c r="P1445" s="27" t="str">
        <f>TEXT(Table64[[#This Row],[Order date]],"mmm-yyyy")</f>
        <v>Apr-2024</v>
      </c>
      <c r="Q1445" s="16" t="str">
        <f t="shared" si="22"/>
        <v/>
      </c>
    </row>
    <row r="1446" spans="1:17" x14ac:dyDescent="0.3">
      <c r="A1446" s="12">
        <v>11445</v>
      </c>
      <c r="B1446" s="1">
        <v>6319</v>
      </c>
      <c r="C1446" s="1" t="s">
        <v>16</v>
      </c>
      <c r="D1446" s="2">
        <v>87098.28</v>
      </c>
      <c r="E1446" s="1">
        <v>67</v>
      </c>
      <c r="F1446" s="1" t="s">
        <v>23</v>
      </c>
      <c r="G1446" s="3">
        <v>45337</v>
      </c>
      <c r="H1446" s="2">
        <v>104937.78</v>
      </c>
      <c r="I1446" s="13" t="s">
        <v>17</v>
      </c>
      <c r="J1446" s="14" t="s">
        <v>19</v>
      </c>
      <c r="K1446" s="14">
        <v>634</v>
      </c>
      <c r="L1446" s="15">
        <v>45361</v>
      </c>
      <c r="M1446" s="16">
        <v>8</v>
      </c>
      <c r="N144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46" s="31">
        <f>IF(Table64[[#This Row],[date validity flag]]&lt;&gt;"Valid","",Table64[[#This Row],[shipment date ]]-Table64[[#This Row],[Order date]])</f>
        <v>24</v>
      </c>
      <c r="P1446" s="27" t="str">
        <f>TEXT(Table64[[#This Row],[Order date]],"mmm-yyyy")</f>
        <v>Feb-2024</v>
      </c>
      <c r="Q1446" s="16" t="str">
        <f t="shared" si="22"/>
        <v>Delayed</v>
      </c>
    </row>
    <row r="1447" spans="1:17" x14ac:dyDescent="0.3">
      <c r="A1447" s="17">
        <v>11446</v>
      </c>
      <c r="B1447" s="4">
        <v>5616</v>
      </c>
      <c r="C1447" s="4" t="s">
        <v>16</v>
      </c>
      <c r="D1447" s="5">
        <v>63308.82</v>
      </c>
      <c r="E1447" s="4">
        <v>24</v>
      </c>
      <c r="F1447" s="4" t="s">
        <v>13</v>
      </c>
      <c r="G1447" s="6">
        <v>45383</v>
      </c>
      <c r="H1447" s="5">
        <v>103178.98</v>
      </c>
      <c r="I1447" s="18" t="s">
        <v>17</v>
      </c>
      <c r="J1447" s="14" t="s">
        <v>19</v>
      </c>
      <c r="K1447" s="14">
        <v>918</v>
      </c>
      <c r="L1447" s="15">
        <v>45332</v>
      </c>
      <c r="M1447" s="16">
        <v>14</v>
      </c>
      <c r="N1447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47" s="31" t="str">
        <f>IF(Table64[[#This Row],[date validity flag]]&lt;&gt;"Valid","",Table64[[#This Row],[shipment date ]]-Table64[[#This Row],[Order date]])</f>
        <v/>
      </c>
      <c r="P1447" s="27" t="str">
        <f>TEXT(Table64[[#This Row],[Order date]],"mmm-yyyy")</f>
        <v>Apr-2024</v>
      </c>
      <c r="Q1447" s="16" t="str">
        <f t="shared" si="22"/>
        <v/>
      </c>
    </row>
    <row r="1448" spans="1:17" x14ac:dyDescent="0.3">
      <c r="A1448" s="12">
        <v>11447</v>
      </c>
      <c r="B1448" s="1">
        <v>6550</v>
      </c>
      <c r="C1448" s="1" t="s">
        <v>12</v>
      </c>
      <c r="D1448" s="2">
        <v>96550.98</v>
      </c>
      <c r="E1448" s="1">
        <v>27</v>
      </c>
      <c r="F1448" s="1" t="s">
        <v>21</v>
      </c>
      <c r="G1448" s="3">
        <v>45383</v>
      </c>
      <c r="H1448" s="2">
        <v>28739.25</v>
      </c>
      <c r="I1448" s="13" t="s">
        <v>17</v>
      </c>
      <c r="J1448" s="14" t="s">
        <v>19</v>
      </c>
      <c r="K1448" s="14">
        <v>517</v>
      </c>
      <c r="L1448" s="15">
        <v>45397</v>
      </c>
      <c r="M1448" s="16">
        <v>1</v>
      </c>
      <c r="N144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48" s="31">
        <f>IF(Table64[[#This Row],[date validity flag]]&lt;&gt;"Valid","",Table64[[#This Row],[shipment date ]]-Table64[[#This Row],[Order date]])</f>
        <v>14</v>
      </c>
      <c r="P1448" s="27" t="str">
        <f>TEXT(Table64[[#This Row],[Order date]],"mmm-yyyy")</f>
        <v>Apr-2024</v>
      </c>
      <c r="Q1448" s="16" t="str">
        <f t="shared" si="22"/>
        <v>Delayed</v>
      </c>
    </row>
    <row r="1449" spans="1:17" x14ac:dyDescent="0.3">
      <c r="A1449" s="17">
        <v>11448</v>
      </c>
      <c r="B1449" s="4">
        <v>5800</v>
      </c>
      <c r="C1449" s="4" t="s">
        <v>16</v>
      </c>
      <c r="D1449" s="5">
        <v>29256.93</v>
      </c>
      <c r="E1449" s="4">
        <v>40</v>
      </c>
      <c r="F1449" s="4" t="s">
        <v>21</v>
      </c>
      <c r="G1449" s="6">
        <v>45306</v>
      </c>
      <c r="H1449" s="5">
        <v>41990.35</v>
      </c>
      <c r="I1449" s="18" t="s">
        <v>17</v>
      </c>
      <c r="J1449" s="14" t="s">
        <v>18</v>
      </c>
      <c r="K1449" s="14">
        <v>915</v>
      </c>
      <c r="L1449" s="15">
        <v>45361</v>
      </c>
      <c r="M1449" s="16">
        <v>9</v>
      </c>
      <c r="N144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49" s="31">
        <f>IF(Table64[[#This Row],[date validity flag]]&lt;&gt;"Valid","",Table64[[#This Row],[shipment date ]]-Table64[[#This Row],[Order date]])</f>
        <v>55</v>
      </c>
      <c r="P1449" s="27" t="str">
        <f>TEXT(Table64[[#This Row],[Order date]],"mmm-yyyy")</f>
        <v>Jan-2024</v>
      </c>
      <c r="Q1449" s="16" t="str">
        <f t="shared" si="22"/>
        <v>Delayed</v>
      </c>
    </row>
    <row r="1450" spans="1:17" x14ac:dyDescent="0.3">
      <c r="A1450" s="12">
        <v>11449</v>
      </c>
      <c r="B1450" s="1">
        <v>6715</v>
      </c>
      <c r="C1450" s="1" t="s">
        <v>16</v>
      </c>
      <c r="D1450" s="2">
        <v>62495.49</v>
      </c>
      <c r="E1450" s="1">
        <v>63</v>
      </c>
      <c r="F1450" s="1" t="s">
        <v>21</v>
      </c>
      <c r="G1450" s="3">
        <v>45306</v>
      </c>
      <c r="H1450" s="2">
        <v>23103.63</v>
      </c>
      <c r="I1450" s="13" t="s">
        <v>14</v>
      </c>
      <c r="J1450" s="14" t="s">
        <v>19</v>
      </c>
      <c r="K1450" s="14">
        <v>983</v>
      </c>
      <c r="L1450" s="15">
        <v>45361</v>
      </c>
      <c r="M1450" s="16">
        <v>3</v>
      </c>
      <c r="N145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0" s="31">
        <f>IF(Table64[[#This Row],[date validity flag]]&lt;&gt;"Valid","",Table64[[#This Row],[shipment date ]]-Table64[[#This Row],[Order date]])</f>
        <v>55</v>
      </c>
      <c r="P1450" s="27" t="str">
        <f>TEXT(Table64[[#This Row],[Order date]],"mmm-yyyy")</f>
        <v>Jan-2024</v>
      </c>
      <c r="Q1450" s="16" t="str">
        <f t="shared" si="22"/>
        <v>Delayed</v>
      </c>
    </row>
    <row r="1451" spans="1:17" x14ac:dyDescent="0.3">
      <c r="A1451" s="17">
        <v>11450</v>
      </c>
      <c r="B1451" s="4">
        <v>6661</v>
      </c>
      <c r="C1451" s="4" t="s">
        <v>16</v>
      </c>
      <c r="D1451" s="5">
        <v>47262.16</v>
      </c>
      <c r="E1451" s="4">
        <v>61</v>
      </c>
      <c r="F1451" s="4" t="s">
        <v>13</v>
      </c>
      <c r="G1451" s="6">
        <v>45337</v>
      </c>
      <c r="H1451" s="5">
        <v>145155.6</v>
      </c>
      <c r="I1451" s="18" t="s">
        <v>20</v>
      </c>
      <c r="J1451" s="14" t="s">
        <v>15</v>
      </c>
      <c r="K1451" s="14">
        <v>1283</v>
      </c>
      <c r="L1451" s="15">
        <v>45361</v>
      </c>
      <c r="M1451" s="16">
        <v>1</v>
      </c>
      <c r="N145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1" s="31">
        <f>IF(Table64[[#This Row],[date validity flag]]&lt;&gt;"Valid","",Table64[[#This Row],[shipment date ]]-Table64[[#This Row],[Order date]])</f>
        <v>24</v>
      </c>
      <c r="P1451" s="27" t="str">
        <f>TEXT(Table64[[#This Row],[Order date]],"mmm-yyyy")</f>
        <v>Feb-2024</v>
      </c>
      <c r="Q1451" s="16" t="str">
        <f t="shared" si="22"/>
        <v>Delayed</v>
      </c>
    </row>
    <row r="1452" spans="1:17" x14ac:dyDescent="0.3">
      <c r="A1452" s="12">
        <v>11451</v>
      </c>
      <c r="B1452" s="1">
        <v>5422</v>
      </c>
      <c r="C1452" s="1" t="s">
        <v>16</v>
      </c>
      <c r="D1452" s="2">
        <v>70792.490000000005</v>
      </c>
      <c r="E1452" s="1">
        <v>36</v>
      </c>
      <c r="F1452" s="1" t="s">
        <v>22</v>
      </c>
      <c r="G1452" s="3">
        <v>45383</v>
      </c>
      <c r="H1452" s="2">
        <v>120085.43</v>
      </c>
      <c r="I1452" s="13" t="s">
        <v>17</v>
      </c>
      <c r="J1452" s="14" t="s">
        <v>18</v>
      </c>
      <c r="K1452" s="14">
        <v>653</v>
      </c>
      <c r="L1452" s="15">
        <v>45332</v>
      </c>
      <c r="M1452" s="16">
        <v>1</v>
      </c>
      <c r="N145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52" s="31" t="str">
        <f>IF(Table64[[#This Row],[date validity flag]]&lt;&gt;"Valid","",Table64[[#This Row],[shipment date ]]-Table64[[#This Row],[Order date]])</f>
        <v/>
      </c>
      <c r="P1452" s="27" t="str">
        <f>TEXT(Table64[[#This Row],[Order date]],"mmm-yyyy")</f>
        <v>Apr-2024</v>
      </c>
      <c r="Q1452" s="16" t="str">
        <f t="shared" si="22"/>
        <v/>
      </c>
    </row>
    <row r="1453" spans="1:17" x14ac:dyDescent="0.3">
      <c r="A1453" s="17">
        <v>11452</v>
      </c>
      <c r="B1453" s="4">
        <v>6889</v>
      </c>
      <c r="C1453" s="4" t="s">
        <v>16</v>
      </c>
      <c r="D1453" s="5">
        <v>28825.1</v>
      </c>
      <c r="E1453" s="4">
        <v>98</v>
      </c>
      <c r="F1453" s="4" t="s">
        <v>21</v>
      </c>
      <c r="G1453" s="6">
        <v>45306</v>
      </c>
      <c r="H1453" s="5">
        <v>146917.45000000001</v>
      </c>
      <c r="I1453" s="18" t="s">
        <v>17</v>
      </c>
      <c r="J1453" s="14" t="s">
        <v>18</v>
      </c>
      <c r="K1453" s="14">
        <v>1064</v>
      </c>
      <c r="L1453" s="15">
        <v>45332</v>
      </c>
      <c r="M1453" s="16">
        <v>13</v>
      </c>
      <c r="N145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3" s="31">
        <f>IF(Table64[[#This Row],[date validity flag]]&lt;&gt;"Valid","",Table64[[#This Row],[shipment date ]]-Table64[[#This Row],[Order date]])</f>
        <v>26</v>
      </c>
      <c r="P1453" s="27" t="str">
        <f>TEXT(Table64[[#This Row],[Order date]],"mmm-yyyy")</f>
        <v>Jan-2024</v>
      </c>
      <c r="Q1453" s="16" t="str">
        <f t="shared" si="22"/>
        <v>Delayed</v>
      </c>
    </row>
    <row r="1454" spans="1:17" x14ac:dyDescent="0.3">
      <c r="A1454" s="12">
        <v>11453</v>
      </c>
      <c r="B1454" s="1">
        <v>6047</v>
      </c>
      <c r="C1454" s="1" t="s">
        <v>12</v>
      </c>
      <c r="D1454" s="2">
        <v>35882.9</v>
      </c>
      <c r="E1454" s="1">
        <v>93</v>
      </c>
      <c r="F1454" s="1" t="s">
        <v>13</v>
      </c>
      <c r="G1454" s="3">
        <v>45306</v>
      </c>
      <c r="H1454" s="2">
        <v>42259.94</v>
      </c>
      <c r="I1454" s="13" t="s">
        <v>17</v>
      </c>
      <c r="J1454" s="14" t="s">
        <v>18</v>
      </c>
      <c r="K1454" s="14">
        <v>1146</v>
      </c>
      <c r="L1454" s="15">
        <v>45361</v>
      </c>
      <c r="M1454" s="16">
        <v>14</v>
      </c>
      <c r="N145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4" s="31">
        <f>IF(Table64[[#This Row],[date validity flag]]&lt;&gt;"Valid","",Table64[[#This Row],[shipment date ]]-Table64[[#This Row],[Order date]])</f>
        <v>55</v>
      </c>
      <c r="P1454" s="27" t="str">
        <f>TEXT(Table64[[#This Row],[Order date]],"mmm-yyyy")</f>
        <v>Jan-2024</v>
      </c>
      <c r="Q1454" s="16" t="str">
        <f t="shared" si="22"/>
        <v>Delayed</v>
      </c>
    </row>
    <row r="1455" spans="1:17" x14ac:dyDescent="0.3">
      <c r="A1455" s="17">
        <v>11454</v>
      </c>
      <c r="B1455" s="4">
        <v>5575</v>
      </c>
      <c r="C1455" s="4" t="s">
        <v>16</v>
      </c>
      <c r="D1455" s="5">
        <v>30450.65</v>
      </c>
      <c r="E1455" s="4">
        <v>24</v>
      </c>
      <c r="F1455" s="4" t="s">
        <v>22</v>
      </c>
      <c r="G1455" s="6">
        <v>45383</v>
      </c>
      <c r="H1455" s="5">
        <v>42966.21</v>
      </c>
      <c r="I1455" s="18" t="s">
        <v>14</v>
      </c>
      <c r="J1455" s="14" t="s">
        <v>18</v>
      </c>
      <c r="K1455" s="14">
        <v>1382</v>
      </c>
      <c r="L1455" s="15">
        <v>45361</v>
      </c>
      <c r="M1455" s="16">
        <v>11</v>
      </c>
      <c r="N145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55" s="31" t="str">
        <f>IF(Table64[[#This Row],[date validity flag]]&lt;&gt;"Valid","",Table64[[#This Row],[shipment date ]]-Table64[[#This Row],[Order date]])</f>
        <v/>
      </c>
      <c r="P1455" s="27" t="str">
        <f>TEXT(Table64[[#This Row],[Order date]],"mmm-yyyy")</f>
        <v>Apr-2024</v>
      </c>
      <c r="Q1455" s="16" t="str">
        <f t="shared" si="22"/>
        <v/>
      </c>
    </row>
    <row r="1456" spans="1:17" x14ac:dyDescent="0.3">
      <c r="A1456" s="12">
        <v>11455</v>
      </c>
      <c r="B1456" s="1">
        <v>5143</v>
      </c>
      <c r="C1456" s="1" t="s">
        <v>16</v>
      </c>
      <c r="D1456" s="2">
        <v>40578.25</v>
      </c>
      <c r="E1456" s="1">
        <v>24</v>
      </c>
      <c r="F1456" s="1" t="s">
        <v>23</v>
      </c>
      <c r="G1456" s="3">
        <v>45337</v>
      </c>
      <c r="H1456" s="2">
        <v>60535.55</v>
      </c>
      <c r="I1456" s="13" t="s">
        <v>14</v>
      </c>
      <c r="J1456" s="14" t="s">
        <v>18</v>
      </c>
      <c r="K1456" s="14">
        <v>909</v>
      </c>
      <c r="L1456" s="15">
        <v>45397</v>
      </c>
      <c r="M1456" s="16">
        <v>6</v>
      </c>
      <c r="N145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6" s="31">
        <f>IF(Table64[[#This Row],[date validity flag]]&lt;&gt;"Valid","",Table64[[#This Row],[shipment date ]]-Table64[[#This Row],[Order date]])</f>
        <v>60</v>
      </c>
      <c r="P1456" s="27" t="str">
        <f>TEXT(Table64[[#This Row],[Order date]],"mmm-yyyy")</f>
        <v>Feb-2024</v>
      </c>
      <c r="Q1456" s="16" t="str">
        <f t="shared" si="22"/>
        <v>Delayed</v>
      </c>
    </row>
    <row r="1457" spans="1:17" x14ac:dyDescent="0.3">
      <c r="A1457" s="17">
        <v>11456</v>
      </c>
      <c r="B1457" s="4">
        <v>5993</v>
      </c>
      <c r="C1457" s="4" t="s">
        <v>12</v>
      </c>
      <c r="D1457" s="5">
        <v>43099.63</v>
      </c>
      <c r="E1457" s="4">
        <v>4</v>
      </c>
      <c r="F1457" s="4" t="s">
        <v>21</v>
      </c>
      <c r="G1457" s="6">
        <v>45337</v>
      </c>
      <c r="H1457" s="5">
        <v>97371.45</v>
      </c>
      <c r="I1457" s="18" t="s">
        <v>17</v>
      </c>
      <c r="J1457" s="14" t="s">
        <v>15</v>
      </c>
      <c r="K1457" s="14">
        <v>1259</v>
      </c>
      <c r="L1457" s="15">
        <v>45397</v>
      </c>
      <c r="M1457" s="16">
        <v>11</v>
      </c>
      <c r="N145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7" s="31">
        <f>IF(Table64[[#This Row],[date validity flag]]&lt;&gt;"Valid","",Table64[[#This Row],[shipment date ]]-Table64[[#This Row],[Order date]])</f>
        <v>60</v>
      </c>
      <c r="P1457" s="27" t="str">
        <f>TEXT(Table64[[#This Row],[Order date]],"mmm-yyyy")</f>
        <v>Feb-2024</v>
      </c>
      <c r="Q1457" s="16" t="str">
        <f t="shared" si="22"/>
        <v>Delayed</v>
      </c>
    </row>
    <row r="1458" spans="1:17" x14ac:dyDescent="0.3">
      <c r="A1458" s="12">
        <v>11457</v>
      </c>
      <c r="B1458" s="1">
        <v>5665</v>
      </c>
      <c r="C1458" s="1" t="s">
        <v>16</v>
      </c>
      <c r="D1458" s="2">
        <v>46539.59</v>
      </c>
      <c r="E1458" s="1">
        <v>67</v>
      </c>
      <c r="F1458" s="1" t="s">
        <v>22</v>
      </c>
      <c r="G1458" s="3">
        <v>45383</v>
      </c>
      <c r="H1458" s="2">
        <v>69779.16</v>
      </c>
      <c r="I1458" s="13" t="s">
        <v>14</v>
      </c>
      <c r="J1458" s="14" t="s">
        <v>18</v>
      </c>
      <c r="K1458" s="14">
        <v>1326</v>
      </c>
      <c r="L1458" s="15">
        <v>45397</v>
      </c>
      <c r="M1458" s="16">
        <v>6</v>
      </c>
      <c r="N145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8" s="31">
        <f>IF(Table64[[#This Row],[date validity flag]]&lt;&gt;"Valid","",Table64[[#This Row],[shipment date ]]-Table64[[#This Row],[Order date]])</f>
        <v>14</v>
      </c>
      <c r="P1458" s="27" t="str">
        <f>TEXT(Table64[[#This Row],[Order date]],"mmm-yyyy")</f>
        <v>Apr-2024</v>
      </c>
      <c r="Q1458" s="16" t="str">
        <f t="shared" si="22"/>
        <v>Delayed</v>
      </c>
    </row>
    <row r="1459" spans="1:17" x14ac:dyDescent="0.3">
      <c r="A1459" s="17">
        <v>11458</v>
      </c>
      <c r="B1459" s="4">
        <v>5145</v>
      </c>
      <c r="C1459" s="4" t="s">
        <v>16</v>
      </c>
      <c r="D1459" s="5">
        <v>74628.429999999993</v>
      </c>
      <c r="E1459" s="4">
        <v>34</v>
      </c>
      <c r="F1459" s="4" t="s">
        <v>21</v>
      </c>
      <c r="G1459" s="6">
        <v>45337</v>
      </c>
      <c r="H1459" s="5">
        <v>168830.79</v>
      </c>
      <c r="I1459" s="18" t="s">
        <v>20</v>
      </c>
      <c r="J1459" s="14" t="s">
        <v>19</v>
      </c>
      <c r="K1459" s="14">
        <v>62</v>
      </c>
      <c r="L1459" s="15">
        <v>45397</v>
      </c>
      <c r="M1459" s="16">
        <v>1</v>
      </c>
      <c r="N145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59" s="31">
        <f>IF(Table64[[#This Row],[date validity flag]]&lt;&gt;"Valid","",Table64[[#This Row],[shipment date ]]-Table64[[#This Row],[Order date]])</f>
        <v>60</v>
      </c>
      <c r="P1459" s="27" t="str">
        <f>TEXT(Table64[[#This Row],[Order date]],"mmm-yyyy")</f>
        <v>Feb-2024</v>
      </c>
      <c r="Q1459" s="16" t="str">
        <f t="shared" si="22"/>
        <v>Delayed</v>
      </c>
    </row>
    <row r="1460" spans="1:17" x14ac:dyDescent="0.3">
      <c r="A1460" s="12">
        <v>11459</v>
      </c>
      <c r="B1460" s="1">
        <v>6249</v>
      </c>
      <c r="C1460" s="1" t="s">
        <v>16</v>
      </c>
      <c r="D1460" s="2">
        <v>28352.82</v>
      </c>
      <c r="E1460" s="1">
        <v>57</v>
      </c>
      <c r="F1460" s="1" t="s">
        <v>21</v>
      </c>
      <c r="G1460" s="3">
        <v>45306</v>
      </c>
      <c r="H1460" s="2">
        <v>85687.34</v>
      </c>
      <c r="I1460" s="13" t="s">
        <v>17</v>
      </c>
      <c r="J1460" s="14" t="s">
        <v>18</v>
      </c>
      <c r="K1460" s="14">
        <v>348</v>
      </c>
      <c r="L1460" s="15">
        <v>45397</v>
      </c>
      <c r="M1460" s="16">
        <v>14</v>
      </c>
      <c r="N146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0" s="31">
        <f>IF(Table64[[#This Row],[date validity flag]]&lt;&gt;"Valid","",Table64[[#This Row],[shipment date ]]-Table64[[#This Row],[Order date]])</f>
        <v>91</v>
      </c>
      <c r="P1460" s="27" t="str">
        <f>TEXT(Table64[[#This Row],[Order date]],"mmm-yyyy")</f>
        <v>Jan-2024</v>
      </c>
      <c r="Q1460" s="16" t="str">
        <f t="shared" si="22"/>
        <v>Delayed</v>
      </c>
    </row>
    <row r="1461" spans="1:17" x14ac:dyDescent="0.3">
      <c r="A1461" s="17">
        <v>11460</v>
      </c>
      <c r="B1461" s="4">
        <v>6007</v>
      </c>
      <c r="C1461" s="4" t="s">
        <v>16</v>
      </c>
      <c r="D1461" s="5">
        <v>42332.42</v>
      </c>
      <c r="E1461" s="4">
        <v>49</v>
      </c>
      <c r="F1461" s="4" t="s">
        <v>21</v>
      </c>
      <c r="G1461" s="6">
        <v>45383</v>
      </c>
      <c r="H1461" s="5">
        <v>27196.19</v>
      </c>
      <c r="I1461" s="18" t="s">
        <v>17</v>
      </c>
      <c r="J1461" s="14" t="s">
        <v>18</v>
      </c>
      <c r="K1461" s="14">
        <v>1149</v>
      </c>
      <c r="L1461" s="15">
        <v>45332</v>
      </c>
      <c r="M1461" s="16">
        <v>14</v>
      </c>
      <c r="N146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61" s="31" t="str">
        <f>IF(Table64[[#This Row],[date validity flag]]&lt;&gt;"Valid","",Table64[[#This Row],[shipment date ]]-Table64[[#This Row],[Order date]])</f>
        <v/>
      </c>
      <c r="P1461" s="27" t="str">
        <f>TEXT(Table64[[#This Row],[Order date]],"mmm-yyyy")</f>
        <v>Apr-2024</v>
      </c>
      <c r="Q1461" s="16" t="str">
        <f t="shared" si="22"/>
        <v/>
      </c>
    </row>
    <row r="1462" spans="1:17" x14ac:dyDescent="0.3">
      <c r="A1462" s="12">
        <v>11461</v>
      </c>
      <c r="B1462" s="1">
        <v>5503</v>
      </c>
      <c r="C1462" s="1" t="s">
        <v>16</v>
      </c>
      <c r="D1462" s="2">
        <v>20195.560000000001</v>
      </c>
      <c r="E1462" s="1">
        <v>87</v>
      </c>
      <c r="F1462" s="1" t="s">
        <v>22</v>
      </c>
      <c r="G1462" s="3">
        <v>45306</v>
      </c>
      <c r="H1462" s="2">
        <v>59522.07</v>
      </c>
      <c r="I1462" s="13" t="s">
        <v>20</v>
      </c>
      <c r="J1462" s="14" t="s">
        <v>18</v>
      </c>
      <c r="K1462" s="14">
        <v>1124</v>
      </c>
      <c r="L1462" s="15">
        <v>45397</v>
      </c>
      <c r="M1462" s="16">
        <v>3</v>
      </c>
      <c r="N146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2" s="31">
        <f>IF(Table64[[#This Row],[date validity flag]]&lt;&gt;"Valid","",Table64[[#This Row],[shipment date ]]-Table64[[#This Row],[Order date]])</f>
        <v>91</v>
      </c>
      <c r="P1462" s="27" t="str">
        <f>TEXT(Table64[[#This Row],[Order date]],"mmm-yyyy")</f>
        <v>Jan-2024</v>
      </c>
      <c r="Q1462" s="16" t="str">
        <f t="shared" si="22"/>
        <v>Delayed</v>
      </c>
    </row>
    <row r="1463" spans="1:17" x14ac:dyDescent="0.3">
      <c r="A1463" s="17">
        <v>11462</v>
      </c>
      <c r="B1463" s="4">
        <v>6986</v>
      </c>
      <c r="C1463" s="4" t="s">
        <v>12</v>
      </c>
      <c r="D1463" s="5">
        <v>62968.22</v>
      </c>
      <c r="E1463" s="4">
        <v>53</v>
      </c>
      <c r="F1463" s="4" t="s">
        <v>13</v>
      </c>
      <c r="G1463" s="6">
        <v>45361</v>
      </c>
      <c r="H1463" s="5">
        <v>70451.350000000006</v>
      </c>
      <c r="I1463" s="18" t="s">
        <v>20</v>
      </c>
      <c r="J1463" s="14" t="s">
        <v>18</v>
      </c>
      <c r="K1463" s="14">
        <v>836</v>
      </c>
      <c r="L1463" s="15">
        <v>45397</v>
      </c>
      <c r="M1463" s="16">
        <v>7</v>
      </c>
      <c r="N146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3" s="31">
        <f>IF(Table64[[#This Row],[date validity flag]]&lt;&gt;"Valid","",Table64[[#This Row],[shipment date ]]-Table64[[#This Row],[Order date]])</f>
        <v>36</v>
      </c>
      <c r="P1463" s="27" t="str">
        <f>TEXT(Table64[[#This Row],[Order date]],"mmm-yyyy")</f>
        <v>Mar-2024</v>
      </c>
      <c r="Q1463" s="16" t="str">
        <f t="shared" si="22"/>
        <v>Delayed</v>
      </c>
    </row>
    <row r="1464" spans="1:17" x14ac:dyDescent="0.3">
      <c r="A1464" s="12">
        <v>11463</v>
      </c>
      <c r="B1464" s="1">
        <v>6998</v>
      </c>
      <c r="C1464" s="1" t="s">
        <v>12</v>
      </c>
      <c r="D1464" s="2">
        <v>41396.980000000003</v>
      </c>
      <c r="E1464" s="1">
        <v>23</v>
      </c>
      <c r="F1464" s="1" t="s">
        <v>22</v>
      </c>
      <c r="G1464" s="3">
        <v>45361</v>
      </c>
      <c r="H1464" s="2">
        <v>93653.59</v>
      </c>
      <c r="I1464" s="13" t="s">
        <v>20</v>
      </c>
      <c r="J1464" s="14" t="s">
        <v>18</v>
      </c>
      <c r="K1464" s="14">
        <v>198</v>
      </c>
      <c r="L1464" s="15">
        <v>45361</v>
      </c>
      <c r="M1464" s="16">
        <v>10</v>
      </c>
      <c r="N146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4" s="31">
        <f>IF(Table64[[#This Row],[date validity flag]]&lt;&gt;"Valid","",Table64[[#This Row],[shipment date ]]-Table64[[#This Row],[Order date]])</f>
        <v>0</v>
      </c>
      <c r="P1464" s="27" t="str">
        <f>TEXT(Table64[[#This Row],[Order date]],"mmm-yyyy")</f>
        <v>Mar-2024</v>
      </c>
      <c r="Q1464" s="16" t="str">
        <f t="shared" si="22"/>
        <v>On Time</v>
      </c>
    </row>
    <row r="1465" spans="1:17" x14ac:dyDescent="0.3">
      <c r="A1465" s="17">
        <v>11464</v>
      </c>
      <c r="B1465" s="4">
        <v>5821</v>
      </c>
      <c r="C1465" s="4" t="s">
        <v>12</v>
      </c>
      <c r="D1465" s="5">
        <v>81625.73</v>
      </c>
      <c r="E1465" s="4">
        <v>69</v>
      </c>
      <c r="F1465" s="4" t="s">
        <v>21</v>
      </c>
      <c r="G1465" s="6">
        <v>45337</v>
      </c>
      <c r="H1465" s="5">
        <v>33549.449999999997</v>
      </c>
      <c r="I1465" s="18" t="s">
        <v>17</v>
      </c>
      <c r="J1465" s="14" t="s">
        <v>15</v>
      </c>
      <c r="K1465" s="14">
        <v>171</v>
      </c>
      <c r="L1465" s="15">
        <v>45332</v>
      </c>
      <c r="M1465" s="16">
        <v>3</v>
      </c>
      <c r="N146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65" s="31" t="str">
        <f>IF(Table64[[#This Row],[date validity flag]]&lt;&gt;"Valid","",Table64[[#This Row],[shipment date ]]-Table64[[#This Row],[Order date]])</f>
        <v/>
      </c>
      <c r="P1465" s="27" t="str">
        <f>TEXT(Table64[[#This Row],[Order date]],"mmm-yyyy")</f>
        <v>Feb-2024</v>
      </c>
      <c r="Q1465" s="16" t="str">
        <f t="shared" si="22"/>
        <v/>
      </c>
    </row>
    <row r="1466" spans="1:17" x14ac:dyDescent="0.3">
      <c r="A1466" s="12">
        <v>11465</v>
      </c>
      <c r="B1466" s="1">
        <v>6640</v>
      </c>
      <c r="C1466" s="1" t="s">
        <v>16</v>
      </c>
      <c r="D1466" s="2">
        <v>21797.65</v>
      </c>
      <c r="E1466" s="1">
        <v>95</v>
      </c>
      <c r="F1466" s="1" t="s">
        <v>22</v>
      </c>
      <c r="G1466" s="3">
        <v>45361</v>
      </c>
      <c r="H1466" s="2">
        <v>111106.07</v>
      </c>
      <c r="I1466" s="13" t="s">
        <v>17</v>
      </c>
      <c r="J1466" s="14" t="s">
        <v>15</v>
      </c>
      <c r="K1466" s="14">
        <v>1284</v>
      </c>
      <c r="L1466" s="15">
        <v>45397</v>
      </c>
      <c r="M1466" s="16">
        <v>3</v>
      </c>
      <c r="N146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6" s="31">
        <f>IF(Table64[[#This Row],[date validity flag]]&lt;&gt;"Valid","",Table64[[#This Row],[shipment date ]]-Table64[[#This Row],[Order date]])</f>
        <v>36</v>
      </c>
      <c r="P1466" s="27" t="str">
        <f>TEXT(Table64[[#This Row],[Order date]],"mmm-yyyy")</f>
        <v>Mar-2024</v>
      </c>
      <c r="Q1466" s="16" t="str">
        <f t="shared" si="22"/>
        <v>Delayed</v>
      </c>
    </row>
    <row r="1467" spans="1:17" x14ac:dyDescent="0.3">
      <c r="A1467" s="17">
        <v>11466</v>
      </c>
      <c r="B1467" s="4">
        <v>5104</v>
      </c>
      <c r="C1467" s="4" t="s">
        <v>16</v>
      </c>
      <c r="D1467" s="5">
        <v>12345.91</v>
      </c>
      <c r="E1467" s="4">
        <v>53</v>
      </c>
      <c r="F1467" s="4" t="s">
        <v>23</v>
      </c>
      <c r="G1467" s="6">
        <v>45306</v>
      </c>
      <c r="H1467" s="5">
        <v>80898.38</v>
      </c>
      <c r="I1467" s="18" t="s">
        <v>17</v>
      </c>
      <c r="J1467" s="14" t="s">
        <v>18</v>
      </c>
      <c r="K1467" s="14">
        <v>1353</v>
      </c>
      <c r="L1467" s="15">
        <v>45397</v>
      </c>
      <c r="M1467" s="16">
        <v>3</v>
      </c>
      <c r="N146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7" s="31">
        <f>IF(Table64[[#This Row],[date validity flag]]&lt;&gt;"Valid","",Table64[[#This Row],[shipment date ]]-Table64[[#This Row],[Order date]])</f>
        <v>91</v>
      </c>
      <c r="P1467" s="27" t="str">
        <f>TEXT(Table64[[#This Row],[Order date]],"mmm-yyyy")</f>
        <v>Jan-2024</v>
      </c>
      <c r="Q1467" s="16" t="str">
        <f t="shared" si="22"/>
        <v>Delayed</v>
      </c>
    </row>
    <row r="1468" spans="1:17" x14ac:dyDescent="0.3">
      <c r="A1468" s="12">
        <v>11467</v>
      </c>
      <c r="B1468" s="1">
        <v>6971</v>
      </c>
      <c r="C1468" s="1" t="s">
        <v>16</v>
      </c>
      <c r="D1468" s="2">
        <v>30521.46</v>
      </c>
      <c r="E1468" s="1">
        <v>62</v>
      </c>
      <c r="F1468" s="1" t="s">
        <v>13</v>
      </c>
      <c r="G1468" s="3">
        <v>45361</v>
      </c>
      <c r="H1468" s="2">
        <v>148429.51999999999</v>
      </c>
      <c r="I1468" s="13" t="s">
        <v>20</v>
      </c>
      <c r="J1468" s="14" t="s">
        <v>15</v>
      </c>
      <c r="K1468" s="14">
        <v>587</v>
      </c>
      <c r="L1468" s="15">
        <v>45397</v>
      </c>
      <c r="M1468" s="16">
        <v>12</v>
      </c>
      <c r="N146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8" s="31">
        <f>IF(Table64[[#This Row],[date validity flag]]&lt;&gt;"Valid","",Table64[[#This Row],[shipment date ]]-Table64[[#This Row],[Order date]])</f>
        <v>36</v>
      </c>
      <c r="P1468" s="27" t="str">
        <f>TEXT(Table64[[#This Row],[Order date]],"mmm-yyyy")</f>
        <v>Mar-2024</v>
      </c>
      <c r="Q1468" s="16" t="str">
        <f t="shared" si="22"/>
        <v>Delayed</v>
      </c>
    </row>
    <row r="1469" spans="1:17" x14ac:dyDescent="0.3">
      <c r="A1469" s="17">
        <v>11468</v>
      </c>
      <c r="B1469" s="4">
        <v>6063</v>
      </c>
      <c r="C1469" s="4" t="s">
        <v>16</v>
      </c>
      <c r="D1469" s="5">
        <v>88173.58</v>
      </c>
      <c r="E1469" s="4">
        <v>41</v>
      </c>
      <c r="F1469" s="4" t="s">
        <v>22</v>
      </c>
      <c r="G1469" s="6">
        <v>45306</v>
      </c>
      <c r="H1469" s="5">
        <v>137984.26</v>
      </c>
      <c r="I1469" s="18" t="s">
        <v>20</v>
      </c>
      <c r="J1469" s="14" t="s">
        <v>19</v>
      </c>
      <c r="K1469" s="14">
        <v>1229</v>
      </c>
      <c r="L1469" s="15">
        <v>45361</v>
      </c>
      <c r="M1469" s="16">
        <v>7</v>
      </c>
      <c r="N146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69" s="31">
        <f>IF(Table64[[#This Row],[date validity flag]]&lt;&gt;"Valid","",Table64[[#This Row],[shipment date ]]-Table64[[#This Row],[Order date]])</f>
        <v>55</v>
      </c>
      <c r="P1469" s="27" t="str">
        <f>TEXT(Table64[[#This Row],[Order date]],"mmm-yyyy")</f>
        <v>Jan-2024</v>
      </c>
      <c r="Q1469" s="16" t="str">
        <f t="shared" si="22"/>
        <v>Delayed</v>
      </c>
    </row>
    <row r="1470" spans="1:17" x14ac:dyDescent="0.3">
      <c r="A1470" s="12">
        <v>11469</v>
      </c>
      <c r="B1470" s="1">
        <v>6971</v>
      </c>
      <c r="C1470" s="1" t="s">
        <v>12</v>
      </c>
      <c r="D1470" s="2">
        <v>94946.35</v>
      </c>
      <c r="E1470" s="1">
        <v>57</v>
      </c>
      <c r="F1470" s="1" t="s">
        <v>23</v>
      </c>
      <c r="G1470" s="3">
        <v>45337</v>
      </c>
      <c r="H1470" s="2">
        <v>146631.88</v>
      </c>
      <c r="I1470" s="13" t="s">
        <v>17</v>
      </c>
      <c r="J1470" s="14" t="s">
        <v>18</v>
      </c>
      <c r="K1470" s="14">
        <v>1311</v>
      </c>
      <c r="L1470" s="15">
        <v>45361</v>
      </c>
      <c r="M1470" s="16">
        <v>4</v>
      </c>
      <c r="N147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0" s="31">
        <f>IF(Table64[[#This Row],[date validity flag]]&lt;&gt;"Valid","",Table64[[#This Row],[shipment date ]]-Table64[[#This Row],[Order date]])</f>
        <v>24</v>
      </c>
      <c r="P1470" s="27" t="str">
        <f>TEXT(Table64[[#This Row],[Order date]],"mmm-yyyy")</f>
        <v>Feb-2024</v>
      </c>
      <c r="Q1470" s="16" t="str">
        <f t="shared" si="22"/>
        <v>Delayed</v>
      </c>
    </row>
    <row r="1471" spans="1:17" x14ac:dyDescent="0.3">
      <c r="A1471" s="17">
        <v>11470</v>
      </c>
      <c r="B1471" s="4">
        <v>5198</v>
      </c>
      <c r="C1471" s="4" t="s">
        <v>16</v>
      </c>
      <c r="D1471" s="5">
        <v>82484.36</v>
      </c>
      <c r="E1471" s="4">
        <v>60</v>
      </c>
      <c r="F1471" s="4" t="s">
        <v>13</v>
      </c>
      <c r="G1471" s="6">
        <v>45337</v>
      </c>
      <c r="H1471" s="5">
        <v>102841.34</v>
      </c>
      <c r="I1471" s="18" t="s">
        <v>14</v>
      </c>
      <c r="J1471" s="14" t="s">
        <v>19</v>
      </c>
      <c r="K1471" s="14">
        <v>425</v>
      </c>
      <c r="L1471" s="15">
        <v>45361</v>
      </c>
      <c r="M1471" s="16">
        <v>4</v>
      </c>
      <c r="N147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1" s="31">
        <f>IF(Table64[[#This Row],[date validity flag]]&lt;&gt;"Valid","",Table64[[#This Row],[shipment date ]]-Table64[[#This Row],[Order date]])</f>
        <v>24</v>
      </c>
      <c r="P1471" s="27" t="str">
        <f>TEXT(Table64[[#This Row],[Order date]],"mmm-yyyy")</f>
        <v>Feb-2024</v>
      </c>
      <c r="Q1471" s="16" t="str">
        <f t="shared" si="22"/>
        <v>Delayed</v>
      </c>
    </row>
    <row r="1472" spans="1:17" x14ac:dyDescent="0.3">
      <c r="A1472" s="12">
        <v>11471</v>
      </c>
      <c r="B1472" s="1">
        <v>6670</v>
      </c>
      <c r="C1472" s="1" t="s">
        <v>16</v>
      </c>
      <c r="D1472" s="2">
        <v>57435.78</v>
      </c>
      <c r="E1472" s="1">
        <v>54</v>
      </c>
      <c r="F1472" s="1" t="s">
        <v>23</v>
      </c>
      <c r="G1472" s="3">
        <v>45306</v>
      </c>
      <c r="H1472" s="2">
        <v>58774.37</v>
      </c>
      <c r="I1472" s="13" t="s">
        <v>17</v>
      </c>
      <c r="J1472" s="14" t="s">
        <v>19</v>
      </c>
      <c r="K1472" s="14">
        <v>131</v>
      </c>
      <c r="L1472" s="15">
        <v>45397</v>
      </c>
      <c r="M1472" s="16">
        <v>3</v>
      </c>
      <c r="N147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2" s="31">
        <f>IF(Table64[[#This Row],[date validity flag]]&lt;&gt;"Valid","",Table64[[#This Row],[shipment date ]]-Table64[[#This Row],[Order date]])</f>
        <v>91</v>
      </c>
      <c r="P1472" s="27" t="str">
        <f>TEXT(Table64[[#This Row],[Order date]],"mmm-yyyy")</f>
        <v>Jan-2024</v>
      </c>
      <c r="Q1472" s="16" t="str">
        <f t="shared" si="22"/>
        <v>Delayed</v>
      </c>
    </row>
    <row r="1473" spans="1:17" x14ac:dyDescent="0.3">
      <c r="A1473" s="17">
        <v>11472</v>
      </c>
      <c r="B1473" s="4">
        <v>5579</v>
      </c>
      <c r="C1473" s="4" t="s">
        <v>16</v>
      </c>
      <c r="D1473" s="5">
        <v>48572.55</v>
      </c>
      <c r="E1473" s="4">
        <v>70</v>
      </c>
      <c r="F1473" s="4" t="s">
        <v>13</v>
      </c>
      <c r="G1473" s="6">
        <v>45361</v>
      </c>
      <c r="H1473" s="5">
        <v>130185.54</v>
      </c>
      <c r="I1473" s="18" t="s">
        <v>20</v>
      </c>
      <c r="J1473" s="14" t="s">
        <v>18</v>
      </c>
      <c r="K1473" s="14">
        <v>541</v>
      </c>
      <c r="L1473" s="15">
        <v>45361</v>
      </c>
      <c r="M1473" s="16">
        <v>10</v>
      </c>
      <c r="N147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3" s="31">
        <f>IF(Table64[[#This Row],[date validity flag]]&lt;&gt;"Valid","",Table64[[#This Row],[shipment date ]]-Table64[[#This Row],[Order date]])</f>
        <v>0</v>
      </c>
      <c r="P1473" s="27" t="str">
        <f>TEXT(Table64[[#This Row],[Order date]],"mmm-yyyy")</f>
        <v>Mar-2024</v>
      </c>
      <c r="Q1473" s="16" t="str">
        <f t="shared" si="22"/>
        <v>On Time</v>
      </c>
    </row>
    <row r="1474" spans="1:17" x14ac:dyDescent="0.3">
      <c r="A1474" s="12">
        <v>11473</v>
      </c>
      <c r="B1474" s="1">
        <v>5391</v>
      </c>
      <c r="C1474" s="1" t="s">
        <v>12</v>
      </c>
      <c r="D1474" s="2">
        <v>34524.04</v>
      </c>
      <c r="E1474" s="1">
        <v>57</v>
      </c>
      <c r="F1474" s="1" t="s">
        <v>22</v>
      </c>
      <c r="G1474" s="3">
        <v>45337</v>
      </c>
      <c r="H1474" s="2">
        <v>12857.24</v>
      </c>
      <c r="I1474" s="13" t="s">
        <v>17</v>
      </c>
      <c r="J1474" s="14" t="s">
        <v>19</v>
      </c>
      <c r="K1474" s="14">
        <v>405</v>
      </c>
      <c r="L1474" s="15">
        <v>45397</v>
      </c>
      <c r="M1474" s="16">
        <v>11</v>
      </c>
      <c r="N147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4" s="31">
        <f>IF(Table64[[#This Row],[date validity flag]]&lt;&gt;"Valid","",Table64[[#This Row],[shipment date ]]-Table64[[#This Row],[Order date]])</f>
        <v>60</v>
      </c>
      <c r="P1474" s="27" t="str">
        <f>TEXT(Table64[[#This Row],[Order date]],"mmm-yyyy")</f>
        <v>Feb-2024</v>
      </c>
      <c r="Q1474" s="16" t="str">
        <f t="shared" ref="Q1474:Q1537" si="23">IF(O1474="","",IF(O1474&gt;0,"Delayed","On Time"))</f>
        <v>Delayed</v>
      </c>
    </row>
    <row r="1475" spans="1:17" x14ac:dyDescent="0.3">
      <c r="A1475" s="17">
        <v>11474</v>
      </c>
      <c r="B1475" s="4">
        <v>6203</v>
      </c>
      <c r="C1475" s="4" t="s">
        <v>16</v>
      </c>
      <c r="D1475" s="5">
        <v>86768.56</v>
      </c>
      <c r="E1475" s="4">
        <v>10</v>
      </c>
      <c r="F1475" s="4" t="s">
        <v>23</v>
      </c>
      <c r="G1475" s="6">
        <v>45383</v>
      </c>
      <c r="H1475" s="5">
        <v>96326.36</v>
      </c>
      <c r="I1475" s="18" t="s">
        <v>20</v>
      </c>
      <c r="J1475" s="14" t="s">
        <v>19</v>
      </c>
      <c r="K1475" s="14">
        <v>974</v>
      </c>
      <c r="L1475" s="15">
        <v>45332</v>
      </c>
      <c r="M1475" s="16">
        <v>9</v>
      </c>
      <c r="N1475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75" s="31" t="str">
        <f>IF(Table64[[#This Row],[date validity flag]]&lt;&gt;"Valid","",Table64[[#This Row],[shipment date ]]-Table64[[#This Row],[Order date]])</f>
        <v/>
      </c>
      <c r="P1475" s="27" t="str">
        <f>TEXT(Table64[[#This Row],[Order date]],"mmm-yyyy")</f>
        <v>Apr-2024</v>
      </c>
      <c r="Q1475" s="16" t="str">
        <f t="shared" si="23"/>
        <v/>
      </c>
    </row>
    <row r="1476" spans="1:17" x14ac:dyDescent="0.3">
      <c r="A1476" s="12">
        <v>11475</v>
      </c>
      <c r="B1476" s="1">
        <v>6992</v>
      </c>
      <c r="C1476" s="1" t="s">
        <v>12</v>
      </c>
      <c r="D1476" s="2">
        <v>54312.42</v>
      </c>
      <c r="E1476" s="1">
        <v>40</v>
      </c>
      <c r="F1476" s="1" t="s">
        <v>21</v>
      </c>
      <c r="G1476" s="3">
        <v>45337</v>
      </c>
      <c r="H1476" s="2">
        <v>126413.78</v>
      </c>
      <c r="I1476" s="13" t="s">
        <v>14</v>
      </c>
      <c r="J1476" s="14" t="s">
        <v>19</v>
      </c>
      <c r="K1476" s="14">
        <v>1346</v>
      </c>
      <c r="L1476" s="15">
        <v>45397</v>
      </c>
      <c r="M1476" s="16">
        <v>2</v>
      </c>
      <c r="N147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6" s="31">
        <f>IF(Table64[[#This Row],[date validity flag]]&lt;&gt;"Valid","",Table64[[#This Row],[shipment date ]]-Table64[[#This Row],[Order date]])</f>
        <v>60</v>
      </c>
      <c r="P1476" s="27" t="str">
        <f>TEXT(Table64[[#This Row],[Order date]],"mmm-yyyy")</f>
        <v>Feb-2024</v>
      </c>
      <c r="Q1476" s="16" t="str">
        <f t="shared" si="23"/>
        <v>Delayed</v>
      </c>
    </row>
    <row r="1477" spans="1:17" x14ac:dyDescent="0.3">
      <c r="A1477" s="17">
        <v>11476</v>
      </c>
      <c r="B1477" s="4">
        <v>5554</v>
      </c>
      <c r="C1477" s="4" t="s">
        <v>16</v>
      </c>
      <c r="D1477" s="5">
        <v>60477.38</v>
      </c>
      <c r="E1477" s="4">
        <v>7</v>
      </c>
      <c r="F1477" s="4" t="s">
        <v>23</v>
      </c>
      <c r="G1477" s="6">
        <v>45361</v>
      </c>
      <c r="H1477" s="5">
        <v>16134.3</v>
      </c>
      <c r="I1477" s="18" t="s">
        <v>17</v>
      </c>
      <c r="J1477" s="14" t="s">
        <v>18</v>
      </c>
      <c r="K1477" s="14">
        <v>1117</v>
      </c>
      <c r="L1477" s="15">
        <v>45361</v>
      </c>
      <c r="M1477" s="16">
        <v>4</v>
      </c>
      <c r="N147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7" s="31">
        <f>IF(Table64[[#This Row],[date validity flag]]&lt;&gt;"Valid","",Table64[[#This Row],[shipment date ]]-Table64[[#This Row],[Order date]])</f>
        <v>0</v>
      </c>
      <c r="P1477" s="27" t="str">
        <f>TEXT(Table64[[#This Row],[Order date]],"mmm-yyyy")</f>
        <v>Mar-2024</v>
      </c>
      <c r="Q1477" s="16" t="str">
        <f t="shared" si="23"/>
        <v>On Time</v>
      </c>
    </row>
    <row r="1478" spans="1:17" x14ac:dyDescent="0.3">
      <c r="A1478" s="12">
        <v>11477</v>
      </c>
      <c r="B1478" s="1">
        <v>6472</v>
      </c>
      <c r="C1478" s="1" t="s">
        <v>16</v>
      </c>
      <c r="D1478" s="2">
        <v>65292.19</v>
      </c>
      <c r="E1478" s="1">
        <v>38</v>
      </c>
      <c r="F1478" s="1" t="s">
        <v>13</v>
      </c>
      <c r="G1478" s="3">
        <v>45383</v>
      </c>
      <c r="H1478" s="2">
        <v>85789.24</v>
      </c>
      <c r="I1478" s="13" t="s">
        <v>17</v>
      </c>
      <c r="J1478" s="14" t="s">
        <v>18</v>
      </c>
      <c r="K1478" s="14">
        <v>1054</v>
      </c>
      <c r="L1478" s="15">
        <v>45332</v>
      </c>
      <c r="M1478" s="16">
        <v>8</v>
      </c>
      <c r="N1478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78" s="31" t="str">
        <f>IF(Table64[[#This Row],[date validity flag]]&lt;&gt;"Valid","",Table64[[#This Row],[shipment date ]]-Table64[[#This Row],[Order date]])</f>
        <v/>
      </c>
      <c r="P1478" s="27" t="str">
        <f>TEXT(Table64[[#This Row],[Order date]],"mmm-yyyy")</f>
        <v>Apr-2024</v>
      </c>
      <c r="Q1478" s="16" t="str">
        <f t="shared" si="23"/>
        <v/>
      </c>
    </row>
    <row r="1479" spans="1:17" x14ac:dyDescent="0.3">
      <c r="A1479" s="17">
        <v>11478</v>
      </c>
      <c r="B1479" s="4">
        <v>6524</v>
      </c>
      <c r="C1479" s="4" t="s">
        <v>16</v>
      </c>
      <c r="D1479" s="5">
        <v>14712.74</v>
      </c>
      <c r="E1479" s="4">
        <v>85</v>
      </c>
      <c r="F1479" s="4" t="s">
        <v>22</v>
      </c>
      <c r="G1479" s="6">
        <v>45361</v>
      </c>
      <c r="H1479" s="5">
        <v>176953.54</v>
      </c>
      <c r="I1479" s="18" t="s">
        <v>17</v>
      </c>
      <c r="J1479" s="14" t="s">
        <v>19</v>
      </c>
      <c r="K1479" s="14">
        <v>172</v>
      </c>
      <c r="L1479" s="15">
        <v>45397</v>
      </c>
      <c r="M1479" s="16">
        <v>6</v>
      </c>
      <c r="N147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79" s="31">
        <f>IF(Table64[[#This Row],[date validity flag]]&lt;&gt;"Valid","",Table64[[#This Row],[shipment date ]]-Table64[[#This Row],[Order date]])</f>
        <v>36</v>
      </c>
      <c r="P1479" s="27" t="str">
        <f>TEXT(Table64[[#This Row],[Order date]],"mmm-yyyy")</f>
        <v>Mar-2024</v>
      </c>
      <c r="Q1479" s="16" t="str">
        <f t="shared" si="23"/>
        <v>Delayed</v>
      </c>
    </row>
    <row r="1480" spans="1:17" x14ac:dyDescent="0.3">
      <c r="A1480" s="12">
        <v>11479</v>
      </c>
      <c r="B1480" s="1">
        <v>6039</v>
      </c>
      <c r="C1480" s="1" t="s">
        <v>16</v>
      </c>
      <c r="D1480" s="2">
        <v>21317.58</v>
      </c>
      <c r="E1480" s="1">
        <v>61</v>
      </c>
      <c r="F1480" s="1" t="s">
        <v>13</v>
      </c>
      <c r="G1480" s="3">
        <v>45306</v>
      </c>
      <c r="H1480" s="2">
        <v>12342.34</v>
      </c>
      <c r="I1480" s="13" t="s">
        <v>17</v>
      </c>
      <c r="J1480" s="14" t="s">
        <v>18</v>
      </c>
      <c r="K1480" s="14">
        <v>1422</v>
      </c>
      <c r="L1480" s="15">
        <v>45332</v>
      </c>
      <c r="M1480" s="16">
        <v>14</v>
      </c>
      <c r="N1480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0" s="31">
        <f>IF(Table64[[#This Row],[date validity flag]]&lt;&gt;"Valid","",Table64[[#This Row],[shipment date ]]-Table64[[#This Row],[Order date]])</f>
        <v>26</v>
      </c>
      <c r="P1480" s="27" t="str">
        <f>TEXT(Table64[[#This Row],[Order date]],"mmm-yyyy")</f>
        <v>Jan-2024</v>
      </c>
      <c r="Q1480" s="16" t="str">
        <f t="shared" si="23"/>
        <v>Delayed</v>
      </c>
    </row>
    <row r="1481" spans="1:17" x14ac:dyDescent="0.3">
      <c r="A1481" s="17">
        <v>11480</v>
      </c>
      <c r="B1481" s="4">
        <v>6647</v>
      </c>
      <c r="C1481" s="4" t="s">
        <v>16</v>
      </c>
      <c r="D1481" s="5">
        <v>74921.47</v>
      </c>
      <c r="E1481" s="4">
        <v>84</v>
      </c>
      <c r="F1481" s="4" t="s">
        <v>23</v>
      </c>
      <c r="G1481" s="6">
        <v>45383</v>
      </c>
      <c r="H1481" s="5">
        <v>22297.54</v>
      </c>
      <c r="I1481" s="18" t="s">
        <v>17</v>
      </c>
      <c r="J1481" s="14" t="s">
        <v>18</v>
      </c>
      <c r="K1481" s="14">
        <v>757</v>
      </c>
      <c r="L1481" s="15">
        <v>45332</v>
      </c>
      <c r="M1481" s="16">
        <v>7</v>
      </c>
      <c r="N1481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81" s="31" t="str">
        <f>IF(Table64[[#This Row],[date validity flag]]&lt;&gt;"Valid","",Table64[[#This Row],[shipment date ]]-Table64[[#This Row],[Order date]])</f>
        <v/>
      </c>
      <c r="P1481" s="27" t="str">
        <f>TEXT(Table64[[#This Row],[Order date]],"mmm-yyyy")</f>
        <v>Apr-2024</v>
      </c>
      <c r="Q1481" s="16" t="str">
        <f t="shared" si="23"/>
        <v/>
      </c>
    </row>
    <row r="1482" spans="1:17" x14ac:dyDescent="0.3">
      <c r="A1482" s="12">
        <v>11481</v>
      </c>
      <c r="B1482" s="1">
        <v>6693</v>
      </c>
      <c r="C1482" s="1" t="s">
        <v>16</v>
      </c>
      <c r="D1482" s="2">
        <v>47027.46</v>
      </c>
      <c r="E1482" s="1">
        <v>3</v>
      </c>
      <c r="F1482" s="1" t="s">
        <v>23</v>
      </c>
      <c r="G1482" s="3">
        <v>45361</v>
      </c>
      <c r="H1482" s="2">
        <v>65611.45</v>
      </c>
      <c r="I1482" s="13" t="s">
        <v>20</v>
      </c>
      <c r="J1482" s="14" t="s">
        <v>19</v>
      </c>
      <c r="K1482" s="14">
        <v>379</v>
      </c>
      <c r="L1482" s="15">
        <v>45332</v>
      </c>
      <c r="M1482" s="16">
        <v>13</v>
      </c>
      <c r="N1482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82" s="31" t="str">
        <f>IF(Table64[[#This Row],[date validity flag]]&lt;&gt;"Valid","",Table64[[#This Row],[shipment date ]]-Table64[[#This Row],[Order date]])</f>
        <v/>
      </c>
      <c r="P1482" s="27" t="str">
        <f>TEXT(Table64[[#This Row],[Order date]],"mmm-yyyy")</f>
        <v>Mar-2024</v>
      </c>
      <c r="Q1482" s="16" t="str">
        <f t="shared" si="23"/>
        <v/>
      </c>
    </row>
    <row r="1483" spans="1:17" x14ac:dyDescent="0.3">
      <c r="A1483" s="17">
        <v>11482</v>
      </c>
      <c r="B1483" s="4">
        <v>6313</v>
      </c>
      <c r="C1483" s="4" t="s">
        <v>16</v>
      </c>
      <c r="D1483" s="5">
        <v>68262.87</v>
      </c>
      <c r="E1483" s="4">
        <v>51</v>
      </c>
      <c r="F1483" s="4" t="s">
        <v>21</v>
      </c>
      <c r="G1483" s="6">
        <v>45383</v>
      </c>
      <c r="H1483" s="5">
        <v>56965.23</v>
      </c>
      <c r="I1483" s="18" t="s">
        <v>17</v>
      </c>
      <c r="J1483" s="14" t="s">
        <v>18</v>
      </c>
      <c r="K1483" s="14">
        <v>1482</v>
      </c>
      <c r="L1483" s="15">
        <v>45397</v>
      </c>
      <c r="M1483" s="16">
        <v>7</v>
      </c>
      <c r="N148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3" s="31">
        <f>IF(Table64[[#This Row],[date validity flag]]&lt;&gt;"Valid","",Table64[[#This Row],[shipment date ]]-Table64[[#This Row],[Order date]])</f>
        <v>14</v>
      </c>
      <c r="P1483" s="27" t="str">
        <f>TEXT(Table64[[#This Row],[Order date]],"mmm-yyyy")</f>
        <v>Apr-2024</v>
      </c>
      <c r="Q1483" s="16" t="str">
        <f t="shared" si="23"/>
        <v>Delayed</v>
      </c>
    </row>
    <row r="1484" spans="1:17" x14ac:dyDescent="0.3">
      <c r="A1484" s="12">
        <v>11483</v>
      </c>
      <c r="B1484" s="1">
        <v>5478</v>
      </c>
      <c r="C1484" s="1" t="s">
        <v>16</v>
      </c>
      <c r="D1484" s="2">
        <v>34647.019999999997</v>
      </c>
      <c r="E1484" s="1">
        <v>86</v>
      </c>
      <c r="F1484" s="1" t="s">
        <v>22</v>
      </c>
      <c r="G1484" s="3">
        <v>45361</v>
      </c>
      <c r="H1484" s="2">
        <v>53367.96</v>
      </c>
      <c r="I1484" s="13" t="s">
        <v>17</v>
      </c>
      <c r="J1484" s="14" t="s">
        <v>15</v>
      </c>
      <c r="K1484" s="14">
        <v>1040</v>
      </c>
      <c r="L1484" s="15">
        <v>45361</v>
      </c>
      <c r="M1484" s="16">
        <v>2</v>
      </c>
      <c r="N1484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4" s="31">
        <f>IF(Table64[[#This Row],[date validity flag]]&lt;&gt;"Valid","",Table64[[#This Row],[shipment date ]]-Table64[[#This Row],[Order date]])</f>
        <v>0</v>
      </c>
      <c r="P1484" s="27" t="str">
        <f>TEXT(Table64[[#This Row],[Order date]],"mmm-yyyy")</f>
        <v>Mar-2024</v>
      </c>
      <c r="Q1484" s="16" t="str">
        <f t="shared" si="23"/>
        <v>On Time</v>
      </c>
    </row>
    <row r="1485" spans="1:17" x14ac:dyDescent="0.3">
      <c r="A1485" s="17">
        <v>11484</v>
      </c>
      <c r="B1485" s="4">
        <v>6255</v>
      </c>
      <c r="C1485" s="4" t="s">
        <v>16</v>
      </c>
      <c r="D1485" s="5">
        <v>77943.679999999993</v>
      </c>
      <c r="E1485" s="4">
        <v>47</v>
      </c>
      <c r="F1485" s="4" t="s">
        <v>22</v>
      </c>
      <c r="G1485" s="6">
        <v>45383</v>
      </c>
      <c r="H1485" s="5">
        <v>69436.789999999994</v>
      </c>
      <c r="I1485" s="18" t="s">
        <v>17</v>
      </c>
      <c r="J1485" s="14" t="s">
        <v>18</v>
      </c>
      <c r="K1485" s="14">
        <v>372</v>
      </c>
      <c r="L1485" s="15">
        <v>45397</v>
      </c>
      <c r="M1485" s="16">
        <v>4</v>
      </c>
      <c r="N148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5" s="31">
        <f>IF(Table64[[#This Row],[date validity flag]]&lt;&gt;"Valid","",Table64[[#This Row],[shipment date ]]-Table64[[#This Row],[Order date]])</f>
        <v>14</v>
      </c>
      <c r="P1485" s="27" t="str">
        <f>TEXT(Table64[[#This Row],[Order date]],"mmm-yyyy")</f>
        <v>Apr-2024</v>
      </c>
      <c r="Q1485" s="16" t="str">
        <f t="shared" si="23"/>
        <v>Delayed</v>
      </c>
    </row>
    <row r="1486" spans="1:17" x14ac:dyDescent="0.3">
      <c r="A1486" s="12">
        <v>11485</v>
      </c>
      <c r="B1486" s="1">
        <v>5923</v>
      </c>
      <c r="C1486" s="1" t="s">
        <v>16</v>
      </c>
      <c r="D1486" s="2">
        <v>41322.86</v>
      </c>
      <c r="E1486" s="1">
        <v>68</v>
      </c>
      <c r="F1486" s="1" t="s">
        <v>23</v>
      </c>
      <c r="G1486" s="3">
        <v>45361</v>
      </c>
      <c r="H1486" s="2">
        <v>19988.48</v>
      </c>
      <c r="I1486" s="13" t="s">
        <v>17</v>
      </c>
      <c r="J1486" s="14" t="s">
        <v>15</v>
      </c>
      <c r="K1486" s="14">
        <v>1184</v>
      </c>
      <c r="L1486" s="15">
        <v>45361</v>
      </c>
      <c r="M1486" s="16">
        <v>10</v>
      </c>
      <c r="N148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6" s="31">
        <f>IF(Table64[[#This Row],[date validity flag]]&lt;&gt;"Valid","",Table64[[#This Row],[shipment date ]]-Table64[[#This Row],[Order date]])</f>
        <v>0</v>
      </c>
      <c r="P1486" s="27" t="str">
        <f>TEXT(Table64[[#This Row],[Order date]],"mmm-yyyy")</f>
        <v>Mar-2024</v>
      </c>
      <c r="Q1486" s="16" t="str">
        <f t="shared" si="23"/>
        <v>On Time</v>
      </c>
    </row>
    <row r="1487" spans="1:17" x14ac:dyDescent="0.3">
      <c r="A1487" s="17">
        <v>11486</v>
      </c>
      <c r="B1487" s="4">
        <v>5420</v>
      </c>
      <c r="C1487" s="4" t="s">
        <v>16</v>
      </c>
      <c r="D1487" s="5">
        <v>68575.78</v>
      </c>
      <c r="E1487" s="4">
        <v>92</v>
      </c>
      <c r="F1487" s="4" t="s">
        <v>22</v>
      </c>
      <c r="G1487" s="6">
        <v>45306</v>
      </c>
      <c r="H1487" s="5">
        <v>11537.99</v>
      </c>
      <c r="I1487" s="18" t="s">
        <v>17</v>
      </c>
      <c r="J1487" s="14" t="s">
        <v>19</v>
      </c>
      <c r="K1487" s="14">
        <v>819</v>
      </c>
      <c r="L1487" s="15">
        <v>45397</v>
      </c>
      <c r="M1487" s="16">
        <v>10</v>
      </c>
      <c r="N148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7" s="31">
        <f>IF(Table64[[#This Row],[date validity flag]]&lt;&gt;"Valid","",Table64[[#This Row],[shipment date ]]-Table64[[#This Row],[Order date]])</f>
        <v>91</v>
      </c>
      <c r="P1487" s="27" t="str">
        <f>TEXT(Table64[[#This Row],[Order date]],"mmm-yyyy")</f>
        <v>Jan-2024</v>
      </c>
      <c r="Q1487" s="16" t="str">
        <f t="shared" si="23"/>
        <v>Delayed</v>
      </c>
    </row>
    <row r="1488" spans="1:17" x14ac:dyDescent="0.3">
      <c r="A1488" s="12">
        <v>11487</v>
      </c>
      <c r="B1488" s="1">
        <v>5157</v>
      </c>
      <c r="C1488" s="1" t="s">
        <v>12</v>
      </c>
      <c r="D1488" s="2">
        <v>64861.57</v>
      </c>
      <c r="E1488" s="1">
        <v>76</v>
      </c>
      <c r="F1488" s="1" t="s">
        <v>21</v>
      </c>
      <c r="G1488" s="3">
        <v>45383</v>
      </c>
      <c r="H1488" s="2">
        <v>171343.44</v>
      </c>
      <c r="I1488" s="13" t="s">
        <v>20</v>
      </c>
      <c r="J1488" s="14" t="s">
        <v>18</v>
      </c>
      <c r="K1488" s="14">
        <v>1162</v>
      </c>
      <c r="L1488" s="15">
        <v>45397</v>
      </c>
      <c r="M1488" s="16">
        <v>6</v>
      </c>
      <c r="N148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8" s="31">
        <f>IF(Table64[[#This Row],[date validity flag]]&lt;&gt;"Valid","",Table64[[#This Row],[shipment date ]]-Table64[[#This Row],[Order date]])</f>
        <v>14</v>
      </c>
      <c r="P1488" s="27" t="str">
        <f>TEXT(Table64[[#This Row],[Order date]],"mmm-yyyy")</f>
        <v>Apr-2024</v>
      </c>
      <c r="Q1488" s="16" t="str">
        <f t="shared" si="23"/>
        <v>Delayed</v>
      </c>
    </row>
    <row r="1489" spans="1:17" x14ac:dyDescent="0.3">
      <c r="A1489" s="17">
        <v>11488</v>
      </c>
      <c r="B1489" s="4">
        <v>5550</v>
      </c>
      <c r="C1489" s="4" t="s">
        <v>16</v>
      </c>
      <c r="D1489" s="5">
        <v>52260.959999999999</v>
      </c>
      <c r="E1489" s="4">
        <v>38</v>
      </c>
      <c r="F1489" s="4" t="s">
        <v>13</v>
      </c>
      <c r="G1489" s="6">
        <v>45383</v>
      </c>
      <c r="H1489" s="5">
        <v>49840.71</v>
      </c>
      <c r="I1489" s="18" t="s">
        <v>17</v>
      </c>
      <c r="J1489" s="14" t="s">
        <v>19</v>
      </c>
      <c r="K1489" s="14">
        <v>482</v>
      </c>
      <c r="L1489" s="15">
        <v>45397</v>
      </c>
      <c r="M1489" s="16">
        <v>3</v>
      </c>
      <c r="N148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89" s="31">
        <f>IF(Table64[[#This Row],[date validity flag]]&lt;&gt;"Valid","",Table64[[#This Row],[shipment date ]]-Table64[[#This Row],[Order date]])</f>
        <v>14</v>
      </c>
      <c r="P1489" s="27" t="str">
        <f>TEXT(Table64[[#This Row],[Order date]],"mmm-yyyy")</f>
        <v>Apr-2024</v>
      </c>
      <c r="Q1489" s="16" t="str">
        <f t="shared" si="23"/>
        <v>Delayed</v>
      </c>
    </row>
    <row r="1490" spans="1:17" x14ac:dyDescent="0.3">
      <c r="A1490" s="12">
        <v>11489</v>
      </c>
      <c r="B1490" s="1">
        <v>6465</v>
      </c>
      <c r="C1490" s="1" t="s">
        <v>16</v>
      </c>
      <c r="D1490" s="2">
        <v>56963.39</v>
      </c>
      <c r="E1490" s="1">
        <v>36</v>
      </c>
      <c r="F1490" s="1" t="s">
        <v>22</v>
      </c>
      <c r="G1490" s="3">
        <v>45383</v>
      </c>
      <c r="H1490" s="2">
        <v>42911.73</v>
      </c>
      <c r="I1490" s="13" t="s">
        <v>17</v>
      </c>
      <c r="J1490" s="14" t="s">
        <v>19</v>
      </c>
      <c r="K1490" s="14">
        <v>759</v>
      </c>
      <c r="L1490" s="15">
        <v>45361</v>
      </c>
      <c r="M1490" s="16">
        <v>9</v>
      </c>
      <c r="N149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90" s="31" t="str">
        <f>IF(Table64[[#This Row],[date validity flag]]&lt;&gt;"Valid","",Table64[[#This Row],[shipment date ]]-Table64[[#This Row],[Order date]])</f>
        <v/>
      </c>
      <c r="P1490" s="27" t="str">
        <f>TEXT(Table64[[#This Row],[Order date]],"mmm-yyyy")</f>
        <v>Apr-2024</v>
      </c>
      <c r="Q1490" s="16" t="str">
        <f t="shared" si="23"/>
        <v/>
      </c>
    </row>
    <row r="1491" spans="1:17" x14ac:dyDescent="0.3">
      <c r="A1491" s="17">
        <v>11490</v>
      </c>
      <c r="B1491" s="4">
        <v>6121</v>
      </c>
      <c r="C1491" s="4" t="s">
        <v>12</v>
      </c>
      <c r="D1491" s="5">
        <v>75652.740000000005</v>
      </c>
      <c r="E1491" s="4">
        <v>41</v>
      </c>
      <c r="F1491" s="4" t="s">
        <v>23</v>
      </c>
      <c r="G1491" s="6">
        <v>45383</v>
      </c>
      <c r="H1491" s="5">
        <v>98486.48</v>
      </c>
      <c r="I1491" s="18" t="s">
        <v>17</v>
      </c>
      <c r="J1491" s="14" t="s">
        <v>19</v>
      </c>
      <c r="K1491" s="14">
        <v>843</v>
      </c>
      <c r="L1491" s="15">
        <v>45397</v>
      </c>
      <c r="M1491" s="16">
        <v>13</v>
      </c>
      <c r="N1491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1" s="31">
        <f>IF(Table64[[#This Row],[date validity flag]]&lt;&gt;"Valid","",Table64[[#This Row],[shipment date ]]-Table64[[#This Row],[Order date]])</f>
        <v>14</v>
      </c>
      <c r="P1491" s="27" t="str">
        <f>TEXT(Table64[[#This Row],[Order date]],"mmm-yyyy")</f>
        <v>Apr-2024</v>
      </c>
      <c r="Q1491" s="16" t="str">
        <f t="shared" si="23"/>
        <v>Delayed</v>
      </c>
    </row>
    <row r="1492" spans="1:17" x14ac:dyDescent="0.3">
      <c r="A1492" s="12">
        <v>11491</v>
      </c>
      <c r="B1492" s="1">
        <v>6021</v>
      </c>
      <c r="C1492" s="1" t="s">
        <v>16</v>
      </c>
      <c r="D1492" s="2">
        <v>42462.39</v>
      </c>
      <c r="E1492" s="1">
        <v>69</v>
      </c>
      <c r="F1492" s="1" t="s">
        <v>13</v>
      </c>
      <c r="G1492" s="3">
        <v>45306</v>
      </c>
      <c r="H1492" s="2">
        <v>36485.160000000003</v>
      </c>
      <c r="I1492" s="13" t="s">
        <v>20</v>
      </c>
      <c r="J1492" s="14" t="s">
        <v>19</v>
      </c>
      <c r="K1492" s="14">
        <v>761</v>
      </c>
      <c r="L1492" s="15">
        <v>45332</v>
      </c>
      <c r="M1492" s="16">
        <v>4</v>
      </c>
      <c r="N1492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2" s="31">
        <f>IF(Table64[[#This Row],[date validity flag]]&lt;&gt;"Valid","",Table64[[#This Row],[shipment date ]]-Table64[[#This Row],[Order date]])</f>
        <v>26</v>
      </c>
      <c r="P1492" s="27" t="str">
        <f>TEXT(Table64[[#This Row],[Order date]],"mmm-yyyy")</f>
        <v>Jan-2024</v>
      </c>
      <c r="Q1492" s="16" t="str">
        <f t="shared" si="23"/>
        <v>Delayed</v>
      </c>
    </row>
    <row r="1493" spans="1:17" x14ac:dyDescent="0.3">
      <c r="A1493" s="17">
        <v>11492</v>
      </c>
      <c r="B1493" s="4">
        <v>5997</v>
      </c>
      <c r="C1493" s="4" t="s">
        <v>16</v>
      </c>
      <c r="D1493" s="5">
        <v>21114.73</v>
      </c>
      <c r="E1493" s="4">
        <v>13</v>
      </c>
      <c r="F1493" s="4" t="s">
        <v>13</v>
      </c>
      <c r="G1493" s="6">
        <v>45383</v>
      </c>
      <c r="H1493" s="5">
        <v>76096.19</v>
      </c>
      <c r="I1493" s="18" t="s">
        <v>14</v>
      </c>
      <c r="J1493" s="14" t="s">
        <v>19</v>
      </c>
      <c r="K1493" s="14">
        <v>1172</v>
      </c>
      <c r="L1493" s="15">
        <v>45397</v>
      </c>
      <c r="M1493" s="16">
        <v>10</v>
      </c>
      <c r="N1493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3" s="31">
        <f>IF(Table64[[#This Row],[date validity flag]]&lt;&gt;"Valid","",Table64[[#This Row],[shipment date ]]-Table64[[#This Row],[Order date]])</f>
        <v>14</v>
      </c>
      <c r="P1493" s="27" t="str">
        <f>TEXT(Table64[[#This Row],[Order date]],"mmm-yyyy")</f>
        <v>Apr-2024</v>
      </c>
      <c r="Q1493" s="16" t="str">
        <f t="shared" si="23"/>
        <v>Delayed</v>
      </c>
    </row>
    <row r="1494" spans="1:17" x14ac:dyDescent="0.3">
      <c r="A1494" s="12">
        <v>11493</v>
      </c>
      <c r="B1494" s="1">
        <v>6435</v>
      </c>
      <c r="C1494" s="1" t="s">
        <v>12</v>
      </c>
      <c r="D1494" s="2">
        <v>21389.71</v>
      </c>
      <c r="E1494" s="1">
        <v>87</v>
      </c>
      <c r="F1494" s="1" t="s">
        <v>21</v>
      </c>
      <c r="G1494" s="3">
        <v>45337</v>
      </c>
      <c r="H1494" s="2">
        <v>38997.480000000003</v>
      </c>
      <c r="I1494" s="13" t="s">
        <v>17</v>
      </c>
      <c r="J1494" s="14" t="s">
        <v>18</v>
      </c>
      <c r="K1494" s="14">
        <v>588</v>
      </c>
      <c r="L1494" s="15">
        <v>45332</v>
      </c>
      <c r="M1494" s="16">
        <v>13</v>
      </c>
      <c r="N1494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494" s="31" t="str">
        <f>IF(Table64[[#This Row],[date validity flag]]&lt;&gt;"Valid","",Table64[[#This Row],[shipment date ]]-Table64[[#This Row],[Order date]])</f>
        <v/>
      </c>
      <c r="P1494" s="27" t="str">
        <f>TEXT(Table64[[#This Row],[Order date]],"mmm-yyyy")</f>
        <v>Feb-2024</v>
      </c>
      <c r="Q1494" s="16" t="str">
        <f t="shared" si="23"/>
        <v/>
      </c>
    </row>
    <row r="1495" spans="1:17" x14ac:dyDescent="0.3">
      <c r="A1495" s="17">
        <v>11494</v>
      </c>
      <c r="B1495" s="4">
        <v>5951</v>
      </c>
      <c r="C1495" s="4" t="s">
        <v>16</v>
      </c>
      <c r="D1495" s="5">
        <v>57555.51</v>
      </c>
      <c r="E1495" s="4">
        <v>58</v>
      </c>
      <c r="F1495" s="4" t="s">
        <v>23</v>
      </c>
      <c r="G1495" s="6">
        <v>45306</v>
      </c>
      <c r="H1495" s="5">
        <v>67601.86</v>
      </c>
      <c r="I1495" s="18" t="s">
        <v>17</v>
      </c>
      <c r="J1495" s="14" t="s">
        <v>15</v>
      </c>
      <c r="K1495" s="14">
        <v>650</v>
      </c>
      <c r="L1495" s="15">
        <v>45361</v>
      </c>
      <c r="M1495" s="16">
        <v>2</v>
      </c>
      <c r="N1495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5" s="31">
        <f>IF(Table64[[#This Row],[date validity flag]]&lt;&gt;"Valid","",Table64[[#This Row],[shipment date ]]-Table64[[#This Row],[Order date]])</f>
        <v>55</v>
      </c>
      <c r="P1495" s="27" t="str">
        <f>TEXT(Table64[[#This Row],[Order date]],"mmm-yyyy")</f>
        <v>Jan-2024</v>
      </c>
      <c r="Q1495" s="16" t="str">
        <f t="shared" si="23"/>
        <v>Delayed</v>
      </c>
    </row>
    <row r="1496" spans="1:17" x14ac:dyDescent="0.3">
      <c r="A1496" s="12">
        <v>11495</v>
      </c>
      <c r="B1496" s="1">
        <v>5289</v>
      </c>
      <c r="C1496" s="1" t="s">
        <v>16</v>
      </c>
      <c r="D1496" s="2">
        <v>67438.679999999993</v>
      </c>
      <c r="E1496" s="1">
        <v>50</v>
      </c>
      <c r="F1496" s="1" t="s">
        <v>22</v>
      </c>
      <c r="G1496" s="3">
        <v>45337</v>
      </c>
      <c r="H1496" s="2">
        <v>81331.73</v>
      </c>
      <c r="I1496" s="13" t="s">
        <v>20</v>
      </c>
      <c r="J1496" s="14" t="s">
        <v>18</v>
      </c>
      <c r="K1496" s="14">
        <v>1219</v>
      </c>
      <c r="L1496" s="15">
        <v>45361</v>
      </c>
      <c r="M1496" s="16">
        <v>6</v>
      </c>
      <c r="N1496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6" s="31">
        <f>IF(Table64[[#This Row],[date validity flag]]&lt;&gt;"Valid","",Table64[[#This Row],[shipment date ]]-Table64[[#This Row],[Order date]])</f>
        <v>24</v>
      </c>
      <c r="P1496" s="27" t="str">
        <f>TEXT(Table64[[#This Row],[Order date]],"mmm-yyyy")</f>
        <v>Feb-2024</v>
      </c>
      <c r="Q1496" s="16" t="str">
        <f t="shared" si="23"/>
        <v>Delayed</v>
      </c>
    </row>
    <row r="1497" spans="1:17" x14ac:dyDescent="0.3">
      <c r="A1497" s="17">
        <v>11496</v>
      </c>
      <c r="B1497" s="4">
        <v>6278</v>
      </c>
      <c r="C1497" s="4" t="s">
        <v>16</v>
      </c>
      <c r="D1497" s="5">
        <v>82424.3</v>
      </c>
      <c r="E1497" s="4">
        <v>30</v>
      </c>
      <c r="F1497" s="4" t="s">
        <v>23</v>
      </c>
      <c r="G1497" s="6">
        <v>45383</v>
      </c>
      <c r="H1497" s="5">
        <v>145084.96</v>
      </c>
      <c r="I1497" s="18" t="s">
        <v>20</v>
      </c>
      <c r="J1497" s="14" t="s">
        <v>18</v>
      </c>
      <c r="K1497" s="14">
        <v>306</v>
      </c>
      <c r="L1497" s="15">
        <v>45397</v>
      </c>
      <c r="M1497" s="16">
        <v>1</v>
      </c>
      <c r="N1497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7" s="31">
        <f>IF(Table64[[#This Row],[date validity flag]]&lt;&gt;"Valid","",Table64[[#This Row],[shipment date ]]-Table64[[#This Row],[Order date]])</f>
        <v>14</v>
      </c>
      <c r="P1497" s="27" t="str">
        <f>TEXT(Table64[[#This Row],[Order date]],"mmm-yyyy")</f>
        <v>Apr-2024</v>
      </c>
      <c r="Q1497" s="16" t="str">
        <f t="shared" si="23"/>
        <v>Delayed</v>
      </c>
    </row>
    <row r="1498" spans="1:17" x14ac:dyDescent="0.3">
      <c r="A1498" s="12">
        <v>11497</v>
      </c>
      <c r="B1498" s="1">
        <v>5196</v>
      </c>
      <c r="C1498" s="1" t="s">
        <v>16</v>
      </c>
      <c r="D1498" s="2">
        <v>87422.01</v>
      </c>
      <c r="E1498" s="1">
        <v>62</v>
      </c>
      <c r="F1498" s="1" t="s">
        <v>13</v>
      </c>
      <c r="G1498" s="3">
        <v>45361</v>
      </c>
      <c r="H1498" s="2">
        <v>89259.16</v>
      </c>
      <c r="I1498" s="13" t="s">
        <v>20</v>
      </c>
      <c r="J1498" s="14" t="s">
        <v>18</v>
      </c>
      <c r="K1498" s="14">
        <v>1262</v>
      </c>
      <c r="L1498" s="15">
        <v>45397</v>
      </c>
      <c r="M1498" s="16">
        <v>6</v>
      </c>
      <c r="N1498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8" s="31">
        <f>IF(Table64[[#This Row],[date validity flag]]&lt;&gt;"Valid","",Table64[[#This Row],[shipment date ]]-Table64[[#This Row],[Order date]])</f>
        <v>36</v>
      </c>
      <c r="P1498" s="27" t="str">
        <f>TEXT(Table64[[#This Row],[Order date]],"mmm-yyyy")</f>
        <v>Mar-2024</v>
      </c>
      <c r="Q1498" s="16" t="str">
        <f t="shared" si="23"/>
        <v>Delayed</v>
      </c>
    </row>
    <row r="1499" spans="1:17" x14ac:dyDescent="0.3">
      <c r="A1499" s="17">
        <v>11498</v>
      </c>
      <c r="B1499" s="4">
        <v>5598</v>
      </c>
      <c r="C1499" s="4" t="s">
        <v>16</v>
      </c>
      <c r="D1499" s="5">
        <v>27583.759999999998</v>
      </c>
      <c r="E1499" s="4">
        <v>25</v>
      </c>
      <c r="F1499" s="4" t="s">
        <v>23</v>
      </c>
      <c r="G1499" s="6">
        <v>45337</v>
      </c>
      <c r="H1499" s="5">
        <v>142081.12</v>
      </c>
      <c r="I1499" s="18" t="s">
        <v>17</v>
      </c>
      <c r="J1499" s="14" t="s">
        <v>18</v>
      </c>
      <c r="K1499" s="14">
        <v>1313</v>
      </c>
      <c r="L1499" s="15">
        <v>45397</v>
      </c>
      <c r="M1499" s="16">
        <v>13</v>
      </c>
      <c r="N1499" s="27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499" s="31">
        <f>IF(Table64[[#This Row],[date validity flag]]&lt;&gt;"Valid","",Table64[[#This Row],[shipment date ]]-Table64[[#This Row],[Order date]])</f>
        <v>60</v>
      </c>
      <c r="P1499" s="27" t="str">
        <f>TEXT(Table64[[#This Row],[Order date]],"mmm-yyyy")</f>
        <v>Feb-2024</v>
      </c>
      <c r="Q1499" s="16" t="str">
        <f t="shared" si="23"/>
        <v>Delayed</v>
      </c>
    </row>
    <row r="1500" spans="1:17" x14ac:dyDescent="0.3">
      <c r="A1500" s="12">
        <v>11499</v>
      </c>
      <c r="B1500" s="1">
        <v>6858</v>
      </c>
      <c r="C1500" s="1" t="s">
        <v>16</v>
      </c>
      <c r="D1500" s="2">
        <v>92737.16</v>
      </c>
      <c r="E1500" s="1">
        <v>27</v>
      </c>
      <c r="F1500" s="1" t="s">
        <v>22</v>
      </c>
      <c r="G1500" s="3">
        <v>45383</v>
      </c>
      <c r="H1500" s="2">
        <v>20965.349999999999</v>
      </c>
      <c r="I1500" s="13" t="s">
        <v>17</v>
      </c>
      <c r="J1500" s="14" t="s">
        <v>15</v>
      </c>
      <c r="K1500" s="14">
        <v>920</v>
      </c>
      <c r="L1500" s="15">
        <v>45332</v>
      </c>
      <c r="M1500" s="16">
        <v>12</v>
      </c>
      <c r="N1500" s="27" t="str">
        <f>IF(OR(Table64[[#This Row],[Order date]]="",Table64[[#This Row],[shipment date ]]=""),"Missing Date",IF(Table64[[#This Row],[shipment date ]]&lt;Table64[[#This Row],[Order date]],"Invalid Date Order","Valid"))</f>
        <v>Invalid Date Order</v>
      </c>
      <c r="O1500" s="31" t="str">
        <f>IF(Table64[[#This Row],[date validity flag]]&lt;&gt;"Valid","",Table64[[#This Row],[shipment date ]]-Table64[[#This Row],[Order date]])</f>
        <v/>
      </c>
      <c r="P1500" s="27" t="str">
        <f>TEXT(Table64[[#This Row],[Order date]],"mmm-yyyy")</f>
        <v>Apr-2024</v>
      </c>
      <c r="Q1500" s="16" t="str">
        <f t="shared" si="23"/>
        <v/>
      </c>
    </row>
    <row r="1501" spans="1:17" x14ac:dyDescent="0.3">
      <c r="A1501" s="19">
        <v>11500</v>
      </c>
      <c r="B1501" s="20">
        <v>6546</v>
      </c>
      <c r="C1501" s="20" t="s">
        <v>16</v>
      </c>
      <c r="D1501" s="21">
        <v>76518.2</v>
      </c>
      <c r="E1501" s="20">
        <v>51</v>
      </c>
      <c r="F1501" s="20" t="s">
        <v>22</v>
      </c>
      <c r="G1501" s="22">
        <v>45337</v>
      </c>
      <c r="H1501" s="21">
        <v>127261.12</v>
      </c>
      <c r="I1501" s="23" t="s">
        <v>14</v>
      </c>
      <c r="J1501" s="24" t="s">
        <v>18</v>
      </c>
      <c r="K1501" s="24">
        <v>948</v>
      </c>
      <c r="L1501" s="25">
        <v>45361</v>
      </c>
      <c r="M1501" s="26">
        <v>10</v>
      </c>
      <c r="N1501" s="28" t="str">
        <f>IF(OR(Table64[[#This Row],[Order date]]="",Table64[[#This Row],[shipment date ]]=""),"Missing Date",IF(Table64[[#This Row],[shipment date ]]&lt;Table64[[#This Row],[Order date]],"Invalid Date Order","Valid"))</f>
        <v>Valid</v>
      </c>
      <c r="O1501" s="32">
        <f>IF(Table64[[#This Row],[date validity flag]]&lt;&gt;"Valid","",Table64[[#This Row],[shipment date ]]-Table64[[#This Row],[Order date]])</f>
        <v>24</v>
      </c>
      <c r="P1501" s="28" t="str">
        <f>TEXT(Table64[[#This Row],[Order date]],"mmm-yyyy")</f>
        <v>Feb-2024</v>
      </c>
      <c r="Q1501" s="26" t="str">
        <f t="shared" si="23"/>
        <v>Delayed</v>
      </c>
    </row>
  </sheetData>
  <conditionalFormatting sqref="A1:A1501">
    <cfRule type="duplicateValues" dxfId="65" priority="1"/>
    <cfRule type="duplicateValues" dxfId="64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2026-01-18T14:30:29Z</dcterms:created>
  <dcterms:modified xsi:type="dcterms:W3CDTF">2026-01-18T15:49:50Z</dcterms:modified>
</cp:coreProperties>
</file>