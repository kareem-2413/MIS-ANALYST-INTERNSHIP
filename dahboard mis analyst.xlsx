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aree\Desktop\MIS ANALYST INTERNSHIP\"/>
    </mc:Choice>
  </mc:AlternateContent>
  <xr:revisionPtr revIDLastSave="0" documentId="13_ncr:1_{DAF13665-CA4C-4012-BEAC-A5790739D221}"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 table" sheetId="4" r:id="rId2"/>
    <sheet name="Sheet1" sheetId="1" r:id="rId3"/>
  </sheets>
  <externalReferences>
    <externalReference r:id="rId4"/>
  </externalReferences>
  <definedNames>
    <definedName name="Slicer_Channel">#N/A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H35" i="4"/>
  <c r="H34" i="4"/>
  <c r="H33" i="4"/>
</calcChain>
</file>

<file path=xl/sharedStrings.xml><?xml version="1.0" encoding="utf-8"?>
<sst xmlns="http://schemas.openxmlformats.org/spreadsheetml/2006/main" count="13569" uniqueCount="63">
  <si>
    <t>Order ID</t>
  </si>
  <si>
    <t>Customer ID</t>
  </si>
  <si>
    <t>Product</t>
  </si>
  <si>
    <t>Revenue</t>
  </si>
  <si>
    <t>Units Sold</t>
  </si>
  <si>
    <t>Region</t>
  </si>
  <si>
    <t>Order date</t>
  </si>
  <si>
    <t>Amount</t>
  </si>
  <si>
    <t>Channel</t>
  </si>
  <si>
    <t>Warehouse ID</t>
  </si>
  <si>
    <t>Inventory Level</t>
  </si>
  <si>
    <t xml:space="preserve">shipment date </t>
  </si>
  <si>
    <t>fullfillment  days</t>
  </si>
  <si>
    <t>Lead ID</t>
  </si>
  <si>
    <t>Lead Status</t>
  </si>
  <si>
    <t xml:space="preserve">last contact date </t>
  </si>
  <si>
    <t>Conversion Rate</t>
  </si>
  <si>
    <t xml:space="preserve">Invoice </t>
  </si>
  <si>
    <t>Category</t>
  </si>
  <si>
    <t>Budget</t>
  </si>
  <si>
    <t>Status</t>
  </si>
  <si>
    <t>due date</t>
  </si>
  <si>
    <t>Expense Type</t>
  </si>
  <si>
    <t>last payment date</t>
  </si>
  <si>
    <t>Reminder Sent</t>
  </si>
  <si>
    <t>Laptop</t>
  </si>
  <si>
    <t>south</t>
  </si>
  <si>
    <t>Retail</t>
  </si>
  <si>
    <t>WH-A</t>
  </si>
  <si>
    <t>Open</t>
  </si>
  <si>
    <t>Logistics</t>
  </si>
  <si>
    <t>Paid</t>
  </si>
  <si>
    <t>Fixed</t>
  </si>
  <si>
    <t>YES</t>
  </si>
  <si>
    <t>phone</t>
  </si>
  <si>
    <t>North</t>
  </si>
  <si>
    <t>WH-B</t>
  </si>
  <si>
    <t>Converted</t>
  </si>
  <si>
    <t>Variable</t>
  </si>
  <si>
    <t>NO</t>
  </si>
  <si>
    <t>closed</t>
  </si>
  <si>
    <t>Marketing</t>
  </si>
  <si>
    <t>pending</t>
  </si>
  <si>
    <t>West</t>
  </si>
  <si>
    <t>online</t>
  </si>
  <si>
    <t>Operations</t>
  </si>
  <si>
    <t>EAST</t>
  </si>
  <si>
    <t>offline</t>
  </si>
  <si>
    <t>Overdue</t>
  </si>
  <si>
    <t>WH-C</t>
  </si>
  <si>
    <t>In-Progress</t>
  </si>
  <si>
    <t>Row Labels</t>
  </si>
  <si>
    <t>Grand Total</t>
  </si>
  <si>
    <t>Sum of Revenue</t>
  </si>
  <si>
    <t>Jan</t>
  </si>
  <si>
    <t>Feb</t>
  </si>
  <si>
    <t>Mar</t>
  </si>
  <si>
    <t>Apr</t>
  </si>
  <si>
    <t>Sum of Conversion Rate</t>
  </si>
  <si>
    <t>Average of fullfillment  days</t>
  </si>
  <si>
    <t>Feb-2024</t>
  </si>
  <si>
    <t>Sum of Budget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</si>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</sst>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quot;₹&quot;\ #,##0"/>
    <numFmt numFmtId="166" formatCode="0.0"/>
    <numFmt numFmtId="167" formatCode="_ [$₹-4009]\ * #,##0_ ;_ [$₹-4009]\ * \-#,##0_ ;_ [$₹-4009]\ * &quot;-&quot;??_ ;_ @_ "/>
  </numFmts>
  <fonts count="3" x14ac:knownFonts="1">
    <font>
      <sz val="11"/>
      <color theme="1"/>
      <name val="Calibri"/>
      <family val="2"/>
      <scheme val="minor"/>
    </font>
    <font>
      <b/>
      <sz val="11"/>
      <color theme="0"/>
      <name val="Calibri"/>
      <family val="2"/>
      <scheme val="minor"/>
    </font>
    <font>
      <b/>
      <sz val="24"/>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3">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2" fontId="1" fillId="2" borderId="2"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2" fontId="1" fillId="2" borderId="4" xfId="0" applyNumberFormat="1" applyFont="1" applyFill="1" applyBorder="1" applyAlignment="1">
      <alignment horizontal="center" vertical="center"/>
    </xf>
    <xf numFmtId="14" fontId="1" fillId="2" borderId="4" xfId="0" applyNumberFormat="1" applyFont="1"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2" fontId="0" fillId="3" borderId="6" xfId="0" applyNumberFormat="1" applyFill="1" applyBorder="1"/>
    <xf numFmtId="14" fontId="0" fillId="3" borderId="6" xfId="0" applyNumberFormat="1" applyFill="1" applyBorder="1" applyAlignment="1">
      <alignment horizontal="center" vertical="center"/>
    </xf>
    <xf numFmtId="0" fontId="0" fillId="3" borderId="7" xfId="0" applyFill="1" applyBorder="1" applyAlignment="1">
      <alignment horizontal="center" vertical="center"/>
    </xf>
    <xf numFmtId="0" fontId="0" fillId="0" borderId="6" xfId="0" applyBorder="1" applyAlignment="1">
      <alignment horizontal="center" vertical="center"/>
    </xf>
    <xf numFmtId="14" fontId="0" fillId="0" borderId="6" xfId="0" applyNumberFormat="1" applyBorder="1" applyAlignment="1">
      <alignment horizontal="center" vertical="center"/>
    </xf>
    <xf numFmtId="0" fontId="0" fillId="0" borderId="7" xfId="0" applyBorder="1" applyAlignment="1">
      <alignment horizontal="center" vertical="center"/>
    </xf>
    <xf numFmtId="0" fontId="0" fillId="3" borderId="8" xfId="0" applyFill="1" applyBorder="1" applyAlignment="1">
      <alignment horizontal="center" vertical="center"/>
    </xf>
    <xf numFmtId="14" fontId="0" fillId="3" borderId="8" xfId="0" applyNumberFormat="1" applyFill="1" applyBorder="1" applyAlignment="1">
      <alignment horizontal="center" vertical="center"/>
    </xf>
    <xf numFmtId="2" fontId="0" fillId="3" borderId="8" xfId="0" applyNumberFormat="1" applyFill="1" applyBorder="1" applyAlignment="1">
      <alignment horizontal="center" vertical="center"/>
    </xf>
    <xf numFmtId="0" fontId="0" fillId="3" borderId="9"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2" fontId="0" fillId="4" borderId="6" xfId="0" applyNumberFormat="1" applyFill="1" applyBorder="1"/>
    <xf numFmtId="14" fontId="0" fillId="4" borderId="6" xfId="0" applyNumberFormat="1"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14" fontId="0" fillId="4" borderId="8" xfId="0" applyNumberFormat="1" applyFill="1" applyBorder="1" applyAlignment="1">
      <alignment horizontal="center" vertical="center"/>
    </xf>
    <xf numFmtId="2" fontId="0" fillId="4" borderId="8" xfId="0" applyNumberFormat="1" applyFill="1" applyBorder="1" applyAlignment="1">
      <alignment horizontal="center" vertical="center"/>
    </xf>
    <xf numFmtId="0" fontId="0" fillId="4" borderId="9" xfId="0"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2" fontId="0" fillId="4" borderId="11" xfId="0" applyNumberFormat="1" applyFill="1" applyBorder="1"/>
    <xf numFmtId="14" fontId="0" fillId="4" borderId="11" xfId="0" applyNumberFormat="1" applyFill="1" applyBorder="1" applyAlignment="1">
      <alignment horizontal="center" vertical="center"/>
    </xf>
    <xf numFmtId="0" fontId="0" fillId="0" borderId="11" xfId="0" applyBorder="1" applyAlignment="1">
      <alignment horizontal="center" vertical="center"/>
    </xf>
    <xf numFmtId="14" fontId="0" fillId="0" borderId="11" xfId="0" applyNumberFormat="1" applyBorder="1" applyAlignment="1">
      <alignment horizontal="center" vertical="center"/>
    </xf>
    <xf numFmtId="0" fontId="0" fillId="0" borderId="8" xfId="0"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2" fillId="0" borderId="0" xfId="0" applyFont="1" applyAlignment="1">
      <alignment horizontal="center"/>
    </xf>
    <xf numFmtId="14" fontId="0" fillId="4" borderId="7" xfId="0" applyNumberFormat="1" applyFill="1" applyBorder="1" applyAlignment="1">
      <alignment horizontal="center" vertical="center"/>
    </xf>
    <xf numFmtId="14" fontId="0" fillId="4" borderId="3" xfId="0" applyNumberFormat="1" applyFill="1" applyBorder="1" applyAlignment="1">
      <alignment horizontal="center" vertical="center"/>
    </xf>
    <xf numFmtId="14" fontId="1" fillId="2" borderId="12" xfId="0" applyNumberFormat="1" applyFont="1" applyFill="1" applyBorder="1" applyAlignment="1">
      <alignment horizontal="center" vertical="center"/>
    </xf>
    <xf numFmtId="14" fontId="0" fillId="4" borderId="4" xfId="0" applyNumberFormat="1" applyFill="1" applyBorder="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auto="1"/>
        </top>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9" formatCode="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7332647959061"/>
          <c:y val="0.23223938223938226"/>
          <c:w val="0.6979454348621853"/>
          <c:h val="0.61204460928870374"/>
        </c:manualLayout>
      </c:layout>
      <c:barChart>
        <c:barDir val="col"/>
        <c:grouping val="stack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table'!$A$12:$A$16</c:f>
              <c:strCache>
                <c:ptCount val="4"/>
                <c:pt idx="0">
                  <c:v>EAST</c:v>
                </c:pt>
                <c:pt idx="1">
                  <c:v>North</c:v>
                </c:pt>
                <c:pt idx="2">
                  <c:v>south</c:v>
                </c:pt>
                <c:pt idx="3">
                  <c:v>West</c:v>
                </c:pt>
              </c:strCache>
            </c:strRef>
          </c:cat>
          <c:val>
            <c:numRef>
              <c:f>'Pivot table'!$B$12:$B$16</c:f>
              <c:numCache>
                <c:formatCode>"₹"\ #,##0.00</c:formatCode>
                <c:ptCount val="4"/>
                <c:pt idx="0">
                  <c:v>19165753.690000001</c:v>
                </c:pt>
                <c:pt idx="1">
                  <c:v>19655282.369999986</c:v>
                </c:pt>
                <c:pt idx="2">
                  <c:v>19250953.739999987</c:v>
                </c:pt>
                <c:pt idx="3">
                  <c:v>19505544.390000012</c:v>
                </c:pt>
              </c:numCache>
            </c:numRef>
          </c:val>
          <c:extLst>
            <c:ext xmlns:c16="http://schemas.microsoft.com/office/drawing/2014/chart" uri="{C3380CC4-5D6E-409C-BE32-E72D297353CC}">
              <c16:uniqueId val="{00000000-F695-4CFA-9E98-B098B5C5C3C7}"/>
            </c:ext>
          </c:extLst>
        </c:ser>
        <c:dLbls>
          <c:showLegendKey val="0"/>
          <c:showVal val="0"/>
          <c:showCatName val="0"/>
          <c:showSerName val="0"/>
          <c:showPercent val="0"/>
          <c:showBubbleSize val="0"/>
        </c:dLbls>
        <c:gapWidth val="150"/>
        <c:overlap val="100"/>
        <c:axId val="1214095471"/>
        <c:axId val="1214095951"/>
      </c:barChart>
      <c:catAx>
        <c:axId val="12140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95951"/>
        <c:crosses val="autoZero"/>
        <c:auto val="1"/>
        <c:lblAlgn val="ctr"/>
        <c:lblOffset val="100"/>
        <c:noMultiLvlLbl val="0"/>
      </c:catAx>
      <c:valAx>
        <c:axId val="1214095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72806967870735"/>
          <c:y val="0.24114907539802607"/>
          <c:w val="0.63819082228660384"/>
          <c:h val="0.60802210792151035"/>
        </c:manualLayout>
      </c:layout>
      <c:lineChart>
        <c:grouping val="stacked"/>
        <c:varyColors val="0"/>
        <c:ser>
          <c:idx val="0"/>
          <c:order val="0"/>
          <c:tx>
            <c:strRef>
              <c:f>'Pivot table'!$E$11</c:f>
              <c:strCache>
                <c:ptCount val="1"/>
                <c:pt idx="0">
                  <c:v>Total</c:v>
                </c:pt>
              </c:strCache>
            </c:strRef>
          </c:tx>
          <c:spPr>
            <a:ln w="28575" cap="rnd">
              <a:solidFill>
                <a:schemeClr val="accent1"/>
              </a:solidFill>
              <a:round/>
            </a:ln>
            <a:effectLst/>
          </c:spPr>
          <c:marker>
            <c:symbol val="none"/>
          </c:marker>
          <c:cat>
            <c:strRef>
              <c:f>'Pivot table'!$D$12:$D$16</c:f>
              <c:strCache>
                <c:ptCount val="4"/>
                <c:pt idx="0">
                  <c:v>Jan</c:v>
                </c:pt>
                <c:pt idx="1">
                  <c:v>Feb</c:v>
                </c:pt>
                <c:pt idx="2">
                  <c:v>Mar</c:v>
                </c:pt>
                <c:pt idx="3">
                  <c:v>Apr</c:v>
                </c:pt>
              </c:strCache>
            </c:strRef>
          </c:cat>
          <c:val>
            <c:numRef>
              <c:f>'Pivot table'!$E$12:$E$16</c:f>
              <c:numCache>
                <c:formatCode>"₹"\ #,##0.00</c:formatCode>
                <c:ptCount val="4"/>
                <c:pt idx="0">
                  <c:v>17845423.089999996</c:v>
                </c:pt>
                <c:pt idx="1">
                  <c:v>19136543.080000002</c:v>
                </c:pt>
                <c:pt idx="2">
                  <c:v>20645515.499999996</c:v>
                </c:pt>
                <c:pt idx="3">
                  <c:v>19950052.519999988</c:v>
                </c:pt>
              </c:numCache>
            </c:numRef>
          </c:val>
          <c:smooth val="0"/>
          <c:extLst>
            <c:ext xmlns:c16="http://schemas.microsoft.com/office/drawing/2014/chart" uri="{C3380CC4-5D6E-409C-BE32-E72D297353CC}">
              <c16:uniqueId val="{00000000-4C11-4FEF-9E16-6EA26AC3C603}"/>
            </c:ext>
          </c:extLst>
        </c:ser>
        <c:dLbls>
          <c:showLegendKey val="0"/>
          <c:showVal val="0"/>
          <c:showCatName val="0"/>
          <c:showSerName val="0"/>
          <c:showPercent val="0"/>
          <c:showBubbleSize val="0"/>
        </c:dLbls>
        <c:smooth val="0"/>
        <c:axId val="1257673519"/>
        <c:axId val="1257673999"/>
      </c:lineChart>
      <c:catAx>
        <c:axId val="125767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73999"/>
        <c:crosses val="autoZero"/>
        <c:auto val="1"/>
        <c:lblAlgn val="ctr"/>
        <c:lblOffset val="100"/>
        <c:noMultiLvlLbl val="0"/>
      </c:catAx>
      <c:valAx>
        <c:axId val="12576739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 conversion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4267377813332"/>
          <c:y val="0.16469744331671718"/>
          <c:w val="0.78568373376453948"/>
          <c:h val="0.69057888579285875"/>
        </c:manualLayout>
      </c:layout>
      <c:barChart>
        <c:barDir val="bar"/>
        <c:grouping val="clustered"/>
        <c:varyColors val="0"/>
        <c:ser>
          <c:idx val="0"/>
          <c:order val="0"/>
          <c:tx>
            <c:strRef>
              <c:f>'Pivot table'!$H$11</c:f>
              <c:strCache>
                <c:ptCount val="1"/>
                <c:pt idx="0">
                  <c:v>Total</c:v>
                </c:pt>
              </c:strCache>
            </c:strRef>
          </c:tx>
          <c:spPr>
            <a:solidFill>
              <a:schemeClr val="accent1"/>
            </a:solidFill>
            <a:ln>
              <a:noFill/>
            </a:ln>
            <a:effectLst/>
          </c:spPr>
          <c:invertIfNegative val="0"/>
          <c:cat>
            <c:strRef>
              <c:f>'Pivot table'!$G$12:$G$16</c:f>
              <c:strCache>
                <c:ptCount val="4"/>
                <c:pt idx="0">
                  <c:v>closed</c:v>
                </c:pt>
                <c:pt idx="1">
                  <c:v>Converted</c:v>
                </c:pt>
                <c:pt idx="2">
                  <c:v>In-Progress</c:v>
                </c:pt>
                <c:pt idx="3">
                  <c:v>Open</c:v>
                </c:pt>
              </c:strCache>
            </c:strRef>
          </c:cat>
          <c:val>
            <c:numRef>
              <c:f>'Pivot table'!$H$12:$H$16</c:f>
              <c:numCache>
                <c:formatCode>0.00</c:formatCode>
                <c:ptCount val="4"/>
                <c:pt idx="0">
                  <c:v>206.96168999999986</c:v>
                </c:pt>
                <c:pt idx="1">
                  <c:v>213.92903000000007</c:v>
                </c:pt>
                <c:pt idx="2">
                  <c:v>203.36564000000001</c:v>
                </c:pt>
                <c:pt idx="3">
                  <c:v>204.46433999999994</c:v>
                </c:pt>
              </c:numCache>
            </c:numRef>
          </c:val>
          <c:extLst>
            <c:ext xmlns:c16="http://schemas.microsoft.com/office/drawing/2014/chart" uri="{C3380CC4-5D6E-409C-BE32-E72D297353CC}">
              <c16:uniqueId val="{00000000-1DBC-4950-8A3F-6BCF2938BFFC}"/>
            </c:ext>
          </c:extLst>
        </c:ser>
        <c:dLbls>
          <c:showLegendKey val="0"/>
          <c:showVal val="0"/>
          <c:showCatName val="0"/>
          <c:showSerName val="0"/>
          <c:showPercent val="0"/>
          <c:showBubbleSize val="0"/>
        </c:dLbls>
        <c:gapWidth val="182"/>
        <c:axId val="685587488"/>
        <c:axId val="685585088"/>
      </c:barChart>
      <c:catAx>
        <c:axId val="68558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5088"/>
        <c:crosses val="autoZero"/>
        <c:auto val="1"/>
        <c:lblAlgn val="ctr"/>
        <c:lblOffset val="100"/>
        <c:noMultiLvlLbl val="0"/>
      </c:catAx>
      <c:valAx>
        <c:axId val="68558508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table!PivotTable12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fullfillment days</a:t>
            </a:r>
          </a:p>
        </c:rich>
      </c:tx>
      <c:layout>
        <c:manualLayout>
          <c:xMode val="edge"/>
          <c:yMode val="edge"/>
          <c:x val="0.26936731424110666"/>
          <c:y val="3.53718735116657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04392492175584E-2"/>
          <c:y val="0.22158231529959285"/>
          <c:w val="0.89335872320083698"/>
          <c:h val="0.64928291031683871"/>
        </c:manualLayout>
      </c:layout>
      <c:barChart>
        <c:barDir val="col"/>
        <c:grouping val="clustered"/>
        <c:varyColors val="0"/>
        <c:ser>
          <c:idx val="0"/>
          <c:order val="0"/>
          <c:tx>
            <c:strRef>
              <c:f>'Pivot table'!$K$9</c:f>
              <c:strCache>
                <c:ptCount val="1"/>
                <c:pt idx="0">
                  <c:v>Total</c:v>
                </c:pt>
              </c:strCache>
            </c:strRef>
          </c:tx>
          <c:spPr>
            <a:solidFill>
              <a:schemeClr val="accent1"/>
            </a:solidFill>
            <a:ln>
              <a:noFill/>
            </a:ln>
            <a:effectLst/>
          </c:spPr>
          <c:invertIfNegative val="0"/>
          <c:cat>
            <c:strRef>
              <c:f>'Pivot table'!$J$10:$J$14</c:f>
              <c:strCache>
                <c:ptCount val="4"/>
                <c:pt idx="0">
                  <c:v>EAST</c:v>
                </c:pt>
                <c:pt idx="1">
                  <c:v>North</c:v>
                </c:pt>
                <c:pt idx="2">
                  <c:v>south</c:v>
                </c:pt>
                <c:pt idx="3">
                  <c:v>West</c:v>
                </c:pt>
              </c:strCache>
            </c:strRef>
          </c:cat>
          <c:val>
            <c:numRef>
              <c:f>'Pivot table'!$K$10:$K$14</c:f>
              <c:numCache>
                <c:formatCode>General</c:formatCode>
                <c:ptCount val="4"/>
                <c:pt idx="0">
                  <c:v>8.0362694300518136</c:v>
                </c:pt>
                <c:pt idx="1">
                  <c:v>7.3111702127659575</c:v>
                </c:pt>
                <c:pt idx="2">
                  <c:v>7.6748633879781423</c:v>
                </c:pt>
                <c:pt idx="3">
                  <c:v>7.85752688172043</c:v>
                </c:pt>
              </c:numCache>
            </c:numRef>
          </c:val>
          <c:extLst>
            <c:ext xmlns:c16="http://schemas.microsoft.com/office/drawing/2014/chart" uri="{C3380CC4-5D6E-409C-BE32-E72D297353CC}">
              <c16:uniqueId val="{00000000-97A1-47C1-BCA1-D3DDE10F98C1}"/>
            </c:ext>
          </c:extLst>
        </c:ser>
        <c:dLbls>
          <c:showLegendKey val="0"/>
          <c:showVal val="0"/>
          <c:showCatName val="0"/>
          <c:showSerName val="0"/>
          <c:showPercent val="0"/>
          <c:showBubbleSize val="0"/>
        </c:dLbls>
        <c:gapWidth val="219"/>
        <c:axId val="689452016"/>
        <c:axId val="689454416"/>
      </c:barChart>
      <c:catAx>
        <c:axId val="68945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54416"/>
        <c:crosses val="autoZero"/>
        <c:auto val="1"/>
        <c:lblAlgn val="ctr"/>
        <c:lblOffset val="100"/>
        <c:noMultiLvlLbl val="0"/>
      </c:catAx>
      <c:valAx>
        <c:axId val="68945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5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table!PivotTable14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table'!$H$19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8B-46E4-8DB3-A45A5A8B83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8B-46E4-8DB3-A45A5A8B83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8B-46E4-8DB3-A45A5A8B8339}"/>
              </c:ext>
            </c:extLst>
          </c:dPt>
          <c:cat>
            <c:strRef>
              <c:f>'Pivot table'!$G$20:$G$23</c:f>
              <c:strCache>
                <c:ptCount val="3"/>
                <c:pt idx="0">
                  <c:v>Logistics</c:v>
                </c:pt>
                <c:pt idx="1">
                  <c:v>Marketing</c:v>
                </c:pt>
                <c:pt idx="2">
                  <c:v>Operations</c:v>
                </c:pt>
              </c:strCache>
            </c:strRef>
          </c:cat>
          <c:val>
            <c:numRef>
              <c:f>'Pivot table'!$H$20:$H$23</c:f>
              <c:numCache>
                <c:formatCode>"₹"\ #,##0.00</c:formatCode>
                <c:ptCount val="3"/>
                <c:pt idx="0">
                  <c:v>49644313.922799975</c:v>
                </c:pt>
                <c:pt idx="1">
                  <c:v>99481740.320659995</c:v>
                </c:pt>
                <c:pt idx="2">
                  <c:v>48725578.47200001</c:v>
                </c:pt>
              </c:numCache>
            </c:numRef>
          </c:val>
          <c:extLst>
            <c:ext xmlns:c16="http://schemas.microsoft.com/office/drawing/2014/chart" uri="{C3380CC4-5D6E-409C-BE32-E72D297353CC}">
              <c16:uniqueId val="{00000006-C78B-46E4-8DB3-A45A5A8B83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table'!$A$12:$A$16</c:f>
              <c:strCache>
                <c:ptCount val="4"/>
                <c:pt idx="0">
                  <c:v>EAST</c:v>
                </c:pt>
                <c:pt idx="1">
                  <c:v>North</c:v>
                </c:pt>
                <c:pt idx="2">
                  <c:v>south</c:v>
                </c:pt>
                <c:pt idx="3">
                  <c:v>West</c:v>
                </c:pt>
              </c:strCache>
            </c:strRef>
          </c:cat>
          <c:val>
            <c:numRef>
              <c:f>'Pivot table'!$B$12:$B$16</c:f>
              <c:numCache>
                <c:formatCode>"₹"\ #,##0.00</c:formatCode>
                <c:ptCount val="4"/>
                <c:pt idx="0">
                  <c:v>19165753.690000001</c:v>
                </c:pt>
                <c:pt idx="1">
                  <c:v>19655282.369999986</c:v>
                </c:pt>
                <c:pt idx="2">
                  <c:v>19250953.739999987</c:v>
                </c:pt>
                <c:pt idx="3">
                  <c:v>19505544.390000012</c:v>
                </c:pt>
              </c:numCache>
            </c:numRef>
          </c:val>
          <c:extLst>
            <c:ext xmlns:c16="http://schemas.microsoft.com/office/drawing/2014/chart" uri="{C3380CC4-5D6E-409C-BE32-E72D297353CC}">
              <c16:uniqueId val="{00000000-B902-46D4-A46E-3B2B67A8E479}"/>
            </c:ext>
          </c:extLst>
        </c:ser>
        <c:dLbls>
          <c:showLegendKey val="0"/>
          <c:showVal val="0"/>
          <c:showCatName val="0"/>
          <c:showSerName val="0"/>
          <c:showPercent val="0"/>
          <c:showBubbleSize val="0"/>
        </c:dLbls>
        <c:gapWidth val="150"/>
        <c:overlap val="100"/>
        <c:axId val="1214095471"/>
        <c:axId val="1214095951"/>
      </c:barChart>
      <c:catAx>
        <c:axId val="12140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95951"/>
        <c:crosses val="autoZero"/>
        <c:auto val="1"/>
        <c:lblAlgn val="ctr"/>
        <c:lblOffset val="100"/>
        <c:noMultiLvlLbl val="0"/>
      </c:catAx>
      <c:valAx>
        <c:axId val="1214095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table'!$E$11</c:f>
              <c:strCache>
                <c:ptCount val="1"/>
                <c:pt idx="0">
                  <c:v>Total</c:v>
                </c:pt>
              </c:strCache>
            </c:strRef>
          </c:tx>
          <c:spPr>
            <a:ln w="28575" cap="rnd">
              <a:solidFill>
                <a:schemeClr val="accent1"/>
              </a:solidFill>
              <a:round/>
            </a:ln>
            <a:effectLst/>
          </c:spPr>
          <c:marker>
            <c:symbol val="none"/>
          </c:marker>
          <c:cat>
            <c:strRef>
              <c:f>'Pivot table'!$D$12:$D$16</c:f>
              <c:strCache>
                <c:ptCount val="4"/>
                <c:pt idx="0">
                  <c:v>Jan</c:v>
                </c:pt>
                <c:pt idx="1">
                  <c:v>Feb</c:v>
                </c:pt>
                <c:pt idx="2">
                  <c:v>Mar</c:v>
                </c:pt>
                <c:pt idx="3">
                  <c:v>Apr</c:v>
                </c:pt>
              </c:strCache>
            </c:strRef>
          </c:cat>
          <c:val>
            <c:numRef>
              <c:f>'Pivot table'!$E$12:$E$16</c:f>
              <c:numCache>
                <c:formatCode>"₹"\ #,##0.00</c:formatCode>
                <c:ptCount val="4"/>
                <c:pt idx="0">
                  <c:v>17845423.089999996</c:v>
                </c:pt>
                <c:pt idx="1">
                  <c:v>19136543.080000002</c:v>
                </c:pt>
                <c:pt idx="2">
                  <c:v>20645515.499999996</c:v>
                </c:pt>
                <c:pt idx="3">
                  <c:v>19950052.519999988</c:v>
                </c:pt>
              </c:numCache>
            </c:numRef>
          </c:val>
          <c:smooth val="0"/>
          <c:extLst>
            <c:ext xmlns:c16="http://schemas.microsoft.com/office/drawing/2014/chart" uri="{C3380CC4-5D6E-409C-BE32-E72D297353CC}">
              <c16:uniqueId val="{00000000-51A1-4E5E-AEAB-3D4F93808626}"/>
            </c:ext>
          </c:extLst>
        </c:ser>
        <c:dLbls>
          <c:showLegendKey val="0"/>
          <c:showVal val="0"/>
          <c:showCatName val="0"/>
          <c:showSerName val="0"/>
          <c:showPercent val="0"/>
          <c:showBubbleSize val="0"/>
        </c:dLbls>
        <c:smooth val="0"/>
        <c:axId val="1257673519"/>
        <c:axId val="1257673999"/>
      </c:lineChart>
      <c:catAx>
        <c:axId val="125767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73999"/>
        <c:crosses val="autoZero"/>
        <c:auto val="1"/>
        <c:lblAlgn val="ctr"/>
        <c:lblOffset val="100"/>
        <c:noMultiLvlLbl val="0"/>
      </c:catAx>
      <c:valAx>
        <c:axId val="1257673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 conversion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table'!$H$11</c:f>
              <c:strCache>
                <c:ptCount val="1"/>
                <c:pt idx="0">
                  <c:v>Total</c:v>
                </c:pt>
              </c:strCache>
            </c:strRef>
          </c:tx>
          <c:spPr>
            <a:solidFill>
              <a:schemeClr val="accent1"/>
            </a:solidFill>
            <a:ln>
              <a:noFill/>
            </a:ln>
            <a:effectLst/>
          </c:spPr>
          <c:invertIfNegative val="0"/>
          <c:cat>
            <c:strRef>
              <c:f>'Pivot table'!$G$12:$G$16</c:f>
              <c:strCache>
                <c:ptCount val="4"/>
                <c:pt idx="0">
                  <c:v>closed</c:v>
                </c:pt>
                <c:pt idx="1">
                  <c:v>Converted</c:v>
                </c:pt>
                <c:pt idx="2">
                  <c:v>In-Progress</c:v>
                </c:pt>
                <c:pt idx="3">
                  <c:v>Open</c:v>
                </c:pt>
              </c:strCache>
            </c:strRef>
          </c:cat>
          <c:val>
            <c:numRef>
              <c:f>'Pivot table'!$H$12:$H$16</c:f>
              <c:numCache>
                <c:formatCode>0.00</c:formatCode>
                <c:ptCount val="4"/>
                <c:pt idx="0">
                  <c:v>206.96168999999986</c:v>
                </c:pt>
                <c:pt idx="1">
                  <c:v>213.92903000000007</c:v>
                </c:pt>
                <c:pt idx="2">
                  <c:v>203.36564000000001</c:v>
                </c:pt>
                <c:pt idx="3">
                  <c:v>204.46433999999994</c:v>
                </c:pt>
              </c:numCache>
            </c:numRef>
          </c:val>
          <c:extLst>
            <c:ext xmlns:c16="http://schemas.microsoft.com/office/drawing/2014/chart" uri="{C3380CC4-5D6E-409C-BE32-E72D297353CC}">
              <c16:uniqueId val="{00000000-2109-4055-83CF-AC6725C2168B}"/>
            </c:ext>
          </c:extLst>
        </c:ser>
        <c:dLbls>
          <c:showLegendKey val="0"/>
          <c:showVal val="0"/>
          <c:showCatName val="0"/>
          <c:showSerName val="0"/>
          <c:showPercent val="0"/>
          <c:showBubbleSize val="0"/>
        </c:dLbls>
        <c:gapWidth val="182"/>
        <c:axId val="685587488"/>
        <c:axId val="685585088"/>
      </c:barChart>
      <c:catAx>
        <c:axId val="68558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5088"/>
        <c:crosses val="autoZero"/>
        <c:auto val="1"/>
        <c:lblAlgn val="ctr"/>
        <c:lblOffset val="100"/>
        <c:noMultiLvlLbl val="0"/>
      </c:catAx>
      <c:valAx>
        <c:axId val="68558508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table!PivotTable12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fullfillment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table'!$K$9</c:f>
              <c:strCache>
                <c:ptCount val="1"/>
                <c:pt idx="0">
                  <c:v>Total</c:v>
                </c:pt>
              </c:strCache>
            </c:strRef>
          </c:tx>
          <c:spPr>
            <a:solidFill>
              <a:schemeClr val="accent1"/>
            </a:solidFill>
            <a:ln>
              <a:noFill/>
            </a:ln>
            <a:effectLst/>
          </c:spPr>
          <c:invertIfNegative val="0"/>
          <c:cat>
            <c:strRef>
              <c:f>'Pivot table'!$J$10:$J$14</c:f>
              <c:strCache>
                <c:ptCount val="4"/>
                <c:pt idx="0">
                  <c:v>EAST</c:v>
                </c:pt>
                <c:pt idx="1">
                  <c:v>North</c:v>
                </c:pt>
                <c:pt idx="2">
                  <c:v>south</c:v>
                </c:pt>
                <c:pt idx="3">
                  <c:v>West</c:v>
                </c:pt>
              </c:strCache>
            </c:strRef>
          </c:cat>
          <c:val>
            <c:numRef>
              <c:f>'Pivot table'!$K$10:$K$14</c:f>
              <c:numCache>
                <c:formatCode>General</c:formatCode>
                <c:ptCount val="4"/>
                <c:pt idx="0">
                  <c:v>8.0362694300518136</c:v>
                </c:pt>
                <c:pt idx="1">
                  <c:v>7.3111702127659575</c:v>
                </c:pt>
                <c:pt idx="2">
                  <c:v>7.6748633879781423</c:v>
                </c:pt>
                <c:pt idx="3">
                  <c:v>7.85752688172043</c:v>
                </c:pt>
              </c:numCache>
            </c:numRef>
          </c:val>
          <c:extLst>
            <c:ext xmlns:c16="http://schemas.microsoft.com/office/drawing/2014/chart" uri="{C3380CC4-5D6E-409C-BE32-E72D297353CC}">
              <c16:uniqueId val="{00000000-1DA7-4BB1-A29E-10DD389FAD45}"/>
            </c:ext>
          </c:extLst>
        </c:ser>
        <c:dLbls>
          <c:showLegendKey val="0"/>
          <c:showVal val="0"/>
          <c:showCatName val="0"/>
          <c:showSerName val="0"/>
          <c:showPercent val="0"/>
          <c:showBubbleSize val="0"/>
        </c:dLbls>
        <c:gapWidth val="219"/>
        <c:axId val="689452016"/>
        <c:axId val="689454416"/>
      </c:barChart>
      <c:catAx>
        <c:axId val="68945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54416"/>
        <c:crosses val="autoZero"/>
        <c:auto val="1"/>
        <c:lblAlgn val="ctr"/>
        <c:lblOffset val="100"/>
        <c:noMultiLvlLbl val="0"/>
      </c:catAx>
      <c:valAx>
        <c:axId val="68945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45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 mis analyst.xlsx]Pivot table!PivotTable14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table'!$H$19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CB-41AC-AFCC-52E785BCA2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CB-41AC-AFCC-52E785BCA2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CB-41AC-AFCC-52E785BCA2BB}"/>
              </c:ext>
            </c:extLst>
          </c:dPt>
          <c:cat>
            <c:strRef>
              <c:f>'Pivot table'!$G$20:$G$23</c:f>
              <c:strCache>
                <c:ptCount val="3"/>
                <c:pt idx="0">
                  <c:v>Logistics</c:v>
                </c:pt>
                <c:pt idx="1">
                  <c:v>Marketing</c:v>
                </c:pt>
                <c:pt idx="2">
                  <c:v>Operations</c:v>
                </c:pt>
              </c:strCache>
            </c:strRef>
          </c:cat>
          <c:val>
            <c:numRef>
              <c:f>'Pivot table'!$H$20:$H$23</c:f>
              <c:numCache>
                <c:formatCode>"₹"\ #,##0.00</c:formatCode>
                <c:ptCount val="3"/>
                <c:pt idx="0">
                  <c:v>49644313.922799975</c:v>
                </c:pt>
                <c:pt idx="1">
                  <c:v>99481740.320659995</c:v>
                </c:pt>
                <c:pt idx="2">
                  <c:v>48725578.47200001</c:v>
                </c:pt>
              </c:numCache>
            </c:numRef>
          </c:val>
          <c:extLst>
            <c:ext xmlns:c16="http://schemas.microsoft.com/office/drawing/2014/chart" uri="{C3380CC4-5D6E-409C-BE32-E72D297353CC}">
              <c16:uniqueId val="{00000000-FD53-4865-9348-D32F7CA72D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381000</xdr:colOff>
      <xdr:row>0</xdr:row>
      <xdr:rowOff>83820</xdr:rowOff>
    </xdr:from>
    <xdr:to>
      <xdr:col>17</xdr:col>
      <xdr:colOff>60960</xdr:colOff>
      <xdr:row>40</xdr:row>
      <xdr:rowOff>72081</xdr:rowOff>
    </xdr:to>
    <xdr:sp macro="" textlink="">
      <xdr:nvSpPr>
        <xdr:cNvPr id="2" name="Rectangle: Rounded Corners 1">
          <a:extLst>
            <a:ext uri="{FF2B5EF4-FFF2-40B4-BE49-F238E27FC236}">
              <a16:creationId xmlns:a16="http://schemas.microsoft.com/office/drawing/2014/main" id="{D6F61C0F-274A-5A32-58D1-AD6486F9080F}"/>
            </a:ext>
          </a:extLst>
        </xdr:cNvPr>
        <xdr:cNvSpPr/>
      </xdr:nvSpPr>
      <xdr:spPr>
        <a:xfrm>
          <a:off x="381000" y="83820"/>
          <a:ext cx="13601906" cy="7608261"/>
        </a:xfrm>
        <a:prstGeom prst="roundRect">
          <a:avLst>
            <a:gd name="adj" fmla="val 4412"/>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a:p>
          <a:pPr algn="l"/>
          <a:endParaRPr lang="en-US" sz="1100"/>
        </a:p>
        <a:p>
          <a:pPr algn="l"/>
          <a:endParaRPr lang="en-US" sz="1100"/>
        </a:p>
      </xdr:txBody>
    </xdr:sp>
    <xdr:clientData/>
  </xdr:twoCellAnchor>
  <xdr:twoCellAnchor>
    <xdr:from>
      <xdr:col>2</xdr:col>
      <xdr:colOff>144780</xdr:colOff>
      <xdr:row>0</xdr:row>
      <xdr:rowOff>60960</xdr:rowOff>
    </xdr:from>
    <xdr:to>
      <xdr:col>18</xdr:col>
      <xdr:colOff>434340</xdr:colOff>
      <xdr:row>41</xdr:row>
      <xdr:rowOff>82379</xdr:rowOff>
    </xdr:to>
    <xdr:sp macro="" textlink="">
      <xdr:nvSpPr>
        <xdr:cNvPr id="3" name="Rectangle: Rounded Corners 2">
          <a:extLst>
            <a:ext uri="{FF2B5EF4-FFF2-40B4-BE49-F238E27FC236}">
              <a16:creationId xmlns:a16="http://schemas.microsoft.com/office/drawing/2014/main" id="{9C2192BF-92F8-504B-F8C8-7B9D8069E526}"/>
            </a:ext>
          </a:extLst>
        </xdr:cNvPr>
        <xdr:cNvSpPr/>
      </xdr:nvSpPr>
      <xdr:spPr>
        <a:xfrm>
          <a:off x="1359861" y="60960"/>
          <a:ext cx="13603965" cy="7826770"/>
        </a:xfrm>
        <a:prstGeom prst="roundRect">
          <a:avLst>
            <a:gd name="adj" fmla="val 563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a:p>
          <a:pPr algn="l"/>
          <a:endParaRPr lang="en-US" sz="1100"/>
        </a:p>
        <a:p>
          <a:pPr algn="l"/>
          <a:endParaRPr lang="en-US" sz="1100"/>
        </a:p>
      </xdr:txBody>
    </xdr:sp>
    <xdr:clientData/>
  </xdr:twoCellAnchor>
  <xdr:twoCellAnchor editAs="oneCell">
    <xdr:from>
      <xdr:col>2</xdr:col>
      <xdr:colOff>564282</xdr:colOff>
      <xdr:row>16</xdr:row>
      <xdr:rowOff>170848</xdr:rowOff>
    </xdr:from>
    <xdr:to>
      <xdr:col>5</xdr:col>
      <xdr:colOff>221382</xdr:colOff>
      <xdr:row>24</xdr:row>
      <xdr:rowOff>170847</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CF1D6217-2F2E-4448-9F31-1FF26850962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87493" y="3279006"/>
              <a:ext cx="1491915" cy="1443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564280</xdr:colOff>
      <xdr:row>9</xdr:row>
      <xdr:rowOff>171250</xdr:rowOff>
    </xdr:from>
    <xdr:to>
      <xdr:col>5</xdr:col>
      <xdr:colOff>206140</xdr:colOff>
      <xdr:row>16</xdr:row>
      <xdr:rowOff>97455</xdr:rowOff>
    </xdr:to>
    <mc:AlternateContent xmlns:mc="http://schemas.openxmlformats.org/markup-compatibility/2006" xmlns:a14="http://schemas.microsoft.com/office/drawing/2010/main">
      <mc:Choice Requires="a14">
        <xdr:graphicFrame macro="">
          <xdr:nvGraphicFramePr>
            <xdr:cNvPr id="9" name="Channel 1">
              <a:extLst>
                <a:ext uri="{FF2B5EF4-FFF2-40B4-BE49-F238E27FC236}">
                  <a16:creationId xmlns:a16="http://schemas.microsoft.com/office/drawing/2014/main" id="{C8FC9FE6-462D-4633-9A65-B183833F443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787491" y="2016092"/>
              <a:ext cx="1476675" cy="1189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572703</xdr:colOff>
      <xdr:row>4</xdr:row>
      <xdr:rowOff>77402</xdr:rowOff>
    </xdr:from>
    <xdr:to>
      <xdr:col>5</xdr:col>
      <xdr:colOff>180474</xdr:colOff>
      <xdr:row>9</xdr:row>
      <xdr:rowOff>110289</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AC612BA1-3896-480D-9FD7-2E2EE8B9CCF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795914" y="1019876"/>
              <a:ext cx="1442586" cy="935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0</xdr:row>
      <xdr:rowOff>213360</xdr:rowOff>
    </xdr:from>
    <xdr:to>
      <xdr:col>15</xdr:col>
      <xdr:colOff>220980</xdr:colOff>
      <xdr:row>3</xdr:row>
      <xdr:rowOff>0</xdr:rowOff>
    </xdr:to>
    <xdr:sp macro="" textlink="">
      <xdr:nvSpPr>
        <xdr:cNvPr id="11" name="Rectangle: Rounded Corners 10">
          <a:extLst>
            <a:ext uri="{FF2B5EF4-FFF2-40B4-BE49-F238E27FC236}">
              <a16:creationId xmlns:a16="http://schemas.microsoft.com/office/drawing/2014/main" id="{337ECDA5-E956-A143-25C4-A87BC15B7DC8}"/>
            </a:ext>
          </a:extLst>
        </xdr:cNvPr>
        <xdr:cNvSpPr/>
      </xdr:nvSpPr>
      <xdr:spPr>
        <a:xfrm>
          <a:off x="3017921" y="213360"/>
          <a:ext cx="9976585" cy="548640"/>
        </a:xfrm>
        <a:prstGeom prst="roundRect">
          <a:avLst>
            <a:gd name="adj"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i="1"/>
            <a:t>SALES</a:t>
          </a:r>
          <a:r>
            <a:rPr lang="en-US" sz="3200" b="1" i="1" baseline="0"/>
            <a:t> ANALYSIS DASHBOARD</a:t>
          </a:r>
          <a:endParaRPr lang="en-US" sz="3200" b="1" i="1"/>
        </a:p>
      </xdr:txBody>
    </xdr:sp>
    <xdr:clientData/>
  </xdr:twoCellAnchor>
  <xdr:twoCellAnchor>
    <xdr:from>
      <xdr:col>5</xdr:col>
      <xdr:colOff>336885</xdr:colOff>
      <xdr:row>11</xdr:row>
      <xdr:rowOff>170447</xdr:rowOff>
    </xdr:from>
    <xdr:to>
      <xdr:col>8</xdr:col>
      <xdr:colOff>491290</xdr:colOff>
      <xdr:row>27</xdr:row>
      <xdr:rowOff>0</xdr:rowOff>
    </xdr:to>
    <xdr:graphicFrame macro="">
      <xdr:nvGraphicFramePr>
        <xdr:cNvPr id="14" name="Chart 13">
          <a:extLst>
            <a:ext uri="{FF2B5EF4-FFF2-40B4-BE49-F238E27FC236}">
              <a16:creationId xmlns:a16="http://schemas.microsoft.com/office/drawing/2014/main" id="{241FB4AB-B59E-472D-A76B-559AF6E5D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1974782</xdr:colOff>
      <xdr:row>27</xdr:row>
      <xdr:rowOff>50132</xdr:rowOff>
    </xdr:from>
    <xdr:to>
      <xdr:col>11</xdr:col>
      <xdr:colOff>290763</xdr:colOff>
      <xdr:row>40</xdr:row>
      <xdr:rowOff>1002</xdr:rowOff>
    </xdr:to>
    <xdr:graphicFrame macro="">
      <xdr:nvGraphicFramePr>
        <xdr:cNvPr id="15" name="Chart 14">
          <a:extLst>
            <a:ext uri="{FF2B5EF4-FFF2-40B4-BE49-F238E27FC236}">
              <a16:creationId xmlns:a16="http://schemas.microsoft.com/office/drawing/2014/main" id="{72ED3456-D8A3-4A49-983A-149C2855F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512945</xdr:colOff>
      <xdr:row>27</xdr:row>
      <xdr:rowOff>70185</xdr:rowOff>
    </xdr:from>
    <xdr:to>
      <xdr:col>7</xdr:col>
      <xdr:colOff>1854868</xdr:colOff>
      <xdr:row>40</xdr:row>
      <xdr:rowOff>38101</xdr:rowOff>
    </xdr:to>
    <xdr:graphicFrame macro="">
      <xdr:nvGraphicFramePr>
        <xdr:cNvPr id="19" name="Chart 18">
          <a:extLst>
            <a:ext uri="{FF2B5EF4-FFF2-40B4-BE49-F238E27FC236}">
              <a16:creationId xmlns:a16="http://schemas.microsoft.com/office/drawing/2014/main" id="{03C592A4-7521-4593-8ED3-72435508A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591553</xdr:colOff>
      <xdr:row>11</xdr:row>
      <xdr:rowOff>131947</xdr:rowOff>
    </xdr:from>
    <xdr:to>
      <xdr:col>17</xdr:col>
      <xdr:colOff>451183</xdr:colOff>
      <xdr:row>26</xdr:row>
      <xdr:rowOff>140368</xdr:rowOff>
    </xdr:to>
    <xdr:graphicFrame macro="">
      <xdr:nvGraphicFramePr>
        <xdr:cNvPr id="20" name="Chart 19">
          <a:extLst>
            <a:ext uri="{FF2B5EF4-FFF2-40B4-BE49-F238E27FC236}">
              <a16:creationId xmlns:a16="http://schemas.microsoft.com/office/drawing/2014/main" id="{9C773032-FEE4-4056-A34F-5B0835BF7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401053</xdr:colOff>
      <xdr:row>27</xdr:row>
      <xdr:rowOff>19771</xdr:rowOff>
    </xdr:from>
    <xdr:to>
      <xdr:col>18</xdr:col>
      <xdr:colOff>69199</xdr:colOff>
      <xdr:row>40</xdr:row>
      <xdr:rowOff>44175</xdr:rowOff>
    </xdr:to>
    <xdr:graphicFrame macro="">
      <xdr:nvGraphicFramePr>
        <xdr:cNvPr id="21" name="Chart 20">
          <a:extLst>
            <a:ext uri="{FF2B5EF4-FFF2-40B4-BE49-F238E27FC236}">
              <a16:creationId xmlns:a16="http://schemas.microsoft.com/office/drawing/2014/main" id="{A5582332-044C-4C19-A768-0B768AD08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340894</xdr:colOff>
      <xdr:row>4</xdr:row>
      <xdr:rowOff>110289</xdr:rowOff>
    </xdr:from>
    <xdr:to>
      <xdr:col>7</xdr:col>
      <xdr:colOff>2747210</xdr:colOff>
      <xdr:row>10</xdr:row>
      <xdr:rowOff>10026</xdr:rowOff>
    </xdr:to>
    <xdr:sp macro="" textlink="">
      <xdr:nvSpPr>
        <xdr:cNvPr id="25" name="Rectangle: Rounded Corners 24">
          <a:extLst>
            <a:ext uri="{FF2B5EF4-FFF2-40B4-BE49-F238E27FC236}">
              <a16:creationId xmlns:a16="http://schemas.microsoft.com/office/drawing/2014/main" id="{CBE87C9F-550E-A521-014C-B85935658F40}"/>
            </a:ext>
          </a:extLst>
        </xdr:cNvPr>
        <xdr:cNvSpPr/>
      </xdr:nvSpPr>
      <xdr:spPr>
        <a:xfrm>
          <a:off x="4010526" y="1052763"/>
          <a:ext cx="3017921" cy="982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SALES</a:t>
          </a:r>
        </a:p>
      </xdr:txBody>
    </xdr:sp>
    <xdr:clientData/>
  </xdr:twoCellAnchor>
  <xdr:twoCellAnchor>
    <xdr:from>
      <xdr:col>7</xdr:col>
      <xdr:colOff>2997868</xdr:colOff>
      <xdr:row>4</xdr:row>
      <xdr:rowOff>100264</xdr:rowOff>
    </xdr:from>
    <xdr:to>
      <xdr:col>10</xdr:col>
      <xdr:colOff>581526</xdr:colOff>
      <xdr:row>10</xdr:row>
      <xdr:rowOff>1</xdr:rowOff>
    </xdr:to>
    <xdr:sp macro="" textlink="">
      <xdr:nvSpPr>
        <xdr:cNvPr id="26" name="Rectangle: Rounded Corners 25">
          <a:extLst>
            <a:ext uri="{FF2B5EF4-FFF2-40B4-BE49-F238E27FC236}">
              <a16:creationId xmlns:a16="http://schemas.microsoft.com/office/drawing/2014/main" id="{D7B1B815-57E4-C354-E93B-EA7DA337BCB4}"/>
            </a:ext>
          </a:extLst>
        </xdr:cNvPr>
        <xdr:cNvSpPr/>
      </xdr:nvSpPr>
      <xdr:spPr>
        <a:xfrm>
          <a:off x="7279105" y="1042738"/>
          <a:ext cx="3017921" cy="982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ORDERS</a:t>
          </a:r>
        </a:p>
      </xdr:txBody>
    </xdr:sp>
    <xdr:clientData/>
  </xdr:twoCellAnchor>
  <xdr:twoCellAnchor>
    <xdr:from>
      <xdr:col>11</xdr:col>
      <xdr:colOff>210553</xdr:colOff>
      <xdr:row>4</xdr:row>
      <xdr:rowOff>100262</xdr:rowOff>
    </xdr:from>
    <xdr:to>
      <xdr:col>16</xdr:col>
      <xdr:colOff>170447</xdr:colOff>
      <xdr:row>9</xdr:row>
      <xdr:rowOff>180473</xdr:rowOff>
    </xdr:to>
    <xdr:sp macro="" textlink="">
      <xdr:nvSpPr>
        <xdr:cNvPr id="27" name="Rectangle: Rounded Corners 26">
          <a:extLst>
            <a:ext uri="{FF2B5EF4-FFF2-40B4-BE49-F238E27FC236}">
              <a16:creationId xmlns:a16="http://schemas.microsoft.com/office/drawing/2014/main" id="{56118A3F-34C1-3456-2227-C8423F269FC3}"/>
            </a:ext>
          </a:extLst>
        </xdr:cNvPr>
        <xdr:cNvSpPr/>
      </xdr:nvSpPr>
      <xdr:spPr>
        <a:xfrm>
          <a:off x="10537658" y="1042736"/>
          <a:ext cx="3017921" cy="982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FULLFILLMENT</a:t>
          </a:r>
          <a:r>
            <a:rPr lang="en-US" sz="1600" b="1" baseline="0"/>
            <a:t> DAYS</a:t>
          </a:r>
        </a:p>
        <a:p>
          <a:pPr algn="l"/>
          <a:endParaRPr lang="en-US" sz="1100"/>
        </a:p>
      </xdr:txBody>
    </xdr:sp>
    <xdr:clientData/>
  </xdr:twoCellAnchor>
  <xdr:twoCellAnchor>
    <xdr:from>
      <xdr:col>7</xdr:col>
      <xdr:colOff>160422</xdr:colOff>
      <xdr:row>6</xdr:row>
      <xdr:rowOff>120316</xdr:rowOff>
    </xdr:from>
    <xdr:to>
      <xdr:col>7</xdr:col>
      <xdr:colOff>2245895</xdr:colOff>
      <xdr:row>9</xdr:row>
      <xdr:rowOff>30080</xdr:rowOff>
    </xdr:to>
    <xdr:sp macro="" textlink="'Pivot table'!H33">
      <xdr:nvSpPr>
        <xdr:cNvPr id="28" name="Rectangle: Rounded Corners 27">
          <a:extLst>
            <a:ext uri="{FF2B5EF4-FFF2-40B4-BE49-F238E27FC236}">
              <a16:creationId xmlns:a16="http://schemas.microsoft.com/office/drawing/2014/main" id="{641670DC-F6E1-79FB-2932-B94770C27A74}"/>
            </a:ext>
          </a:extLst>
        </xdr:cNvPr>
        <xdr:cNvSpPr/>
      </xdr:nvSpPr>
      <xdr:spPr>
        <a:xfrm>
          <a:off x="4441659" y="1423737"/>
          <a:ext cx="2085473" cy="451185"/>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4C218927-DF8F-44ED-91F5-DF152229538B}" type="TxLink">
            <a:rPr lang="en-US" sz="1800" b="1" i="1" u="none" strike="noStrike">
              <a:solidFill>
                <a:srgbClr val="000000"/>
              </a:solidFill>
              <a:latin typeface="Calibri"/>
              <a:ea typeface="Calibri"/>
              <a:cs typeface="Calibri"/>
            </a:rPr>
            <a:pPr algn="ctr"/>
            <a:t> ₹ 7,75,77,534 </a:t>
          </a:fld>
          <a:endParaRPr lang="en-US" sz="1800" b="1" i="1"/>
        </a:p>
      </xdr:txBody>
    </xdr:sp>
    <xdr:clientData/>
  </xdr:twoCellAnchor>
  <xdr:twoCellAnchor>
    <xdr:from>
      <xdr:col>7</xdr:col>
      <xdr:colOff>3338764</xdr:colOff>
      <xdr:row>6</xdr:row>
      <xdr:rowOff>120316</xdr:rowOff>
    </xdr:from>
    <xdr:to>
      <xdr:col>9</xdr:col>
      <xdr:colOff>601579</xdr:colOff>
      <xdr:row>9</xdr:row>
      <xdr:rowOff>30080</xdr:rowOff>
    </xdr:to>
    <xdr:sp macro="" textlink="'Pivot table'!H34">
      <xdr:nvSpPr>
        <xdr:cNvPr id="31" name="Rectangle: Rounded Corners 30">
          <a:extLst>
            <a:ext uri="{FF2B5EF4-FFF2-40B4-BE49-F238E27FC236}">
              <a16:creationId xmlns:a16="http://schemas.microsoft.com/office/drawing/2014/main" id="{AD4F1798-E07E-6E86-10FA-DE34361DB7F9}"/>
            </a:ext>
          </a:extLst>
        </xdr:cNvPr>
        <xdr:cNvSpPr/>
      </xdr:nvSpPr>
      <xdr:spPr>
        <a:xfrm>
          <a:off x="7620001" y="1423737"/>
          <a:ext cx="2085473" cy="451185"/>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8D92F46F-AEDE-413B-831E-50A32DBBFCFC}" type="TxLink">
            <a:rPr lang="en-US" sz="1800" b="1" i="1" u="none" strike="noStrike">
              <a:solidFill>
                <a:srgbClr val="000000"/>
              </a:solidFill>
              <a:latin typeface="Calibri"/>
              <a:ea typeface="Calibri"/>
              <a:cs typeface="Calibri"/>
            </a:rPr>
            <a:pPr algn="ctr"/>
            <a:t>1500</a:t>
          </a:fld>
          <a:endParaRPr lang="en-US" sz="1800" b="1" i="1"/>
        </a:p>
      </xdr:txBody>
    </xdr:sp>
    <xdr:clientData/>
  </xdr:twoCellAnchor>
  <xdr:twoCellAnchor>
    <xdr:from>
      <xdr:col>11</xdr:col>
      <xdr:colOff>601581</xdr:colOff>
      <xdr:row>6</xdr:row>
      <xdr:rowOff>140369</xdr:rowOff>
    </xdr:from>
    <xdr:to>
      <xdr:col>15</xdr:col>
      <xdr:colOff>240633</xdr:colOff>
      <xdr:row>9</xdr:row>
      <xdr:rowOff>50133</xdr:rowOff>
    </xdr:to>
    <xdr:sp macro="" textlink="'Pivot table'!H35">
      <xdr:nvSpPr>
        <xdr:cNvPr id="32" name="Rectangle: Rounded Corners 31">
          <a:extLst>
            <a:ext uri="{FF2B5EF4-FFF2-40B4-BE49-F238E27FC236}">
              <a16:creationId xmlns:a16="http://schemas.microsoft.com/office/drawing/2014/main" id="{F7E4B9F9-B202-DA15-82B5-FCA62B34CCCE}"/>
            </a:ext>
          </a:extLst>
        </xdr:cNvPr>
        <xdr:cNvSpPr/>
      </xdr:nvSpPr>
      <xdr:spPr>
        <a:xfrm>
          <a:off x="10928686" y="1443790"/>
          <a:ext cx="2085473" cy="451185"/>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247E1381-8049-4023-9B62-A8B11344A1BD}" type="TxLink">
            <a:rPr lang="en-US" sz="1800" b="1" i="1" u="none" strike="noStrike">
              <a:solidFill>
                <a:srgbClr val="000000"/>
              </a:solidFill>
              <a:latin typeface="Calibri"/>
              <a:ea typeface="Calibri"/>
              <a:cs typeface="Calibri"/>
            </a:rPr>
            <a:pPr algn="ctr"/>
            <a:t>7.7</a:t>
          </a:fld>
          <a:endParaRPr lang="en-US" sz="1800" b="1" i="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144780</xdr:colOff>
      <xdr:row>0</xdr:row>
      <xdr:rowOff>76201</xdr:rowOff>
    </xdr:from>
    <xdr:to>
      <xdr:col>3</xdr:col>
      <xdr:colOff>0</xdr:colOff>
      <xdr:row>8</xdr:row>
      <xdr:rowOff>76200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1157864-B099-AE1F-250F-729E5DD00B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5840" y="76201"/>
              <a:ext cx="1485900" cy="146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0</xdr:row>
      <xdr:rowOff>121921</xdr:rowOff>
    </xdr:from>
    <xdr:to>
      <xdr:col>7</xdr:col>
      <xdr:colOff>670560</xdr:colOff>
      <xdr:row>7</xdr:row>
      <xdr:rowOff>45720</xdr:rowOff>
    </xdr:to>
    <mc:AlternateContent xmlns:mc="http://schemas.openxmlformats.org/markup-compatibility/2006" xmlns:a14="http://schemas.microsoft.com/office/drawing/2010/main">
      <mc:Choice Requires="a14">
        <xdr:graphicFrame macro="">
          <xdr:nvGraphicFramePr>
            <xdr:cNvPr id="3" name="Channel">
              <a:extLst>
                <a:ext uri="{FF2B5EF4-FFF2-40B4-BE49-F238E27FC236}">
                  <a16:creationId xmlns:a16="http://schemas.microsoft.com/office/drawing/2014/main" id="{CD50A1EA-47AC-A68D-80C9-1E6D01FD100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524500" y="121921"/>
              <a:ext cx="18288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525780</xdr:colOff>
      <xdr:row>0</xdr:row>
      <xdr:rowOff>121921</xdr:rowOff>
    </xdr:from>
    <xdr:to>
      <xdr:col>5</xdr:col>
      <xdr:colOff>472440</xdr:colOff>
      <xdr:row>5</xdr:row>
      <xdr:rowOff>106680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1B6E0689-A14B-0795-3082-0D92FDE15D2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17520" y="121921"/>
              <a:ext cx="182880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41910</xdr:rowOff>
    </xdr:from>
    <xdr:to>
      <xdr:col>4</xdr:col>
      <xdr:colOff>510540</xdr:colOff>
      <xdr:row>32</xdr:row>
      <xdr:rowOff>41910</xdr:rowOff>
    </xdr:to>
    <xdr:graphicFrame macro="">
      <xdr:nvGraphicFramePr>
        <xdr:cNvPr id="6" name="Chart 5">
          <a:extLst>
            <a:ext uri="{FF2B5EF4-FFF2-40B4-BE49-F238E27FC236}">
              <a16:creationId xmlns:a16="http://schemas.microsoft.com/office/drawing/2014/main" id="{D87B3C1C-547F-D22B-751C-582B80C2F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64770</xdr:rowOff>
    </xdr:from>
    <xdr:to>
      <xdr:col>5</xdr:col>
      <xdr:colOff>594360</xdr:colOff>
      <xdr:row>29</xdr:row>
      <xdr:rowOff>30480</xdr:rowOff>
    </xdr:to>
    <xdr:graphicFrame macro="">
      <xdr:nvGraphicFramePr>
        <xdr:cNvPr id="7" name="Chart 6">
          <a:extLst>
            <a:ext uri="{FF2B5EF4-FFF2-40B4-BE49-F238E27FC236}">
              <a16:creationId xmlns:a16="http://schemas.microsoft.com/office/drawing/2014/main" id="{CAA2DE7A-4FB1-7079-C6D7-1448B4AC3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60960</xdr:rowOff>
    </xdr:from>
    <xdr:to>
      <xdr:col>4</xdr:col>
      <xdr:colOff>426720</xdr:colOff>
      <xdr:row>31</xdr:row>
      <xdr:rowOff>3810</xdr:rowOff>
    </xdr:to>
    <xdr:graphicFrame macro="">
      <xdr:nvGraphicFramePr>
        <xdr:cNvPr id="8" name="Chart 7">
          <a:extLst>
            <a:ext uri="{FF2B5EF4-FFF2-40B4-BE49-F238E27FC236}">
              <a16:creationId xmlns:a16="http://schemas.microsoft.com/office/drawing/2014/main" id="{90610E99-09B5-1622-DB1C-8B64B4E62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251460</xdr:colOff>
      <xdr:row>18</xdr:row>
      <xdr:rowOff>83820</xdr:rowOff>
    </xdr:from>
    <xdr:to>
      <xdr:col>5</xdr:col>
      <xdr:colOff>312420</xdr:colOff>
      <xdr:row>30</xdr:row>
      <xdr:rowOff>72390</xdr:rowOff>
    </xdr:to>
    <xdr:graphicFrame macro="">
      <xdr:nvGraphicFramePr>
        <xdr:cNvPr id="9" name="Chart 8">
          <a:extLst>
            <a:ext uri="{FF2B5EF4-FFF2-40B4-BE49-F238E27FC236}">
              <a16:creationId xmlns:a16="http://schemas.microsoft.com/office/drawing/2014/main" id="{F7279BE8-59D1-6640-D954-BAA91C7D3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31</xdr:row>
      <xdr:rowOff>163830</xdr:rowOff>
    </xdr:from>
    <xdr:to>
      <xdr:col>5</xdr:col>
      <xdr:colOff>396240</xdr:colOff>
      <xdr:row>45</xdr:row>
      <xdr:rowOff>15240</xdr:rowOff>
    </xdr:to>
    <xdr:graphicFrame macro="">
      <xdr:nvGraphicFramePr>
        <xdr:cNvPr id="10" name="Chart 9">
          <a:extLst>
            <a:ext uri="{FF2B5EF4-FFF2-40B4-BE49-F238E27FC236}">
              <a16:creationId xmlns:a16="http://schemas.microsoft.com/office/drawing/2014/main" id="{A6F51BF2-A9AA-41F8-A9FC-FE8261052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ree\Desktop\merged%20dataset.xlsx" TargetMode="External"/><Relationship Id="rId1" Type="http://schemas.openxmlformats.org/officeDocument/2006/relationships/externalLinkPath" Target="merged%20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Sheet1"/>
      <sheetName val="merged dataset"/>
    </sheetNames>
    <sheetDataSet>
      <sheetData sheetId="0"/>
      <sheetData sheetId="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em basha Shaik" refreshedDate="46044.862908101852" createdVersion="8" refreshedVersion="8" minRefreshableVersion="3" recordCount="1500" xr:uid="{401402AD-C34B-441F-BAF5-8426FF347853}">
  <cacheSource type="worksheet">
    <worksheetSource ref="A1:Y1501" sheet="Sheet1"/>
  </cacheSource>
  <cacheFields count="27">
    <cacheField name="Order ID" numFmtId="0">
      <sharedItems containsSemiMixedTypes="0" containsString="0" containsNumber="1" containsInteger="1" minValue="10001" maxValue="11500"/>
    </cacheField>
    <cacheField name="Customer ID" numFmtId="0">
      <sharedItems containsSemiMixedTypes="0" containsString="0" containsNumber="1" containsInteger="1" minValue="5001" maxValue="6999"/>
    </cacheField>
    <cacheField name="Product" numFmtId="0">
      <sharedItems count="2">
        <s v="Laptop"/>
        <s v="phone"/>
      </sharedItems>
    </cacheField>
    <cacheField name="Revenue" numFmtId="2">
      <sharedItems containsSemiMixedTypes="0" containsString="0" containsNumber="1" minValue="8211.98" maxValue="99902.63"/>
    </cacheField>
    <cacheField name="Units Sold" numFmtId="0">
      <sharedItems containsSemiMixedTypes="0" containsString="0" containsNumber="1" containsInteger="1" minValue="1" maxValue="99"/>
    </cacheField>
    <cacheField name="Region" numFmtId="0">
      <sharedItems count="4">
        <s v="south"/>
        <s v="North"/>
        <s v="West"/>
        <s v="EAST"/>
      </sharedItems>
    </cacheField>
    <cacheField name="Order date" numFmtId="14">
      <sharedItems containsSemiMixedTypes="0" containsNonDate="0" containsDate="1" containsString="0" minDate="2024-01-15T00:00:00" maxDate="2024-04-02T00:00:00" count="4">
        <d v="2024-02-15T00:00:00"/>
        <d v="2024-01-15T00:00:00"/>
        <d v="2024-04-01T00:00:00"/>
        <d v="2024-03-10T00:00:00"/>
      </sharedItems>
      <fieldGroup par="26"/>
    </cacheField>
    <cacheField name="Amount" numFmtId="2">
      <sharedItems containsSemiMixedTypes="0" containsString="0" containsNumber="1" minValue="10328.15" maxValue="179845"/>
    </cacheField>
    <cacheField name="Channel" numFmtId="0">
      <sharedItems count="3">
        <s v="Retail"/>
        <s v="online"/>
        <s v="offline"/>
      </sharedItems>
    </cacheField>
    <cacheField name="Warehouse ID" numFmtId="0">
      <sharedItems/>
    </cacheField>
    <cacheField name="Inventory Level" numFmtId="0">
      <sharedItems containsSemiMixedTypes="0" containsString="0" containsNumber="1" containsInteger="1" minValue="50" maxValue="1499"/>
    </cacheField>
    <cacheField name="shipment date " numFmtId="14">
      <sharedItems containsSemiMixedTypes="0" containsNonDate="0" containsDate="1" containsString="0" minDate="2024-02-10T00:00:00" maxDate="2024-04-16T00:00:00"/>
    </cacheField>
    <cacheField name="fullfillment  days" numFmtId="0">
      <sharedItems containsSemiMixedTypes="0" containsString="0" containsNumber="1" containsInteger="1" minValue="1" maxValue="14"/>
    </cacheField>
    <cacheField name="Lead ID" numFmtId="0">
      <sharedItems containsSemiMixedTypes="0" containsString="0" containsNumber="1" containsInteger="1" minValue="90001" maxValue="91500"/>
    </cacheField>
    <cacheField name="Lead Status" numFmtId="0">
      <sharedItems count="4">
        <s v="Open"/>
        <s v="Converted"/>
        <s v="closed"/>
        <s v="In-Progress"/>
      </sharedItems>
    </cacheField>
    <cacheField name="last contact date " numFmtId="14">
      <sharedItems containsSemiMixedTypes="0" containsNonDate="0" containsDate="1" containsString="0" minDate="2024-03-01T00:00:00" maxDate="2024-05-19T00:00:00"/>
    </cacheField>
    <cacheField name="Conversion Rate" numFmtId="2">
      <sharedItems containsSemiMixedTypes="0" containsString="0" containsNumber="1" minValue="0.10098" maxValue="0.99939999999999996"/>
    </cacheField>
    <cacheField name="Invoice " numFmtId="0">
      <sharedItems containsSemiMixedTypes="0" containsString="0" containsNumber="1" containsInteger="1" minValue="70001" maxValue="71500"/>
    </cacheField>
    <cacheField name="Category" numFmtId="0">
      <sharedItems count="3">
        <s v="Logistics"/>
        <s v="Marketing"/>
        <s v="Operations"/>
      </sharedItems>
    </cacheField>
    <cacheField name="Budget" numFmtId="2">
      <sharedItems containsSemiMixedTypes="0" containsString="0" containsNumber="1" minValue="50051.382080000003" maxValue="219976.13519999999"/>
    </cacheField>
    <cacheField name="Status" numFmtId="0">
      <sharedItems/>
    </cacheField>
    <cacheField name="due date" numFmtId="14">
      <sharedItems containsSemiMixedTypes="0" containsNonDate="0" containsDate="1" containsString="0" minDate="2024-04-10T00:00:00" maxDate="2024-06-02T00:00:00"/>
    </cacheField>
    <cacheField name="Expense Type" numFmtId="0">
      <sharedItems/>
    </cacheField>
    <cacheField name="last payment date" numFmtId="14">
      <sharedItems containsSemiMixedTypes="0" containsNonDate="0" containsDate="1" containsString="0" minDate="2024-03-25T00:00:00" maxDate="2024-04-03T00:00:00"/>
    </cacheField>
    <cacheField name="Reminder Sent" numFmtId="0">
      <sharedItems/>
    </cacheField>
    <cacheField name="Days (Order date)" numFmtId="0" databaseField="0">
      <fieldGroup base="6">
        <rangePr groupBy="days" startDate="2024-01-15T00:00:00" endDate="2024-04-02T00:00:00"/>
        <groupItems count="368">
          <s v="&lt;1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4"/>
        </groupItems>
      </fieldGroup>
    </cacheField>
    <cacheField name="Months (Order date)" numFmtId="0" databaseField="0">
      <fieldGroup base="6">
        <rangePr groupBy="months" startDate="2024-01-15T00:00:00" endDate="2024-04-02T00:00:00"/>
        <groupItems count="14">
          <s v="&lt;15-01-2024"/>
          <s v="Jan"/>
          <s v="Feb"/>
          <s v="Mar"/>
          <s v="Apr"/>
          <s v="May"/>
          <s v="Jun"/>
          <s v="Jul"/>
          <s v="Aug"/>
          <s v="Sep"/>
          <s v="Oct"/>
          <s v="Nov"/>
          <s v="Dec"/>
          <s v="&gt;02-04-2024"/>
        </groupItems>
      </fieldGroup>
    </cacheField>
  </cacheFields>
  <extLst>
    <ext xmlns:x14="http://schemas.microsoft.com/office/spreadsheetml/2009/9/main" uri="{725AE2AE-9491-48be-B2B4-4EB974FC3084}">
      <x14:pivotCacheDefinition pivotCacheId="1184572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1"/>
    <n v="6127"/>
    <x v="0"/>
    <n v="39246.449999999997"/>
    <n v="92"/>
    <x v="0"/>
    <x v="0"/>
    <n v="95016.07"/>
    <x v="0"/>
    <s v="WH-A"/>
    <n v="1151"/>
    <d v="2024-04-15T00:00:00"/>
    <n v="1"/>
    <n v="90001"/>
    <x v="0"/>
    <d v="2024-03-01T00:00:00"/>
    <n v="0.58543999999999996"/>
    <n v="70001"/>
    <x v="0"/>
    <n v="77126.347399999999"/>
    <s v="Paid"/>
    <d v="2024-04-10T00:00:00"/>
    <s v="Fixed"/>
    <d v="2024-03-25T00:00:00"/>
    <s v="YES"/>
  </r>
  <r>
    <n v="10002"/>
    <n v="6460"/>
    <x v="1"/>
    <n v="22105.81"/>
    <n v="47"/>
    <x v="1"/>
    <x v="1"/>
    <n v="114872.33"/>
    <x v="0"/>
    <s v="WH-B"/>
    <n v="1001"/>
    <d v="2024-02-10T00:00:00"/>
    <n v="8"/>
    <n v="90002"/>
    <x v="1"/>
    <d v="2024-03-01T00:00:00"/>
    <n v="0.79893000000000003"/>
    <n v="70002"/>
    <x v="0"/>
    <n v="206875.95970000001"/>
    <s v="Paid"/>
    <d v="2024-05-10T00:00:00"/>
    <s v="Variable"/>
    <d v="2024-03-25T00:00:00"/>
    <s v="NO"/>
  </r>
  <r>
    <n v="10003"/>
    <n v="5861"/>
    <x v="1"/>
    <n v="81104.320000000007"/>
    <n v="75"/>
    <x v="0"/>
    <x v="1"/>
    <n v="80401.61"/>
    <x v="0"/>
    <s v="WH-A"/>
    <n v="1485"/>
    <d v="2024-02-10T00:00:00"/>
    <n v="1"/>
    <n v="90003"/>
    <x v="2"/>
    <d v="2024-03-01T00:00:00"/>
    <n v="0.38912000000000002"/>
    <n v="70003"/>
    <x v="1"/>
    <n v="193577.06091999999"/>
    <s v="pending"/>
    <d v="2024-06-01T00:00:00"/>
    <s v="Fixed"/>
    <d v="2024-03-25T00:00:00"/>
    <s v="YES"/>
  </r>
  <r>
    <n v="10004"/>
    <n v="6295"/>
    <x v="1"/>
    <n v="59685.58"/>
    <n v="57"/>
    <x v="2"/>
    <x v="2"/>
    <n v="15760.58"/>
    <x v="1"/>
    <s v="WH-A"/>
    <n v="124"/>
    <d v="2024-04-15T00:00:00"/>
    <n v="3"/>
    <n v="90004"/>
    <x v="1"/>
    <d v="2024-04-01T00:00:00"/>
    <n v="0.42074"/>
    <n v="70004"/>
    <x v="2"/>
    <n v="133096.52494999999"/>
    <s v="pending"/>
    <d v="2024-06-01T00:00:00"/>
    <s v="Variable"/>
    <d v="2024-03-25T00:00:00"/>
    <s v="YES"/>
  </r>
  <r>
    <n v="10005"/>
    <n v="6131"/>
    <x v="0"/>
    <n v="21926.83"/>
    <n v="45"/>
    <x v="3"/>
    <x v="2"/>
    <n v="143181.41"/>
    <x v="2"/>
    <s v="WH-A"/>
    <n v="344"/>
    <d v="2024-04-15T00:00:00"/>
    <n v="11"/>
    <n v="90005"/>
    <x v="0"/>
    <d v="2024-03-01T00:00:00"/>
    <n v="0.33054"/>
    <n v="70005"/>
    <x v="1"/>
    <n v="91312.179810000001"/>
    <s v="Overdue"/>
    <d v="2024-04-10T00:00:00"/>
    <s v="Variable"/>
    <d v="2024-03-25T00:00:00"/>
    <s v="NO"/>
  </r>
  <r>
    <n v="10006"/>
    <n v="6096"/>
    <x v="1"/>
    <n v="11946.78"/>
    <n v="33"/>
    <x v="3"/>
    <x v="3"/>
    <n v="30556.959999999999"/>
    <x v="1"/>
    <s v="WH-A"/>
    <n v="70"/>
    <d v="2024-03-10T00:00:00"/>
    <n v="5"/>
    <n v="90006"/>
    <x v="2"/>
    <d v="2024-03-01T00:00:00"/>
    <n v="0.32915"/>
    <n v="70006"/>
    <x v="1"/>
    <n v="166709.34914999999"/>
    <s v="Paid"/>
    <d v="2024-05-10T00:00:00"/>
    <s v="Variable"/>
    <d v="2024-04-02T00:00:00"/>
    <s v="YES"/>
  </r>
  <r>
    <n v="10007"/>
    <n v="6725"/>
    <x v="0"/>
    <n v="73360.479999999996"/>
    <n v="17"/>
    <x v="0"/>
    <x v="0"/>
    <n v="124878.67"/>
    <x v="1"/>
    <s v="WH-B"/>
    <n v="1244"/>
    <d v="2024-03-10T00:00:00"/>
    <n v="8"/>
    <n v="90007"/>
    <x v="2"/>
    <d v="2024-04-01T00:00:00"/>
    <n v="0.95398000000000005"/>
    <n v="70007"/>
    <x v="1"/>
    <n v="154261.25049999999"/>
    <s v="Paid"/>
    <d v="2024-04-10T00:00:00"/>
    <s v="Fixed"/>
    <d v="2024-03-25T00:00:00"/>
    <s v="NO"/>
  </r>
  <r>
    <n v="10008"/>
    <n v="6045"/>
    <x v="1"/>
    <n v="75710.929999999993"/>
    <n v="70"/>
    <x v="2"/>
    <x v="2"/>
    <n v="59363"/>
    <x v="1"/>
    <s v="WH-B"/>
    <n v="1088"/>
    <d v="2024-04-15T00:00:00"/>
    <n v="9"/>
    <n v="90008"/>
    <x v="2"/>
    <d v="2024-04-01T00:00:00"/>
    <n v="0.67191000000000001"/>
    <n v="70008"/>
    <x v="1"/>
    <n v="131087.2617"/>
    <s v="pending"/>
    <d v="2024-06-01T00:00:00"/>
    <s v="Fixed"/>
    <d v="2024-03-25T00:00:00"/>
    <s v="YES"/>
  </r>
  <r>
    <n v="10009"/>
    <n v="6639"/>
    <x v="0"/>
    <n v="34793.94"/>
    <n v="4"/>
    <x v="3"/>
    <x v="1"/>
    <n v="103657.56"/>
    <x v="1"/>
    <s v="WH-C"/>
    <n v="1284"/>
    <d v="2024-04-15T00:00:00"/>
    <n v="7"/>
    <n v="90009"/>
    <x v="1"/>
    <d v="2024-03-01T00:00:00"/>
    <n v="0.24031"/>
    <n v="70009"/>
    <x v="1"/>
    <n v="145694.2702"/>
    <s v="Paid"/>
    <d v="2024-04-10T00:00:00"/>
    <s v="Variable"/>
    <d v="2024-03-25T00:00:00"/>
    <s v="YES"/>
  </r>
  <r>
    <n v="10010"/>
    <n v="5122"/>
    <x v="0"/>
    <n v="69820.31"/>
    <n v="20"/>
    <x v="2"/>
    <x v="3"/>
    <n v="116939.37"/>
    <x v="0"/>
    <s v="WH-A"/>
    <n v="609"/>
    <d v="2024-03-10T00:00:00"/>
    <n v="9"/>
    <n v="90010"/>
    <x v="1"/>
    <d v="2024-03-01T00:00:00"/>
    <n v="0.75002000000000002"/>
    <n v="70010"/>
    <x v="1"/>
    <n v="177532.11820999999"/>
    <s v="pending"/>
    <d v="2024-05-10T00:00:00"/>
    <s v="Variable"/>
    <d v="2024-04-02T00:00:00"/>
    <s v="YES"/>
  </r>
  <r>
    <n v="10011"/>
    <n v="5467"/>
    <x v="0"/>
    <n v="72715.34"/>
    <n v="47"/>
    <x v="2"/>
    <x v="2"/>
    <n v="142333.18"/>
    <x v="2"/>
    <s v="WH-B"/>
    <n v="1159"/>
    <d v="2024-04-15T00:00:00"/>
    <n v="11"/>
    <n v="90011"/>
    <x v="0"/>
    <d v="2024-03-01T00:00:00"/>
    <n v="0.74982000000000004"/>
    <n v="70011"/>
    <x v="1"/>
    <n v="90163.713000000003"/>
    <s v="Overdue"/>
    <d v="2024-06-01T00:00:00"/>
    <s v="Fixed"/>
    <d v="2024-03-25T00:00:00"/>
    <s v="YES"/>
  </r>
  <r>
    <n v="10012"/>
    <n v="6239"/>
    <x v="1"/>
    <n v="89428.87"/>
    <n v="91"/>
    <x v="0"/>
    <x v="0"/>
    <n v="88066.78"/>
    <x v="2"/>
    <s v="WH-B"/>
    <n v="1222"/>
    <d v="2024-03-10T00:00:00"/>
    <n v="3"/>
    <n v="90012"/>
    <x v="3"/>
    <d v="2024-05-18T00:00:00"/>
    <n v="0.69982"/>
    <n v="70012"/>
    <x v="0"/>
    <n v="156268.12096"/>
    <s v="Overdue"/>
    <d v="2024-04-10T00:00:00"/>
    <s v="Fixed"/>
    <d v="2024-03-25T00:00:00"/>
    <s v="YES"/>
  </r>
  <r>
    <n v="10013"/>
    <n v="5331"/>
    <x v="1"/>
    <n v="64517.47"/>
    <n v="15"/>
    <x v="1"/>
    <x v="0"/>
    <n v="52532.160000000003"/>
    <x v="1"/>
    <s v="WH-B"/>
    <n v="421"/>
    <d v="2024-03-10T00:00:00"/>
    <n v="13"/>
    <n v="90013"/>
    <x v="2"/>
    <d v="2024-05-18T00:00:00"/>
    <n v="0.22125"/>
    <n v="70013"/>
    <x v="2"/>
    <n v="165117.80457000001"/>
    <s v="pending"/>
    <d v="2024-04-10T00:00:00"/>
    <s v="Variable"/>
    <d v="2024-03-25T00:00:00"/>
    <s v="YES"/>
  </r>
  <r>
    <n v="10014"/>
    <n v="6483"/>
    <x v="0"/>
    <n v="34424.58"/>
    <n v="70"/>
    <x v="0"/>
    <x v="3"/>
    <n v="160527.64000000001"/>
    <x v="2"/>
    <s v="WH-A"/>
    <n v="867"/>
    <d v="2024-03-10T00:00:00"/>
    <n v="5"/>
    <n v="90014"/>
    <x v="2"/>
    <d v="2024-03-01T00:00:00"/>
    <n v="0.46718999999999999"/>
    <n v="70014"/>
    <x v="1"/>
    <n v="77213.703370000003"/>
    <s v="Overdue"/>
    <d v="2024-04-10T00:00:00"/>
    <s v="Fixed"/>
    <d v="2024-03-25T00:00:00"/>
    <s v="NO"/>
  </r>
  <r>
    <n v="10015"/>
    <n v="5088"/>
    <x v="1"/>
    <n v="32455.67"/>
    <n v="47"/>
    <x v="1"/>
    <x v="3"/>
    <n v="140434.91"/>
    <x v="2"/>
    <s v="WH-C"/>
    <n v="1224"/>
    <d v="2024-02-10T00:00:00"/>
    <n v="10"/>
    <n v="90015"/>
    <x v="0"/>
    <d v="2024-04-01T00:00:00"/>
    <n v="0.19608"/>
    <n v="70015"/>
    <x v="0"/>
    <n v="168384.6502"/>
    <s v="Overdue"/>
    <d v="2024-04-10T00:00:00"/>
    <s v="Fixed"/>
    <d v="2024-03-25T00:00:00"/>
    <s v="NO"/>
  </r>
  <r>
    <n v="10016"/>
    <n v="6397"/>
    <x v="1"/>
    <n v="62583.12"/>
    <n v="78"/>
    <x v="2"/>
    <x v="3"/>
    <n v="49958.77"/>
    <x v="2"/>
    <s v="WH-B"/>
    <n v="1214"/>
    <d v="2024-02-10T00:00:00"/>
    <n v="8"/>
    <n v="90016"/>
    <x v="2"/>
    <d v="2024-03-01T00:00:00"/>
    <n v="0.83496000000000004"/>
    <n v="70016"/>
    <x v="1"/>
    <n v="199826.54307000001"/>
    <s v="Paid"/>
    <d v="2024-04-10T00:00:00"/>
    <s v="Fixed"/>
    <d v="2024-03-25T00:00:00"/>
    <s v="YES"/>
  </r>
  <r>
    <n v="10017"/>
    <n v="6124"/>
    <x v="1"/>
    <n v="71984.100000000006"/>
    <n v="75"/>
    <x v="1"/>
    <x v="3"/>
    <n v="31485.83"/>
    <x v="1"/>
    <s v="WH-A"/>
    <n v="1142"/>
    <d v="2024-04-15T00:00:00"/>
    <n v="12"/>
    <n v="90017"/>
    <x v="1"/>
    <d v="2024-04-01T00:00:00"/>
    <n v="0.68964999999999999"/>
    <n v="70017"/>
    <x v="1"/>
    <n v="97010.0141"/>
    <s v="Paid"/>
    <d v="2024-06-01T00:00:00"/>
    <s v="Fixed"/>
    <d v="2024-03-25T00:00:00"/>
    <s v="NO"/>
  </r>
  <r>
    <n v="10018"/>
    <n v="5872"/>
    <x v="1"/>
    <n v="23804.45"/>
    <n v="9"/>
    <x v="2"/>
    <x v="3"/>
    <n v="116814.49"/>
    <x v="1"/>
    <s v="WH-B"/>
    <n v="1333"/>
    <d v="2024-03-10T00:00:00"/>
    <n v="1"/>
    <n v="90018"/>
    <x v="1"/>
    <d v="2024-04-01T00:00:00"/>
    <n v="0.55647999999999997"/>
    <n v="70018"/>
    <x v="0"/>
    <n v="122117.90670000001"/>
    <s v="Paid"/>
    <d v="2024-06-01T00:00:00"/>
    <s v="Variable"/>
    <d v="2024-03-25T00:00:00"/>
    <s v="YES"/>
  </r>
  <r>
    <n v="10019"/>
    <n v="6688"/>
    <x v="1"/>
    <n v="16686.63"/>
    <n v="90"/>
    <x v="3"/>
    <x v="1"/>
    <n v="98518.02"/>
    <x v="2"/>
    <s v="WH-B"/>
    <n v="895"/>
    <d v="2024-02-10T00:00:00"/>
    <n v="8"/>
    <n v="90019"/>
    <x v="2"/>
    <d v="2024-04-01T00:00:00"/>
    <n v="0.40871000000000002"/>
    <n v="70019"/>
    <x v="1"/>
    <n v="157573.65760000001"/>
    <s v="Paid"/>
    <d v="2024-05-10T00:00:00"/>
    <s v="Variable"/>
    <d v="2024-03-25T00:00:00"/>
    <s v="YES"/>
  </r>
  <r>
    <n v="10020"/>
    <n v="5131"/>
    <x v="1"/>
    <n v="69041.62"/>
    <n v="16"/>
    <x v="3"/>
    <x v="1"/>
    <n v="143728.91"/>
    <x v="1"/>
    <s v="WH-C"/>
    <n v="570"/>
    <d v="2024-04-15T00:00:00"/>
    <n v="7"/>
    <n v="90020"/>
    <x v="2"/>
    <d v="2024-03-01T00:00:00"/>
    <n v="0.26582"/>
    <n v="70020"/>
    <x v="0"/>
    <n v="150735.05239999999"/>
    <s v="Paid"/>
    <d v="2024-04-10T00:00:00"/>
    <s v="Fixed"/>
    <d v="2024-03-25T00:00:00"/>
    <s v="YES"/>
  </r>
  <r>
    <n v="10021"/>
    <n v="6686"/>
    <x v="1"/>
    <n v="78277.679999999993"/>
    <n v="69"/>
    <x v="3"/>
    <x v="2"/>
    <n v="133780.28"/>
    <x v="1"/>
    <s v="WH-B"/>
    <n v="420"/>
    <d v="2024-04-15T00:00:00"/>
    <n v="1"/>
    <n v="90021"/>
    <x v="1"/>
    <d v="2024-03-01T00:00:00"/>
    <n v="0.1958"/>
    <n v="70021"/>
    <x v="1"/>
    <n v="149514.52439999999"/>
    <s v="pending"/>
    <d v="2024-05-10T00:00:00"/>
    <s v="Variable"/>
    <d v="2024-03-25T00:00:00"/>
    <s v="NO"/>
  </r>
  <r>
    <n v="10022"/>
    <n v="6333"/>
    <x v="1"/>
    <n v="37284.46"/>
    <n v="61"/>
    <x v="0"/>
    <x v="0"/>
    <n v="81710.820000000007"/>
    <x v="0"/>
    <s v="WH-B"/>
    <n v="1492"/>
    <d v="2024-04-15T00:00:00"/>
    <n v="13"/>
    <n v="90022"/>
    <x v="2"/>
    <d v="2024-04-01T00:00:00"/>
    <n v="0.97231999999999996"/>
    <n v="70022"/>
    <x v="1"/>
    <n v="130923.25079999999"/>
    <s v="pending"/>
    <d v="2024-06-01T00:00:00"/>
    <s v="Variable"/>
    <d v="2024-03-25T00:00:00"/>
    <s v="YES"/>
  </r>
  <r>
    <n v="10023"/>
    <n v="5770"/>
    <x v="1"/>
    <n v="14422.25"/>
    <n v="10"/>
    <x v="0"/>
    <x v="1"/>
    <n v="71411.350000000006"/>
    <x v="1"/>
    <s v="WH-A"/>
    <n v="150"/>
    <d v="2024-04-15T00:00:00"/>
    <n v="13"/>
    <n v="90023"/>
    <x v="1"/>
    <d v="2024-05-18T00:00:00"/>
    <n v="0.27967999999999998"/>
    <n v="70023"/>
    <x v="1"/>
    <n v="148645.1158"/>
    <s v="Paid"/>
    <d v="2024-04-10T00:00:00"/>
    <s v="Variable"/>
    <d v="2024-04-02T00:00:00"/>
    <s v="YES"/>
  </r>
  <r>
    <n v="10024"/>
    <n v="5344"/>
    <x v="0"/>
    <n v="27061.7"/>
    <n v="50"/>
    <x v="2"/>
    <x v="1"/>
    <n v="108953.85"/>
    <x v="1"/>
    <s v="WH-A"/>
    <n v="710"/>
    <d v="2024-04-15T00:00:00"/>
    <n v="10"/>
    <n v="90024"/>
    <x v="3"/>
    <d v="2024-05-18T00:00:00"/>
    <n v="0.15389"/>
    <n v="70024"/>
    <x v="0"/>
    <n v="90709.690789999993"/>
    <s v="Overdue"/>
    <d v="2024-05-10T00:00:00"/>
    <s v="Variable"/>
    <d v="2024-03-25T00:00:00"/>
    <s v="YES"/>
  </r>
  <r>
    <n v="10025"/>
    <n v="6516"/>
    <x v="1"/>
    <n v="65012.92"/>
    <n v="3"/>
    <x v="3"/>
    <x v="1"/>
    <n v="100488.12"/>
    <x v="2"/>
    <s v="WH-C"/>
    <n v="1017"/>
    <d v="2024-03-10T00:00:00"/>
    <n v="12"/>
    <n v="90025"/>
    <x v="3"/>
    <d v="2024-05-18T00:00:00"/>
    <n v="0.96550000000000002"/>
    <n v="70025"/>
    <x v="2"/>
    <n v="183978.42861999999"/>
    <s v="Overdue"/>
    <d v="2024-04-10T00:00:00"/>
    <s v="Variable"/>
    <d v="2024-03-25T00:00:00"/>
    <s v="YES"/>
  </r>
  <r>
    <n v="10026"/>
    <n v="6438"/>
    <x v="1"/>
    <n v="69792.929999999993"/>
    <n v="77"/>
    <x v="0"/>
    <x v="2"/>
    <n v="150758.04999999999"/>
    <x v="1"/>
    <s v="WH-A"/>
    <n v="292"/>
    <d v="2024-04-15T00:00:00"/>
    <n v="10"/>
    <n v="90026"/>
    <x v="2"/>
    <d v="2024-04-01T00:00:00"/>
    <n v="0.59406000000000003"/>
    <n v="70026"/>
    <x v="1"/>
    <n v="204167.91159999999"/>
    <s v="pending"/>
    <d v="2024-04-10T00:00:00"/>
    <s v="Variable"/>
    <d v="2024-04-02T00:00:00"/>
    <s v="YES"/>
  </r>
  <r>
    <n v="10027"/>
    <n v="5806"/>
    <x v="1"/>
    <n v="23331.08"/>
    <n v="94"/>
    <x v="3"/>
    <x v="3"/>
    <n v="123692.86"/>
    <x v="1"/>
    <s v="WH-A"/>
    <n v="802"/>
    <d v="2024-03-10T00:00:00"/>
    <n v="12"/>
    <n v="90027"/>
    <x v="2"/>
    <d v="2024-03-01T00:00:00"/>
    <n v="0.81698999999999999"/>
    <n v="70027"/>
    <x v="0"/>
    <n v="163892.50640000001"/>
    <s v="pending"/>
    <d v="2024-05-10T00:00:00"/>
    <s v="Variable"/>
    <d v="2024-04-02T00:00:00"/>
    <s v="YES"/>
  </r>
  <r>
    <n v="10028"/>
    <n v="5386"/>
    <x v="1"/>
    <n v="24696.37"/>
    <n v="70"/>
    <x v="0"/>
    <x v="2"/>
    <n v="154097.85"/>
    <x v="1"/>
    <s v="WH-C"/>
    <n v="561"/>
    <d v="2024-02-10T00:00:00"/>
    <n v="6"/>
    <n v="90028"/>
    <x v="2"/>
    <d v="2024-04-01T00:00:00"/>
    <n v="0.13938999999999999"/>
    <n v="70028"/>
    <x v="1"/>
    <n v="91022.077850000001"/>
    <s v="pending"/>
    <d v="2024-06-01T00:00:00"/>
    <s v="Fixed"/>
    <d v="2024-03-25T00:00:00"/>
    <s v="YES"/>
  </r>
  <r>
    <n v="10029"/>
    <n v="6216"/>
    <x v="1"/>
    <n v="80713.899999999994"/>
    <n v="81"/>
    <x v="1"/>
    <x v="0"/>
    <n v="149339.43"/>
    <x v="1"/>
    <s v="WH-B"/>
    <n v="898"/>
    <d v="2024-04-15T00:00:00"/>
    <n v="1"/>
    <n v="90029"/>
    <x v="1"/>
    <d v="2024-05-18T00:00:00"/>
    <n v="0.61024999999999996"/>
    <n v="70029"/>
    <x v="1"/>
    <n v="51481.755819999998"/>
    <s v="Overdue"/>
    <d v="2024-05-10T00:00:00"/>
    <s v="Fixed"/>
    <d v="2024-04-02T00:00:00"/>
    <s v="YES"/>
  </r>
  <r>
    <n v="10030"/>
    <n v="5956"/>
    <x v="1"/>
    <n v="90009.13"/>
    <n v="51"/>
    <x v="1"/>
    <x v="0"/>
    <n v="119964.83"/>
    <x v="1"/>
    <s v="WH-C"/>
    <n v="604"/>
    <d v="2024-02-10T00:00:00"/>
    <n v="2"/>
    <n v="90030"/>
    <x v="3"/>
    <d v="2024-03-01T00:00:00"/>
    <n v="0.45839000000000002"/>
    <n v="70030"/>
    <x v="2"/>
    <n v="124839.86825"/>
    <s v="pending"/>
    <d v="2024-05-10T00:00:00"/>
    <s v="Fixed"/>
    <d v="2024-04-02T00:00:00"/>
    <s v="YES"/>
  </r>
  <r>
    <n v="10031"/>
    <n v="5277"/>
    <x v="1"/>
    <n v="44677.85"/>
    <n v="19"/>
    <x v="3"/>
    <x v="0"/>
    <n v="143612.14000000001"/>
    <x v="1"/>
    <s v="WH-A"/>
    <n v="1168"/>
    <d v="2024-03-10T00:00:00"/>
    <n v="5"/>
    <n v="90031"/>
    <x v="3"/>
    <d v="2024-04-01T00:00:00"/>
    <n v="0.79476999999999998"/>
    <n v="70031"/>
    <x v="1"/>
    <n v="197043.10532"/>
    <s v="Overdue"/>
    <d v="2024-05-10T00:00:00"/>
    <s v="Variable"/>
    <d v="2024-04-02T00:00:00"/>
    <s v="NO"/>
  </r>
  <r>
    <n v="10032"/>
    <n v="6185"/>
    <x v="0"/>
    <n v="69255.429999999993"/>
    <n v="42"/>
    <x v="2"/>
    <x v="0"/>
    <n v="139468.82999999999"/>
    <x v="1"/>
    <s v="WH-C"/>
    <n v="275"/>
    <d v="2024-03-10T00:00:00"/>
    <n v="2"/>
    <n v="90032"/>
    <x v="0"/>
    <d v="2024-04-01T00:00:00"/>
    <n v="0.13458000000000001"/>
    <n v="70032"/>
    <x v="2"/>
    <n v="54980.060599999997"/>
    <s v="pending"/>
    <d v="2024-04-10T00:00:00"/>
    <s v="Fixed"/>
    <d v="2024-03-25T00:00:00"/>
    <s v="YES"/>
  </r>
  <r>
    <n v="10033"/>
    <n v="5460"/>
    <x v="1"/>
    <n v="81196.25"/>
    <n v="35"/>
    <x v="0"/>
    <x v="1"/>
    <n v="85680.46"/>
    <x v="1"/>
    <s v="WH-B"/>
    <n v="263"/>
    <d v="2024-02-10T00:00:00"/>
    <n v="14"/>
    <n v="90033"/>
    <x v="0"/>
    <d v="2024-05-18T00:00:00"/>
    <n v="0.46151999999999999"/>
    <n v="70033"/>
    <x v="2"/>
    <n v="95884.733049999995"/>
    <s v="Overdue"/>
    <d v="2024-06-01T00:00:00"/>
    <s v="Variable"/>
    <d v="2024-03-25T00:00:00"/>
    <s v="NO"/>
  </r>
  <r>
    <n v="10034"/>
    <n v="6338"/>
    <x v="1"/>
    <n v="92136.89"/>
    <n v="46"/>
    <x v="0"/>
    <x v="1"/>
    <n v="122770.09"/>
    <x v="2"/>
    <s v="WH-C"/>
    <n v="767"/>
    <d v="2024-04-15T00:00:00"/>
    <n v="10"/>
    <n v="90034"/>
    <x v="2"/>
    <d v="2024-04-01T00:00:00"/>
    <n v="0.81916999999999995"/>
    <n v="70034"/>
    <x v="2"/>
    <n v="188696.57728999999"/>
    <s v="pending"/>
    <d v="2024-06-01T00:00:00"/>
    <s v="Variable"/>
    <d v="2024-04-02T00:00:00"/>
    <s v="YES"/>
  </r>
  <r>
    <n v="10035"/>
    <n v="5022"/>
    <x v="1"/>
    <n v="79198.75"/>
    <n v="26"/>
    <x v="1"/>
    <x v="2"/>
    <n v="50547.96"/>
    <x v="2"/>
    <s v="WH-A"/>
    <n v="116"/>
    <d v="2024-04-15T00:00:00"/>
    <n v="1"/>
    <n v="90035"/>
    <x v="1"/>
    <d v="2024-03-01T00:00:00"/>
    <n v="0.57042999999999999"/>
    <n v="70035"/>
    <x v="2"/>
    <n v="209188.23759999999"/>
    <s v="pending"/>
    <d v="2024-04-10T00:00:00"/>
    <s v="Variable"/>
    <d v="2024-03-25T00:00:00"/>
    <s v="NO"/>
  </r>
  <r>
    <n v="10036"/>
    <n v="5253"/>
    <x v="1"/>
    <n v="47933.79"/>
    <n v="69"/>
    <x v="1"/>
    <x v="3"/>
    <n v="105375.46"/>
    <x v="2"/>
    <s v="WH-A"/>
    <n v="445"/>
    <d v="2024-02-10T00:00:00"/>
    <n v="6"/>
    <n v="90036"/>
    <x v="2"/>
    <d v="2024-05-18T00:00:00"/>
    <n v="0.59502999999999995"/>
    <n v="70036"/>
    <x v="1"/>
    <n v="213270.0177"/>
    <s v="Overdue"/>
    <d v="2024-06-01T00:00:00"/>
    <s v="Variable"/>
    <d v="2024-04-02T00:00:00"/>
    <s v="YES"/>
  </r>
  <r>
    <n v="10037"/>
    <n v="5748"/>
    <x v="1"/>
    <n v="90817.51"/>
    <n v="93"/>
    <x v="2"/>
    <x v="0"/>
    <n v="146347.73000000001"/>
    <x v="2"/>
    <s v="WH-C"/>
    <n v="661"/>
    <d v="2024-02-10T00:00:00"/>
    <n v="8"/>
    <n v="90037"/>
    <x v="3"/>
    <d v="2024-05-18T00:00:00"/>
    <n v="0.18745000000000001"/>
    <n v="70037"/>
    <x v="1"/>
    <n v="102442.96861"/>
    <s v="pending"/>
    <d v="2024-05-10T00:00:00"/>
    <s v="Variable"/>
    <d v="2024-04-02T00:00:00"/>
    <s v="NO"/>
  </r>
  <r>
    <n v="10038"/>
    <n v="5857"/>
    <x v="1"/>
    <n v="31490.15"/>
    <n v="64"/>
    <x v="2"/>
    <x v="2"/>
    <n v="118719.89"/>
    <x v="1"/>
    <s v="WH-B"/>
    <n v="1085"/>
    <d v="2024-02-10T00:00:00"/>
    <n v="8"/>
    <n v="90038"/>
    <x v="2"/>
    <d v="2024-03-01T00:00:00"/>
    <n v="0.21909999999999999"/>
    <n v="70038"/>
    <x v="2"/>
    <n v="185259.69274"/>
    <s v="Paid"/>
    <d v="2024-06-01T00:00:00"/>
    <s v="Variable"/>
    <d v="2024-03-25T00:00:00"/>
    <s v="YES"/>
  </r>
  <r>
    <n v="10039"/>
    <n v="6585"/>
    <x v="1"/>
    <n v="11123.45"/>
    <n v="37"/>
    <x v="2"/>
    <x v="1"/>
    <n v="81977.8"/>
    <x v="0"/>
    <s v="WH-C"/>
    <n v="1310"/>
    <d v="2024-04-15T00:00:00"/>
    <n v="13"/>
    <n v="90039"/>
    <x v="2"/>
    <d v="2024-05-18T00:00:00"/>
    <n v="0.70930000000000004"/>
    <n v="70039"/>
    <x v="1"/>
    <n v="196500.7954"/>
    <s v="Overdue"/>
    <d v="2024-04-10T00:00:00"/>
    <s v="Variable"/>
    <d v="2024-03-25T00:00:00"/>
    <s v="YES"/>
  </r>
  <r>
    <n v="10040"/>
    <n v="5475"/>
    <x v="1"/>
    <n v="8398.19"/>
    <n v="84"/>
    <x v="3"/>
    <x v="1"/>
    <n v="103115.77"/>
    <x v="0"/>
    <s v="WH-B"/>
    <n v="819"/>
    <d v="2024-04-15T00:00:00"/>
    <n v="13"/>
    <n v="90040"/>
    <x v="3"/>
    <d v="2024-04-01T00:00:00"/>
    <n v="0.70753999999999995"/>
    <n v="70040"/>
    <x v="1"/>
    <n v="79172.000809999998"/>
    <s v="pending"/>
    <d v="2024-06-01T00:00:00"/>
    <s v="Variable"/>
    <d v="2024-04-02T00:00:00"/>
    <s v="NO"/>
  </r>
  <r>
    <n v="10041"/>
    <n v="6083"/>
    <x v="1"/>
    <n v="86834.42"/>
    <n v="49"/>
    <x v="1"/>
    <x v="3"/>
    <n v="81468.12"/>
    <x v="1"/>
    <s v="WH-B"/>
    <n v="1472"/>
    <d v="2024-04-15T00:00:00"/>
    <n v="8"/>
    <n v="90041"/>
    <x v="3"/>
    <d v="2024-04-01T00:00:00"/>
    <n v="0.98119000000000001"/>
    <n v="70041"/>
    <x v="1"/>
    <n v="193710.09127"/>
    <s v="Overdue"/>
    <d v="2024-04-10T00:00:00"/>
    <s v="Variable"/>
    <d v="2024-03-25T00:00:00"/>
    <s v="YES"/>
  </r>
  <r>
    <n v="10042"/>
    <n v="5511"/>
    <x v="0"/>
    <n v="21332.080000000002"/>
    <n v="21"/>
    <x v="3"/>
    <x v="3"/>
    <n v="24908.02"/>
    <x v="1"/>
    <s v="WH-C"/>
    <n v="456"/>
    <d v="2024-02-10T00:00:00"/>
    <n v="11"/>
    <n v="90042"/>
    <x v="3"/>
    <d v="2024-05-18T00:00:00"/>
    <n v="0.74075999999999997"/>
    <n v="70042"/>
    <x v="0"/>
    <n v="193851.4926"/>
    <s v="pending"/>
    <d v="2024-05-10T00:00:00"/>
    <s v="Variable"/>
    <d v="2024-03-25T00:00:00"/>
    <s v="YES"/>
  </r>
  <r>
    <n v="10043"/>
    <n v="6706"/>
    <x v="0"/>
    <n v="58118.76"/>
    <n v="74"/>
    <x v="1"/>
    <x v="3"/>
    <n v="64916.2"/>
    <x v="1"/>
    <s v="WH-B"/>
    <n v="974"/>
    <d v="2024-04-15T00:00:00"/>
    <n v="6"/>
    <n v="90043"/>
    <x v="3"/>
    <d v="2024-03-01T00:00:00"/>
    <n v="0.54391999999999996"/>
    <n v="70043"/>
    <x v="0"/>
    <n v="142603.31589999999"/>
    <s v="Paid"/>
    <d v="2024-04-10T00:00:00"/>
    <s v="Variable"/>
    <d v="2024-03-25T00:00:00"/>
    <s v="YES"/>
  </r>
  <r>
    <n v="10044"/>
    <n v="6500"/>
    <x v="1"/>
    <n v="54558.39"/>
    <n v="64"/>
    <x v="1"/>
    <x v="2"/>
    <n v="142344.54"/>
    <x v="1"/>
    <s v="WH-A"/>
    <n v="696"/>
    <d v="2024-03-10T00:00:00"/>
    <n v="11"/>
    <n v="90044"/>
    <x v="0"/>
    <d v="2024-04-01T00:00:00"/>
    <n v="0.87160000000000004"/>
    <n v="70044"/>
    <x v="1"/>
    <n v="145755.92251"/>
    <s v="pending"/>
    <d v="2024-06-01T00:00:00"/>
    <s v="Variable"/>
    <d v="2024-03-25T00:00:00"/>
    <s v="YES"/>
  </r>
  <r>
    <n v="10045"/>
    <n v="5700"/>
    <x v="1"/>
    <n v="37249.64"/>
    <n v="5"/>
    <x v="0"/>
    <x v="1"/>
    <n v="87362.66"/>
    <x v="1"/>
    <s v="WH-C"/>
    <n v="271"/>
    <d v="2024-02-10T00:00:00"/>
    <n v="3"/>
    <n v="90045"/>
    <x v="1"/>
    <d v="2024-03-01T00:00:00"/>
    <n v="0.19403000000000001"/>
    <n v="70045"/>
    <x v="0"/>
    <n v="162093.46462000001"/>
    <s v="pending"/>
    <d v="2024-05-10T00:00:00"/>
    <s v="Variable"/>
    <d v="2024-04-02T00:00:00"/>
    <s v="YES"/>
  </r>
  <r>
    <n v="10046"/>
    <n v="5976"/>
    <x v="1"/>
    <n v="17970.490000000002"/>
    <n v="70"/>
    <x v="1"/>
    <x v="1"/>
    <n v="164477.1"/>
    <x v="2"/>
    <s v="WH-B"/>
    <n v="1229"/>
    <d v="2024-04-15T00:00:00"/>
    <n v="1"/>
    <n v="90046"/>
    <x v="1"/>
    <d v="2024-04-01T00:00:00"/>
    <n v="0.50436999999999999"/>
    <n v="70046"/>
    <x v="2"/>
    <n v="71761.649799999999"/>
    <s v="Paid"/>
    <d v="2024-06-01T00:00:00"/>
    <s v="Variable"/>
    <d v="2024-03-25T00:00:00"/>
    <s v="YES"/>
  </r>
  <r>
    <n v="10047"/>
    <n v="6807"/>
    <x v="1"/>
    <n v="81898.2"/>
    <n v="90"/>
    <x v="1"/>
    <x v="3"/>
    <n v="104882.21"/>
    <x v="1"/>
    <s v="WH-A"/>
    <n v="703"/>
    <d v="2024-02-10T00:00:00"/>
    <n v="2"/>
    <n v="90047"/>
    <x v="3"/>
    <d v="2024-04-01T00:00:00"/>
    <n v="0.3584"/>
    <n v="70047"/>
    <x v="1"/>
    <n v="74682.687090000007"/>
    <s v="Overdue"/>
    <d v="2024-04-10T00:00:00"/>
    <s v="Variable"/>
    <d v="2024-03-25T00:00:00"/>
    <s v="YES"/>
  </r>
  <r>
    <n v="10048"/>
    <n v="5190"/>
    <x v="1"/>
    <n v="21123.38"/>
    <n v="4"/>
    <x v="3"/>
    <x v="0"/>
    <n v="65832.289999999994"/>
    <x v="0"/>
    <s v="WH-C"/>
    <n v="477"/>
    <d v="2024-03-10T00:00:00"/>
    <n v="5"/>
    <n v="90048"/>
    <x v="1"/>
    <d v="2024-05-18T00:00:00"/>
    <n v="0.19417000000000001"/>
    <n v="70048"/>
    <x v="1"/>
    <n v="109857.89617000001"/>
    <s v="pending"/>
    <d v="2024-05-10T00:00:00"/>
    <s v="Fixed"/>
    <d v="2024-03-25T00:00:00"/>
    <s v="YES"/>
  </r>
  <r>
    <n v="10049"/>
    <n v="5958"/>
    <x v="1"/>
    <n v="21391.5"/>
    <n v="39"/>
    <x v="1"/>
    <x v="3"/>
    <n v="59508.89"/>
    <x v="2"/>
    <s v="WH-A"/>
    <n v="1231"/>
    <d v="2024-03-10T00:00:00"/>
    <n v="13"/>
    <n v="90049"/>
    <x v="1"/>
    <d v="2024-05-18T00:00:00"/>
    <n v="0.78715000000000002"/>
    <n v="70049"/>
    <x v="1"/>
    <n v="169097.09356000001"/>
    <s v="pending"/>
    <d v="2024-04-10T00:00:00"/>
    <s v="Fixed"/>
    <d v="2024-03-25T00:00:00"/>
    <s v="YES"/>
  </r>
  <r>
    <n v="10050"/>
    <n v="5687"/>
    <x v="0"/>
    <n v="83566.98"/>
    <n v="35"/>
    <x v="3"/>
    <x v="2"/>
    <n v="177620.71"/>
    <x v="1"/>
    <s v="WH-A"/>
    <n v="1026"/>
    <d v="2024-02-10T00:00:00"/>
    <n v="10"/>
    <n v="90050"/>
    <x v="1"/>
    <d v="2024-03-01T00:00:00"/>
    <n v="0.55971000000000004"/>
    <n v="70050"/>
    <x v="2"/>
    <n v="91326.179860000004"/>
    <s v="Paid"/>
    <d v="2024-06-01T00:00:00"/>
    <s v="Variable"/>
    <d v="2024-04-02T00:00:00"/>
    <s v="NO"/>
  </r>
  <r>
    <n v="10051"/>
    <n v="5958"/>
    <x v="1"/>
    <n v="83795.77"/>
    <n v="1"/>
    <x v="2"/>
    <x v="3"/>
    <n v="66220.100000000006"/>
    <x v="2"/>
    <s v="WH-A"/>
    <n v="1489"/>
    <d v="2024-02-10T00:00:00"/>
    <n v="5"/>
    <n v="90051"/>
    <x v="1"/>
    <d v="2024-05-18T00:00:00"/>
    <n v="0.60109000000000001"/>
    <n v="70051"/>
    <x v="0"/>
    <n v="141993.78570000001"/>
    <s v="Overdue"/>
    <d v="2024-04-10T00:00:00"/>
    <s v="Variable"/>
    <d v="2024-03-25T00:00:00"/>
    <s v="NO"/>
  </r>
  <r>
    <n v="10052"/>
    <n v="5563"/>
    <x v="1"/>
    <n v="59720.47"/>
    <n v="24"/>
    <x v="1"/>
    <x v="3"/>
    <n v="138579.14000000001"/>
    <x v="0"/>
    <s v="WH-B"/>
    <n v="1055"/>
    <d v="2024-03-10T00:00:00"/>
    <n v="10"/>
    <n v="90052"/>
    <x v="3"/>
    <d v="2024-04-01T00:00:00"/>
    <n v="0.47012999999999999"/>
    <n v="70052"/>
    <x v="1"/>
    <n v="142890.01370000001"/>
    <s v="Overdue"/>
    <d v="2024-06-01T00:00:00"/>
    <s v="Fixed"/>
    <d v="2024-03-25T00:00:00"/>
    <s v="YES"/>
  </r>
  <r>
    <n v="10053"/>
    <n v="6900"/>
    <x v="1"/>
    <n v="78728.66"/>
    <n v="57"/>
    <x v="1"/>
    <x v="2"/>
    <n v="173581.04"/>
    <x v="1"/>
    <s v="WH-C"/>
    <n v="1399"/>
    <d v="2024-02-10T00:00:00"/>
    <n v="14"/>
    <n v="90053"/>
    <x v="2"/>
    <d v="2024-04-01T00:00:00"/>
    <n v="0.51429999999999998"/>
    <n v="70053"/>
    <x v="1"/>
    <n v="158650.74129999999"/>
    <s v="Paid"/>
    <d v="2024-06-01T00:00:00"/>
    <s v="Variable"/>
    <d v="2024-03-25T00:00:00"/>
    <s v="YES"/>
  </r>
  <r>
    <n v="10054"/>
    <n v="6591"/>
    <x v="0"/>
    <n v="11881.76"/>
    <n v="70"/>
    <x v="3"/>
    <x v="3"/>
    <n v="169036.11"/>
    <x v="0"/>
    <s v="WH-C"/>
    <n v="420"/>
    <d v="2024-03-10T00:00:00"/>
    <n v="1"/>
    <n v="90054"/>
    <x v="2"/>
    <d v="2024-03-01T00:00:00"/>
    <n v="0.20441999999999999"/>
    <n v="70054"/>
    <x v="2"/>
    <n v="155433.06510000001"/>
    <s v="Paid"/>
    <d v="2024-05-10T00:00:00"/>
    <s v="Variable"/>
    <d v="2024-03-25T00:00:00"/>
    <s v="NO"/>
  </r>
  <r>
    <n v="10055"/>
    <n v="6268"/>
    <x v="0"/>
    <n v="26891.41"/>
    <n v="41"/>
    <x v="2"/>
    <x v="1"/>
    <n v="179647.86"/>
    <x v="0"/>
    <s v="WH-B"/>
    <n v="1417"/>
    <d v="2024-03-10T00:00:00"/>
    <n v="1"/>
    <n v="90055"/>
    <x v="2"/>
    <d v="2024-03-01T00:00:00"/>
    <n v="0.70562999999999998"/>
    <n v="70055"/>
    <x v="0"/>
    <n v="131937.23228"/>
    <s v="pending"/>
    <d v="2024-05-10T00:00:00"/>
    <s v="Variable"/>
    <d v="2024-03-25T00:00:00"/>
    <s v="YES"/>
  </r>
  <r>
    <n v="10056"/>
    <n v="5832"/>
    <x v="1"/>
    <n v="22710.55"/>
    <n v="54"/>
    <x v="0"/>
    <x v="0"/>
    <n v="68821.990000000005"/>
    <x v="0"/>
    <s v="WH-C"/>
    <n v="1335"/>
    <d v="2024-04-15T00:00:00"/>
    <n v="9"/>
    <n v="90056"/>
    <x v="0"/>
    <d v="2024-04-01T00:00:00"/>
    <n v="0.48920000000000002"/>
    <n v="70056"/>
    <x v="1"/>
    <n v="190855.58105000001"/>
    <s v="Paid"/>
    <d v="2024-04-10T00:00:00"/>
    <s v="Variable"/>
    <d v="2024-03-25T00:00:00"/>
    <s v="YES"/>
  </r>
  <r>
    <n v="10057"/>
    <n v="6529"/>
    <x v="1"/>
    <n v="27203.71"/>
    <n v="46"/>
    <x v="2"/>
    <x v="3"/>
    <n v="30098.45"/>
    <x v="1"/>
    <s v="WH-A"/>
    <n v="1356"/>
    <d v="2024-02-10T00:00:00"/>
    <n v="2"/>
    <n v="90057"/>
    <x v="1"/>
    <d v="2024-05-18T00:00:00"/>
    <n v="0.83509"/>
    <n v="70057"/>
    <x v="2"/>
    <n v="62120.161919999999"/>
    <s v="Paid"/>
    <d v="2024-06-01T00:00:00"/>
    <s v="Variable"/>
    <d v="2024-03-25T00:00:00"/>
    <s v="YES"/>
  </r>
  <r>
    <n v="10058"/>
    <n v="6155"/>
    <x v="1"/>
    <n v="57337.279999999999"/>
    <n v="60"/>
    <x v="3"/>
    <x v="2"/>
    <n v="10672.99"/>
    <x v="1"/>
    <s v="WH-C"/>
    <n v="899"/>
    <d v="2024-02-10T00:00:00"/>
    <n v="7"/>
    <n v="90058"/>
    <x v="3"/>
    <d v="2024-05-18T00:00:00"/>
    <n v="0.27666000000000002"/>
    <n v="70058"/>
    <x v="1"/>
    <n v="112007.66148"/>
    <s v="Paid"/>
    <d v="2024-06-01T00:00:00"/>
    <s v="Fixed"/>
    <d v="2024-03-25T00:00:00"/>
    <s v="NO"/>
  </r>
  <r>
    <n v="10059"/>
    <n v="6509"/>
    <x v="1"/>
    <n v="55028.31"/>
    <n v="60"/>
    <x v="2"/>
    <x v="0"/>
    <n v="115818.52"/>
    <x v="1"/>
    <s v="WH-B"/>
    <n v="905"/>
    <d v="2024-04-15T00:00:00"/>
    <n v="10"/>
    <n v="90059"/>
    <x v="3"/>
    <d v="2024-03-01T00:00:00"/>
    <n v="0.28455000000000003"/>
    <n v="70059"/>
    <x v="1"/>
    <n v="103355.33839999999"/>
    <s v="Overdue"/>
    <d v="2024-05-10T00:00:00"/>
    <s v="Fixed"/>
    <d v="2024-03-25T00:00:00"/>
    <s v="YES"/>
  </r>
  <r>
    <n v="10060"/>
    <n v="6843"/>
    <x v="1"/>
    <n v="15973.73"/>
    <n v="57"/>
    <x v="3"/>
    <x v="2"/>
    <n v="146814.28"/>
    <x v="0"/>
    <s v="WH-A"/>
    <n v="278"/>
    <d v="2024-03-10T00:00:00"/>
    <n v="4"/>
    <n v="90060"/>
    <x v="0"/>
    <d v="2024-03-01T00:00:00"/>
    <n v="0.68118000000000001"/>
    <n v="70060"/>
    <x v="1"/>
    <n v="75621.390669999993"/>
    <s v="Paid"/>
    <d v="2024-05-10T00:00:00"/>
    <s v="Variable"/>
    <d v="2024-04-02T00:00:00"/>
    <s v="NO"/>
  </r>
  <r>
    <n v="10061"/>
    <n v="5647"/>
    <x v="0"/>
    <n v="62983.38"/>
    <n v="31"/>
    <x v="3"/>
    <x v="0"/>
    <n v="86101.81"/>
    <x v="1"/>
    <s v="WH-B"/>
    <n v="329"/>
    <d v="2024-02-10T00:00:00"/>
    <n v="7"/>
    <n v="90061"/>
    <x v="3"/>
    <d v="2024-04-01T00:00:00"/>
    <n v="0.86140000000000005"/>
    <n v="70061"/>
    <x v="1"/>
    <n v="125008.3664"/>
    <s v="pending"/>
    <d v="2024-05-10T00:00:00"/>
    <s v="Variable"/>
    <d v="2024-04-02T00:00:00"/>
    <s v="YES"/>
  </r>
  <r>
    <n v="10062"/>
    <n v="5021"/>
    <x v="1"/>
    <n v="15169.09"/>
    <n v="84"/>
    <x v="0"/>
    <x v="0"/>
    <n v="177993.98"/>
    <x v="0"/>
    <s v="WH-A"/>
    <n v="1363"/>
    <d v="2024-04-15T00:00:00"/>
    <n v="8"/>
    <n v="90062"/>
    <x v="2"/>
    <d v="2024-04-01T00:00:00"/>
    <n v="0.52498"/>
    <n v="70062"/>
    <x v="1"/>
    <n v="170228.13443000001"/>
    <s v="pending"/>
    <d v="2024-05-10T00:00:00"/>
    <s v="Variable"/>
    <d v="2024-03-25T00:00:00"/>
    <s v="YES"/>
  </r>
  <r>
    <n v="10063"/>
    <n v="5841"/>
    <x v="0"/>
    <n v="68106.490000000005"/>
    <n v="24"/>
    <x v="1"/>
    <x v="3"/>
    <n v="102498.7"/>
    <x v="1"/>
    <s v="WH-A"/>
    <n v="1120"/>
    <d v="2024-04-15T00:00:00"/>
    <n v="5"/>
    <n v="90063"/>
    <x v="0"/>
    <d v="2024-03-01T00:00:00"/>
    <n v="0.75426000000000004"/>
    <n v="70063"/>
    <x v="0"/>
    <n v="138292.37909999999"/>
    <s v="pending"/>
    <d v="2024-04-10T00:00:00"/>
    <s v="Fixed"/>
    <d v="2024-03-25T00:00:00"/>
    <s v="YES"/>
  </r>
  <r>
    <n v="10064"/>
    <n v="5167"/>
    <x v="1"/>
    <n v="53839.33"/>
    <n v="89"/>
    <x v="3"/>
    <x v="1"/>
    <n v="97812.46"/>
    <x v="2"/>
    <s v="WH-C"/>
    <n v="1024"/>
    <d v="2024-02-10T00:00:00"/>
    <n v="13"/>
    <n v="90064"/>
    <x v="3"/>
    <d v="2024-04-01T00:00:00"/>
    <n v="0.99939999999999996"/>
    <n v="70064"/>
    <x v="0"/>
    <n v="68125.282789999997"/>
    <s v="Paid"/>
    <d v="2024-04-10T00:00:00"/>
    <s v="Variable"/>
    <d v="2024-04-02T00:00:00"/>
    <s v="YES"/>
  </r>
  <r>
    <n v="10065"/>
    <n v="6298"/>
    <x v="1"/>
    <n v="86399.57"/>
    <n v="36"/>
    <x v="3"/>
    <x v="3"/>
    <n v="155754.42000000001"/>
    <x v="1"/>
    <s v="WH-A"/>
    <n v="1287"/>
    <d v="2024-04-15T00:00:00"/>
    <n v="12"/>
    <n v="90065"/>
    <x v="0"/>
    <d v="2024-03-01T00:00:00"/>
    <n v="0.99124000000000001"/>
    <n v="70065"/>
    <x v="2"/>
    <n v="65571.8508"/>
    <s v="Overdue"/>
    <d v="2024-04-10T00:00:00"/>
    <s v="Variable"/>
    <d v="2024-03-25T00:00:00"/>
    <s v="YES"/>
  </r>
  <r>
    <n v="10066"/>
    <n v="5388"/>
    <x v="1"/>
    <n v="83591.070000000007"/>
    <n v="85"/>
    <x v="0"/>
    <x v="2"/>
    <n v="54752.94"/>
    <x v="1"/>
    <s v="WH-B"/>
    <n v="807"/>
    <d v="2024-03-10T00:00:00"/>
    <n v="12"/>
    <n v="90066"/>
    <x v="0"/>
    <d v="2024-03-01T00:00:00"/>
    <n v="0.76990000000000003"/>
    <n v="70066"/>
    <x v="0"/>
    <n v="156217.42730000001"/>
    <s v="Paid"/>
    <d v="2024-04-10T00:00:00"/>
    <s v="Fixed"/>
    <d v="2024-04-02T00:00:00"/>
    <s v="YES"/>
  </r>
  <r>
    <n v="10067"/>
    <n v="5601"/>
    <x v="1"/>
    <n v="66460.31"/>
    <n v="30"/>
    <x v="3"/>
    <x v="2"/>
    <n v="167896.02"/>
    <x v="2"/>
    <s v="WH-C"/>
    <n v="1097"/>
    <d v="2024-04-15T00:00:00"/>
    <n v="1"/>
    <n v="90067"/>
    <x v="3"/>
    <d v="2024-05-18T00:00:00"/>
    <n v="0.76563000000000003"/>
    <n v="70067"/>
    <x v="1"/>
    <n v="173374.24489999999"/>
    <s v="Paid"/>
    <d v="2024-05-10T00:00:00"/>
    <s v="Variable"/>
    <d v="2024-04-02T00:00:00"/>
    <s v="NO"/>
  </r>
  <r>
    <n v="10068"/>
    <n v="5316"/>
    <x v="0"/>
    <n v="40819.879999999997"/>
    <n v="24"/>
    <x v="1"/>
    <x v="0"/>
    <n v="132566.48000000001"/>
    <x v="1"/>
    <s v="WH-B"/>
    <n v="370"/>
    <d v="2024-03-10T00:00:00"/>
    <n v="4"/>
    <n v="90068"/>
    <x v="2"/>
    <d v="2024-03-01T00:00:00"/>
    <n v="0.32285999999999998"/>
    <n v="70068"/>
    <x v="1"/>
    <n v="58898.903980000003"/>
    <s v="pending"/>
    <d v="2024-04-10T00:00:00"/>
    <s v="Variable"/>
    <d v="2024-03-25T00:00:00"/>
    <s v="YES"/>
  </r>
  <r>
    <n v="10069"/>
    <n v="5014"/>
    <x v="1"/>
    <n v="13300.73"/>
    <n v="30"/>
    <x v="0"/>
    <x v="0"/>
    <n v="109158.97"/>
    <x v="2"/>
    <s v="WH-A"/>
    <n v="323"/>
    <d v="2024-03-10T00:00:00"/>
    <n v="10"/>
    <n v="90069"/>
    <x v="3"/>
    <d v="2024-04-01T00:00:00"/>
    <n v="0.85019"/>
    <n v="70069"/>
    <x v="0"/>
    <n v="65030.036670000001"/>
    <s v="Paid"/>
    <d v="2024-04-10T00:00:00"/>
    <s v="Fixed"/>
    <d v="2024-03-25T00:00:00"/>
    <s v="YES"/>
  </r>
  <r>
    <n v="10070"/>
    <n v="5242"/>
    <x v="1"/>
    <n v="61856.639999999999"/>
    <n v="86"/>
    <x v="1"/>
    <x v="1"/>
    <n v="143665.48000000001"/>
    <x v="1"/>
    <s v="WH-B"/>
    <n v="605"/>
    <d v="2024-02-10T00:00:00"/>
    <n v="3"/>
    <n v="90070"/>
    <x v="1"/>
    <d v="2024-05-18T00:00:00"/>
    <n v="0.46459"/>
    <n v="70070"/>
    <x v="0"/>
    <n v="175378.28145000001"/>
    <s v="Overdue"/>
    <d v="2024-04-10T00:00:00"/>
    <s v="Variable"/>
    <d v="2024-04-02T00:00:00"/>
    <s v="NO"/>
  </r>
  <r>
    <n v="10071"/>
    <n v="5777"/>
    <x v="1"/>
    <n v="13429.5"/>
    <n v="92"/>
    <x v="1"/>
    <x v="3"/>
    <n v="13700.09"/>
    <x v="1"/>
    <s v="WH-B"/>
    <n v="893"/>
    <d v="2024-04-15T00:00:00"/>
    <n v="10"/>
    <n v="90071"/>
    <x v="1"/>
    <d v="2024-05-18T00:00:00"/>
    <n v="0.96579000000000004"/>
    <n v="70071"/>
    <x v="1"/>
    <n v="94126.150200000004"/>
    <s v="pending"/>
    <d v="2024-05-10T00:00:00"/>
    <s v="Variable"/>
    <d v="2024-04-02T00:00:00"/>
    <s v="NO"/>
  </r>
  <r>
    <n v="10072"/>
    <n v="6370"/>
    <x v="1"/>
    <n v="93954.4"/>
    <n v="7"/>
    <x v="0"/>
    <x v="2"/>
    <n v="167274.69"/>
    <x v="0"/>
    <s v="WH-A"/>
    <n v="1386"/>
    <d v="2024-03-10T00:00:00"/>
    <n v="12"/>
    <n v="90072"/>
    <x v="3"/>
    <d v="2024-04-01T00:00:00"/>
    <n v="0.17327999999999999"/>
    <n v="70072"/>
    <x v="1"/>
    <n v="52544.20048"/>
    <s v="Overdue"/>
    <d v="2024-06-01T00:00:00"/>
    <s v="Variable"/>
    <d v="2024-03-25T00:00:00"/>
    <s v="NO"/>
  </r>
  <r>
    <n v="10073"/>
    <n v="5565"/>
    <x v="1"/>
    <n v="33962.400000000001"/>
    <n v="35"/>
    <x v="3"/>
    <x v="0"/>
    <n v="45487.19"/>
    <x v="0"/>
    <s v="WH-C"/>
    <n v="1436"/>
    <d v="2024-03-10T00:00:00"/>
    <n v="5"/>
    <n v="90073"/>
    <x v="2"/>
    <d v="2024-04-01T00:00:00"/>
    <n v="0.49225999999999998"/>
    <n v="70073"/>
    <x v="1"/>
    <n v="199544.84400000001"/>
    <s v="Overdue"/>
    <d v="2024-05-10T00:00:00"/>
    <s v="Variable"/>
    <d v="2024-04-02T00:00:00"/>
    <s v="NO"/>
  </r>
  <r>
    <n v="10074"/>
    <n v="5898"/>
    <x v="1"/>
    <n v="17896.32"/>
    <n v="55"/>
    <x v="1"/>
    <x v="1"/>
    <n v="122096.63"/>
    <x v="2"/>
    <s v="WH-B"/>
    <n v="717"/>
    <d v="2024-04-15T00:00:00"/>
    <n v="10"/>
    <n v="90074"/>
    <x v="1"/>
    <d v="2024-04-01T00:00:00"/>
    <n v="0.60026000000000002"/>
    <n v="70074"/>
    <x v="2"/>
    <n v="64594.364200000004"/>
    <s v="Overdue"/>
    <d v="2024-06-01T00:00:00"/>
    <s v="Variable"/>
    <d v="2024-04-02T00:00:00"/>
    <s v="YES"/>
  </r>
  <r>
    <n v="10075"/>
    <n v="6364"/>
    <x v="1"/>
    <n v="35681.629999999997"/>
    <n v="92"/>
    <x v="1"/>
    <x v="2"/>
    <n v="111623.94"/>
    <x v="1"/>
    <s v="WH-A"/>
    <n v="1049"/>
    <d v="2024-03-10T00:00:00"/>
    <n v="13"/>
    <n v="90075"/>
    <x v="1"/>
    <d v="2024-03-01T00:00:00"/>
    <n v="0.46464"/>
    <n v="70075"/>
    <x v="0"/>
    <n v="82849.889500000005"/>
    <s v="Paid"/>
    <d v="2024-06-01T00:00:00"/>
    <s v="Fixed"/>
    <d v="2024-03-25T00:00:00"/>
    <s v="YES"/>
  </r>
  <r>
    <n v="10076"/>
    <n v="5092"/>
    <x v="1"/>
    <n v="55279.74"/>
    <n v="14"/>
    <x v="1"/>
    <x v="0"/>
    <n v="118608.67"/>
    <x v="2"/>
    <s v="WH-C"/>
    <n v="429"/>
    <d v="2024-04-15T00:00:00"/>
    <n v="10"/>
    <n v="90076"/>
    <x v="3"/>
    <d v="2024-05-18T00:00:00"/>
    <n v="0.28952"/>
    <n v="70076"/>
    <x v="2"/>
    <n v="72399.826100000006"/>
    <s v="Paid"/>
    <d v="2024-04-10T00:00:00"/>
    <s v="Variable"/>
    <d v="2024-04-02T00:00:00"/>
    <s v="NO"/>
  </r>
  <r>
    <n v="10077"/>
    <n v="6391"/>
    <x v="1"/>
    <n v="78653.919999999998"/>
    <n v="10"/>
    <x v="1"/>
    <x v="2"/>
    <n v="130811.06"/>
    <x v="1"/>
    <s v="WH-C"/>
    <n v="760"/>
    <d v="2024-02-10T00:00:00"/>
    <n v="13"/>
    <n v="90077"/>
    <x v="3"/>
    <d v="2024-03-01T00:00:00"/>
    <n v="0.63368999999999998"/>
    <n v="70077"/>
    <x v="1"/>
    <n v="66241.753400000001"/>
    <s v="Paid"/>
    <d v="2024-04-10T00:00:00"/>
    <s v="Variable"/>
    <d v="2024-03-25T00:00:00"/>
    <s v="YES"/>
  </r>
  <r>
    <n v="10078"/>
    <n v="5956"/>
    <x v="1"/>
    <n v="80962.259999999995"/>
    <n v="80"/>
    <x v="0"/>
    <x v="1"/>
    <n v="32968.589999999997"/>
    <x v="0"/>
    <s v="WH-C"/>
    <n v="795"/>
    <d v="2024-03-10T00:00:00"/>
    <n v="6"/>
    <n v="90078"/>
    <x v="3"/>
    <d v="2024-03-01T00:00:00"/>
    <n v="0.78032999999999997"/>
    <n v="70078"/>
    <x v="2"/>
    <n v="160386.60743999999"/>
    <s v="Paid"/>
    <d v="2024-04-10T00:00:00"/>
    <s v="Variable"/>
    <d v="2024-04-02T00:00:00"/>
    <s v="YES"/>
  </r>
  <r>
    <n v="10079"/>
    <n v="6479"/>
    <x v="1"/>
    <n v="17953.72"/>
    <n v="16"/>
    <x v="0"/>
    <x v="1"/>
    <n v="179516.13"/>
    <x v="2"/>
    <s v="WH-B"/>
    <n v="724"/>
    <d v="2024-03-10T00:00:00"/>
    <n v="2"/>
    <n v="90079"/>
    <x v="0"/>
    <d v="2024-03-01T00:00:00"/>
    <n v="0.68035000000000001"/>
    <n v="70079"/>
    <x v="0"/>
    <n v="79781.666400000002"/>
    <s v="pending"/>
    <d v="2024-05-10T00:00:00"/>
    <s v="Variable"/>
    <d v="2024-03-25T00:00:00"/>
    <s v="YES"/>
  </r>
  <r>
    <n v="10080"/>
    <n v="6452"/>
    <x v="1"/>
    <n v="99158.07"/>
    <n v="54"/>
    <x v="2"/>
    <x v="2"/>
    <n v="113290.16"/>
    <x v="2"/>
    <s v="WH-B"/>
    <n v="165"/>
    <d v="2024-04-15T00:00:00"/>
    <n v="7"/>
    <n v="90080"/>
    <x v="0"/>
    <d v="2024-03-01T00:00:00"/>
    <n v="0.311"/>
    <n v="70080"/>
    <x v="0"/>
    <n v="133786.56044"/>
    <s v="Paid"/>
    <d v="2024-05-10T00:00:00"/>
    <s v="Fixed"/>
    <d v="2024-03-25T00:00:00"/>
    <s v="YES"/>
  </r>
  <r>
    <n v="10081"/>
    <n v="5509"/>
    <x v="1"/>
    <n v="43708.23"/>
    <n v="95"/>
    <x v="2"/>
    <x v="3"/>
    <n v="91848.67"/>
    <x v="0"/>
    <s v="WH-B"/>
    <n v="654"/>
    <d v="2024-04-15T00:00:00"/>
    <n v="13"/>
    <n v="90081"/>
    <x v="0"/>
    <d v="2024-05-18T00:00:00"/>
    <n v="0.75844999999999996"/>
    <n v="70081"/>
    <x v="2"/>
    <n v="77353.371629999994"/>
    <s v="pending"/>
    <d v="2024-04-10T00:00:00"/>
    <s v="Variable"/>
    <d v="2024-03-25T00:00:00"/>
    <s v="NO"/>
  </r>
  <r>
    <n v="10082"/>
    <n v="5776"/>
    <x v="1"/>
    <n v="33729.61"/>
    <n v="89"/>
    <x v="1"/>
    <x v="2"/>
    <n v="126054.33"/>
    <x v="0"/>
    <s v="WH-C"/>
    <n v="1115"/>
    <d v="2024-04-15T00:00:00"/>
    <n v="3"/>
    <n v="90082"/>
    <x v="3"/>
    <d v="2024-05-18T00:00:00"/>
    <n v="0.33121"/>
    <n v="70082"/>
    <x v="0"/>
    <n v="121140.90186"/>
    <s v="Overdue"/>
    <d v="2024-05-10T00:00:00"/>
    <s v="Fixed"/>
    <d v="2024-03-25T00:00:00"/>
    <s v="NO"/>
  </r>
  <r>
    <n v="10083"/>
    <n v="6967"/>
    <x v="1"/>
    <n v="74484.800000000003"/>
    <n v="77"/>
    <x v="3"/>
    <x v="0"/>
    <n v="73900"/>
    <x v="0"/>
    <s v="WH-B"/>
    <n v="428"/>
    <d v="2024-04-15T00:00:00"/>
    <n v="1"/>
    <n v="90083"/>
    <x v="2"/>
    <d v="2024-03-01T00:00:00"/>
    <n v="0.25768000000000002"/>
    <n v="70083"/>
    <x v="1"/>
    <n v="151454.59977"/>
    <s v="pending"/>
    <d v="2024-05-10T00:00:00"/>
    <s v="Fixed"/>
    <d v="2024-04-02T00:00:00"/>
    <s v="YES"/>
  </r>
  <r>
    <n v="10084"/>
    <n v="5035"/>
    <x v="1"/>
    <n v="25885.33"/>
    <n v="70"/>
    <x v="1"/>
    <x v="3"/>
    <n v="108788.24"/>
    <x v="1"/>
    <s v="WH-A"/>
    <n v="1279"/>
    <d v="2024-03-10T00:00:00"/>
    <n v="10"/>
    <n v="90084"/>
    <x v="1"/>
    <d v="2024-04-01T00:00:00"/>
    <n v="0.72160000000000002"/>
    <n v="70084"/>
    <x v="1"/>
    <n v="120223.3946"/>
    <s v="Paid"/>
    <d v="2024-06-01T00:00:00"/>
    <s v="Variable"/>
    <d v="2024-03-25T00:00:00"/>
    <s v="NO"/>
  </r>
  <r>
    <n v="10085"/>
    <n v="5206"/>
    <x v="1"/>
    <n v="18976.14"/>
    <n v="44"/>
    <x v="3"/>
    <x v="0"/>
    <n v="149934.1"/>
    <x v="0"/>
    <s v="WH-B"/>
    <n v="515"/>
    <d v="2024-02-10T00:00:00"/>
    <n v="3"/>
    <n v="90085"/>
    <x v="0"/>
    <d v="2024-05-18T00:00:00"/>
    <n v="0.85851"/>
    <n v="70085"/>
    <x v="1"/>
    <n v="106219.10689"/>
    <s v="pending"/>
    <d v="2024-05-10T00:00:00"/>
    <s v="Variable"/>
    <d v="2024-03-25T00:00:00"/>
    <s v="YES"/>
  </r>
  <r>
    <n v="10086"/>
    <n v="6105"/>
    <x v="1"/>
    <n v="16164.04"/>
    <n v="73"/>
    <x v="1"/>
    <x v="2"/>
    <n v="18980.490000000002"/>
    <x v="1"/>
    <s v="WH-B"/>
    <n v="329"/>
    <d v="2024-02-10T00:00:00"/>
    <n v="9"/>
    <n v="90086"/>
    <x v="2"/>
    <d v="2024-03-01T00:00:00"/>
    <n v="0.53339000000000003"/>
    <n v="70086"/>
    <x v="0"/>
    <n v="162430.66688999999"/>
    <s v="Paid"/>
    <d v="2024-06-01T00:00:00"/>
    <s v="Fixed"/>
    <d v="2024-03-25T00:00:00"/>
    <s v="YES"/>
  </r>
  <r>
    <n v="10087"/>
    <n v="6956"/>
    <x v="1"/>
    <n v="98370.96"/>
    <n v="45"/>
    <x v="2"/>
    <x v="3"/>
    <n v="142607.14000000001"/>
    <x v="2"/>
    <s v="WH-C"/>
    <n v="667"/>
    <d v="2024-02-10T00:00:00"/>
    <n v="10"/>
    <n v="90087"/>
    <x v="3"/>
    <d v="2024-04-01T00:00:00"/>
    <n v="0.57825000000000004"/>
    <n v="70087"/>
    <x v="1"/>
    <n v="68876.234179999999"/>
    <s v="Paid"/>
    <d v="2024-04-10T00:00:00"/>
    <s v="Fixed"/>
    <d v="2024-04-02T00:00:00"/>
    <s v="YES"/>
  </r>
  <r>
    <n v="10088"/>
    <n v="6586"/>
    <x v="1"/>
    <n v="89748.56"/>
    <n v="56"/>
    <x v="2"/>
    <x v="0"/>
    <n v="23723.41"/>
    <x v="0"/>
    <s v="WH-B"/>
    <n v="167"/>
    <d v="2024-02-10T00:00:00"/>
    <n v="11"/>
    <n v="90088"/>
    <x v="0"/>
    <d v="2024-04-01T00:00:00"/>
    <n v="0.37247000000000002"/>
    <n v="70088"/>
    <x v="1"/>
    <n v="127647.02657"/>
    <s v="pending"/>
    <d v="2024-05-10T00:00:00"/>
    <s v="Variable"/>
    <d v="2024-04-02T00:00:00"/>
    <s v="YES"/>
  </r>
  <r>
    <n v="10089"/>
    <n v="6896"/>
    <x v="0"/>
    <n v="51263.99"/>
    <n v="84"/>
    <x v="3"/>
    <x v="2"/>
    <n v="154060.10999999999"/>
    <x v="0"/>
    <s v="WH-A"/>
    <n v="1310"/>
    <d v="2024-04-15T00:00:00"/>
    <n v="11"/>
    <n v="90089"/>
    <x v="3"/>
    <d v="2024-03-01T00:00:00"/>
    <n v="0.54515999999999998"/>
    <n v="70089"/>
    <x v="0"/>
    <n v="164464.53154"/>
    <s v="pending"/>
    <d v="2024-06-01T00:00:00"/>
    <s v="Fixed"/>
    <d v="2024-04-02T00:00:00"/>
    <s v="YES"/>
  </r>
  <r>
    <n v="10090"/>
    <n v="6412"/>
    <x v="1"/>
    <n v="10519.91"/>
    <n v="82"/>
    <x v="1"/>
    <x v="2"/>
    <n v="106748.12"/>
    <x v="1"/>
    <s v="WH-C"/>
    <n v="358"/>
    <d v="2024-03-10T00:00:00"/>
    <n v="6"/>
    <n v="90090"/>
    <x v="2"/>
    <d v="2024-05-18T00:00:00"/>
    <n v="0.21878"/>
    <n v="70090"/>
    <x v="1"/>
    <n v="181708.94407999999"/>
    <s v="Overdue"/>
    <d v="2024-05-10T00:00:00"/>
    <s v="Fixed"/>
    <d v="2024-03-25T00:00:00"/>
    <s v="YES"/>
  </r>
  <r>
    <n v="10091"/>
    <n v="6026"/>
    <x v="1"/>
    <n v="82125.38"/>
    <n v="57"/>
    <x v="3"/>
    <x v="3"/>
    <n v="108709.32"/>
    <x v="1"/>
    <s v="WH-A"/>
    <n v="149"/>
    <d v="2024-03-10T00:00:00"/>
    <n v="11"/>
    <n v="90091"/>
    <x v="0"/>
    <d v="2024-04-01T00:00:00"/>
    <n v="0.96025000000000005"/>
    <n v="70091"/>
    <x v="1"/>
    <n v="142820.18090000001"/>
    <s v="Overdue"/>
    <d v="2024-06-01T00:00:00"/>
    <s v="Variable"/>
    <d v="2024-04-02T00:00:00"/>
    <s v="NO"/>
  </r>
  <r>
    <n v="10092"/>
    <n v="6022"/>
    <x v="0"/>
    <n v="68782.62"/>
    <n v="21"/>
    <x v="2"/>
    <x v="2"/>
    <n v="64226.34"/>
    <x v="2"/>
    <s v="WH-C"/>
    <n v="310"/>
    <d v="2024-03-10T00:00:00"/>
    <n v="6"/>
    <n v="90092"/>
    <x v="0"/>
    <d v="2024-05-18T00:00:00"/>
    <n v="0.82032000000000005"/>
    <n v="70092"/>
    <x v="1"/>
    <n v="112846.7699"/>
    <s v="Overdue"/>
    <d v="2024-06-01T00:00:00"/>
    <s v="Variable"/>
    <d v="2024-04-02T00:00:00"/>
    <s v="YES"/>
  </r>
  <r>
    <n v="10093"/>
    <n v="6414"/>
    <x v="1"/>
    <n v="55959.65"/>
    <n v="68"/>
    <x v="1"/>
    <x v="1"/>
    <n v="51440.9"/>
    <x v="1"/>
    <s v="WH-C"/>
    <n v="1042"/>
    <d v="2024-04-15T00:00:00"/>
    <n v="4"/>
    <n v="90093"/>
    <x v="0"/>
    <d v="2024-05-18T00:00:00"/>
    <n v="0.70118000000000003"/>
    <n v="70093"/>
    <x v="1"/>
    <n v="156804.9675"/>
    <s v="Overdue"/>
    <d v="2024-05-10T00:00:00"/>
    <s v="Variable"/>
    <d v="2024-03-25T00:00:00"/>
    <s v="NO"/>
  </r>
  <r>
    <n v="10094"/>
    <n v="5566"/>
    <x v="1"/>
    <n v="70797.84"/>
    <n v="50"/>
    <x v="1"/>
    <x v="0"/>
    <n v="50100.73"/>
    <x v="2"/>
    <s v="WH-B"/>
    <n v="1378"/>
    <d v="2024-03-10T00:00:00"/>
    <n v="8"/>
    <n v="90094"/>
    <x v="0"/>
    <d v="2024-04-01T00:00:00"/>
    <n v="0.58436999999999995"/>
    <n v="70094"/>
    <x v="2"/>
    <n v="117868.38933999999"/>
    <s v="Overdue"/>
    <d v="2024-04-10T00:00:00"/>
    <s v="Variable"/>
    <d v="2024-03-25T00:00:00"/>
    <s v="NO"/>
  </r>
  <r>
    <n v="10095"/>
    <n v="6130"/>
    <x v="1"/>
    <n v="82544"/>
    <n v="33"/>
    <x v="3"/>
    <x v="0"/>
    <n v="147309.14000000001"/>
    <x v="0"/>
    <s v="WH-A"/>
    <n v="1427"/>
    <d v="2024-04-15T00:00:00"/>
    <n v="5"/>
    <n v="90095"/>
    <x v="2"/>
    <d v="2024-03-01T00:00:00"/>
    <n v="0.81294999999999995"/>
    <n v="70095"/>
    <x v="1"/>
    <n v="70575.452590000001"/>
    <s v="pending"/>
    <d v="2024-06-01T00:00:00"/>
    <s v="Variable"/>
    <d v="2024-03-25T00:00:00"/>
    <s v="YES"/>
  </r>
  <r>
    <n v="10096"/>
    <n v="6796"/>
    <x v="1"/>
    <n v="68293.23"/>
    <n v="91"/>
    <x v="0"/>
    <x v="2"/>
    <n v="52241.22"/>
    <x v="1"/>
    <s v="WH-C"/>
    <n v="335"/>
    <d v="2024-03-10T00:00:00"/>
    <n v="7"/>
    <n v="90096"/>
    <x v="0"/>
    <d v="2024-04-01T00:00:00"/>
    <n v="0.54527999999999999"/>
    <n v="70096"/>
    <x v="1"/>
    <n v="142497.27650000001"/>
    <s v="Overdue"/>
    <d v="2024-04-10T00:00:00"/>
    <s v="Variable"/>
    <d v="2024-03-25T00:00:00"/>
    <s v="YES"/>
  </r>
  <r>
    <n v="10097"/>
    <n v="6846"/>
    <x v="0"/>
    <n v="32447.200000000001"/>
    <n v="7"/>
    <x v="3"/>
    <x v="2"/>
    <n v="85500.05"/>
    <x v="1"/>
    <s v="WH-B"/>
    <n v="377"/>
    <d v="2024-02-10T00:00:00"/>
    <n v="9"/>
    <n v="90097"/>
    <x v="1"/>
    <d v="2024-04-01T00:00:00"/>
    <n v="0.36997999999999998"/>
    <n v="70097"/>
    <x v="1"/>
    <n v="78922.166540000006"/>
    <s v="pending"/>
    <d v="2024-05-10T00:00:00"/>
    <s v="Variable"/>
    <d v="2024-03-25T00:00:00"/>
    <s v="YES"/>
  </r>
  <r>
    <n v="10098"/>
    <n v="6501"/>
    <x v="1"/>
    <n v="55790.37"/>
    <n v="70"/>
    <x v="2"/>
    <x v="1"/>
    <n v="32151.17"/>
    <x v="1"/>
    <s v="WH-C"/>
    <n v="1176"/>
    <d v="2024-04-15T00:00:00"/>
    <n v="13"/>
    <n v="90098"/>
    <x v="1"/>
    <d v="2024-05-18T00:00:00"/>
    <n v="0.24434"/>
    <n v="70098"/>
    <x v="2"/>
    <n v="130641.359"/>
    <s v="Overdue"/>
    <d v="2024-05-10T00:00:00"/>
    <s v="Fixed"/>
    <d v="2024-03-25T00:00:00"/>
    <s v="YES"/>
  </r>
  <r>
    <n v="10099"/>
    <n v="5703"/>
    <x v="1"/>
    <n v="60732.74"/>
    <n v="15"/>
    <x v="2"/>
    <x v="3"/>
    <n v="16891.28"/>
    <x v="1"/>
    <s v="WH-C"/>
    <n v="112"/>
    <d v="2024-03-10T00:00:00"/>
    <n v="13"/>
    <n v="90099"/>
    <x v="3"/>
    <d v="2024-03-01T00:00:00"/>
    <n v="0.68283000000000005"/>
    <n v="70099"/>
    <x v="1"/>
    <n v="151000.72111000001"/>
    <s v="Paid"/>
    <d v="2024-04-10T00:00:00"/>
    <s v="Variable"/>
    <d v="2024-04-02T00:00:00"/>
    <s v="YES"/>
  </r>
  <r>
    <n v="10100"/>
    <n v="5402"/>
    <x v="1"/>
    <n v="89833.91"/>
    <n v="82"/>
    <x v="2"/>
    <x v="2"/>
    <n v="168503.75"/>
    <x v="2"/>
    <s v="WH-C"/>
    <n v="736"/>
    <d v="2024-02-10T00:00:00"/>
    <n v="14"/>
    <n v="90100"/>
    <x v="0"/>
    <d v="2024-05-18T00:00:00"/>
    <n v="0.93647999999999998"/>
    <n v="70100"/>
    <x v="0"/>
    <n v="75817.196500000005"/>
    <s v="Overdue"/>
    <d v="2024-05-10T00:00:00"/>
    <s v="Variable"/>
    <d v="2024-03-25T00:00:00"/>
    <s v="YES"/>
  </r>
  <r>
    <n v="10101"/>
    <n v="5730"/>
    <x v="1"/>
    <n v="70457.740000000005"/>
    <n v="32"/>
    <x v="2"/>
    <x v="2"/>
    <n v="87650.44"/>
    <x v="1"/>
    <s v="WH-C"/>
    <n v="1355"/>
    <d v="2024-02-10T00:00:00"/>
    <n v="5"/>
    <n v="90101"/>
    <x v="1"/>
    <d v="2024-04-01T00:00:00"/>
    <n v="0.23826"/>
    <n v="70101"/>
    <x v="2"/>
    <n v="188873.13461000001"/>
    <s v="Paid"/>
    <d v="2024-06-01T00:00:00"/>
    <s v="Variable"/>
    <d v="2024-03-25T00:00:00"/>
    <s v="YES"/>
  </r>
  <r>
    <n v="10102"/>
    <n v="6580"/>
    <x v="1"/>
    <n v="96404.69"/>
    <n v="75"/>
    <x v="2"/>
    <x v="2"/>
    <n v="43209.17"/>
    <x v="1"/>
    <s v="WH-C"/>
    <n v="1366"/>
    <d v="2024-02-10T00:00:00"/>
    <n v="11"/>
    <n v="90102"/>
    <x v="1"/>
    <d v="2024-03-01T00:00:00"/>
    <n v="0.26201999999999998"/>
    <n v="70102"/>
    <x v="2"/>
    <n v="110347.1565"/>
    <s v="pending"/>
    <d v="2024-04-10T00:00:00"/>
    <s v="Variable"/>
    <d v="2024-03-25T00:00:00"/>
    <s v="NO"/>
  </r>
  <r>
    <n v="10103"/>
    <n v="5162"/>
    <x v="1"/>
    <n v="74734.98"/>
    <n v="20"/>
    <x v="0"/>
    <x v="2"/>
    <n v="113287.21"/>
    <x v="0"/>
    <s v="WH-C"/>
    <n v="787"/>
    <d v="2024-04-15T00:00:00"/>
    <n v="14"/>
    <n v="90103"/>
    <x v="1"/>
    <d v="2024-03-01T00:00:00"/>
    <n v="0.49025000000000002"/>
    <n v="70103"/>
    <x v="1"/>
    <n v="163579.98790000001"/>
    <s v="Overdue"/>
    <d v="2024-05-10T00:00:00"/>
    <s v="Variable"/>
    <d v="2024-04-02T00:00:00"/>
    <s v="NO"/>
  </r>
  <r>
    <n v="10104"/>
    <n v="5202"/>
    <x v="1"/>
    <n v="27029.46"/>
    <n v="88"/>
    <x v="1"/>
    <x v="0"/>
    <n v="167924.75"/>
    <x v="1"/>
    <s v="WH-B"/>
    <n v="1080"/>
    <d v="2024-04-15T00:00:00"/>
    <n v="5"/>
    <n v="90104"/>
    <x v="2"/>
    <d v="2024-03-01T00:00:00"/>
    <n v="0.82621"/>
    <n v="70104"/>
    <x v="1"/>
    <n v="94793.800810000001"/>
    <s v="pending"/>
    <d v="2024-05-10T00:00:00"/>
    <s v="Fixed"/>
    <d v="2024-03-25T00:00:00"/>
    <s v="YES"/>
  </r>
  <r>
    <n v="10105"/>
    <n v="6982"/>
    <x v="0"/>
    <n v="65166.93"/>
    <n v="15"/>
    <x v="3"/>
    <x v="2"/>
    <n v="124022.1"/>
    <x v="1"/>
    <s v="WH-C"/>
    <n v="688"/>
    <d v="2024-03-10T00:00:00"/>
    <n v="14"/>
    <n v="90105"/>
    <x v="0"/>
    <d v="2024-03-01T00:00:00"/>
    <n v="0.36453000000000002"/>
    <n v="70105"/>
    <x v="1"/>
    <n v="98435.220379999999"/>
    <s v="Overdue"/>
    <d v="2024-04-10T00:00:00"/>
    <s v="Variable"/>
    <d v="2024-04-02T00:00:00"/>
    <s v="YES"/>
  </r>
  <r>
    <n v="10106"/>
    <n v="5996"/>
    <x v="1"/>
    <n v="52372.03"/>
    <n v="48"/>
    <x v="3"/>
    <x v="0"/>
    <n v="146762.53"/>
    <x v="1"/>
    <s v="WH-A"/>
    <n v="985"/>
    <d v="2024-02-10T00:00:00"/>
    <n v="4"/>
    <n v="90106"/>
    <x v="2"/>
    <d v="2024-03-01T00:00:00"/>
    <n v="0.32851999999999998"/>
    <n v="70106"/>
    <x v="0"/>
    <n v="188127.81232999999"/>
    <s v="pending"/>
    <d v="2024-06-01T00:00:00"/>
    <s v="Fixed"/>
    <d v="2024-04-02T00:00:00"/>
    <s v="YES"/>
  </r>
  <r>
    <n v="10107"/>
    <n v="5270"/>
    <x v="1"/>
    <n v="51509.29"/>
    <n v="71"/>
    <x v="2"/>
    <x v="2"/>
    <n v="17601.96"/>
    <x v="1"/>
    <s v="WH-B"/>
    <n v="1165"/>
    <d v="2024-03-10T00:00:00"/>
    <n v="6"/>
    <n v="90107"/>
    <x v="2"/>
    <d v="2024-04-01T00:00:00"/>
    <n v="0.65797000000000005"/>
    <n v="70107"/>
    <x v="2"/>
    <n v="164900.55499999999"/>
    <s v="Overdue"/>
    <d v="2024-04-10T00:00:00"/>
    <s v="Variable"/>
    <d v="2024-03-25T00:00:00"/>
    <s v="YES"/>
  </r>
  <r>
    <n v="10108"/>
    <n v="6887"/>
    <x v="0"/>
    <n v="96874.59"/>
    <n v="21"/>
    <x v="3"/>
    <x v="3"/>
    <n v="126364.22"/>
    <x v="0"/>
    <s v="WH-A"/>
    <n v="1263"/>
    <d v="2024-03-10T00:00:00"/>
    <n v="2"/>
    <n v="90108"/>
    <x v="1"/>
    <d v="2024-04-01T00:00:00"/>
    <n v="0.58204999999999996"/>
    <n v="70108"/>
    <x v="2"/>
    <n v="218232.23310000001"/>
    <s v="Overdue"/>
    <d v="2024-05-10T00:00:00"/>
    <s v="Variable"/>
    <d v="2024-03-25T00:00:00"/>
    <s v="YES"/>
  </r>
  <r>
    <n v="10109"/>
    <n v="5816"/>
    <x v="1"/>
    <n v="72712.53"/>
    <n v="42"/>
    <x v="2"/>
    <x v="1"/>
    <n v="25360.55"/>
    <x v="2"/>
    <s v="WH-C"/>
    <n v="525"/>
    <d v="2024-02-10T00:00:00"/>
    <n v="3"/>
    <n v="90109"/>
    <x v="1"/>
    <d v="2024-04-01T00:00:00"/>
    <n v="0.1542"/>
    <n v="70109"/>
    <x v="2"/>
    <n v="157841.33507999999"/>
    <s v="Paid"/>
    <d v="2024-05-10T00:00:00"/>
    <s v="Variable"/>
    <d v="2024-03-25T00:00:00"/>
    <s v="NO"/>
  </r>
  <r>
    <n v="10110"/>
    <n v="6295"/>
    <x v="1"/>
    <n v="87890.81"/>
    <n v="26"/>
    <x v="0"/>
    <x v="3"/>
    <n v="100943.65"/>
    <x v="1"/>
    <s v="WH-A"/>
    <n v="102"/>
    <d v="2024-03-10T00:00:00"/>
    <n v="1"/>
    <n v="90110"/>
    <x v="3"/>
    <d v="2024-05-18T00:00:00"/>
    <n v="0.17333999999999999"/>
    <n v="70110"/>
    <x v="1"/>
    <n v="104094.92359999999"/>
    <s v="pending"/>
    <d v="2024-04-10T00:00:00"/>
    <s v="Variable"/>
    <d v="2024-03-25T00:00:00"/>
    <s v="NO"/>
  </r>
  <r>
    <n v="10111"/>
    <n v="5456"/>
    <x v="1"/>
    <n v="25420.61"/>
    <n v="14"/>
    <x v="0"/>
    <x v="2"/>
    <n v="178231.51"/>
    <x v="1"/>
    <s v="WH-C"/>
    <n v="803"/>
    <d v="2024-04-15T00:00:00"/>
    <n v="2"/>
    <n v="90111"/>
    <x v="0"/>
    <d v="2024-03-01T00:00:00"/>
    <n v="0.67871000000000004"/>
    <n v="70111"/>
    <x v="0"/>
    <n v="94970.924379999997"/>
    <s v="pending"/>
    <d v="2024-06-01T00:00:00"/>
    <s v="Variable"/>
    <d v="2024-03-25T00:00:00"/>
    <s v="YES"/>
  </r>
  <r>
    <n v="10112"/>
    <n v="6486"/>
    <x v="0"/>
    <n v="78772.92"/>
    <n v="57"/>
    <x v="1"/>
    <x v="2"/>
    <n v="14445.16"/>
    <x v="2"/>
    <s v="WH-C"/>
    <n v="535"/>
    <d v="2024-03-10T00:00:00"/>
    <n v="2"/>
    <n v="90112"/>
    <x v="0"/>
    <d v="2024-03-01T00:00:00"/>
    <n v="0.51861000000000002"/>
    <n v="70112"/>
    <x v="2"/>
    <n v="174780.84471"/>
    <s v="pending"/>
    <d v="2024-06-01T00:00:00"/>
    <s v="Variable"/>
    <d v="2024-03-25T00:00:00"/>
    <s v="NO"/>
  </r>
  <r>
    <n v="10113"/>
    <n v="6751"/>
    <x v="1"/>
    <n v="76922.75"/>
    <n v="37"/>
    <x v="0"/>
    <x v="2"/>
    <n v="140747.03"/>
    <x v="1"/>
    <s v="WH-B"/>
    <n v="1437"/>
    <d v="2024-02-10T00:00:00"/>
    <n v="8"/>
    <n v="90113"/>
    <x v="1"/>
    <d v="2024-04-01T00:00:00"/>
    <n v="0.97387999999999997"/>
    <n v="70113"/>
    <x v="2"/>
    <n v="172185.1029"/>
    <s v="pending"/>
    <d v="2024-06-01T00:00:00"/>
    <s v="Fixed"/>
    <d v="2024-04-02T00:00:00"/>
    <s v="YES"/>
  </r>
  <r>
    <n v="10114"/>
    <n v="6276"/>
    <x v="0"/>
    <n v="68954.33"/>
    <n v="58"/>
    <x v="0"/>
    <x v="3"/>
    <n v="104057.08"/>
    <x v="1"/>
    <s v="WH-B"/>
    <n v="1185"/>
    <d v="2024-04-15T00:00:00"/>
    <n v="8"/>
    <n v="90114"/>
    <x v="1"/>
    <d v="2024-03-01T00:00:00"/>
    <n v="0.71067999999999998"/>
    <n v="70114"/>
    <x v="1"/>
    <n v="74106.473629999993"/>
    <s v="pending"/>
    <d v="2024-04-10T00:00:00"/>
    <s v="Variable"/>
    <d v="2024-03-25T00:00:00"/>
    <s v="YES"/>
  </r>
  <r>
    <n v="10115"/>
    <n v="6017"/>
    <x v="0"/>
    <n v="81281.570000000007"/>
    <n v="21"/>
    <x v="1"/>
    <x v="2"/>
    <n v="78200.039999999994"/>
    <x v="1"/>
    <s v="WH-C"/>
    <n v="458"/>
    <d v="2024-04-15T00:00:00"/>
    <n v="2"/>
    <n v="90115"/>
    <x v="0"/>
    <d v="2024-05-18T00:00:00"/>
    <n v="0.10907"/>
    <n v="70115"/>
    <x v="1"/>
    <n v="152819.10019999999"/>
    <s v="Paid"/>
    <d v="2024-06-01T00:00:00"/>
    <s v="Fixed"/>
    <d v="2024-04-02T00:00:00"/>
    <s v="YES"/>
  </r>
  <r>
    <n v="10116"/>
    <n v="6726"/>
    <x v="1"/>
    <n v="94988.23"/>
    <n v="82"/>
    <x v="3"/>
    <x v="3"/>
    <n v="79527.72"/>
    <x v="1"/>
    <s v="WH-B"/>
    <n v="1080"/>
    <d v="2024-03-10T00:00:00"/>
    <n v="13"/>
    <n v="90116"/>
    <x v="3"/>
    <d v="2024-03-01T00:00:00"/>
    <n v="0.53291999999999995"/>
    <n v="70116"/>
    <x v="2"/>
    <n v="88525.703699999998"/>
    <s v="Overdue"/>
    <d v="2024-06-01T00:00:00"/>
    <s v="Variable"/>
    <d v="2024-04-02T00:00:00"/>
    <s v="NO"/>
  </r>
  <r>
    <n v="10117"/>
    <n v="5296"/>
    <x v="1"/>
    <n v="62893.5"/>
    <n v="69"/>
    <x v="2"/>
    <x v="0"/>
    <n v="121795.65"/>
    <x v="1"/>
    <s v="WH-A"/>
    <n v="717"/>
    <d v="2024-03-10T00:00:00"/>
    <n v="14"/>
    <n v="90117"/>
    <x v="1"/>
    <d v="2024-03-01T00:00:00"/>
    <n v="0.47299999999999998"/>
    <n v="70117"/>
    <x v="0"/>
    <n v="118082.959"/>
    <s v="Paid"/>
    <d v="2024-06-01T00:00:00"/>
    <s v="Variable"/>
    <d v="2024-03-25T00:00:00"/>
    <s v="YES"/>
  </r>
  <r>
    <n v="10118"/>
    <n v="6749"/>
    <x v="1"/>
    <n v="45661.39"/>
    <n v="3"/>
    <x v="2"/>
    <x v="1"/>
    <n v="10328.15"/>
    <x v="1"/>
    <s v="WH-B"/>
    <n v="1270"/>
    <d v="2024-04-15T00:00:00"/>
    <n v="6"/>
    <n v="90118"/>
    <x v="3"/>
    <d v="2024-05-18T00:00:00"/>
    <n v="0.19603999999999999"/>
    <n v="70118"/>
    <x v="0"/>
    <n v="166408.65495"/>
    <s v="pending"/>
    <d v="2024-06-01T00:00:00"/>
    <s v="Variable"/>
    <d v="2024-03-25T00:00:00"/>
    <s v="NO"/>
  </r>
  <r>
    <n v="10119"/>
    <n v="5720"/>
    <x v="1"/>
    <n v="10350.92"/>
    <n v="87"/>
    <x v="3"/>
    <x v="1"/>
    <n v="142828.57"/>
    <x v="1"/>
    <s v="WH-B"/>
    <n v="884"/>
    <d v="2024-03-10T00:00:00"/>
    <n v="5"/>
    <n v="90119"/>
    <x v="2"/>
    <d v="2024-04-01T00:00:00"/>
    <n v="0.93089"/>
    <n v="70119"/>
    <x v="0"/>
    <n v="52187.43518"/>
    <s v="pending"/>
    <d v="2024-05-10T00:00:00"/>
    <s v="Variable"/>
    <d v="2024-03-25T00:00:00"/>
    <s v="YES"/>
  </r>
  <r>
    <n v="10120"/>
    <n v="6773"/>
    <x v="1"/>
    <n v="39767.72"/>
    <n v="90"/>
    <x v="1"/>
    <x v="3"/>
    <n v="16556.04"/>
    <x v="1"/>
    <s v="WH-A"/>
    <n v="925"/>
    <d v="2024-02-10T00:00:00"/>
    <n v="3"/>
    <n v="90120"/>
    <x v="1"/>
    <d v="2024-04-01T00:00:00"/>
    <n v="0.82450999999999997"/>
    <n v="70120"/>
    <x v="0"/>
    <n v="178563.06718000001"/>
    <s v="Overdue"/>
    <d v="2024-04-10T00:00:00"/>
    <s v="Variable"/>
    <d v="2024-03-25T00:00:00"/>
    <s v="NO"/>
  </r>
  <r>
    <n v="10121"/>
    <n v="5338"/>
    <x v="1"/>
    <n v="93783.7"/>
    <n v="37"/>
    <x v="3"/>
    <x v="0"/>
    <n v="142095.04999999999"/>
    <x v="1"/>
    <s v="WH-B"/>
    <n v="416"/>
    <d v="2024-03-10T00:00:00"/>
    <n v="5"/>
    <n v="90121"/>
    <x v="2"/>
    <d v="2024-03-01T00:00:00"/>
    <n v="0.30708000000000002"/>
    <n v="70121"/>
    <x v="1"/>
    <n v="65210.88508"/>
    <s v="Paid"/>
    <d v="2024-04-10T00:00:00"/>
    <s v="Variable"/>
    <d v="2024-03-25T00:00:00"/>
    <s v="NO"/>
  </r>
  <r>
    <n v="10122"/>
    <n v="5879"/>
    <x v="1"/>
    <n v="25011.84"/>
    <n v="88"/>
    <x v="0"/>
    <x v="3"/>
    <n v="139804.51"/>
    <x v="0"/>
    <s v="WH-C"/>
    <n v="1051"/>
    <d v="2024-03-10T00:00:00"/>
    <n v="5"/>
    <n v="90122"/>
    <x v="1"/>
    <d v="2024-05-18T00:00:00"/>
    <n v="0.33038000000000001"/>
    <n v="70122"/>
    <x v="2"/>
    <n v="71025.847999999998"/>
    <s v="Overdue"/>
    <d v="2024-06-01T00:00:00"/>
    <s v="Variable"/>
    <d v="2024-04-02T00:00:00"/>
    <s v="YES"/>
  </r>
  <r>
    <n v="10123"/>
    <n v="6077"/>
    <x v="1"/>
    <n v="87841.52"/>
    <n v="49"/>
    <x v="1"/>
    <x v="0"/>
    <n v="72703.22"/>
    <x v="2"/>
    <s v="WH-A"/>
    <n v="299"/>
    <d v="2024-04-15T00:00:00"/>
    <n v="5"/>
    <n v="90123"/>
    <x v="2"/>
    <d v="2024-04-01T00:00:00"/>
    <n v="0.12881999999999999"/>
    <n v="70123"/>
    <x v="1"/>
    <n v="100894.04062"/>
    <s v="Overdue"/>
    <d v="2024-04-10T00:00:00"/>
    <s v="Fixed"/>
    <d v="2024-04-02T00:00:00"/>
    <s v="YES"/>
  </r>
  <r>
    <n v="10124"/>
    <n v="5792"/>
    <x v="1"/>
    <n v="63052.800000000003"/>
    <n v="19"/>
    <x v="1"/>
    <x v="2"/>
    <n v="84275.839999999997"/>
    <x v="0"/>
    <s v="WH-C"/>
    <n v="1313"/>
    <d v="2024-03-10T00:00:00"/>
    <n v="3"/>
    <n v="90124"/>
    <x v="1"/>
    <d v="2024-04-01T00:00:00"/>
    <n v="0.36704999999999999"/>
    <n v="70124"/>
    <x v="0"/>
    <n v="116819.50946"/>
    <s v="Paid"/>
    <d v="2024-04-10T00:00:00"/>
    <s v="Variable"/>
    <d v="2024-04-02T00:00:00"/>
    <s v="YES"/>
  </r>
  <r>
    <n v="10125"/>
    <n v="6946"/>
    <x v="1"/>
    <n v="72368.539999999994"/>
    <n v="89"/>
    <x v="1"/>
    <x v="0"/>
    <n v="88420.41"/>
    <x v="1"/>
    <s v="WH-A"/>
    <n v="429"/>
    <d v="2024-03-10T00:00:00"/>
    <n v="3"/>
    <n v="90125"/>
    <x v="3"/>
    <d v="2024-04-01T00:00:00"/>
    <n v="0.62616000000000005"/>
    <n v="70125"/>
    <x v="0"/>
    <n v="62246.931400000001"/>
    <s v="Overdue"/>
    <d v="2024-05-10T00:00:00"/>
    <s v="Fixed"/>
    <d v="2024-03-25T00:00:00"/>
    <s v="YES"/>
  </r>
  <r>
    <n v="10126"/>
    <n v="5217"/>
    <x v="1"/>
    <n v="92967.74"/>
    <n v="85"/>
    <x v="2"/>
    <x v="0"/>
    <n v="53526.239999999998"/>
    <x v="1"/>
    <s v="WH-C"/>
    <n v="921"/>
    <d v="2024-03-10T00:00:00"/>
    <n v="4"/>
    <n v="90126"/>
    <x v="3"/>
    <d v="2024-03-01T00:00:00"/>
    <n v="0.47876000000000002"/>
    <n v="70126"/>
    <x v="0"/>
    <n v="166613.7126"/>
    <s v="Paid"/>
    <d v="2024-04-10T00:00:00"/>
    <s v="Variable"/>
    <d v="2024-04-02T00:00:00"/>
    <s v="YES"/>
  </r>
  <r>
    <n v="10127"/>
    <n v="5764"/>
    <x v="1"/>
    <n v="56391.72"/>
    <n v="12"/>
    <x v="3"/>
    <x v="0"/>
    <n v="101568.24"/>
    <x v="0"/>
    <s v="WH-C"/>
    <n v="884"/>
    <d v="2024-02-10T00:00:00"/>
    <n v="7"/>
    <n v="90127"/>
    <x v="3"/>
    <d v="2024-05-18T00:00:00"/>
    <n v="0.97233000000000003"/>
    <n v="70127"/>
    <x v="1"/>
    <n v="68695.481599999999"/>
    <s v="Paid"/>
    <d v="2024-05-10T00:00:00"/>
    <s v="Fixed"/>
    <d v="2024-04-02T00:00:00"/>
    <s v="NO"/>
  </r>
  <r>
    <n v="10128"/>
    <n v="5188"/>
    <x v="0"/>
    <n v="68568.929999999993"/>
    <n v="61"/>
    <x v="1"/>
    <x v="1"/>
    <n v="43839.519999999997"/>
    <x v="1"/>
    <s v="WH-B"/>
    <n v="824"/>
    <d v="2024-03-10T00:00:00"/>
    <n v="12"/>
    <n v="90128"/>
    <x v="2"/>
    <d v="2024-03-01T00:00:00"/>
    <n v="0.15046999999999999"/>
    <n v="70128"/>
    <x v="0"/>
    <n v="156539.24919999999"/>
    <s v="pending"/>
    <d v="2024-04-10T00:00:00"/>
    <s v="Variable"/>
    <d v="2024-03-25T00:00:00"/>
    <s v="NO"/>
  </r>
  <r>
    <n v="10129"/>
    <n v="5380"/>
    <x v="1"/>
    <n v="56420.18"/>
    <n v="41"/>
    <x v="1"/>
    <x v="0"/>
    <n v="19954.89"/>
    <x v="2"/>
    <s v="WH-C"/>
    <n v="968"/>
    <d v="2024-02-10T00:00:00"/>
    <n v="12"/>
    <n v="90129"/>
    <x v="3"/>
    <d v="2024-04-01T00:00:00"/>
    <n v="0.63229000000000002"/>
    <n v="70129"/>
    <x v="2"/>
    <n v="72467.263290000003"/>
    <s v="Overdue"/>
    <d v="2024-05-10T00:00:00"/>
    <s v="Fixed"/>
    <d v="2024-03-25T00:00:00"/>
    <s v="NO"/>
  </r>
  <r>
    <n v="10130"/>
    <n v="5493"/>
    <x v="1"/>
    <n v="9323.33"/>
    <n v="33"/>
    <x v="1"/>
    <x v="2"/>
    <n v="15000.05"/>
    <x v="1"/>
    <s v="WH-B"/>
    <n v="504"/>
    <d v="2024-02-10T00:00:00"/>
    <n v="12"/>
    <n v="90130"/>
    <x v="2"/>
    <d v="2024-05-18T00:00:00"/>
    <n v="0.87248000000000003"/>
    <n v="70130"/>
    <x v="0"/>
    <n v="191263.94289999999"/>
    <s v="pending"/>
    <d v="2024-05-10T00:00:00"/>
    <s v="Fixed"/>
    <d v="2024-03-25T00:00:00"/>
    <s v="NO"/>
  </r>
  <r>
    <n v="10131"/>
    <n v="6065"/>
    <x v="1"/>
    <n v="99632.39"/>
    <n v="50"/>
    <x v="3"/>
    <x v="2"/>
    <n v="75542.78"/>
    <x v="2"/>
    <s v="WH-A"/>
    <n v="415"/>
    <d v="2024-02-10T00:00:00"/>
    <n v="14"/>
    <n v="90131"/>
    <x v="1"/>
    <d v="2024-03-01T00:00:00"/>
    <n v="0.53266999999999998"/>
    <n v="70131"/>
    <x v="2"/>
    <n v="118519.03431"/>
    <s v="Overdue"/>
    <d v="2024-04-10T00:00:00"/>
    <s v="Variable"/>
    <d v="2024-04-02T00:00:00"/>
    <s v="NO"/>
  </r>
  <r>
    <n v="10132"/>
    <n v="6181"/>
    <x v="1"/>
    <n v="58624.06"/>
    <n v="68"/>
    <x v="2"/>
    <x v="2"/>
    <n v="104582.04"/>
    <x v="0"/>
    <s v="WH-C"/>
    <n v="1363"/>
    <d v="2024-02-10T00:00:00"/>
    <n v="2"/>
    <n v="90132"/>
    <x v="2"/>
    <d v="2024-04-01T00:00:00"/>
    <n v="0.10267"/>
    <n v="70132"/>
    <x v="2"/>
    <n v="105744.75629999999"/>
    <s v="Overdue"/>
    <d v="2024-05-10T00:00:00"/>
    <s v="Variable"/>
    <d v="2024-03-25T00:00:00"/>
    <s v="YES"/>
  </r>
  <r>
    <n v="10133"/>
    <n v="5015"/>
    <x v="1"/>
    <n v="56817.15"/>
    <n v="71"/>
    <x v="0"/>
    <x v="0"/>
    <n v="28089.08"/>
    <x v="0"/>
    <s v="WH-C"/>
    <n v="452"/>
    <d v="2024-04-15T00:00:00"/>
    <n v="10"/>
    <n v="90133"/>
    <x v="1"/>
    <d v="2024-04-01T00:00:00"/>
    <n v="0.31852000000000003"/>
    <n v="70133"/>
    <x v="0"/>
    <n v="110632.27701999999"/>
    <s v="pending"/>
    <d v="2024-05-10T00:00:00"/>
    <s v="Variable"/>
    <d v="2024-03-25T00:00:00"/>
    <s v="YES"/>
  </r>
  <r>
    <n v="10134"/>
    <n v="6837"/>
    <x v="1"/>
    <n v="45341.4"/>
    <n v="86"/>
    <x v="2"/>
    <x v="3"/>
    <n v="94790.58"/>
    <x v="1"/>
    <s v="WH-A"/>
    <n v="107"/>
    <d v="2024-02-10T00:00:00"/>
    <n v="4"/>
    <n v="90134"/>
    <x v="0"/>
    <d v="2024-03-01T00:00:00"/>
    <n v="0.39139000000000002"/>
    <n v="70134"/>
    <x v="1"/>
    <n v="156378.90590000001"/>
    <s v="pending"/>
    <d v="2024-04-10T00:00:00"/>
    <s v="Variable"/>
    <d v="2024-03-25T00:00:00"/>
    <s v="YES"/>
  </r>
  <r>
    <n v="10135"/>
    <n v="5065"/>
    <x v="1"/>
    <n v="33507.519999999997"/>
    <n v="33"/>
    <x v="1"/>
    <x v="3"/>
    <n v="75868.52"/>
    <x v="2"/>
    <s v="WH-A"/>
    <n v="570"/>
    <d v="2024-03-10T00:00:00"/>
    <n v="4"/>
    <n v="90135"/>
    <x v="0"/>
    <d v="2024-04-01T00:00:00"/>
    <n v="0.96940000000000004"/>
    <n v="70135"/>
    <x v="1"/>
    <n v="127096.18101"/>
    <s v="pending"/>
    <d v="2024-05-10T00:00:00"/>
    <s v="Variable"/>
    <d v="2024-03-25T00:00:00"/>
    <s v="YES"/>
  </r>
  <r>
    <n v="10136"/>
    <n v="6881"/>
    <x v="1"/>
    <n v="39271.449999999997"/>
    <n v="81"/>
    <x v="2"/>
    <x v="2"/>
    <n v="93249.4"/>
    <x v="1"/>
    <s v="WH-C"/>
    <n v="1377"/>
    <d v="2024-02-10T00:00:00"/>
    <n v="1"/>
    <n v="90136"/>
    <x v="0"/>
    <d v="2024-04-01T00:00:00"/>
    <n v="0.92059999999999997"/>
    <n v="70136"/>
    <x v="1"/>
    <n v="191206.0993"/>
    <s v="Paid"/>
    <d v="2024-05-10T00:00:00"/>
    <s v="Fixed"/>
    <d v="2024-04-02T00:00:00"/>
    <s v="NO"/>
  </r>
  <r>
    <n v="10137"/>
    <n v="6863"/>
    <x v="1"/>
    <n v="82911.94"/>
    <n v="24"/>
    <x v="2"/>
    <x v="1"/>
    <n v="46707.27"/>
    <x v="1"/>
    <s v="WH-A"/>
    <n v="1188"/>
    <d v="2024-03-10T00:00:00"/>
    <n v="10"/>
    <n v="90137"/>
    <x v="2"/>
    <d v="2024-05-18T00:00:00"/>
    <n v="0.95425000000000004"/>
    <n v="70137"/>
    <x v="2"/>
    <n v="212319.9449"/>
    <s v="Overdue"/>
    <d v="2024-05-10T00:00:00"/>
    <s v="Variable"/>
    <d v="2024-03-25T00:00:00"/>
    <s v="YES"/>
  </r>
  <r>
    <n v="10138"/>
    <n v="5521"/>
    <x v="0"/>
    <n v="88485.15"/>
    <n v="61"/>
    <x v="0"/>
    <x v="3"/>
    <n v="135167.49"/>
    <x v="1"/>
    <s v="WH-B"/>
    <n v="259"/>
    <d v="2024-02-10T00:00:00"/>
    <n v="8"/>
    <n v="90138"/>
    <x v="0"/>
    <d v="2024-04-01T00:00:00"/>
    <n v="0.84318000000000004"/>
    <n v="70138"/>
    <x v="1"/>
    <n v="176040.98371"/>
    <s v="Paid"/>
    <d v="2024-05-10T00:00:00"/>
    <s v="Fixed"/>
    <d v="2024-04-02T00:00:00"/>
    <s v="YES"/>
  </r>
  <r>
    <n v="10139"/>
    <n v="6368"/>
    <x v="1"/>
    <n v="90447.61"/>
    <n v="61"/>
    <x v="3"/>
    <x v="0"/>
    <n v="106683.97"/>
    <x v="1"/>
    <s v="WH-A"/>
    <n v="1114"/>
    <d v="2024-04-15T00:00:00"/>
    <n v="1"/>
    <n v="90139"/>
    <x v="0"/>
    <d v="2024-03-01T00:00:00"/>
    <n v="0.41648000000000002"/>
    <n v="70139"/>
    <x v="1"/>
    <n v="132371.80416"/>
    <s v="Overdue"/>
    <d v="2024-05-10T00:00:00"/>
    <s v="Variable"/>
    <d v="2024-03-25T00:00:00"/>
    <s v="YES"/>
  </r>
  <r>
    <n v="10140"/>
    <n v="6153"/>
    <x v="1"/>
    <n v="83194.94"/>
    <n v="98"/>
    <x v="3"/>
    <x v="3"/>
    <n v="66704.490000000005"/>
    <x v="1"/>
    <s v="WH-A"/>
    <n v="865"/>
    <d v="2024-02-10T00:00:00"/>
    <n v="8"/>
    <n v="90140"/>
    <x v="0"/>
    <d v="2024-05-18T00:00:00"/>
    <n v="0.91529000000000005"/>
    <n v="70140"/>
    <x v="0"/>
    <n v="60927.02405"/>
    <s v="Overdue"/>
    <d v="2024-06-01T00:00:00"/>
    <s v="Variable"/>
    <d v="2024-03-25T00:00:00"/>
    <s v="NO"/>
  </r>
  <r>
    <n v="10141"/>
    <n v="5648"/>
    <x v="1"/>
    <n v="39363.46"/>
    <n v="28"/>
    <x v="2"/>
    <x v="2"/>
    <n v="134403.37"/>
    <x v="1"/>
    <s v="WH-C"/>
    <n v="222"/>
    <d v="2024-02-10T00:00:00"/>
    <n v="7"/>
    <n v="90141"/>
    <x v="1"/>
    <d v="2024-03-01T00:00:00"/>
    <n v="0.98351999999999995"/>
    <n v="70141"/>
    <x v="0"/>
    <n v="116862.68859999999"/>
    <s v="Paid"/>
    <d v="2024-05-10T00:00:00"/>
    <s v="Fixed"/>
    <d v="2024-03-25T00:00:00"/>
    <s v="YES"/>
  </r>
  <r>
    <n v="10142"/>
    <n v="6496"/>
    <x v="1"/>
    <n v="86814.93"/>
    <n v="58"/>
    <x v="2"/>
    <x v="1"/>
    <n v="117866.49"/>
    <x v="1"/>
    <s v="WH-B"/>
    <n v="283"/>
    <d v="2024-04-15T00:00:00"/>
    <n v="9"/>
    <n v="90142"/>
    <x v="3"/>
    <d v="2024-04-01T00:00:00"/>
    <n v="0.41505999999999998"/>
    <n v="70142"/>
    <x v="2"/>
    <n v="81242.620110000003"/>
    <s v="Paid"/>
    <d v="2024-05-10T00:00:00"/>
    <s v="Fixed"/>
    <d v="2024-03-25T00:00:00"/>
    <s v="YES"/>
  </r>
  <r>
    <n v="10143"/>
    <n v="6087"/>
    <x v="0"/>
    <n v="34557.269999999997"/>
    <n v="43"/>
    <x v="3"/>
    <x v="3"/>
    <n v="59580.18"/>
    <x v="2"/>
    <s v="WH-A"/>
    <n v="842"/>
    <d v="2024-02-10T00:00:00"/>
    <n v="8"/>
    <n v="90143"/>
    <x v="2"/>
    <d v="2024-05-18T00:00:00"/>
    <n v="0.33450000000000002"/>
    <n v="70143"/>
    <x v="1"/>
    <n v="191207.37356000001"/>
    <s v="Overdue"/>
    <d v="2024-05-10T00:00:00"/>
    <s v="Variable"/>
    <d v="2024-03-25T00:00:00"/>
    <s v="YES"/>
  </r>
  <r>
    <n v="10144"/>
    <n v="6163"/>
    <x v="1"/>
    <n v="18577.36"/>
    <n v="41"/>
    <x v="3"/>
    <x v="3"/>
    <n v="134101.65"/>
    <x v="0"/>
    <s v="WH-B"/>
    <n v="842"/>
    <d v="2024-03-10T00:00:00"/>
    <n v="5"/>
    <n v="90144"/>
    <x v="0"/>
    <d v="2024-05-18T00:00:00"/>
    <n v="0.59221999999999997"/>
    <n v="70144"/>
    <x v="1"/>
    <n v="166474.86611999999"/>
    <s v="pending"/>
    <d v="2024-05-10T00:00:00"/>
    <s v="Variable"/>
    <d v="2024-04-02T00:00:00"/>
    <s v="NO"/>
  </r>
  <r>
    <n v="10145"/>
    <n v="6523"/>
    <x v="0"/>
    <n v="31968.38"/>
    <n v="39"/>
    <x v="0"/>
    <x v="2"/>
    <n v="129436.98"/>
    <x v="0"/>
    <s v="WH-B"/>
    <n v="1476"/>
    <d v="2024-02-10T00:00:00"/>
    <n v="8"/>
    <n v="90145"/>
    <x v="1"/>
    <d v="2024-05-18T00:00:00"/>
    <n v="0.26844000000000001"/>
    <n v="70145"/>
    <x v="1"/>
    <n v="178160.19162"/>
    <s v="pending"/>
    <d v="2024-04-10T00:00:00"/>
    <s v="Fixed"/>
    <d v="2024-03-25T00:00:00"/>
    <s v="YES"/>
  </r>
  <r>
    <n v="10146"/>
    <n v="5593"/>
    <x v="1"/>
    <n v="85271.55"/>
    <n v="86"/>
    <x v="1"/>
    <x v="1"/>
    <n v="110620.85"/>
    <x v="1"/>
    <s v="WH-B"/>
    <n v="1112"/>
    <d v="2024-02-10T00:00:00"/>
    <n v="14"/>
    <n v="90146"/>
    <x v="3"/>
    <d v="2024-05-18T00:00:00"/>
    <n v="0.12936"/>
    <n v="70146"/>
    <x v="1"/>
    <n v="122101.9192"/>
    <s v="pending"/>
    <d v="2024-06-01T00:00:00"/>
    <s v="Variable"/>
    <d v="2024-03-25T00:00:00"/>
    <s v="YES"/>
  </r>
  <r>
    <n v="10147"/>
    <n v="5392"/>
    <x v="1"/>
    <n v="56951.59"/>
    <n v="49"/>
    <x v="2"/>
    <x v="1"/>
    <n v="51351.03"/>
    <x v="1"/>
    <s v="WH-C"/>
    <n v="168"/>
    <d v="2024-02-10T00:00:00"/>
    <n v="11"/>
    <n v="90147"/>
    <x v="3"/>
    <d v="2024-03-01T00:00:00"/>
    <n v="0.95125000000000004"/>
    <n v="70147"/>
    <x v="0"/>
    <n v="160763.81959999999"/>
    <s v="pending"/>
    <d v="2024-04-10T00:00:00"/>
    <s v="Variable"/>
    <d v="2024-03-25T00:00:00"/>
    <s v="NO"/>
  </r>
  <r>
    <n v="10148"/>
    <n v="6699"/>
    <x v="1"/>
    <n v="70479.789999999994"/>
    <n v="17"/>
    <x v="3"/>
    <x v="2"/>
    <n v="73987.509999999995"/>
    <x v="1"/>
    <s v="WH-A"/>
    <n v="384"/>
    <d v="2024-04-15T00:00:00"/>
    <n v="10"/>
    <n v="90148"/>
    <x v="3"/>
    <d v="2024-04-01T00:00:00"/>
    <n v="0.93317000000000005"/>
    <n v="70148"/>
    <x v="2"/>
    <n v="218262.44349999999"/>
    <s v="Overdue"/>
    <d v="2024-06-01T00:00:00"/>
    <s v="Fixed"/>
    <d v="2024-03-25T00:00:00"/>
    <s v="YES"/>
  </r>
  <r>
    <n v="10149"/>
    <n v="5419"/>
    <x v="1"/>
    <n v="86012.94"/>
    <n v="98"/>
    <x v="2"/>
    <x v="0"/>
    <n v="61545.88"/>
    <x v="1"/>
    <s v="WH-C"/>
    <n v="1409"/>
    <d v="2024-02-10T00:00:00"/>
    <n v="12"/>
    <n v="90149"/>
    <x v="1"/>
    <d v="2024-04-01T00:00:00"/>
    <n v="0.24639"/>
    <n v="70149"/>
    <x v="1"/>
    <n v="215649.7714"/>
    <s v="pending"/>
    <d v="2024-05-10T00:00:00"/>
    <s v="Fixed"/>
    <d v="2024-04-02T00:00:00"/>
    <s v="NO"/>
  </r>
  <r>
    <n v="10150"/>
    <n v="5289"/>
    <x v="1"/>
    <n v="62229.120000000003"/>
    <n v="70"/>
    <x v="2"/>
    <x v="3"/>
    <n v="121706.49"/>
    <x v="0"/>
    <s v="WH-A"/>
    <n v="1147"/>
    <d v="2024-02-10T00:00:00"/>
    <n v="12"/>
    <n v="90150"/>
    <x v="0"/>
    <d v="2024-05-18T00:00:00"/>
    <n v="0.46697"/>
    <n v="70150"/>
    <x v="1"/>
    <n v="91895.799100000004"/>
    <s v="pending"/>
    <d v="2024-05-10T00:00:00"/>
    <s v="Fixed"/>
    <d v="2024-03-25T00:00:00"/>
    <s v="YES"/>
  </r>
  <r>
    <n v="10151"/>
    <n v="5379"/>
    <x v="1"/>
    <n v="70503.81"/>
    <n v="70"/>
    <x v="3"/>
    <x v="0"/>
    <n v="38256.36"/>
    <x v="1"/>
    <s v="WH-A"/>
    <n v="1264"/>
    <d v="2024-03-10T00:00:00"/>
    <n v="3"/>
    <n v="90151"/>
    <x v="3"/>
    <d v="2024-04-01T00:00:00"/>
    <n v="0.84792999999999996"/>
    <n v="70151"/>
    <x v="1"/>
    <n v="76134.3413"/>
    <s v="pending"/>
    <d v="2024-06-01T00:00:00"/>
    <s v="Variable"/>
    <d v="2024-03-25T00:00:00"/>
    <s v="NO"/>
  </r>
  <r>
    <n v="10152"/>
    <n v="6797"/>
    <x v="1"/>
    <n v="24507.81"/>
    <n v="98"/>
    <x v="0"/>
    <x v="3"/>
    <n v="46254.48"/>
    <x v="2"/>
    <s v="WH-C"/>
    <n v="373"/>
    <d v="2024-02-10T00:00:00"/>
    <n v="10"/>
    <n v="90152"/>
    <x v="1"/>
    <d v="2024-03-01T00:00:00"/>
    <n v="0.69489999999999996"/>
    <n v="70152"/>
    <x v="2"/>
    <n v="124260.56299999999"/>
    <s v="Overdue"/>
    <d v="2024-06-01T00:00:00"/>
    <s v="Fixed"/>
    <d v="2024-03-25T00:00:00"/>
    <s v="NO"/>
  </r>
  <r>
    <n v="10153"/>
    <n v="6514"/>
    <x v="1"/>
    <n v="65767.570000000007"/>
    <n v="65"/>
    <x v="2"/>
    <x v="3"/>
    <n v="96626.96"/>
    <x v="1"/>
    <s v="WH-B"/>
    <n v="1060"/>
    <d v="2024-02-10T00:00:00"/>
    <n v="7"/>
    <n v="90153"/>
    <x v="1"/>
    <d v="2024-04-01T00:00:00"/>
    <n v="0.45530999999999999"/>
    <n v="70153"/>
    <x v="2"/>
    <n v="119004.21334"/>
    <s v="Paid"/>
    <d v="2024-04-10T00:00:00"/>
    <s v="Fixed"/>
    <d v="2024-03-25T00:00:00"/>
    <s v="NO"/>
  </r>
  <r>
    <n v="10154"/>
    <n v="5231"/>
    <x v="1"/>
    <n v="50968.18"/>
    <n v="74"/>
    <x v="0"/>
    <x v="0"/>
    <n v="62300.93"/>
    <x v="0"/>
    <s v="WH-B"/>
    <n v="1220"/>
    <d v="2024-02-10T00:00:00"/>
    <n v="12"/>
    <n v="90154"/>
    <x v="2"/>
    <d v="2024-03-01T00:00:00"/>
    <n v="0.76975000000000005"/>
    <n v="70154"/>
    <x v="0"/>
    <n v="194161.62940000001"/>
    <s v="pending"/>
    <d v="2024-06-01T00:00:00"/>
    <s v="Variable"/>
    <d v="2024-04-02T00:00:00"/>
    <s v="YES"/>
  </r>
  <r>
    <n v="10155"/>
    <n v="6018"/>
    <x v="0"/>
    <n v="30454.07"/>
    <n v="85"/>
    <x v="3"/>
    <x v="2"/>
    <n v="54999.33"/>
    <x v="1"/>
    <s v="WH-A"/>
    <n v="333"/>
    <d v="2024-02-10T00:00:00"/>
    <n v="4"/>
    <n v="90155"/>
    <x v="1"/>
    <d v="2024-03-01T00:00:00"/>
    <n v="0.90734000000000004"/>
    <n v="70155"/>
    <x v="2"/>
    <n v="78346.470140000005"/>
    <s v="Overdue"/>
    <d v="2024-05-10T00:00:00"/>
    <s v="Fixed"/>
    <d v="2024-04-02T00:00:00"/>
    <s v="NO"/>
  </r>
  <r>
    <n v="10156"/>
    <n v="5041"/>
    <x v="0"/>
    <n v="21414.7"/>
    <n v="5"/>
    <x v="1"/>
    <x v="2"/>
    <n v="22711.69"/>
    <x v="0"/>
    <s v="WH-C"/>
    <n v="262"/>
    <d v="2024-03-10T00:00:00"/>
    <n v="5"/>
    <n v="90156"/>
    <x v="3"/>
    <d v="2024-04-01T00:00:00"/>
    <n v="0.93354000000000004"/>
    <n v="70156"/>
    <x v="0"/>
    <n v="148152.63935000001"/>
    <s v="Overdue"/>
    <d v="2024-04-10T00:00:00"/>
    <s v="Variable"/>
    <d v="2024-04-02T00:00:00"/>
    <s v="YES"/>
  </r>
  <r>
    <n v="10157"/>
    <n v="6052"/>
    <x v="1"/>
    <n v="45338.3"/>
    <n v="2"/>
    <x v="1"/>
    <x v="3"/>
    <n v="96846.71"/>
    <x v="1"/>
    <s v="WH-B"/>
    <n v="978"/>
    <d v="2024-03-10T00:00:00"/>
    <n v="9"/>
    <n v="90157"/>
    <x v="3"/>
    <d v="2024-03-01T00:00:00"/>
    <n v="0.44096000000000002"/>
    <n v="70157"/>
    <x v="0"/>
    <n v="198124.15401999999"/>
    <s v="pending"/>
    <d v="2024-06-01T00:00:00"/>
    <s v="Variable"/>
    <d v="2024-04-02T00:00:00"/>
    <s v="NO"/>
  </r>
  <r>
    <n v="10158"/>
    <n v="5135"/>
    <x v="1"/>
    <n v="35250.480000000003"/>
    <n v="22"/>
    <x v="2"/>
    <x v="2"/>
    <n v="14184.66"/>
    <x v="2"/>
    <s v="WH-B"/>
    <n v="801"/>
    <d v="2024-04-15T00:00:00"/>
    <n v="7"/>
    <n v="90158"/>
    <x v="1"/>
    <d v="2024-03-01T00:00:00"/>
    <n v="0.25619999999999998"/>
    <n v="70158"/>
    <x v="2"/>
    <n v="162047.49950000001"/>
    <s v="Paid"/>
    <d v="2024-06-01T00:00:00"/>
    <s v="Variable"/>
    <d v="2024-03-25T00:00:00"/>
    <s v="NO"/>
  </r>
  <r>
    <n v="10159"/>
    <n v="5201"/>
    <x v="1"/>
    <n v="12600.8"/>
    <n v="57"/>
    <x v="3"/>
    <x v="3"/>
    <n v="139007.18"/>
    <x v="1"/>
    <s v="WH-A"/>
    <n v="1467"/>
    <d v="2024-02-10T00:00:00"/>
    <n v="4"/>
    <n v="90159"/>
    <x v="3"/>
    <d v="2024-03-01T00:00:00"/>
    <n v="0.92154999999999998"/>
    <n v="70159"/>
    <x v="2"/>
    <n v="162998.24846999999"/>
    <s v="Paid"/>
    <d v="2024-04-10T00:00:00"/>
    <s v="Fixed"/>
    <d v="2024-03-25T00:00:00"/>
    <s v="YES"/>
  </r>
  <r>
    <n v="10160"/>
    <n v="6864"/>
    <x v="0"/>
    <n v="67360.37"/>
    <n v="66"/>
    <x v="0"/>
    <x v="2"/>
    <n v="133837.97"/>
    <x v="2"/>
    <s v="WH-A"/>
    <n v="388"/>
    <d v="2024-04-15T00:00:00"/>
    <n v="6"/>
    <n v="90160"/>
    <x v="1"/>
    <d v="2024-03-01T00:00:00"/>
    <n v="0.18329999999999999"/>
    <n v="70160"/>
    <x v="2"/>
    <n v="175756.33413"/>
    <s v="Paid"/>
    <d v="2024-06-01T00:00:00"/>
    <s v="Variable"/>
    <d v="2024-03-25T00:00:00"/>
    <s v="YES"/>
  </r>
  <r>
    <n v="10161"/>
    <n v="5780"/>
    <x v="1"/>
    <n v="31571.59"/>
    <n v="74"/>
    <x v="2"/>
    <x v="3"/>
    <n v="27486.45"/>
    <x v="2"/>
    <s v="WH-C"/>
    <n v="1095"/>
    <d v="2024-04-15T00:00:00"/>
    <n v="10"/>
    <n v="90161"/>
    <x v="3"/>
    <d v="2024-05-18T00:00:00"/>
    <n v="0.74951999999999996"/>
    <n v="70161"/>
    <x v="2"/>
    <n v="61835.252"/>
    <s v="Overdue"/>
    <d v="2024-05-10T00:00:00"/>
    <s v="Fixed"/>
    <d v="2024-04-02T00:00:00"/>
    <s v="YES"/>
  </r>
  <r>
    <n v="10162"/>
    <n v="5930"/>
    <x v="0"/>
    <n v="46888.42"/>
    <n v="98"/>
    <x v="3"/>
    <x v="2"/>
    <n v="78272.87"/>
    <x v="1"/>
    <s v="WH-A"/>
    <n v="154"/>
    <d v="2024-02-10T00:00:00"/>
    <n v="14"/>
    <n v="90162"/>
    <x v="2"/>
    <d v="2024-04-01T00:00:00"/>
    <n v="0.22645000000000001"/>
    <n v="70162"/>
    <x v="2"/>
    <n v="86039.747900000002"/>
    <s v="pending"/>
    <d v="2024-04-10T00:00:00"/>
    <s v="Variable"/>
    <d v="2024-03-25T00:00:00"/>
    <s v="YES"/>
  </r>
  <r>
    <n v="10163"/>
    <n v="6057"/>
    <x v="1"/>
    <n v="71263.33"/>
    <n v="16"/>
    <x v="3"/>
    <x v="1"/>
    <n v="65404.59"/>
    <x v="2"/>
    <s v="WH-B"/>
    <n v="819"/>
    <d v="2024-03-10T00:00:00"/>
    <n v="11"/>
    <n v="90163"/>
    <x v="0"/>
    <d v="2024-05-18T00:00:00"/>
    <n v="0.45045000000000002"/>
    <n v="70163"/>
    <x v="0"/>
    <n v="148212.51579999999"/>
    <s v="pending"/>
    <d v="2024-06-01T00:00:00"/>
    <s v="Variable"/>
    <d v="2024-03-25T00:00:00"/>
    <s v="YES"/>
  </r>
  <r>
    <n v="10164"/>
    <n v="6072"/>
    <x v="1"/>
    <n v="45696.44"/>
    <n v="51"/>
    <x v="0"/>
    <x v="0"/>
    <n v="92167.54"/>
    <x v="1"/>
    <s v="WH-B"/>
    <n v="765"/>
    <d v="2024-03-10T00:00:00"/>
    <n v="7"/>
    <n v="90164"/>
    <x v="2"/>
    <d v="2024-03-01T00:00:00"/>
    <n v="0.47039999999999998"/>
    <n v="70164"/>
    <x v="1"/>
    <n v="73856.680399999997"/>
    <s v="Overdue"/>
    <d v="2024-05-10T00:00:00"/>
    <s v="Fixed"/>
    <d v="2024-03-25T00:00:00"/>
    <s v="YES"/>
  </r>
  <r>
    <n v="10165"/>
    <n v="5503"/>
    <x v="0"/>
    <n v="22307.03"/>
    <n v="39"/>
    <x v="2"/>
    <x v="1"/>
    <n v="54928.91"/>
    <x v="1"/>
    <s v="WH-B"/>
    <n v="812"/>
    <d v="2024-02-10T00:00:00"/>
    <n v="13"/>
    <n v="90165"/>
    <x v="2"/>
    <d v="2024-04-01T00:00:00"/>
    <n v="0.24288000000000001"/>
    <n v="70165"/>
    <x v="1"/>
    <n v="96482.715500000006"/>
    <s v="pending"/>
    <d v="2024-06-01T00:00:00"/>
    <s v="Variable"/>
    <d v="2024-04-02T00:00:00"/>
    <s v="NO"/>
  </r>
  <r>
    <n v="10166"/>
    <n v="5407"/>
    <x v="1"/>
    <n v="63438.34"/>
    <n v="86"/>
    <x v="3"/>
    <x v="0"/>
    <n v="114620.89"/>
    <x v="1"/>
    <s v="WH-B"/>
    <n v="1294"/>
    <d v="2024-02-10T00:00:00"/>
    <n v="10"/>
    <n v="90166"/>
    <x v="0"/>
    <d v="2024-03-01T00:00:00"/>
    <n v="0.93040999999999996"/>
    <n v="70166"/>
    <x v="1"/>
    <n v="104701.12136"/>
    <s v="pending"/>
    <d v="2024-04-10T00:00:00"/>
    <s v="Fixed"/>
    <d v="2024-04-02T00:00:00"/>
    <s v="YES"/>
  </r>
  <r>
    <n v="10167"/>
    <n v="6598"/>
    <x v="1"/>
    <n v="43704.92"/>
    <n v="76"/>
    <x v="3"/>
    <x v="0"/>
    <n v="139460.07"/>
    <x v="2"/>
    <s v="WH-C"/>
    <n v="428"/>
    <d v="2024-03-10T00:00:00"/>
    <n v="13"/>
    <n v="90167"/>
    <x v="3"/>
    <d v="2024-04-01T00:00:00"/>
    <n v="0.1024"/>
    <n v="70167"/>
    <x v="0"/>
    <n v="83029.268670000005"/>
    <s v="Paid"/>
    <d v="2024-06-01T00:00:00"/>
    <s v="Variable"/>
    <d v="2024-03-25T00:00:00"/>
    <s v="YES"/>
  </r>
  <r>
    <n v="10168"/>
    <n v="6752"/>
    <x v="1"/>
    <n v="45844.05"/>
    <n v="88"/>
    <x v="3"/>
    <x v="3"/>
    <n v="65208.27"/>
    <x v="2"/>
    <s v="WH-C"/>
    <n v="1295"/>
    <d v="2024-02-10T00:00:00"/>
    <n v="9"/>
    <n v="90168"/>
    <x v="0"/>
    <d v="2024-05-18T00:00:00"/>
    <n v="0.90442999999999996"/>
    <n v="70168"/>
    <x v="0"/>
    <n v="99357.821800000005"/>
    <s v="pending"/>
    <d v="2024-06-01T00:00:00"/>
    <s v="Variable"/>
    <d v="2024-03-25T00:00:00"/>
    <s v="YES"/>
  </r>
  <r>
    <n v="10169"/>
    <n v="5805"/>
    <x v="1"/>
    <n v="57080.7"/>
    <n v="40"/>
    <x v="0"/>
    <x v="0"/>
    <n v="91333.440000000002"/>
    <x v="1"/>
    <s v="WH-A"/>
    <n v="1331"/>
    <d v="2024-02-10T00:00:00"/>
    <n v="4"/>
    <n v="90169"/>
    <x v="1"/>
    <d v="2024-04-01T00:00:00"/>
    <n v="0.89544999999999997"/>
    <n v="70169"/>
    <x v="1"/>
    <n v="194138.95963999999"/>
    <s v="pending"/>
    <d v="2024-06-01T00:00:00"/>
    <s v="Variable"/>
    <d v="2024-04-02T00:00:00"/>
    <s v="YES"/>
  </r>
  <r>
    <n v="10170"/>
    <n v="5099"/>
    <x v="0"/>
    <n v="89246.26"/>
    <n v="38"/>
    <x v="2"/>
    <x v="1"/>
    <n v="161561.89000000001"/>
    <x v="1"/>
    <s v="WH-A"/>
    <n v="762"/>
    <d v="2024-02-10T00:00:00"/>
    <n v="10"/>
    <n v="90170"/>
    <x v="0"/>
    <d v="2024-03-01T00:00:00"/>
    <n v="0.38527"/>
    <n v="70170"/>
    <x v="2"/>
    <n v="55254.901700000002"/>
    <s v="Overdue"/>
    <d v="2024-05-10T00:00:00"/>
    <s v="Fixed"/>
    <d v="2024-03-25T00:00:00"/>
    <s v="NO"/>
  </r>
  <r>
    <n v="10171"/>
    <n v="5684"/>
    <x v="1"/>
    <n v="20679.79"/>
    <n v="60"/>
    <x v="2"/>
    <x v="1"/>
    <n v="141045.16"/>
    <x v="2"/>
    <s v="WH-A"/>
    <n v="1440"/>
    <d v="2024-03-10T00:00:00"/>
    <n v="3"/>
    <n v="90171"/>
    <x v="2"/>
    <d v="2024-04-01T00:00:00"/>
    <n v="0.73385999999999996"/>
    <n v="70171"/>
    <x v="0"/>
    <n v="103075.48360000001"/>
    <s v="Overdue"/>
    <d v="2024-05-10T00:00:00"/>
    <s v="Variable"/>
    <d v="2024-04-02T00:00:00"/>
    <s v="NO"/>
  </r>
  <r>
    <n v="10172"/>
    <n v="6896"/>
    <x v="1"/>
    <n v="79220.539999999994"/>
    <n v="59"/>
    <x v="2"/>
    <x v="2"/>
    <n v="99759.87"/>
    <x v="2"/>
    <s v="WH-C"/>
    <n v="1422"/>
    <d v="2024-04-15T00:00:00"/>
    <n v="8"/>
    <n v="90172"/>
    <x v="0"/>
    <d v="2024-04-01T00:00:00"/>
    <n v="0.32752999999999999"/>
    <n v="70172"/>
    <x v="1"/>
    <n v="193119.28700000001"/>
    <s v="Paid"/>
    <d v="2024-06-01T00:00:00"/>
    <s v="Variable"/>
    <d v="2024-03-25T00:00:00"/>
    <s v="YES"/>
  </r>
  <r>
    <n v="10173"/>
    <n v="5726"/>
    <x v="1"/>
    <n v="48332.18"/>
    <n v="10"/>
    <x v="2"/>
    <x v="1"/>
    <n v="84773.15"/>
    <x v="0"/>
    <s v="WH-B"/>
    <n v="274"/>
    <d v="2024-04-15T00:00:00"/>
    <n v="1"/>
    <n v="90173"/>
    <x v="3"/>
    <d v="2024-05-18T00:00:00"/>
    <n v="0.78290000000000004"/>
    <n v="70173"/>
    <x v="2"/>
    <n v="144900.9785"/>
    <s v="Overdue"/>
    <d v="2024-06-01T00:00:00"/>
    <s v="Fixed"/>
    <d v="2024-03-25T00:00:00"/>
    <s v="YES"/>
  </r>
  <r>
    <n v="10174"/>
    <n v="6571"/>
    <x v="1"/>
    <n v="68441.61"/>
    <n v="99"/>
    <x v="1"/>
    <x v="2"/>
    <n v="65546.33"/>
    <x v="1"/>
    <s v="WH-A"/>
    <n v="787"/>
    <d v="2024-02-10T00:00:00"/>
    <n v="9"/>
    <n v="90174"/>
    <x v="2"/>
    <d v="2024-03-01T00:00:00"/>
    <n v="0.60501000000000005"/>
    <n v="70174"/>
    <x v="0"/>
    <n v="143109.83480000001"/>
    <s v="Paid"/>
    <d v="2024-04-10T00:00:00"/>
    <s v="Variable"/>
    <d v="2024-04-02T00:00:00"/>
    <s v="NO"/>
  </r>
  <r>
    <n v="10175"/>
    <n v="5961"/>
    <x v="1"/>
    <n v="68977.53"/>
    <n v="64"/>
    <x v="1"/>
    <x v="0"/>
    <n v="129151.48"/>
    <x v="1"/>
    <s v="WH-B"/>
    <n v="285"/>
    <d v="2024-03-10T00:00:00"/>
    <n v="13"/>
    <n v="90175"/>
    <x v="1"/>
    <d v="2024-04-01T00:00:00"/>
    <n v="0.37019999999999997"/>
    <n v="70175"/>
    <x v="2"/>
    <n v="149679.29199999999"/>
    <s v="Paid"/>
    <d v="2024-06-01T00:00:00"/>
    <s v="Variable"/>
    <d v="2024-03-25T00:00:00"/>
    <s v="YES"/>
  </r>
  <r>
    <n v="10176"/>
    <n v="6763"/>
    <x v="1"/>
    <n v="17721.400000000001"/>
    <n v="63"/>
    <x v="2"/>
    <x v="1"/>
    <n v="84458.43"/>
    <x v="1"/>
    <s v="WH-A"/>
    <n v="232"/>
    <d v="2024-02-10T00:00:00"/>
    <n v="1"/>
    <n v="90176"/>
    <x v="3"/>
    <d v="2024-05-18T00:00:00"/>
    <n v="0.46021000000000001"/>
    <n v="70176"/>
    <x v="1"/>
    <n v="64034.060899999997"/>
    <s v="pending"/>
    <d v="2024-04-10T00:00:00"/>
    <s v="Variable"/>
    <d v="2024-03-25T00:00:00"/>
    <s v="YES"/>
  </r>
  <r>
    <n v="10177"/>
    <n v="5613"/>
    <x v="1"/>
    <n v="40838.06"/>
    <n v="49"/>
    <x v="0"/>
    <x v="0"/>
    <n v="64727.87"/>
    <x v="1"/>
    <s v="WH-A"/>
    <n v="761"/>
    <d v="2024-03-10T00:00:00"/>
    <n v="2"/>
    <n v="90177"/>
    <x v="2"/>
    <d v="2024-04-01T00:00:00"/>
    <n v="0.72089999999999999"/>
    <n v="70177"/>
    <x v="2"/>
    <n v="139474.0276"/>
    <s v="Paid"/>
    <d v="2024-05-10T00:00:00"/>
    <s v="Variable"/>
    <d v="2024-03-25T00:00:00"/>
    <s v="YES"/>
  </r>
  <r>
    <n v="10178"/>
    <n v="6967"/>
    <x v="0"/>
    <n v="72202.740000000005"/>
    <n v="64"/>
    <x v="1"/>
    <x v="1"/>
    <n v="108302.95"/>
    <x v="1"/>
    <s v="WH-A"/>
    <n v="493"/>
    <d v="2024-02-10T00:00:00"/>
    <n v="13"/>
    <n v="90178"/>
    <x v="1"/>
    <d v="2024-03-01T00:00:00"/>
    <n v="0.91549000000000003"/>
    <n v="70178"/>
    <x v="0"/>
    <n v="58967.771639999999"/>
    <s v="pending"/>
    <d v="2024-06-01T00:00:00"/>
    <s v="Variable"/>
    <d v="2024-03-25T00:00:00"/>
    <s v="YES"/>
  </r>
  <r>
    <n v="10179"/>
    <n v="6486"/>
    <x v="0"/>
    <n v="41541.589999999997"/>
    <n v="32"/>
    <x v="3"/>
    <x v="1"/>
    <n v="97384.46"/>
    <x v="0"/>
    <s v="WH-A"/>
    <n v="672"/>
    <d v="2024-03-10T00:00:00"/>
    <n v="8"/>
    <n v="90179"/>
    <x v="3"/>
    <d v="2024-04-01T00:00:00"/>
    <n v="0.21765000000000001"/>
    <n v="70179"/>
    <x v="0"/>
    <n v="114172.83755"/>
    <s v="Paid"/>
    <d v="2024-04-10T00:00:00"/>
    <s v="Variable"/>
    <d v="2024-03-25T00:00:00"/>
    <s v="NO"/>
  </r>
  <r>
    <n v="10180"/>
    <n v="5643"/>
    <x v="1"/>
    <n v="99826.66"/>
    <n v="7"/>
    <x v="1"/>
    <x v="2"/>
    <n v="133246.69"/>
    <x v="1"/>
    <s v="WH-A"/>
    <n v="1079"/>
    <d v="2024-03-10T00:00:00"/>
    <n v="9"/>
    <n v="90180"/>
    <x v="1"/>
    <d v="2024-04-01T00:00:00"/>
    <n v="0.61423000000000005"/>
    <n v="70180"/>
    <x v="1"/>
    <n v="74823.715500000006"/>
    <s v="Overdue"/>
    <d v="2024-05-10T00:00:00"/>
    <s v="Variable"/>
    <d v="2024-03-25T00:00:00"/>
    <s v="YES"/>
  </r>
  <r>
    <n v="10181"/>
    <n v="6793"/>
    <x v="1"/>
    <n v="70273.509999999995"/>
    <n v="21"/>
    <x v="3"/>
    <x v="0"/>
    <n v="84777.47"/>
    <x v="2"/>
    <s v="WH-B"/>
    <n v="1309"/>
    <d v="2024-04-15T00:00:00"/>
    <n v="7"/>
    <n v="90181"/>
    <x v="0"/>
    <d v="2024-04-01T00:00:00"/>
    <n v="0.32835999999999999"/>
    <n v="70181"/>
    <x v="1"/>
    <n v="62165.830099999999"/>
    <s v="Overdue"/>
    <d v="2024-04-10T00:00:00"/>
    <s v="Variable"/>
    <d v="2024-03-25T00:00:00"/>
    <s v="NO"/>
  </r>
  <r>
    <n v="10182"/>
    <n v="6029"/>
    <x v="0"/>
    <n v="10178.51"/>
    <n v="20"/>
    <x v="2"/>
    <x v="1"/>
    <n v="59815.5"/>
    <x v="0"/>
    <s v="WH-A"/>
    <n v="1200"/>
    <d v="2024-02-10T00:00:00"/>
    <n v="3"/>
    <n v="90182"/>
    <x v="0"/>
    <d v="2024-04-01T00:00:00"/>
    <n v="0.82123999999999997"/>
    <n v="70182"/>
    <x v="1"/>
    <n v="148029.47299000001"/>
    <s v="Overdue"/>
    <d v="2024-05-10T00:00:00"/>
    <s v="Fixed"/>
    <d v="2024-03-25T00:00:00"/>
    <s v="NO"/>
  </r>
  <r>
    <n v="10183"/>
    <n v="6242"/>
    <x v="1"/>
    <n v="8611.19"/>
    <n v="26"/>
    <x v="1"/>
    <x v="3"/>
    <n v="120099.41"/>
    <x v="1"/>
    <s v="WH-B"/>
    <n v="1177"/>
    <d v="2024-04-15T00:00:00"/>
    <n v="7"/>
    <n v="90183"/>
    <x v="1"/>
    <d v="2024-03-01T00:00:00"/>
    <n v="0.16320999999999999"/>
    <n v="70183"/>
    <x v="2"/>
    <n v="116092.67857"/>
    <s v="Paid"/>
    <d v="2024-06-01T00:00:00"/>
    <s v="Variable"/>
    <d v="2024-03-25T00:00:00"/>
    <s v="YES"/>
  </r>
  <r>
    <n v="10184"/>
    <n v="5503"/>
    <x v="1"/>
    <n v="41912.42"/>
    <n v="68"/>
    <x v="0"/>
    <x v="0"/>
    <n v="36953.81"/>
    <x v="0"/>
    <s v="WH-C"/>
    <n v="798"/>
    <d v="2024-04-15T00:00:00"/>
    <n v="6"/>
    <n v="90184"/>
    <x v="0"/>
    <d v="2024-05-18T00:00:00"/>
    <n v="0.72006000000000003"/>
    <n v="70184"/>
    <x v="0"/>
    <n v="163373.51269"/>
    <s v="Paid"/>
    <d v="2024-04-10T00:00:00"/>
    <s v="Variable"/>
    <d v="2024-03-25T00:00:00"/>
    <s v="NO"/>
  </r>
  <r>
    <n v="10185"/>
    <n v="5767"/>
    <x v="1"/>
    <n v="48745.07"/>
    <n v="86"/>
    <x v="1"/>
    <x v="0"/>
    <n v="28938.43"/>
    <x v="1"/>
    <s v="WH-A"/>
    <n v="204"/>
    <d v="2024-03-10T00:00:00"/>
    <n v="2"/>
    <n v="90185"/>
    <x v="1"/>
    <d v="2024-05-18T00:00:00"/>
    <n v="0.25745000000000001"/>
    <n v="70185"/>
    <x v="0"/>
    <n v="194167.0018"/>
    <s v="pending"/>
    <d v="2024-06-01T00:00:00"/>
    <s v="Fixed"/>
    <d v="2024-03-25T00:00:00"/>
    <s v="NO"/>
  </r>
  <r>
    <n v="10186"/>
    <n v="5398"/>
    <x v="1"/>
    <n v="13680.2"/>
    <n v="15"/>
    <x v="1"/>
    <x v="0"/>
    <n v="93192.14"/>
    <x v="0"/>
    <s v="WH-B"/>
    <n v="306"/>
    <d v="2024-02-10T00:00:00"/>
    <n v="3"/>
    <n v="90186"/>
    <x v="3"/>
    <d v="2024-04-01T00:00:00"/>
    <n v="0.63675000000000004"/>
    <n v="70186"/>
    <x v="1"/>
    <n v="187977.59349999999"/>
    <s v="pending"/>
    <d v="2024-04-10T00:00:00"/>
    <s v="Fixed"/>
    <d v="2024-03-25T00:00:00"/>
    <s v="YES"/>
  </r>
  <r>
    <n v="10187"/>
    <n v="5871"/>
    <x v="1"/>
    <n v="68777.06"/>
    <n v="85"/>
    <x v="1"/>
    <x v="2"/>
    <n v="121673.66"/>
    <x v="1"/>
    <s v="WH-C"/>
    <n v="284"/>
    <d v="2024-03-10T00:00:00"/>
    <n v="11"/>
    <n v="90187"/>
    <x v="2"/>
    <d v="2024-03-01T00:00:00"/>
    <n v="0.85211999999999999"/>
    <n v="70187"/>
    <x v="1"/>
    <n v="52608.173560000003"/>
    <s v="pending"/>
    <d v="2024-05-10T00:00:00"/>
    <s v="Variable"/>
    <d v="2024-04-02T00:00:00"/>
    <s v="NO"/>
  </r>
  <r>
    <n v="10188"/>
    <n v="5795"/>
    <x v="1"/>
    <n v="17211.38"/>
    <n v="79"/>
    <x v="2"/>
    <x v="3"/>
    <n v="121814.39"/>
    <x v="1"/>
    <s v="WH-C"/>
    <n v="549"/>
    <d v="2024-03-10T00:00:00"/>
    <n v="13"/>
    <n v="90188"/>
    <x v="1"/>
    <d v="2024-03-01T00:00:00"/>
    <n v="0.77956999999999999"/>
    <n v="70188"/>
    <x v="0"/>
    <n v="153234.87479999999"/>
    <s v="pending"/>
    <d v="2024-04-10T00:00:00"/>
    <s v="Variable"/>
    <d v="2024-04-02T00:00:00"/>
    <s v="YES"/>
  </r>
  <r>
    <n v="10189"/>
    <n v="5393"/>
    <x v="1"/>
    <n v="23511.78"/>
    <n v="86"/>
    <x v="0"/>
    <x v="0"/>
    <n v="97122.13"/>
    <x v="2"/>
    <s v="WH-C"/>
    <n v="338"/>
    <d v="2024-03-10T00:00:00"/>
    <n v="12"/>
    <n v="90189"/>
    <x v="2"/>
    <d v="2024-03-01T00:00:00"/>
    <n v="0.77764999999999995"/>
    <n v="70189"/>
    <x v="1"/>
    <n v="71792.936079999999"/>
    <s v="Paid"/>
    <d v="2024-04-10T00:00:00"/>
    <s v="Variable"/>
    <d v="2024-03-25T00:00:00"/>
    <s v="NO"/>
  </r>
  <r>
    <n v="10190"/>
    <n v="5207"/>
    <x v="1"/>
    <n v="61844.15"/>
    <n v="92"/>
    <x v="1"/>
    <x v="1"/>
    <n v="84163.02"/>
    <x v="1"/>
    <s v="WH-B"/>
    <n v="559"/>
    <d v="2024-02-10T00:00:00"/>
    <n v="13"/>
    <n v="90190"/>
    <x v="2"/>
    <d v="2024-03-01T00:00:00"/>
    <n v="0.56606000000000001"/>
    <n v="70190"/>
    <x v="1"/>
    <n v="104510.86990999999"/>
    <s v="Paid"/>
    <d v="2024-06-01T00:00:00"/>
    <s v="Fixed"/>
    <d v="2024-03-25T00:00:00"/>
    <s v="YES"/>
  </r>
  <r>
    <n v="10191"/>
    <n v="6039"/>
    <x v="1"/>
    <n v="78392.149999999994"/>
    <n v="14"/>
    <x v="0"/>
    <x v="1"/>
    <n v="171960.14"/>
    <x v="0"/>
    <s v="WH-A"/>
    <n v="758"/>
    <d v="2024-02-10T00:00:00"/>
    <n v="10"/>
    <n v="90191"/>
    <x v="1"/>
    <d v="2024-03-01T00:00:00"/>
    <n v="0.90166999999999997"/>
    <n v="70191"/>
    <x v="1"/>
    <n v="68570.267099999997"/>
    <s v="pending"/>
    <d v="2024-06-01T00:00:00"/>
    <s v="Fixed"/>
    <d v="2024-03-25T00:00:00"/>
    <s v="YES"/>
  </r>
  <r>
    <n v="10192"/>
    <n v="6882"/>
    <x v="1"/>
    <n v="18429.099999999999"/>
    <n v="27"/>
    <x v="2"/>
    <x v="2"/>
    <n v="27129.62"/>
    <x v="1"/>
    <s v="WH-A"/>
    <n v="834"/>
    <d v="2024-03-10T00:00:00"/>
    <n v="10"/>
    <n v="90192"/>
    <x v="0"/>
    <d v="2024-03-01T00:00:00"/>
    <n v="0.62929000000000002"/>
    <n v="70192"/>
    <x v="2"/>
    <n v="78077.623000000007"/>
    <s v="Paid"/>
    <d v="2024-06-01T00:00:00"/>
    <s v="Variable"/>
    <d v="2024-03-25T00:00:00"/>
    <s v="YES"/>
  </r>
  <r>
    <n v="10193"/>
    <n v="6578"/>
    <x v="1"/>
    <n v="44049.91"/>
    <n v="40"/>
    <x v="3"/>
    <x v="1"/>
    <n v="109650.28"/>
    <x v="1"/>
    <s v="WH-B"/>
    <n v="943"/>
    <d v="2024-02-10T00:00:00"/>
    <n v="13"/>
    <n v="90193"/>
    <x v="3"/>
    <d v="2024-04-01T00:00:00"/>
    <n v="0.92576999999999998"/>
    <n v="70193"/>
    <x v="1"/>
    <n v="187954.0661"/>
    <s v="Paid"/>
    <d v="2024-05-10T00:00:00"/>
    <s v="Variable"/>
    <d v="2024-04-02T00:00:00"/>
    <s v="NO"/>
  </r>
  <r>
    <n v="10194"/>
    <n v="5892"/>
    <x v="1"/>
    <n v="87922.82"/>
    <n v="58"/>
    <x v="1"/>
    <x v="0"/>
    <n v="74074.929999999993"/>
    <x v="1"/>
    <s v="WH-A"/>
    <n v="825"/>
    <d v="2024-03-10T00:00:00"/>
    <n v="12"/>
    <n v="90194"/>
    <x v="2"/>
    <d v="2024-05-18T00:00:00"/>
    <n v="0.59187000000000001"/>
    <n v="70194"/>
    <x v="2"/>
    <n v="133163.03713000001"/>
    <s v="Paid"/>
    <d v="2024-06-01T00:00:00"/>
    <s v="Variable"/>
    <d v="2024-03-25T00:00:00"/>
    <s v="NO"/>
  </r>
  <r>
    <n v="10195"/>
    <n v="6485"/>
    <x v="1"/>
    <n v="40510.22"/>
    <n v="28"/>
    <x v="0"/>
    <x v="1"/>
    <n v="126044.19"/>
    <x v="0"/>
    <s v="WH-B"/>
    <n v="347"/>
    <d v="2024-02-10T00:00:00"/>
    <n v="5"/>
    <n v="90195"/>
    <x v="3"/>
    <d v="2024-05-18T00:00:00"/>
    <n v="0.55537000000000003"/>
    <n v="70195"/>
    <x v="1"/>
    <n v="101865.8596"/>
    <s v="Paid"/>
    <d v="2024-04-10T00:00:00"/>
    <s v="Fixed"/>
    <d v="2024-03-25T00:00:00"/>
    <s v="YES"/>
  </r>
  <r>
    <n v="10196"/>
    <n v="6715"/>
    <x v="1"/>
    <n v="15960.7"/>
    <n v="26"/>
    <x v="0"/>
    <x v="0"/>
    <n v="21690.6"/>
    <x v="2"/>
    <s v="WH-A"/>
    <n v="186"/>
    <d v="2024-02-10T00:00:00"/>
    <n v="10"/>
    <n v="90196"/>
    <x v="2"/>
    <d v="2024-04-01T00:00:00"/>
    <n v="0.30012"/>
    <n v="70196"/>
    <x v="1"/>
    <n v="71530.350619999997"/>
    <s v="pending"/>
    <d v="2024-05-10T00:00:00"/>
    <s v="Variable"/>
    <d v="2024-03-25T00:00:00"/>
    <s v="YES"/>
  </r>
  <r>
    <n v="10197"/>
    <n v="6599"/>
    <x v="0"/>
    <n v="53282.48"/>
    <n v="63"/>
    <x v="2"/>
    <x v="1"/>
    <n v="76981.97"/>
    <x v="1"/>
    <s v="WH-C"/>
    <n v="425"/>
    <d v="2024-04-15T00:00:00"/>
    <n v="4"/>
    <n v="90197"/>
    <x v="1"/>
    <d v="2024-05-18T00:00:00"/>
    <n v="0.59031"/>
    <n v="70197"/>
    <x v="1"/>
    <n v="76381.361319999996"/>
    <s v="pending"/>
    <d v="2024-06-01T00:00:00"/>
    <s v="Variable"/>
    <d v="2024-03-25T00:00:00"/>
    <s v="YES"/>
  </r>
  <r>
    <n v="10198"/>
    <n v="5864"/>
    <x v="1"/>
    <n v="15559.16"/>
    <n v="66"/>
    <x v="1"/>
    <x v="3"/>
    <n v="30410.94"/>
    <x v="2"/>
    <s v="WH-A"/>
    <n v="136"/>
    <d v="2024-03-10T00:00:00"/>
    <n v="2"/>
    <n v="90198"/>
    <x v="0"/>
    <d v="2024-03-01T00:00:00"/>
    <n v="0.22653000000000001"/>
    <n v="70198"/>
    <x v="0"/>
    <n v="206427.8456"/>
    <s v="Paid"/>
    <d v="2024-04-10T00:00:00"/>
    <s v="Fixed"/>
    <d v="2024-03-25T00:00:00"/>
    <s v="YES"/>
  </r>
  <r>
    <n v="10199"/>
    <n v="5743"/>
    <x v="1"/>
    <n v="75450.42"/>
    <n v="25"/>
    <x v="3"/>
    <x v="2"/>
    <n v="162123.01"/>
    <x v="1"/>
    <s v="WH-B"/>
    <n v="1492"/>
    <d v="2024-04-15T00:00:00"/>
    <n v="4"/>
    <n v="90199"/>
    <x v="3"/>
    <d v="2024-03-01T00:00:00"/>
    <n v="0.88271999999999995"/>
    <n v="70199"/>
    <x v="1"/>
    <n v="193704.41696"/>
    <s v="Overdue"/>
    <d v="2024-04-10T00:00:00"/>
    <s v="Variable"/>
    <d v="2024-03-25T00:00:00"/>
    <s v="YES"/>
  </r>
  <r>
    <n v="10200"/>
    <n v="6265"/>
    <x v="1"/>
    <n v="26334.99"/>
    <n v="3"/>
    <x v="0"/>
    <x v="2"/>
    <n v="62722.57"/>
    <x v="0"/>
    <s v="WH-B"/>
    <n v="1272"/>
    <d v="2024-04-15T00:00:00"/>
    <n v="12"/>
    <n v="90200"/>
    <x v="2"/>
    <d v="2024-05-18T00:00:00"/>
    <n v="0.70830000000000004"/>
    <n v="70200"/>
    <x v="1"/>
    <n v="124885.53780000001"/>
    <s v="pending"/>
    <d v="2024-05-10T00:00:00"/>
    <s v="Variable"/>
    <d v="2024-04-02T00:00:00"/>
    <s v="YES"/>
  </r>
  <r>
    <n v="10201"/>
    <n v="5564"/>
    <x v="1"/>
    <n v="87373.72"/>
    <n v="72"/>
    <x v="1"/>
    <x v="3"/>
    <n v="127914.06"/>
    <x v="2"/>
    <s v="WH-C"/>
    <n v="486"/>
    <d v="2024-03-10T00:00:00"/>
    <n v="8"/>
    <n v="90201"/>
    <x v="1"/>
    <d v="2024-03-01T00:00:00"/>
    <n v="0.99426999999999999"/>
    <n v="70201"/>
    <x v="1"/>
    <n v="155417.94232"/>
    <s v="pending"/>
    <d v="2024-04-10T00:00:00"/>
    <s v="Variable"/>
    <d v="2024-03-25T00:00:00"/>
    <s v="YES"/>
  </r>
  <r>
    <n v="10202"/>
    <n v="6021"/>
    <x v="1"/>
    <n v="23459.41"/>
    <n v="44"/>
    <x v="3"/>
    <x v="3"/>
    <n v="17464.53"/>
    <x v="1"/>
    <s v="WH-B"/>
    <n v="1383"/>
    <d v="2024-03-10T00:00:00"/>
    <n v="5"/>
    <n v="90202"/>
    <x v="1"/>
    <d v="2024-03-01T00:00:00"/>
    <n v="0.18289"/>
    <n v="70202"/>
    <x v="0"/>
    <n v="142412.20300000001"/>
    <s v="Overdue"/>
    <d v="2024-06-01T00:00:00"/>
    <s v="Fixed"/>
    <d v="2024-03-25T00:00:00"/>
    <s v="YES"/>
  </r>
  <r>
    <n v="10203"/>
    <n v="5096"/>
    <x v="1"/>
    <n v="31512.18"/>
    <n v="97"/>
    <x v="0"/>
    <x v="2"/>
    <n v="19864.27"/>
    <x v="1"/>
    <s v="WH-A"/>
    <n v="1354"/>
    <d v="2024-02-10T00:00:00"/>
    <n v="5"/>
    <n v="90203"/>
    <x v="2"/>
    <d v="2024-05-18T00:00:00"/>
    <n v="0.31661"/>
    <n v="70203"/>
    <x v="2"/>
    <n v="180283.69959999999"/>
    <s v="pending"/>
    <d v="2024-04-10T00:00:00"/>
    <s v="Variable"/>
    <d v="2024-04-02T00:00:00"/>
    <s v="NO"/>
  </r>
  <r>
    <n v="10204"/>
    <n v="6924"/>
    <x v="0"/>
    <n v="33443.919999999998"/>
    <n v="42"/>
    <x v="0"/>
    <x v="3"/>
    <n v="20904.95"/>
    <x v="1"/>
    <s v="WH-A"/>
    <n v="1396"/>
    <d v="2024-03-10T00:00:00"/>
    <n v="13"/>
    <n v="90204"/>
    <x v="2"/>
    <d v="2024-04-01T00:00:00"/>
    <n v="0.88944000000000001"/>
    <n v="70204"/>
    <x v="2"/>
    <n v="67740.209130000003"/>
    <s v="Overdue"/>
    <d v="2024-06-01T00:00:00"/>
    <s v="Variable"/>
    <d v="2024-03-25T00:00:00"/>
    <s v="YES"/>
  </r>
  <r>
    <n v="10205"/>
    <n v="6758"/>
    <x v="0"/>
    <n v="33859.980000000003"/>
    <n v="99"/>
    <x v="3"/>
    <x v="0"/>
    <n v="85958.9"/>
    <x v="1"/>
    <s v="WH-C"/>
    <n v="813"/>
    <d v="2024-04-15T00:00:00"/>
    <n v="12"/>
    <n v="90205"/>
    <x v="2"/>
    <d v="2024-05-18T00:00:00"/>
    <n v="0.45573000000000002"/>
    <n v="70205"/>
    <x v="1"/>
    <n v="80624.577210000003"/>
    <s v="Overdue"/>
    <d v="2024-06-01T00:00:00"/>
    <s v="Variable"/>
    <d v="2024-03-25T00:00:00"/>
    <s v="YES"/>
  </r>
  <r>
    <n v="10206"/>
    <n v="5485"/>
    <x v="1"/>
    <n v="26980.97"/>
    <n v="6"/>
    <x v="3"/>
    <x v="1"/>
    <n v="142516.35"/>
    <x v="1"/>
    <s v="WH-B"/>
    <n v="751"/>
    <d v="2024-04-15T00:00:00"/>
    <n v="12"/>
    <n v="90206"/>
    <x v="0"/>
    <d v="2024-05-18T00:00:00"/>
    <n v="0.51966999999999997"/>
    <n v="70206"/>
    <x v="1"/>
    <n v="63827.49884"/>
    <s v="Paid"/>
    <d v="2024-05-10T00:00:00"/>
    <s v="Variable"/>
    <d v="2024-04-02T00:00:00"/>
    <s v="NO"/>
  </r>
  <r>
    <n v="10207"/>
    <n v="6431"/>
    <x v="0"/>
    <n v="17556.240000000002"/>
    <n v="39"/>
    <x v="2"/>
    <x v="2"/>
    <n v="165724.37"/>
    <x v="0"/>
    <s v="WH-C"/>
    <n v="991"/>
    <d v="2024-03-10T00:00:00"/>
    <n v="10"/>
    <n v="90207"/>
    <x v="2"/>
    <d v="2024-05-18T00:00:00"/>
    <n v="0.87458999999999998"/>
    <n v="70207"/>
    <x v="2"/>
    <n v="187172.72510000001"/>
    <s v="pending"/>
    <d v="2024-04-10T00:00:00"/>
    <s v="Variable"/>
    <d v="2024-03-25T00:00:00"/>
    <s v="NO"/>
  </r>
  <r>
    <n v="10208"/>
    <n v="5231"/>
    <x v="1"/>
    <n v="21081.58"/>
    <n v="52"/>
    <x v="1"/>
    <x v="3"/>
    <n v="81779.360000000001"/>
    <x v="2"/>
    <s v="WH-A"/>
    <n v="201"/>
    <d v="2024-04-15T00:00:00"/>
    <n v="3"/>
    <n v="90208"/>
    <x v="2"/>
    <d v="2024-05-18T00:00:00"/>
    <n v="0.56964000000000004"/>
    <n v="70208"/>
    <x v="2"/>
    <n v="178404.22787999999"/>
    <s v="Overdue"/>
    <d v="2024-05-10T00:00:00"/>
    <s v="Fixed"/>
    <d v="2024-03-25T00:00:00"/>
    <s v="NO"/>
  </r>
  <r>
    <n v="10209"/>
    <n v="5749"/>
    <x v="1"/>
    <n v="77602.34"/>
    <n v="23"/>
    <x v="1"/>
    <x v="0"/>
    <n v="140996.92000000001"/>
    <x v="1"/>
    <s v="WH-C"/>
    <n v="1375"/>
    <d v="2024-02-10T00:00:00"/>
    <n v="13"/>
    <n v="90209"/>
    <x v="0"/>
    <d v="2024-04-01T00:00:00"/>
    <n v="0.27412999999999998"/>
    <n v="70209"/>
    <x v="1"/>
    <n v="90977.213699999993"/>
    <s v="Paid"/>
    <d v="2024-05-10T00:00:00"/>
    <s v="Fixed"/>
    <d v="2024-03-25T00:00:00"/>
    <s v="NO"/>
  </r>
  <r>
    <n v="10210"/>
    <n v="6679"/>
    <x v="0"/>
    <n v="27148.92"/>
    <n v="89"/>
    <x v="2"/>
    <x v="2"/>
    <n v="103310.96"/>
    <x v="1"/>
    <s v="WH-B"/>
    <n v="1351"/>
    <d v="2024-04-15T00:00:00"/>
    <n v="8"/>
    <n v="90210"/>
    <x v="1"/>
    <d v="2024-04-01T00:00:00"/>
    <n v="0.90283000000000002"/>
    <n v="70210"/>
    <x v="1"/>
    <n v="110008.33443"/>
    <s v="pending"/>
    <d v="2024-05-10T00:00:00"/>
    <s v="Fixed"/>
    <d v="2024-03-25T00:00:00"/>
    <s v="YES"/>
  </r>
  <r>
    <n v="10211"/>
    <n v="6195"/>
    <x v="1"/>
    <n v="68361.100000000006"/>
    <n v="50"/>
    <x v="0"/>
    <x v="3"/>
    <n v="90132.57"/>
    <x v="1"/>
    <s v="WH-C"/>
    <n v="1081"/>
    <d v="2024-02-10T00:00:00"/>
    <n v="6"/>
    <n v="90211"/>
    <x v="2"/>
    <d v="2024-03-01T00:00:00"/>
    <n v="0.12795999999999999"/>
    <n v="70211"/>
    <x v="2"/>
    <n v="176861.20472000001"/>
    <s v="Paid"/>
    <d v="2024-06-01T00:00:00"/>
    <s v="Variable"/>
    <d v="2024-04-02T00:00:00"/>
    <s v="YES"/>
  </r>
  <r>
    <n v="10212"/>
    <n v="5541"/>
    <x v="1"/>
    <n v="32646.74"/>
    <n v="43"/>
    <x v="3"/>
    <x v="2"/>
    <n v="95828.55"/>
    <x v="2"/>
    <s v="WH-B"/>
    <n v="856"/>
    <d v="2024-04-15T00:00:00"/>
    <n v="2"/>
    <n v="90212"/>
    <x v="3"/>
    <d v="2024-03-01T00:00:00"/>
    <n v="0.90586"/>
    <n v="70212"/>
    <x v="1"/>
    <n v="178102.16425999999"/>
    <s v="Paid"/>
    <d v="2024-06-01T00:00:00"/>
    <s v="Variable"/>
    <d v="2024-03-25T00:00:00"/>
    <s v="NO"/>
  </r>
  <r>
    <n v="10213"/>
    <n v="6060"/>
    <x v="1"/>
    <n v="57407.24"/>
    <n v="19"/>
    <x v="3"/>
    <x v="3"/>
    <n v="64189.79"/>
    <x v="1"/>
    <s v="WH-B"/>
    <n v="284"/>
    <d v="2024-02-10T00:00:00"/>
    <n v="2"/>
    <n v="90213"/>
    <x v="1"/>
    <d v="2024-05-18T00:00:00"/>
    <n v="0.14546999999999999"/>
    <n v="70213"/>
    <x v="0"/>
    <n v="124799.9329"/>
    <s v="Overdue"/>
    <d v="2024-06-01T00:00:00"/>
    <s v="Fixed"/>
    <d v="2024-03-25T00:00:00"/>
    <s v="NO"/>
  </r>
  <r>
    <n v="10214"/>
    <n v="5525"/>
    <x v="1"/>
    <n v="9144.77"/>
    <n v="69"/>
    <x v="3"/>
    <x v="2"/>
    <n v="57188.38"/>
    <x v="1"/>
    <s v="WH-A"/>
    <n v="724"/>
    <d v="2024-02-10T00:00:00"/>
    <n v="9"/>
    <n v="90214"/>
    <x v="3"/>
    <d v="2024-03-01T00:00:00"/>
    <n v="0.69925999999999999"/>
    <n v="70214"/>
    <x v="1"/>
    <n v="130753.2534"/>
    <s v="pending"/>
    <d v="2024-06-01T00:00:00"/>
    <s v="Variable"/>
    <d v="2024-04-02T00:00:00"/>
    <s v="YES"/>
  </r>
  <r>
    <n v="10215"/>
    <n v="6184"/>
    <x v="1"/>
    <n v="19647.22"/>
    <n v="51"/>
    <x v="0"/>
    <x v="0"/>
    <n v="63944.49"/>
    <x v="2"/>
    <s v="WH-A"/>
    <n v="610"/>
    <d v="2024-03-10T00:00:00"/>
    <n v="13"/>
    <n v="90215"/>
    <x v="2"/>
    <d v="2024-04-01T00:00:00"/>
    <n v="0.16450999999999999"/>
    <n v="70215"/>
    <x v="2"/>
    <n v="169468.29517"/>
    <s v="Paid"/>
    <d v="2024-04-10T00:00:00"/>
    <s v="Variable"/>
    <d v="2024-03-25T00:00:00"/>
    <s v="NO"/>
  </r>
  <r>
    <n v="10216"/>
    <n v="6863"/>
    <x v="0"/>
    <n v="80684.77"/>
    <n v="11"/>
    <x v="3"/>
    <x v="0"/>
    <n v="21488.15"/>
    <x v="0"/>
    <s v="WH-A"/>
    <n v="1375"/>
    <d v="2024-02-10T00:00:00"/>
    <n v="7"/>
    <n v="90216"/>
    <x v="0"/>
    <d v="2024-03-01T00:00:00"/>
    <n v="0.73558999999999997"/>
    <n v="70216"/>
    <x v="1"/>
    <n v="173992.83979999999"/>
    <s v="Overdue"/>
    <d v="2024-04-10T00:00:00"/>
    <s v="Variable"/>
    <d v="2024-03-25T00:00:00"/>
    <s v="YES"/>
  </r>
  <r>
    <n v="10217"/>
    <n v="6723"/>
    <x v="1"/>
    <n v="90640.78"/>
    <n v="12"/>
    <x v="3"/>
    <x v="1"/>
    <n v="122412.98"/>
    <x v="0"/>
    <s v="WH-B"/>
    <n v="87"/>
    <d v="2024-03-10T00:00:00"/>
    <n v="10"/>
    <n v="90217"/>
    <x v="0"/>
    <d v="2024-03-01T00:00:00"/>
    <n v="0.13056999999999999"/>
    <n v="70217"/>
    <x v="1"/>
    <n v="207877.24780000001"/>
    <s v="Overdue"/>
    <d v="2024-06-01T00:00:00"/>
    <s v="Variable"/>
    <d v="2024-03-25T00:00:00"/>
    <s v="YES"/>
  </r>
  <r>
    <n v="10218"/>
    <n v="6267"/>
    <x v="1"/>
    <n v="51994.68"/>
    <n v="74"/>
    <x v="2"/>
    <x v="2"/>
    <n v="14504.2"/>
    <x v="0"/>
    <s v="WH-C"/>
    <n v="1209"/>
    <d v="2024-04-15T00:00:00"/>
    <n v="9"/>
    <n v="90218"/>
    <x v="0"/>
    <d v="2024-03-01T00:00:00"/>
    <n v="0.85821000000000003"/>
    <n v="70218"/>
    <x v="2"/>
    <n v="168490.97169000001"/>
    <s v="Paid"/>
    <d v="2024-06-01T00:00:00"/>
    <s v="Variable"/>
    <d v="2024-04-02T00:00:00"/>
    <s v="YES"/>
  </r>
  <r>
    <n v="10219"/>
    <n v="6110"/>
    <x v="1"/>
    <n v="25642.82"/>
    <n v="8"/>
    <x v="0"/>
    <x v="1"/>
    <n v="41413.54"/>
    <x v="1"/>
    <s v="WH-B"/>
    <n v="871"/>
    <d v="2024-04-15T00:00:00"/>
    <n v="14"/>
    <n v="90219"/>
    <x v="2"/>
    <d v="2024-05-18T00:00:00"/>
    <n v="0.51934999999999998"/>
    <n v="70219"/>
    <x v="0"/>
    <n v="120999.30220000001"/>
    <s v="Paid"/>
    <d v="2024-04-10T00:00:00"/>
    <s v="Variable"/>
    <d v="2024-03-25T00:00:00"/>
    <s v="NO"/>
  </r>
  <r>
    <n v="10220"/>
    <n v="6820"/>
    <x v="0"/>
    <n v="13598.96"/>
    <n v="24"/>
    <x v="1"/>
    <x v="2"/>
    <n v="118196.56"/>
    <x v="2"/>
    <s v="WH-A"/>
    <n v="470"/>
    <d v="2024-04-15T00:00:00"/>
    <n v="6"/>
    <n v="90220"/>
    <x v="2"/>
    <d v="2024-03-01T00:00:00"/>
    <n v="0.18411"/>
    <n v="70220"/>
    <x v="0"/>
    <n v="182654.7506"/>
    <s v="Overdue"/>
    <d v="2024-05-10T00:00:00"/>
    <s v="Variable"/>
    <d v="2024-03-25T00:00:00"/>
    <s v="YES"/>
  </r>
  <r>
    <n v="10221"/>
    <n v="5578"/>
    <x v="1"/>
    <n v="93358.2"/>
    <n v="92"/>
    <x v="2"/>
    <x v="3"/>
    <n v="146184.85"/>
    <x v="2"/>
    <s v="WH-A"/>
    <n v="1292"/>
    <d v="2024-02-10T00:00:00"/>
    <n v="5"/>
    <n v="90221"/>
    <x v="3"/>
    <d v="2024-04-01T00:00:00"/>
    <n v="0.73614000000000002"/>
    <n v="70221"/>
    <x v="1"/>
    <n v="76908.381670000002"/>
    <s v="Paid"/>
    <d v="2024-05-10T00:00:00"/>
    <s v="Fixed"/>
    <d v="2024-04-02T00:00:00"/>
    <s v="YES"/>
  </r>
  <r>
    <n v="10222"/>
    <n v="5682"/>
    <x v="0"/>
    <n v="70996.070000000007"/>
    <n v="41"/>
    <x v="2"/>
    <x v="3"/>
    <n v="136508.85999999999"/>
    <x v="1"/>
    <s v="WH-C"/>
    <n v="397"/>
    <d v="2024-04-15T00:00:00"/>
    <n v="12"/>
    <n v="90222"/>
    <x v="0"/>
    <d v="2024-04-01T00:00:00"/>
    <n v="0.54035999999999995"/>
    <n v="70222"/>
    <x v="0"/>
    <n v="88139.716"/>
    <s v="Paid"/>
    <d v="2024-06-01T00:00:00"/>
    <s v="Variable"/>
    <d v="2024-04-02T00:00:00"/>
    <s v="NO"/>
  </r>
  <r>
    <n v="10223"/>
    <n v="5557"/>
    <x v="1"/>
    <n v="71334.679999999993"/>
    <n v="36"/>
    <x v="1"/>
    <x v="1"/>
    <n v="55805.62"/>
    <x v="1"/>
    <s v="WH-A"/>
    <n v="1152"/>
    <d v="2024-04-15T00:00:00"/>
    <n v="1"/>
    <n v="90223"/>
    <x v="2"/>
    <d v="2024-04-01T00:00:00"/>
    <n v="0.27184999999999998"/>
    <n v="70223"/>
    <x v="0"/>
    <n v="195704.66566"/>
    <s v="pending"/>
    <d v="2024-05-10T00:00:00"/>
    <s v="Fixed"/>
    <d v="2024-03-25T00:00:00"/>
    <s v="YES"/>
  </r>
  <r>
    <n v="10224"/>
    <n v="6598"/>
    <x v="1"/>
    <n v="88923.98"/>
    <n v="85"/>
    <x v="2"/>
    <x v="2"/>
    <n v="14214.36"/>
    <x v="1"/>
    <s v="WH-A"/>
    <n v="797"/>
    <d v="2024-03-10T00:00:00"/>
    <n v="12"/>
    <n v="90224"/>
    <x v="1"/>
    <d v="2024-04-01T00:00:00"/>
    <n v="0.11411"/>
    <n v="70224"/>
    <x v="0"/>
    <n v="101639.32769999999"/>
    <s v="Overdue"/>
    <d v="2024-06-01T00:00:00"/>
    <s v="Fixed"/>
    <d v="2024-04-02T00:00:00"/>
    <s v="YES"/>
  </r>
  <r>
    <n v="10225"/>
    <n v="6977"/>
    <x v="1"/>
    <n v="53117.62"/>
    <n v="72"/>
    <x v="0"/>
    <x v="1"/>
    <n v="60436.6"/>
    <x v="2"/>
    <s v="WH-A"/>
    <n v="322"/>
    <d v="2024-03-10T00:00:00"/>
    <n v="6"/>
    <n v="90225"/>
    <x v="2"/>
    <d v="2024-03-01T00:00:00"/>
    <n v="0.47620000000000001"/>
    <n v="70225"/>
    <x v="0"/>
    <n v="118777.51422"/>
    <s v="Paid"/>
    <d v="2024-06-01T00:00:00"/>
    <s v="Fixed"/>
    <d v="2024-03-25T00:00:00"/>
    <s v="YES"/>
  </r>
  <r>
    <n v="10226"/>
    <n v="6013"/>
    <x v="1"/>
    <n v="28633.759999999998"/>
    <n v="55"/>
    <x v="3"/>
    <x v="0"/>
    <n v="84027.23"/>
    <x v="1"/>
    <s v="WH-C"/>
    <n v="1234"/>
    <d v="2024-04-15T00:00:00"/>
    <n v="6"/>
    <n v="90226"/>
    <x v="2"/>
    <d v="2024-05-18T00:00:00"/>
    <n v="0.17707000000000001"/>
    <n v="70226"/>
    <x v="0"/>
    <n v="115440.2187"/>
    <s v="Overdue"/>
    <d v="2024-06-01T00:00:00"/>
    <s v="Variable"/>
    <d v="2024-04-02T00:00:00"/>
    <s v="NO"/>
  </r>
  <r>
    <n v="10227"/>
    <n v="5646"/>
    <x v="1"/>
    <n v="59846.61"/>
    <n v="9"/>
    <x v="0"/>
    <x v="1"/>
    <n v="159307.81"/>
    <x v="2"/>
    <s v="WH-B"/>
    <n v="357"/>
    <d v="2024-04-15T00:00:00"/>
    <n v="3"/>
    <n v="90227"/>
    <x v="1"/>
    <d v="2024-04-01T00:00:00"/>
    <n v="0.18475"/>
    <n v="70227"/>
    <x v="0"/>
    <n v="145012.71715000001"/>
    <s v="pending"/>
    <d v="2024-04-10T00:00:00"/>
    <s v="Fixed"/>
    <d v="2024-03-25T00:00:00"/>
    <s v="YES"/>
  </r>
  <r>
    <n v="10228"/>
    <n v="5796"/>
    <x v="0"/>
    <n v="14957.19"/>
    <n v="47"/>
    <x v="1"/>
    <x v="1"/>
    <n v="49851.81"/>
    <x v="2"/>
    <s v="WH-A"/>
    <n v="1447"/>
    <d v="2024-02-10T00:00:00"/>
    <n v="3"/>
    <n v="90228"/>
    <x v="0"/>
    <d v="2024-04-01T00:00:00"/>
    <n v="0.34060000000000001"/>
    <n v="70228"/>
    <x v="0"/>
    <n v="149630.9087"/>
    <s v="Overdue"/>
    <d v="2024-05-10T00:00:00"/>
    <s v="Variable"/>
    <d v="2024-03-25T00:00:00"/>
    <s v="YES"/>
  </r>
  <r>
    <n v="10229"/>
    <n v="6052"/>
    <x v="1"/>
    <n v="35662.47"/>
    <n v="15"/>
    <x v="1"/>
    <x v="3"/>
    <n v="87552.22"/>
    <x v="0"/>
    <s v="WH-C"/>
    <n v="1025"/>
    <d v="2024-02-10T00:00:00"/>
    <n v="3"/>
    <n v="90229"/>
    <x v="1"/>
    <d v="2024-05-18T00:00:00"/>
    <n v="0.66740999999999995"/>
    <n v="70229"/>
    <x v="2"/>
    <n v="55713.523330000004"/>
    <s v="Overdue"/>
    <d v="2024-04-10T00:00:00"/>
    <s v="Variable"/>
    <d v="2024-04-02T00:00:00"/>
    <s v="NO"/>
  </r>
  <r>
    <n v="10230"/>
    <n v="6644"/>
    <x v="0"/>
    <n v="39420.58"/>
    <n v="48"/>
    <x v="2"/>
    <x v="1"/>
    <n v="140696.75"/>
    <x v="1"/>
    <s v="WH-A"/>
    <n v="782"/>
    <d v="2024-04-15T00:00:00"/>
    <n v="3"/>
    <n v="90230"/>
    <x v="0"/>
    <d v="2024-05-18T00:00:00"/>
    <n v="0.57691999999999999"/>
    <n v="70230"/>
    <x v="0"/>
    <n v="156784.7739"/>
    <s v="Overdue"/>
    <d v="2024-05-10T00:00:00"/>
    <s v="Fixed"/>
    <d v="2024-03-25T00:00:00"/>
    <s v="YES"/>
  </r>
  <r>
    <n v="10231"/>
    <n v="6580"/>
    <x v="1"/>
    <n v="72658.880000000005"/>
    <n v="82"/>
    <x v="0"/>
    <x v="2"/>
    <n v="53726.49"/>
    <x v="0"/>
    <s v="WH-C"/>
    <n v="1082"/>
    <d v="2024-03-10T00:00:00"/>
    <n v="7"/>
    <n v="90231"/>
    <x v="1"/>
    <d v="2024-04-01T00:00:00"/>
    <n v="0.16209000000000001"/>
    <n v="70231"/>
    <x v="2"/>
    <n v="129989.85830000001"/>
    <s v="pending"/>
    <d v="2024-04-10T00:00:00"/>
    <s v="Fixed"/>
    <d v="2024-03-25T00:00:00"/>
    <s v="YES"/>
  </r>
  <r>
    <n v="10232"/>
    <n v="6364"/>
    <x v="0"/>
    <n v="39656.57"/>
    <n v="42"/>
    <x v="0"/>
    <x v="3"/>
    <n v="84637.86"/>
    <x v="1"/>
    <s v="WH-A"/>
    <n v="493"/>
    <d v="2024-04-15T00:00:00"/>
    <n v="10"/>
    <n v="90232"/>
    <x v="3"/>
    <d v="2024-04-01T00:00:00"/>
    <n v="0.97158999999999995"/>
    <n v="70232"/>
    <x v="1"/>
    <n v="172618.93851000001"/>
    <s v="pending"/>
    <d v="2024-04-10T00:00:00"/>
    <s v="Fixed"/>
    <d v="2024-03-25T00:00:00"/>
    <s v="YES"/>
  </r>
  <r>
    <n v="10233"/>
    <n v="6822"/>
    <x v="1"/>
    <n v="43456.36"/>
    <n v="60"/>
    <x v="1"/>
    <x v="1"/>
    <n v="117895.19"/>
    <x v="1"/>
    <s v="WH-C"/>
    <n v="1186"/>
    <d v="2024-02-10T00:00:00"/>
    <n v="11"/>
    <n v="90233"/>
    <x v="0"/>
    <d v="2024-05-18T00:00:00"/>
    <n v="0.89844999999999997"/>
    <n v="70233"/>
    <x v="1"/>
    <n v="102999.01287999999"/>
    <s v="Overdue"/>
    <d v="2024-06-01T00:00:00"/>
    <s v="Variable"/>
    <d v="2024-04-02T00:00:00"/>
    <s v="YES"/>
  </r>
  <r>
    <n v="10234"/>
    <n v="6982"/>
    <x v="1"/>
    <n v="31986.25"/>
    <n v="84"/>
    <x v="0"/>
    <x v="0"/>
    <n v="80804.009999999995"/>
    <x v="1"/>
    <s v="WH-A"/>
    <n v="1278"/>
    <d v="2024-03-10T00:00:00"/>
    <n v="2"/>
    <n v="90234"/>
    <x v="2"/>
    <d v="2024-04-01T00:00:00"/>
    <n v="0.33329999999999999"/>
    <n v="70234"/>
    <x v="0"/>
    <n v="108353.87790000001"/>
    <s v="Overdue"/>
    <d v="2024-06-01T00:00:00"/>
    <s v="Variable"/>
    <d v="2024-04-02T00:00:00"/>
    <s v="YES"/>
  </r>
  <r>
    <n v="10235"/>
    <n v="6355"/>
    <x v="0"/>
    <n v="46883.07"/>
    <n v="70"/>
    <x v="1"/>
    <x v="1"/>
    <n v="103931.33"/>
    <x v="2"/>
    <s v="WH-B"/>
    <n v="454"/>
    <d v="2024-03-10T00:00:00"/>
    <n v="10"/>
    <n v="90235"/>
    <x v="3"/>
    <d v="2024-04-01T00:00:00"/>
    <n v="0.21010000000000001"/>
    <n v="70235"/>
    <x v="1"/>
    <n v="77084.813869999998"/>
    <s v="pending"/>
    <d v="2024-04-10T00:00:00"/>
    <s v="Fixed"/>
    <d v="2024-03-25T00:00:00"/>
    <s v="YES"/>
  </r>
  <r>
    <n v="10236"/>
    <n v="6664"/>
    <x v="1"/>
    <n v="60198.9"/>
    <n v="12"/>
    <x v="0"/>
    <x v="1"/>
    <n v="170121.37"/>
    <x v="2"/>
    <s v="WH-A"/>
    <n v="902"/>
    <d v="2024-02-10T00:00:00"/>
    <n v="13"/>
    <n v="90236"/>
    <x v="0"/>
    <d v="2024-03-01T00:00:00"/>
    <n v="0.94816"/>
    <n v="70236"/>
    <x v="0"/>
    <n v="111572.39290000001"/>
    <s v="Paid"/>
    <d v="2024-05-10T00:00:00"/>
    <s v="Fixed"/>
    <d v="2024-03-25T00:00:00"/>
    <s v="YES"/>
  </r>
  <r>
    <n v="10237"/>
    <n v="6530"/>
    <x v="1"/>
    <n v="65839.5"/>
    <n v="2"/>
    <x v="0"/>
    <x v="1"/>
    <n v="126438.86"/>
    <x v="2"/>
    <s v="WH-C"/>
    <n v="1270"/>
    <d v="2024-04-15T00:00:00"/>
    <n v="10"/>
    <n v="90237"/>
    <x v="0"/>
    <d v="2024-05-18T00:00:00"/>
    <n v="0.51502999999999999"/>
    <n v="70237"/>
    <x v="2"/>
    <n v="65383.164819999998"/>
    <s v="pending"/>
    <d v="2024-05-10T00:00:00"/>
    <s v="Variable"/>
    <d v="2024-03-25T00:00:00"/>
    <s v="YES"/>
  </r>
  <r>
    <n v="10238"/>
    <n v="6372"/>
    <x v="1"/>
    <n v="29707.01"/>
    <n v="7"/>
    <x v="0"/>
    <x v="3"/>
    <n v="61838.49"/>
    <x v="1"/>
    <s v="WH-A"/>
    <n v="827"/>
    <d v="2024-04-15T00:00:00"/>
    <n v="2"/>
    <n v="90238"/>
    <x v="0"/>
    <d v="2024-03-01T00:00:00"/>
    <n v="0.38005"/>
    <n v="70238"/>
    <x v="0"/>
    <n v="136064.3463"/>
    <s v="Overdue"/>
    <d v="2024-06-01T00:00:00"/>
    <s v="Fixed"/>
    <d v="2024-03-25T00:00:00"/>
    <s v="NO"/>
  </r>
  <r>
    <n v="10239"/>
    <n v="6497"/>
    <x v="1"/>
    <n v="64444.54"/>
    <n v="80"/>
    <x v="1"/>
    <x v="2"/>
    <n v="128465.96"/>
    <x v="0"/>
    <s v="WH-B"/>
    <n v="164"/>
    <d v="2024-04-15T00:00:00"/>
    <n v="3"/>
    <n v="90239"/>
    <x v="1"/>
    <d v="2024-03-01T00:00:00"/>
    <n v="0.54132000000000002"/>
    <n v="70239"/>
    <x v="1"/>
    <n v="75772.647639999996"/>
    <s v="Paid"/>
    <d v="2024-06-01T00:00:00"/>
    <s v="Variable"/>
    <d v="2024-03-25T00:00:00"/>
    <s v="NO"/>
  </r>
  <r>
    <n v="10240"/>
    <n v="6255"/>
    <x v="1"/>
    <n v="85451.05"/>
    <n v="3"/>
    <x v="2"/>
    <x v="0"/>
    <n v="62200.87"/>
    <x v="2"/>
    <s v="WH-A"/>
    <n v="1194"/>
    <d v="2024-02-10T00:00:00"/>
    <n v="10"/>
    <n v="90240"/>
    <x v="0"/>
    <d v="2024-05-18T00:00:00"/>
    <n v="0.79547000000000001"/>
    <n v="70240"/>
    <x v="1"/>
    <n v="85417.289180000007"/>
    <s v="Paid"/>
    <d v="2024-05-10T00:00:00"/>
    <s v="Variable"/>
    <d v="2024-03-25T00:00:00"/>
    <s v="YES"/>
  </r>
  <r>
    <n v="10241"/>
    <n v="5190"/>
    <x v="1"/>
    <n v="90138.09"/>
    <n v="3"/>
    <x v="0"/>
    <x v="1"/>
    <n v="60922.38"/>
    <x v="0"/>
    <s v="WH-C"/>
    <n v="114"/>
    <d v="2024-03-10T00:00:00"/>
    <n v="12"/>
    <n v="90241"/>
    <x v="2"/>
    <d v="2024-03-01T00:00:00"/>
    <n v="0.25155"/>
    <n v="70241"/>
    <x v="1"/>
    <n v="139573.75055999999"/>
    <s v="Paid"/>
    <d v="2024-05-10T00:00:00"/>
    <s v="Variable"/>
    <d v="2024-04-02T00:00:00"/>
    <s v="NO"/>
  </r>
  <r>
    <n v="10242"/>
    <n v="6249"/>
    <x v="1"/>
    <n v="58093.760000000002"/>
    <n v="27"/>
    <x v="1"/>
    <x v="2"/>
    <n v="26138.32"/>
    <x v="0"/>
    <s v="WH-C"/>
    <n v="1349"/>
    <d v="2024-02-10T00:00:00"/>
    <n v="7"/>
    <n v="90242"/>
    <x v="0"/>
    <d v="2024-04-01T00:00:00"/>
    <n v="0.79074999999999995"/>
    <n v="70242"/>
    <x v="1"/>
    <n v="175984.7022"/>
    <s v="pending"/>
    <d v="2024-05-10T00:00:00"/>
    <s v="Variable"/>
    <d v="2024-03-25T00:00:00"/>
    <s v="NO"/>
  </r>
  <r>
    <n v="10243"/>
    <n v="6409"/>
    <x v="0"/>
    <n v="65067.56"/>
    <n v="40"/>
    <x v="1"/>
    <x v="2"/>
    <n v="62454.19"/>
    <x v="0"/>
    <s v="WH-B"/>
    <n v="874"/>
    <d v="2024-04-15T00:00:00"/>
    <n v="3"/>
    <n v="90243"/>
    <x v="2"/>
    <d v="2024-03-01T00:00:00"/>
    <n v="0.77449999999999997"/>
    <n v="70243"/>
    <x v="2"/>
    <n v="70795.967399999994"/>
    <s v="pending"/>
    <d v="2024-06-01T00:00:00"/>
    <s v="Variable"/>
    <d v="2024-04-02T00:00:00"/>
    <s v="YES"/>
  </r>
  <r>
    <n v="10244"/>
    <n v="6401"/>
    <x v="1"/>
    <n v="32880.720000000001"/>
    <n v="33"/>
    <x v="0"/>
    <x v="3"/>
    <n v="29596.46"/>
    <x v="1"/>
    <s v="WH-C"/>
    <n v="288"/>
    <d v="2024-02-10T00:00:00"/>
    <n v="7"/>
    <n v="90244"/>
    <x v="2"/>
    <d v="2024-05-18T00:00:00"/>
    <n v="0.58540999999999999"/>
    <n v="70244"/>
    <x v="2"/>
    <n v="67918.010039999994"/>
    <s v="pending"/>
    <d v="2024-05-10T00:00:00"/>
    <s v="Variable"/>
    <d v="2024-04-02T00:00:00"/>
    <s v="YES"/>
  </r>
  <r>
    <n v="10245"/>
    <n v="6307"/>
    <x v="1"/>
    <n v="91260.28"/>
    <n v="92"/>
    <x v="0"/>
    <x v="0"/>
    <n v="87813.74"/>
    <x v="1"/>
    <s v="WH-A"/>
    <n v="351"/>
    <d v="2024-03-10T00:00:00"/>
    <n v="9"/>
    <n v="90245"/>
    <x v="2"/>
    <d v="2024-04-01T00:00:00"/>
    <n v="0.87926000000000004"/>
    <n v="70245"/>
    <x v="1"/>
    <n v="161585.43350000001"/>
    <s v="pending"/>
    <d v="2024-06-01T00:00:00"/>
    <s v="Fixed"/>
    <d v="2024-03-25T00:00:00"/>
    <s v="YES"/>
  </r>
  <r>
    <n v="10246"/>
    <n v="6982"/>
    <x v="1"/>
    <n v="46670.25"/>
    <n v="1"/>
    <x v="2"/>
    <x v="3"/>
    <n v="42906.84"/>
    <x v="1"/>
    <s v="WH-A"/>
    <n v="1465"/>
    <d v="2024-02-10T00:00:00"/>
    <n v="11"/>
    <n v="90246"/>
    <x v="3"/>
    <d v="2024-04-01T00:00:00"/>
    <n v="0.21893000000000001"/>
    <n v="70246"/>
    <x v="1"/>
    <n v="61971.66302"/>
    <s v="Overdue"/>
    <d v="2024-04-10T00:00:00"/>
    <s v="Variable"/>
    <d v="2024-03-25T00:00:00"/>
    <s v="NO"/>
  </r>
  <r>
    <n v="10247"/>
    <n v="5633"/>
    <x v="0"/>
    <n v="14005.86"/>
    <n v="8"/>
    <x v="1"/>
    <x v="2"/>
    <n v="79834.64"/>
    <x v="1"/>
    <s v="WH-A"/>
    <n v="1018"/>
    <d v="2024-04-15T00:00:00"/>
    <n v="10"/>
    <n v="90247"/>
    <x v="2"/>
    <d v="2024-04-01T00:00:00"/>
    <n v="0.63593"/>
    <n v="70247"/>
    <x v="0"/>
    <n v="97924.785000000003"/>
    <s v="Paid"/>
    <d v="2024-04-10T00:00:00"/>
    <s v="Fixed"/>
    <d v="2024-03-25T00:00:00"/>
    <s v="YES"/>
  </r>
  <r>
    <n v="10248"/>
    <n v="5628"/>
    <x v="0"/>
    <n v="89827.9"/>
    <n v="32"/>
    <x v="1"/>
    <x v="2"/>
    <n v="22007.83"/>
    <x v="0"/>
    <s v="WH-C"/>
    <n v="418"/>
    <d v="2024-03-10T00:00:00"/>
    <n v="12"/>
    <n v="90248"/>
    <x v="1"/>
    <d v="2024-04-01T00:00:00"/>
    <n v="0.50441000000000003"/>
    <n v="70248"/>
    <x v="2"/>
    <n v="70743.436499999996"/>
    <s v="Overdue"/>
    <d v="2024-04-10T00:00:00"/>
    <s v="Variable"/>
    <d v="2024-04-02T00:00:00"/>
    <s v="NO"/>
  </r>
  <r>
    <n v="10249"/>
    <n v="5973"/>
    <x v="1"/>
    <n v="71165.600000000006"/>
    <n v="48"/>
    <x v="3"/>
    <x v="2"/>
    <n v="147171.1"/>
    <x v="1"/>
    <s v="WH-A"/>
    <n v="282"/>
    <d v="2024-02-10T00:00:00"/>
    <n v="11"/>
    <n v="90249"/>
    <x v="0"/>
    <d v="2024-03-01T00:00:00"/>
    <n v="0.48005999999999999"/>
    <n v="70249"/>
    <x v="0"/>
    <n v="172979.5226"/>
    <s v="pending"/>
    <d v="2024-05-10T00:00:00"/>
    <s v="Fixed"/>
    <d v="2024-03-25T00:00:00"/>
    <s v="NO"/>
  </r>
  <r>
    <n v="10250"/>
    <n v="6769"/>
    <x v="1"/>
    <n v="26758.58"/>
    <n v="4"/>
    <x v="1"/>
    <x v="3"/>
    <n v="51850.33"/>
    <x v="0"/>
    <s v="WH-A"/>
    <n v="244"/>
    <d v="2024-02-10T00:00:00"/>
    <n v="4"/>
    <n v="90250"/>
    <x v="1"/>
    <d v="2024-03-01T00:00:00"/>
    <n v="0.32729999999999998"/>
    <n v="70250"/>
    <x v="1"/>
    <n v="152496.21090000001"/>
    <s v="pending"/>
    <d v="2024-06-01T00:00:00"/>
    <s v="Variable"/>
    <d v="2024-03-25T00:00:00"/>
    <s v="NO"/>
  </r>
  <r>
    <n v="10251"/>
    <n v="6283"/>
    <x v="1"/>
    <n v="54803.360000000001"/>
    <n v="94"/>
    <x v="2"/>
    <x v="0"/>
    <n v="83306.38"/>
    <x v="1"/>
    <s v="WH-A"/>
    <n v="956"/>
    <d v="2024-03-10T00:00:00"/>
    <n v="7"/>
    <n v="90251"/>
    <x v="3"/>
    <d v="2024-04-01T00:00:00"/>
    <n v="0.43504999999999999"/>
    <n v="70251"/>
    <x v="0"/>
    <n v="175983.43700000001"/>
    <s v="Overdue"/>
    <d v="2024-05-10T00:00:00"/>
    <s v="Variable"/>
    <d v="2024-03-25T00:00:00"/>
    <s v="YES"/>
  </r>
  <r>
    <n v="10252"/>
    <n v="6383"/>
    <x v="1"/>
    <n v="24990.12"/>
    <n v="70"/>
    <x v="3"/>
    <x v="1"/>
    <n v="85614.43"/>
    <x v="1"/>
    <s v="WH-B"/>
    <n v="1085"/>
    <d v="2024-03-10T00:00:00"/>
    <n v="9"/>
    <n v="90252"/>
    <x v="0"/>
    <d v="2024-05-18T00:00:00"/>
    <n v="0.19733999999999999"/>
    <n v="70252"/>
    <x v="1"/>
    <n v="212838.92319999999"/>
    <s v="Paid"/>
    <d v="2024-06-01T00:00:00"/>
    <s v="Variable"/>
    <d v="2024-03-25T00:00:00"/>
    <s v="YES"/>
  </r>
  <r>
    <n v="10253"/>
    <n v="5710"/>
    <x v="1"/>
    <n v="17296.29"/>
    <n v="19"/>
    <x v="3"/>
    <x v="3"/>
    <n v="151512.57"/>
    <x v="1"/>
    <s v="WH-C"/>
    <n v="970"/>
    <d v="2024-04-15T00:00:00"/>
    <n v="14"/>
    <n v="90253"/>
    <x v="2"/>
    <d v="2024-04-01T00:00:00"/>
    <n v="0.32644000000000001"/>
    <n v="70253"/>
    <x v="2"/>
    <n v="161727.80439999999"/>
    <s v="Paid"/>
    <d v="2024-05-10T00:00:00"/>
    <s v="Variable"/>
    <d v="2024-03-25T00:00:00"/>
    <s v="NO"/>
  </r>
  <r>
    <n v="10254"/>
    <n v="6480"/>
    <x v="1"/>
    <n v="82532.350000000006"/>
    <n v="32"/>
    <x v="3"/>
    <x v="2"/>
    <n v="176931.34"/>
    <x v="2"/>
    <s v="WH-C"/>
    <n v="738"/>
    <d v="2024-03-10T00:00:00"/>
    <n v="8"/>
    <n v="90254"/>
    <x v="0"/>
    <d v="2024-03-01T00:00:00"/>
    <n v="0.34477000000000002"/>
    <n v="70254"/>
    <x v="2"/>
    <n v="75042.936419999998"/>
    <s v="pending"/>
    <d v="2024-04-10T00:00:00"/>
    <s v="Fixed"/>
    <d v="2024-03-25T00:00:00"/>
    <s v="YES"/>
  </r>
  <r>
    <n v="10255"/>
    <n v="6435"/>
    <x v="1"/>
    <n v="78717.8"/>
    <n v="9"/>
    <x v="0"/>
    <x v="3"/>
    <n v="128870.44"/>
    <x v="0"/>
    <s v="WH-C"/>
    <n v="226"/>
    <d v="2024-04-15T00:00:00"/>
    <n v="8"/>
    <n v="90255"/>
    <x v="3"/>
    <d v="2024-04-01T00:00:00"/>
    <n v="0.74860000000000004"/>
    <n v="70255"/>
    <x v="1"/>
    <n v="180897.6599"/>
    <s v="pending"/>
    <d v="2024-06-01T00:00:00"/>
    <s v="Variable"/>
    <d v="2024-03-25T00:00:00"/>
    <s v="NO"/>
  </r>
  <r>
    <n v="10256"/>
    <n v="5649"/>
    <x v="0"/>
    <n v="30828.799999999999"/>
    <n v="12"/>
    <x v="0"/>
    <x v="2"/>
    <n v="105314.07"/>
    <x v="1"/>
    <s v="WH-B"/>
    <n v="266"/>
    <d v="2024-02-10T00:00:00"/>
    <n v="9"/>
    <n v="90256"/>
    <x v="3"/>
    <d v="2024-03-01T00:00:00"/>
    <n v="0.14369999999999999"/>
    <n v="70256"/>
    <x v="1"/>
    <n v="81053.131399999998"/>
    <s v="pending"/>
    <d v="2024-05-10T00:00:00"/>
    <s v="Variable"/>
    <d v="2024-03-25T00:00:00"/>
    <s v="YES"/>
  </r>
  <r>
    <n v="10257"/>
    <n v="5318"/>
    <x v="1"/>
    <n v="87726.8"/>
    <n v="11"/>
    <x v="1"/>
    <x v="1"/>
    <n v="29312.23"/>
    <x v="0"/>
    <s v="WH-C"/>
    <n v="1084"/>
    <d v="2024-04-15T00:00:00"/>
    <n v="14"/>
    <n v="90257"/>
    <x v="1"/>
    <d v="2024-04-01T00:00:00"/>
    <n v="0.68606999999999996"/>
    <n v="70257"/>
    <x v="2"/>
    <n v="117629.3849"/>
    <s v="pending"/>
    <d v="2024-06-01T00:00:00"/>
    <s v="Variable"/>
    <d v="2024-03-25T00:00:00"/>
    <s v="YES"/>
  </r>
  <r>
    <n v="10258"/>
    <n v="6701"/>
    <x v="1"/>
    <n v="50828.21"/>
    <n v="46"/>
    <x v="3"/>
    <x v="1"/>
    <n v="85539.25"/>
    <x v="1"/>
    <s v="WH-B"/>
    <n v="679"/>
    <d v="2024-02-10T00:00:00"/>
    <n v="5"/>
    <n v="90258"/>
    <x v="0"/>
    <d v="2024-05-18T00:00:00"/>
    <n v="0.29926999999999998"/>
    <n v="70258"/>
    <x v="2"/>
    <n v="147693.69099"/>
    <s v="Paid"/>
    <d v="2024-06-01T00:00:00"/>
    <s v="Variable"/>
    <d v="2024-03-25T00:00:00"/>
    <s v="YES"/>
  </r>
  <r>
    <n v="10259"/>
    <n v="6249"/>
    <x v="1"/>
    <n v="48039.43"/>
    <n v="16"/>
    <x v="2"/>
    <x v="0"/>
    <n v="127930.26"/>
    <x v="1"/>
    <s v="WH-B"/>
    <n v="213"/>
    <d v="2024-03-10T00:00:00"/>
    <n v="14"/>
    <n v="90259"/>
    <x v="0"/>
    <d v="2024-04-01T00:00:00"/>
    <n v="0.17368"/>
    <n v="70259"/>
    <x v="2"/>
    <n v="219596.15979999999"/>
    <s v="Overdue"/>
    <d v="2024-05-10T00:00:00"/>
    <s v="Variable"/>
    <d v="2024-03-25T00:00:00"/>
    <s v="NO"/>
  </r>
  <r>
    <n v="10260"/>
    <n v="6843"/>
    <x v="1"/>
    <n v="89560.86"/>
    <n v="1"/>
    <x v="0"/>
    <x v="2"/>
    <n v="52908.73"/>
    <x v="1"/>
    <s v="WH-C"/>
    <n v="102"/>
    <d v="2024-02-10T00:00:00"/>
    <n v="5"/>
    <n v="90260"/>
    <x v="0"/>
    <d v="2024-05-18T00:00:00"/>
    <n v="0.37073"/>
    <n v="70260"/>
    <x v="1"/>
    <n v="159785.53"/>
    <s v="Paid"/>
    <d v="2024-05-10T00:00:00"/>
    <s v="Fixed"/>
    <d v="2024-03-25T00:00:00"/>
    <s v="YES"/>
  </r>
  <r>
    <n v="10261"/>
    <n v="6258"/>
    <x v="1"/>
    <n v="38985.86"/>
    <n v="63"/>
    <x v="2"/>
    <x v="0"/>
    <n v="36882.89"/>
    <x v="0"/>
    <s v="WH-A"/>
    <n v="267"/>
    <d v="2024-03-10T00:00:00"/>
    <n v="3"/>
    <n v="90261"/>
    <x v="1"/>
    <d v="2024-05-18T00:00:00"/>
    <n v="0.30203000000000002"/>
    <n v="70261"/>
    <x v="1"/>
    <n v="139146.7157"/>
    <s v="Overdue"/>
    <d v="2024-06-01T00:00:00"/>
    <s v="Variable"/>
    <d v="2024-04-02T00:00:00"/>
    <s v="YES"/>
  </r>
  <r>
    <n v="10262"/>
    <n v="5684"/>
    <x v="1"/>
    <n v="64579.54"/>
    <n v="21"/>
    <x v="2"/>
    <x v="0"/>
    <n v="157603.16"/>
    <x v="1"/>
    <s v="WH-A"/>
    <n v="1048"/>
    <d v="2024-02-10T00:00:00"/>
    <n v="5"/>
    <n v="90262"/>
    <x v="3"/>
    <d v="2024-04-01T00:00:00"/>
    <n v="0.59682999999999997"/>
    <n v="70262"/>
    <x v="1"/>
    <n v="97054.775420000005"/>
    <s v="pending"/>
    <d v="2024-06-01T00:00:00"/>
    <s v="Variable"/>
    <d v="2024-03-25T00:00:00"/>
    <s v="YES"/>
  </r>
  <r>
    <n v="10263"/>
    <n v="5664"/>
    <x v="1"/>
    <n v="58634.86"/>
    <n v="30"/>
    <x v="0"/>
    <x v="1"/>
    <n v="147209.69"/>
    <x v="1"/>
    <s v="WH-C"/>
    <n v="873"/>
    <d v="2024-02-10T00:00:00"/>
    <n v="8"/>
    <n v="90263"/>
    <x v="2"/>
    <d v="2024-05-18T00:00:00"/>
    <n v="0.42164000000000001"/>
    <n v="70263"/>
    <x v="0"/>
    <n v="68445.076629999996"/>
    <s v="pending"/>
    <d v="2024-04-10T00:00:00"/>
    <s v="Variable"/>
    <d v="2024-04-02T00:00:00"/>
    <s v="YES"/>
  </r>
  <r>
    <n v="10264"/>
    <n v="6999"/>
    <x v="1"/>
    <n v="42947.78"/>
    <n v="13"/>
    <x v="0"/>
    <x v="3"/>
    <n v="48270.44"/>
    <x v="1"/>
    <s v="WH-C"/>
    <n v="1433"/>
    <d v="2024-02-10T00:00:00"/>
    <n v="12"/>
    <n v="90264"/>
    <x v="0"/>
    <d v="2024-05-18T00:00:00"/>
    <n v="0.96938999999999997"/>
    <n v="70264"/>
    <x v="1"/>
    <n v="97971.010699999999"/>
    <s v="Overdue"/>
    <d v="2024-06-01T00:00:00"/>
    <s v="Variable"/>
    <d v="2024-03-25T00:00:00"/>
    <s v="YES"/>
  </r>
  <r>
    <n v="10265"/>
    <n v="6851"/>
    <x v="1"/>
    <n v="68952.460000000006"/>
    <n v="34"/>
    <x v="0"/>
    <x v="3"/>
    <n v="43861.03"/>
    <x v="0"/>
    <s v="WH-B"/>
    <n v="434"/>
    <d v="2024-02-10T00:00:00"/>
    <n v="5"/>
    <n v="90265"/>
    <x v="1"/>
    <d v="2024-03-01T00:00:00"/>
    <n v="0.96718999999999999"/>
    <n v="70265"/>
    <x v="2"/>
    <n v="73548.487089999995"/>
    <s v="pending"/>
    <d v="2024-04-10T00:00:00"/>
    <s v="Fixed"/>
    <d v="2024-03-25T00:00:00"/>
    <s v="YES"/>
  </r>
  <r>
    <n v="10266"/>
    <n v="6398"/>
    <x v="1"/>
    <n v="30995.22"/>
    <n v="4"/>
    <x v="0"/>
    <x v="0"/>
    <n v="34081.58"/>
    <x v="1"/>
    <s v="WH-C"/>
    <n v="105"/>
    <d v="2024-04-15T00:00:00"/>
    <n v="4"/>
    <n v="90266"/>
    <x v="1"/>
    <d v="2024-03-01T00:00:00"/>
    <n v="0.49934000000000001"/>
    <n v="70266"/>
    <x v="1"/>
    <n v="102079.51420000001"/>
    <s v="Paid"/>
    <d v="2024-04-10T00:00:00"/>
    <s v="Fixed"/>
    <d v="2024-03-25T00:00:00"/>
    <s v="YES"/>
  </r>
  <r>
    <n v="10267"/>
    <n v="6696"/>
    <x v="0"/>
    <n v="35765.269999999997"/>
    <n v="28"/>
    <x v="3"/>
    <x v="1"/>
    <n v="142199.79"/>
    <x v="2"/>
    <s v="WH-B"/>
    <n v="167"/>
    <d v="2024-02-10T00:00:00"/>
    <n v="8"/>
    <n v="90267"/>
    <x v="2"/>
    <d v="2024-05-18T00:00:00"/>
    <n v="0.81557999999999997"/>
    <n v="70267"/>
    <x v="2"/>
    <n v="154307.24650000001"/>
    <s v="pending"/>
    <d v="2024-04-10T00:00:00"/>
    <s v="Variable"/>
    <d v="2024-04-02T00:00:00"/>
    <s v="YES"/>
  </r>
  <r>
    <n v="10268"/>
    <n v="6632"/>
    <x v="1"/>
    <n v="21427.79"/>
    <n v="95"/>
    <x v="3"/>
    <x v="2"/>
    <n v="99414.56"/>
    <x v="1"/>
    <s v="WH-C"/>
    <n v="949"/>
    <d v="2024-04-15T00:00:00"/>
    <n v="7"/>
    <n v="90268"/>
    <x v="3"/>
    <d v="2024-04-01T00:00:00"/>
    <n v="0.11194"/>
    <n v="70268"/>
    <x v="1"/>
    <n v="170184.63959999999"/>
    <s v="pending"/>
    <d v="2024-06-01T00:00:00"/>
    <s v="Variable"/>
    <d v="2024-03-25T00:00:00"/>
    <s v="YES"/>
  </r>
  <r>
    <n v="10269"/>
    <n v="6496"/>
    <x v="1"/>
    <n v="67599.37"/>
    <n v="59"/>
    <x v="3"/>
    <x v="3"/>
    <n v="167471.26999999999"/>
    <x v="2"/>
    <s v="WH-A"/>
    <n v="1326"/>
    <d v="2024-03-10T00:00:00"/>
    <n v="14"/>
    <n v="90269"/>
    <x v="0"/>
    <d v="2024-05-18T00:00:00"/>
    <n v="0.59302999999999995"/>
    <n v="70269"/>
    <x v="0"/>
    <n v="92257.693299999999"/>
    <s v="pending"/>
    <d v="2024-04-10T00:00:00"/>
    <s v="Fixed"/>
    <d v="2024-03-25T00:00:00"/>
    <s v="YES"/>
  </r>
  <r>
    <n v="10270"/>
    <n v="6257"/>
    <x v="1"/>
    <n v="10098.719999999999"/>
    <n v="27"/>
    <x v="3"/>
    <x v="0"/>
    <n v="75407.850000000006"/>
    <x v="1"/>
    <s v="WH-A"/>
    <n v="847"/>
    <d v="2024-03-10T00:00:00"/>
    <n v="14"/>
    <n v="90270"/>
    <x v="0"/>
    <d v="2024-04-01T00:00:00"/>
    <n v="0.76897000000000004"/>
    <n v="70270"/>
    <x v="0"/>
    <n v="144443.15220000001"/>
    <s v="pending"/>
    <d v="2024-06-01T00:00:00"/>
    <s v="Fixed"/>
    <d v="2024-04-02T00:00:00"/>
    <s v="YES"/>
  </r>
  <r>
    <n v="10271"/>
    <n v="6716"/>
    <x v="1"/>
    <n v="18587.52"/>
    <n v="69"/>
    <x v="1"/>
    <x v="3"/>
    <n v="143985.35"/>
    <x v="1"/>
    <s v="WH-C"/>
    <n v="829"/>
    <d v="2024-04-15T00:00:00"/>
    <n v="6"/>
    <n v="90271"/>
    <x v="1"/>
    <d v="2024-03-01T00:00:00"/>
    <n v="0.29525000000000001"/>
    <n v="70271"/>
    <x v="1"/>
    <n v="76382.471300000005"/>
    <s v="Paid"/>
    <d v="2024-06-01T00:00:00"/>
    <s v="Fixed"/>
    <d v="2024-03-25T00:00:00"/>
    <s v="NO"/>
  </r>
  <r>
    <n v="10272"/>
    <n v="6137"/>
    <x v="1"/>
    <n v="77508.710000000006"/>
    <n v="25"/>
    <x v="3"/>
    <x v="3"/>
    <n v="18308.73"/>
    <x v="0"/>
    <s v="WH-B"/>
    <n v="1065"/>
    <d v="2024-03-10T00:00:00"/>
    <n v="5"/>
    <n v="90272"/>
    <x v="3"/>
    <d v="2024-04-01T00:00:00"/>
    <n v="0.15504999999999999"/>
    <n v="70272"/>
    <x v="2"/>
    <n v="99620.077829999995"/>
    <s v="Overdue"/>
    <d v="2024-05-10T00:00:00"/>
    <s v="Variable"/>
    <d v="2024-03-25T00:00:00"/>
    <s v="YES"/>
  </r>
  <r>
    <n v="10273"/>
    <n v="6854"/>
    <x v="0"/>
    <n v="62834.239999999998"/>
    <n v="3"/>
    <x v="0"/>
    <x v="2"/>
    <n v="115166.52"/>
    <x v="2"/>
    <s v="WH-A"/>
    <n v="852"/>
    <d v="2024-03-10T00:00:00"/>
    <n v="14"/>
    <n v="90273"/>
    <x v="0"/>
    <d v="2024-05-18T00:00:00"/>
    <n v="0.24032999999999999"/>
    <n v="70273"/>
    <x v="0"/>
    <n v="123268.66147000001"/>
    <s v="pending"/>
    <d v="2024-06-01T00:00:00"/>
    <s v="Variable"/>
    <d v="2024-04-02T00:00:00"/>
    <s v="YES"/>
  </r>
  <r>
    <n v="10274"/>
    <n v="6521"/>
    <x v="1"/>
    <n v="81163.77"/>
    <n v="97"/>
    <x v="2"/>
    <x v="1"/>
    <n v="170786.42"/>
    <x v="1"/>
    <s v="WH-B"/>
    <n v="894"/>
    <d v="2024-02-10T00:00:00"/>
    <n v="5"/>
    <n v="90274"/>
    <x v="2"/>
    <d v="2024-05-18T00:00:00"/>
    <n v="0.49765999999999999"/>
    <n v="70274"/>
    <x v="1"/>
    <n v="172634.55001000001"/>
    <s v="pending"/>
    <d v="2024-06-01T00:00:00"/>
    <s v="Variable"/>
    <d v="2024-03-25T00:00:00"/>
    <s v="NO"/>
  </r>
  <r>
    <n v="10275"/>
    <n v="5442"/>
    <x v="1"/>
    <n v="38266.89"/>
    <n v="68"/>
    <x v="3"/>
    <x v="2"/>
    <n v="175710"/>
    <x v="2"/>
    <s v="WH-C"/>
    <n v="1253"/>
    <d v="2024-02-10T00:00:00"/>
    <n v="13"/>
    <n v="90275"/>
    <x v="3"/>
    <d v="2024-05-18T00:00:00"/>
    <n v="0.55572999999999995"/>
    <n v="70275"/>
    <x v="2"/>
    <n v="104722.80349000001"/>
    <s v="Paid"/>
    <d v="2024-04-10T00:00:00"/>
    <s v="Variable"/>
    <d v="2024-03-25T00:00:00"/>
    <s v="NO"/>
  </r>
  <r>
    <n v="10276"/>
    <n v="5564"/>
    <x v="1"/>
    <n v="17083.23"/>
    <n v="25"/>
    <x v="1"/>
    <x v="1"/>
    <n v="102401.25"/>
    <x v="1"/>
    <s v="WH-C"/>
    <n v="1488"/>
    <d v="2024-02-10T00:00:00"/>
    <n v="10"/>
    <n v="90276"/>
    <x v="3"/>
    <d v="2024-05-18T00:00:00"/>
    <n v="0.44280000000000003"/>
    <n v="70276"/>
    <x v="0"/>
    <n v="210747.21100000001"/>
    <s v="Paid"/>
    <d v="2024-06-01T00:00:00"/>
    <s v="Fixed"/>
    <d v="2024-03-25T00:00:00"/>
    <s v="NO"/>
  </r>
  <r>
    <n v="10277"/>
    <n v="6292"/>
    <x v="1"/>
    <n v="71629.710000000006"/>
    <n v="20"/>
    <x v="0"/>
    <x v="3"/>
    <n v="121259.44"/>
    <x v="1"/>
    <s v="WH-A"/>
    <n v="1308"/>
    <d v="2024-04-15T00:00:00"/>
    <n v="2"/>
    <n v="90277"/>
    <x v="1"/>
    <d v="2024-05-18T00:00:00"/>
    <n v="0.49597999999999998"/>
    <n v="70277"/>
    <x v="1"/>
    <n v="102964.61659999999"/>
    <s v="Paid"/>
    <d v="2024-06-01T00:00:00"/>
    <s v="Variable"/>
    <d v="2024-03-25T00:00:00"/>
    <s v="YES"/>
  </r>
  <r>
    <n v="10278"/>
    <n v="6534"/>
    <x v="1"/>
    <n v="26794.69"/>
    <n v="34"/>
    <x v="2"/>
    <x v="0"/>
    <n v="27334.07"/>
    <x v="1"/>
    <s v="WH-C"/>
    <n v="904"/>
    <d v="2024-04-15T00:00:00"/>
    <n v="13"/>
    <n v="90278"/>
    <x v="1"/>
    <d v="2024-04-01T00:00:00"/>
    <n v="0.52320999999999995"/>
    <n v="70278"/>
    <x v="2"/>
    <n v="106724.8928"/>
    <s v="pending"/>
    <d v="2024-05-10T00:00:00"/>
    <s v="Variable"/>
    <d v="2024-04-02T00:00:00"/>
    <s v="NO"/>
  </r>
  <r>
    <n v="10279"/>
    <n v="6831"/>
    <x v="0"/>
    <n v="39504.1"/>
    <n v="26"/>
    <x v="2"/>
    <x v="2"/>
    <n v="46035.21"/>
    <x v="0"/>
    <s v="WH-A"/>
    <n v="757"/>
    <d v="2024-03-10T00:00:00"/>
    <n v="4"/>
    <n v="90279"/>
    <x v="0"/>
    <d v="2024-05-18T00:00:00"/>
    <n v="0.79249000000000003"/>
    <n v="70279"/>
    <x v="0"/>
    <n v="114907.8808"/>
    <s v="Overdue"/>
    <d v="2024-05-10T00:00:00"/>
    <s v="Variable"/>
    <d v="2024-03-25T00:00:00"/>
    <s v="YES"/>
  </r>
  <r>
    <n v="10280"/>
    <n v="6410"/>
    <x v="1"/>
    <n v="41249.15"/>
    <n v="5"/>
    <x v="3"/>
    <x v="1"/>
    <n v="142376.72"/>
    <x v="1"/>
    <s v="WH-B"/>
    <n v="1153"/>
    <d v="2024-02-10T00:00:00"/>
    <n v="8"/>
    <n v="90280"/>
    <x v="1"/>
    <d v="2024-03-01T00:00:00"/>
    <n v="0.19472"/>
    <n v="70280"/>
    <x v="1"/>
    <n v="80158.502800000002"/>
    <s v="Paid"/>
    <d v="2024-04-10T00:00:00"/>
    <s v="Variable"/>
    <d v="2024-03-25T00:00:00"/>
    <s v="NO"/>
  </r>
  <r>
    <n v="10281"/>
    <n v="6411"/>
    <x v="1"/>
    <n v="62819.99"/>
    <n v="99"/>
    <x v="2"/>
    <x v="3"/>
    <n v="171467.5"/>
    <x v="0"/>
    <s v="WH-A"/>
    <n v="71"/>
    <d v="2024-04-15T00:00:00"/>
    <n v="8"/>
    <n v="90281"/>
    <x v="3"/>
    <d v="2024-05-18T00:00:00"/>
    <n v="0.79205999999999999"/>
    <n v="70281"/>
    <x v="2"/>
    <n v="137001.8463"/>
    <s v="Paid"/>
    <d v="2024-04-10T00:00:00"/>
    <s v="Variable"/>
    <d v="2024-04-02T00:00:00"/>
    <s v="YES"/>
  </r>
  <r>
    <n v="10282"/>
    <n v="6137"/>
    <x v="1"/>
    <n v="80285.02"/>
    <n v="61"/>
    <x v="3"/>
    <x v="1"/>
    <n v="133343.32"/>
    <x v="1"/>
    <s v="WH-A"/>
    <n v="892"/>
    <d v="2024-04-15T00:00:00"/>
    <n v="11"/>
    <n v="90282"/>
    <x v="0"/>
    <d v="2024-04-01T00:00:00"/>
    <n v="0.71975999999999996"/>
    <n v="70282"/>
    <x v="1"/>
    <n v="143615.86707000001"/>
    <s v="Paid"/>
    <d v="2024-05-10T00:00:00"/>
    <s v="Fixed"/>
    <d v="2024-03-25T00:00:00"/>
    <s v="NO"/>
  </r>
  <r>
    <n v="10283"/>
    <n v="6637"/>
    <x v="1"/>
    <n v="52615.53"/>
    <n v="92"/>
    <x v="3"/>
    <x v="1"/>
    <n v="87949.18"/>
    <x v="2"/>
    <s v="WH-B"/>
    <n v="1166"/>
    <d v="2024-02-10T00:00:00"/>
    <n v="1"/>
    <n v="90283"/>
    <x v="0"/>
    <d v="2024-05-18T00:00:00"/>
    <n v="0.76749000000000001"/>
    <n v="70283"/>
    <x v="2"/>
    <n v="179340.51569999999"/>
    <s v="Overdue"/>
    <d v="2024-05-10T00:00:00"/>
    <s v="Fixed"/>
    <d v="2024-03-25T00:00:00"/>
    <s v="NO"/>
  </r>
  <r>
    <n v="10284"/>
    <n v="6649"/>
    <x v="1"/>
    <n v="76978.240000000005"/>
    <n v="93"/>
    <x v="0"/>
    <x v="1"/>
    <n v="96814.66"/>
    <x v="0"/>
    <s v="WH-A"/>
    <n v="241"/>
    <d v="2024-04-15T00:00:00"/>
    <n v="2"/>
    <n v="90284"/>
    <x v="3"/>
    <d v="2024-05-18T00:00:00"/>
    <n v="0.76102000000000003"/>
    <n v="70284"/>
    <x v="1"/>
    <n v="189958.565"/>
    <s v="pending"/>
    <d v="2024-06-01T00:00:00"/>
    <s v="Variable"/>
    <d v="2024-03-25T00:00:00"/>
    <s v="YES"/>
  </r>
  <r>
    <n v="10285"/>
    <n v="5952"/>
    <x v="1"/>
    <n v="42477.18"/>
    <n v="9"/>
    <x v="0"/>
    <x v="3"/>
    <n v="85095.18"/>
    <x v="1"/>
    <s v="WH-A"/>
    <n v="1068"/>
    <d v="2024-02-10T00:00:00"/>
    <n v="5"/>
    <n v="90285"/>
    <x v="0"/>
    <d v="2024-04-01T00:00:00"/>
    <n v="0.52353000000000005"/>
    <n v="70285"/>
    <x v="2"/>
    <n v="73214.905299999999"/>
    <s v="pending"/>
    <d v="2024-04-10T00:00:00"/>
    <s v="Fixed"/>
    <d v="2024-03-25T00:00:00"/>
    <s v="NO"/>
  </r>
  <r>
    <n v="10286"/>
    <n v="6105"/>
    <x v="0"/>
    <n v="43034.74"/>
    <n v="50"/>
    <x v="1"/>
    <x v="0"/>
    <n v="136694.32"/>
    <x v="2"/>
    <s v="WH-C"/>
    <n v="1176"/>
    <d v="2024-03-10T00:00:00"/>
    <n v="9"/>
    <n v="90286"/>
    <x v="2"/>
    <d v="2024-05-18T00:00:00"/>
    <n v="0.29026000000000002"/>
    <n v="70286"/>
    <x v="1"/>
    <n v="110743.4354"/>
    <s v="pending"/>
    <d v="2024-04-10T00:00:00"/>
    <s v="Variable"/>
    <d v="2024-03-25T00:00:00"/>
    <s v="YES"/>
  </r>
  <r>
    <n v="10287"/>
    <n v="5699"/>
    <x v="1"/>
    <n v="82102.240000000005"/>
    <n v="6"/>
    <x v="0"/>
    <x v="0"/>
    <n v="108610.56"/>
    <x v="1"/>
    <s v="WH-B"/>
    <n v="445"/>
    <d v="2024-03-10T00:00:00"/>
    <n v="10"/>
    <n v="90287"/>
    <x v="2"/>
    <d v="2024-04-01T00:00:00"/>
    <n v="0.58296999999999999"/>
    <n v="70287"/>
    <x v="1"/>
    <n v="98532.041500000007"/>
    <s v="Paid"/>
    <d v="2024-06-01T00:00:00"/>
    <s v="Variable"/>
    <d v="2024-03-25T00:00:00"/>
    <s v="NO"/>
  </r>
  <r>
    <n v="10288"/>
    <n v="5113"/>
    <x v="1"/>
    <n v="76303.66"/>
    <n v="83"/>
    <x v="0"/>
    <x v="0"/>
    <n v="107415.38"/>
    <x v="1"/>
    <s v="WH-A"/>
    <n v="1080"/>
    <d v="2024-03-10T00:00:00"/>
    <n v="11"/>
    <n v="90288"/>
    <x v="0"/>
    <d v="2024-05-18T00:00:00"/>
    <n v="0.96218000000000004"/>
    <n v="70288"/>
    <x v="1"/>
    <n v="192965.44884999999"/>
    <s v="pending"/>
    <d v="2024-06-01T00:00:00"/>
    <s v="Variable"/>
    <d v="2024-03-25T00:00:00"/>
    <s v="NO"/>
  </r>
  <r>
    <n v="10289"/>
    <n v="5002"/>
    <x v="1"/>
    <n v="79232.100000000006"/>
    <n v="60"/>
    <x v="3"/>
    <x v="1"/>
    <n v="116977.98"/>
    <x v="1"/>
    <s v="WH-B"/>
    <n v="689"/>
    <d v="2024-02-10T00:00:00"/>
    <n v="12"/>
    <n v="90289"/>
    <x v="1"/>
    <d v="2024-03-01T00:00:00"/>
    <n v="0.62966999999999995"/>
    <n v="70289"/>
    <x v="2"/>
    <n v="133529.88510000001"/>
    <s v="Paid"/>
    <d v="2024-04-10T00:00:00"/>
    <s v="Variable"/>
    <d v="2024-03-25T00:00:00"/>
    <s v="YES"/>
  </r>
  <r>
    <n v="10290"/>
    <n v="5642"/>
    <x v="1"/>
    <n v="78562.559999999998"/>
    <n v="44"/>
    <x v="0"/>
    <x v="3"/>
    <n v="149122.18"/>
    <x v="1"/>
    <s v="WH-B"/>
    <n v="1068"/>
    <d v="2024-04-15T00:00:00"/>
    <n v="13"/>
    <n v="90290"/>
    <x v="2"/>
    <d v="2024-05-18T00:00:00"/>
    <n v="0.10994"/>
    <n v="70290"/>
    <x v="0"/>
    <n v="79593.447549999997"/>
    <s v="Overdue"/>
    <d v="2024-05-10T00:00:00"/>
    <s v="Fixed"/>
    <d v="2024-04-02T00:00:00"/>
    <s v="YES"/>
  </r>
  <r>
    <n v="10291"/>
    <n v="5220"/>
    <x v="1"/>
    <n v="72161.86"/>
    <n v="11"/>
    <x v="3"/>
    <x v="1"/>
    <n v="52873.68"/>
    <x v="1"/>
    <s v="WH-A"/>
    <n v="616"/>
    <d v="2024-03-10T00:00:00"/>
    <n v="11"/>
    <n v="90291"/>
    <x v="0"/>
    <d v="2024-04-01T00:00:00"/>
    <n v="0.15373999999999999"/>
    <n v="70291"/>
    <x v="1"/>
    <n v="101352.62"/>
    <s v="Overdue"/>
    <d v="2024-05-10T00:00:00"/>
    <s v="Variable"/>
    <d v="2024-03-25T00:00:00"/>
    <s v="YES"/>
  </r>
  <r>
    <n v="10292"/>
    <n v="6590"/>
    <x v="1"/>
    <n v="34299.31"/>
    <n v="66"/>
    <x v="3"/>
    <x v="0"/>
    <n v="87781.32"/>
    <x v="2"/>
    <s v="WH-C"/>
    <n v="280"/>
    <d v="2024-03-10T00:00:00"/>
    <n v="7"/>
    <n v="90292"/>
    <x v="2"/>
    <d v="2024-03-01T00:00:00"/>
    <n v="0.99358000000000002"/>
    <n v="70292"/>
    <x v="2"/>
    <n v="99077.303599999999"/>
    <s v="pending"/>
    <d v="2024-06-01T00:00:00"/>
    <s v="Fixed"/>
    <d v="2024-04-02T00:00:00"/>
    <s v="YES"/>
  </r>
  <r>
    <n v="10293"/>
    <n v="5855"/>
    <x v="0"/>
    <n v="60875.82"/>
    <n v="47"/>
    <x v="0"/>
    <x v="0"/>
    <n v="75945.149999999994"/>
    <x v="1"/>
    <s v="WH-B"/>
    <n v="923"/>
    <d v="2024-03-10T00:00:00"/>
    <n v="10"/>
    <n v="90293"/>
    <x v="1"/>
    <d v="2024-04-01T00:00:00"/>
    <n v="0.16475000000000001"/>
    <n v="70293"/>
    <x v="1"/>
    <n v="205511.21280000001"/>
    <s v="Paid"/>
    <d v="2024-04-10T00:00:00"/>
    <s v="Fixed"/>
    <d v="2024-03-25T00:00:00"/>
    <s v="YES"/>
  </r>
  <r>
    <n v="10294"/>
    <n v="6760"/>
    <x v="1"/>
    <n v="27417.279999999999"/>
    <n v="73"/>
    <x v="1"/>
    <x v="3"/>
    <n v="129952.19"/>
    <x v="0"/>
    <s v="WH-A"/>
    <n v="623"/>
    <d v="2024-04-15T00:00:00"/>
    <n v="5"/>
    <n v="90294"/>
    <x v="3"/>
    <d v="2024-05-18T00:00:00"/>
    <n v="0.14144000000000001"/>
    <n v="70294"/>
    <x v="2"/>
    <n v="123168.93528999999"/>
    <s v="Paid"/>
    <d v="2024-06-01T00:00:00"/>
    <s v="Fixed"/>
    <d v="2024-03-25T00:00:00"/>
    <s v="NO"/>
  </r>
  <r>
    <n v="10295"/>
    <n v="6249"/>
    <x v="1"/>
    <n v="31303.35"/>
    <n v="85"/>
    <x v="1"/>
    <x v="1"/>
    <n v="126872.18"/>
    <x v="0"/>
    <s v="WH-B"/>
    <n v="289"/>
    <d v="2024-04-15T00:00:00"/>
    <n v="1"/>
    <n v="90295"/>
    <x v="0"/>
    <d v="2024-03-01T00:00:00"/>
    <n v="0.41771999999999998"/>
    <n v="70295"/>
    <x v="2"/>
    <n v="98930.238299999997"/>
    <s v="pending"/>
    <d v="2024-05-10T00:00:00"/>
    <s v="Fixed"/>
    <d v="2024-04-02T00:00:00"/>
    <s v="YES"/>
  </r>
  <r>
    <n v="10296"/>
    <n v="5385"/>
    <x v="1"/>
    <n v="32972.15"/>
    <n v="88"/>
    <x v="2"/>
    <x v="2"/>
    <n v="42711.85"/>
    <x v="1"/>
    <s v="WH-C"/>
    <n v="139"/>
    <d v="2024-02-10T00:00:00"/>
    <n v="6"/>
    <n v="90296"/>
    <x v="0"/>
    <d v="2024-04-01T00:00:00"/>
    <n v="0.97238999999999998"/>
    <n v="70296"/>
    <x v="1"/>
    <n v="88891.964720000004"/>
    <s v="Overdue"/>
    <d v="2024-05-10T00:00:00"/>
    <s v="Variable"/>
    <d v="2024-03-25T00:00:00"/>
    <s v="YES"/>
  </r>
  <r>
    <n v="10297"/>
    <n v="6427"/>
    <x v="1"/>
    <n v="15595.08"/>
    <n v="98"/>
    <x v="2"/>
    <x v="2"/>
    <n v="78484.92"/>
    <x v="0"/>
    <s v="WH-C"/>
    <n v="281"/>
    <d v="2024-03-10T00:00:00"/>
    <n v="12"/>
    <n v="90297"/>
    <x v="0"/>
    <d v="2024-03-01T00:00:00"/>
    <n v="0.38680999999999999"/>
    <n v="70297"/>
    <x v="0"/>
    <n v="116131.45394000001"/>
    <s v="Overdue"/>
    <d v="2024-06-01T00:00:00"/>
    <s v="Variable"/>
    <d v="2024-04-02T00:00:00"/>
    <s v="NO"/>
  </r>
  <r>
    <n v="10298"/>
    <n v="6662"/>
    <x v="0"/>
    <n v="25109.62"/>
    <n v="86"/>
    <x v="0"/>
    <x v="0"/>
    <n v="42969"/>
    <x v="1"/>
    <s v="WH-C"/>
    <n v="506"/>
    <d v="2024-04-15T00:00:00"/>
    <n v="8"/>
    <n v="90298"/>
    <x v="0"/>
    <d v="2024-03-01T00:00:00"/>
    <n v="0.46889999999999998"/>
    <n v="70298"/>
    <x v="1"/>
    <n v="186021.93296999999"/>
    <s v="Overdue"/>
    <d v="2024-05-10T00:00:00"/>
    <s v="Variable"/>
    <d v="2024-03-25T00:00:00"/>
    <s v="NO"/>
  </r>
  <r>
    <n v="10299"/>
    <n v="6154"/>
    <x v="1"/>
    <n v="59249.66"/>
    <n v="3"/>
    <x v="1"/>
    <x v="3"/>
    <n v="77404.78"/>
    <x v="2"/>
    <s v="WH-A"/>
    <n v="282"/>
    <d v="2024-02-10T00:00:00"/>
    <n v="7"/>
    <n v="90299"/>
    <x v="0"/>
    <d v="2024-04-01T00:00:00"/>
    <n v="0.67066999999999999"/>
    <n v="70299"/>
    <x v="1"/>
    <n v="131068.8869"/>
    <s v="Overdue"/>
    <d v="2024-04-10T00:00:00"/>
    <s v="Variable"/>
    <d v="2024-03-25T00:00:00"/>
    <s v="NO"/>
  </r>
  <r>
    <n v="10300"/>
    <n v="6077"/>
    <x v="1"/>
    <n v="92891.34"/>
    <n v="76"/>
    <x v="3"/>
    <x v="1"/>
    <n v="137181.70000000001"/>
    <x v="0"/>
    <s v="WH-A"/>
    <n v="403"/>
    <d v="2024-03-10T00:00:00"/>
    <n v="2"/>
    <n v="90300"/>
    <x v="0"/>
    <d v="2024-03-01T00:00:00"/>
    <n v="0.1217"/>
    <n v="70300"/>
    <x v="1"/>
    <n v="108704.5922"/>
    <s v="Overdue"/>
    <d v="2024-06-01T00:00:00"/>
    <s v="Variable"/>
    <d v="2024-03-25T00:00:00"/>
    <s v="NO"/>
  </r>
  <r>
    <n v="10301"/>
    <n v="6708"/>
    <x v="1"/>
    <n v="67372.740000000005"/>
    <n v="92"/>
    <x v="2"/>
    <x v="1"/>
    <n v="121255.18"/>
    <x v="0"/>
    <s v="WH-C"/>
    <n v="1054"/>
    <d v="2024-04-15T00:00:00"/>
    <n v="12"/>
    <n v="90301"/>
    <x v="1"/>
    <d v="2024-04-01T00:00:00"/>
    <n v="0.90798999999999996"/>
    <n v="70301"/>
    <x v="1"/>
    <n v="137902.25341999999"/>
    <s v="pending"/>
    <d v="2024-06-01T00:00:00"/>
    <s v="Variable"/>
    <d v="2024-03-25T00:00:00"/>
    <s v="YES"/>
  </r>
  <r>
    <n v="10302"/>
    <n v="5730"/>
    <x v="1"/>
    <n v="13866.76"/>
    <n v="30"/>
    <x v="3"/>
    <x v="0"/>
    <n v="174239.91"/>
    <x v="1"/>
    <s v="WH-A"/>
    <n v="1406"/>
    <d v="2024-04-15T00:00:00"/>
    <n v="5"/>
    <n v="90302"/>
    <x v="3"/>
    <d v="2024-03-01T00:00:00"/>
    <n v="0.5675"/>
    <n v="70302"/>
    <x v="1"/>
    <n v="107128.5977"/>
    <s v="pending"/>
    <d v="2024-06-01T00:00:00"/>
    <s v="Variable"/>
    <d v="2024-03-25T00:00:00"/>
    <s v="NO"/>
  </r>
  <r>
    <n v="10303"/>
    <n v="6696"/>
    <x v="1"/>
    <n v="42639.06"/>
    <n v="90"/>
    <x v="2"/>
    <x v="0"/>
    <n v="38725.269999999997"/>
    <x v="0"/>
    <s v="WH-C"/>
    <n v="488"/>
    <d v="2024-02-10T00:00:00"/>
    <n v="14"/>
    <n v="90303"/>
    <x v="1"/>
    <d v="2024-03-01T00:00:00"/>
    <n v="0.52012999999999998"/>
    <n v="70303"/>
    <x v="0"/>
    <n v="197528.82260000001"/>
    <s v="pending"/>
    <d v="2024-05-10T00:00:00"/>
    <s v="Fixed"/>
    <d v="2024-03-25T00:00:00"/>
    <s v="NO"/>
  </r>
  <r>
    <n v="10304"/>
    <n v="6734"/>
    <x v="1"/>
    <n v="42664.75"/>
    <n v="21"/>
    <x v="0"/>
    <x v="1"/>
    <n v="140510.37"/>
    <x v="1"/>
    <s v="WH-A"/>
    <n v="1448"/>
    <d v="2024-03-10T00:00:00"/>
    <n v="11"/>
    <n v="90304"/>
    <x v="1"/>
    <d v="2024-03-01T00:00:00"/>
    <n v="0.87465000000000004"/>
    <n v="70304"/>
    <x v="1"/>
    <n v="78471.549599999998"/>
    <s v="Overdue"/>
    <d v="2024-04-10T00:00:00"/>
    <s v="Variable"/>
    <d v="2024-03-25T00:00:00"/>
    <s v="YES"/>
  </r>
  <r>
    <n v="10305"/>
    <n v="6440"/>
    <x v="0"/>
    <n v="88124.98"/>
    <n v="28"/>
    <x v="1"/>
    <x v="1"/>
    <n v="71689.95"/>
    <x v="2"/>
    <s v="WH-C"/>
    <n v="1365"/>
    <d v="2024-03-10T00:00:00"/>
    <n v="4"/>
    <n v="90305"/>
    <x v="3"/>
    <d v="2024-05-18T00:00:00"/>
    <n v="0.95777000000000001"/>
    <n v="70305"/>
    <x v="1"/>
    <n v="146372.64155"/>
    <s v="Overdue"/>
    <d v="2024-06-01T00:00:00"/>
    <s v="Variable"/>
    <d v="2024-03-25T00:00:00"/>
    <s v="YES"/>
  </r>
  <r>
    <n v="10306"/>
    <n v="5247"/>
    <x v="1"/>
    <n v="35289.120000000003"/>
    <n v="90"/>
    <x v="2"/>
    <x v="0"/>
    <n v="149523.06"/>
    <x v="2"/>
    <s v="WH-B"/>
    <n v="394"/>
    <d v="2024-04-15T00:00:00"/>
    <n v="9"/>
    <n v="90306"/>
    <x v="1"/>
    <d v="2024-05-18T00:00:00"/>
    <n v="0.48108000000000001"/>
    <n v="70306"/>
    <x v="0"/>
    <n v="128703.05590000001"/>
    <s v="pending"/>
    <d v="2024-06-01T00:00:00"/>
    <s v="Variable"/>
    <d v="2024-04-02T00:00:00"/>
    <s v="YES"/>
  </r>
  <r>
    <n v="10307"/>
    <n v="5836"/>
    <x v="0"/>
    <n v="49738.559999999998"/>
    <n v="62"/>
    <x v="1"/>
    <x v="1"/>
    <n v="106900.34"/>
    <x v="0"/>
    <s v="WH-C"/>
    <n v="713"/>
    <d v="2024-03-10T00:00:00"/>
    <n v="10"/>
    <n v="90307"/>
    <x v="2"/>
    <d v="2024-04-01T00:00:00"/>
    <n v="0.25519999999999998"/>
    <n v="70307"/>
    <x v="1"/>
    <n v="186069.25167"/>
    <s v="pending"/>
    <d v="2024-05-10T00:00:00"/>
    <s v="Fixed"/>
    <d v="2024-03-25T00:00:00"/>
    <s v="YES"/>
  </r>
  <r>
    <n v="10308"/>
    <n v="6463"/>
    <x v="1"/>
    <n v="12014.68"/>
    <n v="33"/>
    <x v="3"/>
    <x v="2"/>
    <n v="137067.57"/>
    <x v="0"/>
    <s v="WH-C"/>
    <n v="706"/>
    <d v="2024-02-10T00:00:00"/>
    <n v="1"/>
    <n v="90308"/>
    <x v="1"/>
    <d v="2024-03-01T00:00:00"/>
    <n v="0.83413999999999999"/>
    <n v="70308"/>
    <x v="2"/>
    <n v="142028.2746"/>
    <s v="Overdue"/>
    <d v="2024-04-10T00:00:00"/>
    <s v="Variable"/>
    <d v="2024-03-25T00:00:00"/>
    <s v="NO"/>
  </r>
  <r>
    <n v="10309"/>
    <n v="5203"/>
    <x v="1"/>
    <n v="54182.32"/>
    <n v="85"/>
    <x v="0"/>
    <x v="0"/>
    <n v="98464.67"/>
    <x v="1"/>
    <s v="WH-A"/>
    <n v="179"/>
    <d v="2024-04-15T00:00:00"/>
    <n v="12"/>
    <n v="90309"/>
    <x v="0"/>
    <d v="2024-04-01T00:00:00"/>
    <n v="0.46293000000000001"/>
    <n v="70309"/>
    <x v="1"/>
    <n v="180036.61619999999"/>
    <s v="Paid"/>
    <d v="2024-06-01T00:00:00"/>
    <s v="Fixed"/>
    <d v="2024-04-02T00:00:00"/>
    <s v="YES"/>
  </r>
  <r>
    <n v="10310"/>
    <n v="6208"/>
    <x v="1"/>
    <n v="32215"/>
    <n v="35"/>
    <x v="1"/>
    <x v="1"/>
    <n v="62367.05"/>
    <x v="1"/>
    <s v="WH-A"/>
    <n v="190"/>
    <d v="2024-04-15T00:00:00"/>
    <n v="6"/>
    <n v="90310"/>
    <x v="2"/>
    <d v="2024-05-18T00:00:00"/>
    <n v="0.94198999999999999"/>
    <n v="70310"/>
    <x v="1"/>
    <n v="127031.18386"/>
    <s v="pending"/>
    <d v="2024-05-10T00:00:00"/>
    <s v="Variable"/>
    <d v="2024-03-25T00:00:00"/>
    <s v="NO"/>
  </r>
  <r>
    <n v="10311"/>
    <n v="5123"/>
    <x v="1"/>
    <n v="82377.62"/>
    <n v="52"/>
    <x v="0"/>
    <x v="0"/>
    <n v="129634.79"/>
    <x v="0"/>
    <s v="WH-A"/>
    <n v="464"/>
    <d v="2024-02-10T00:00:00"/>
    <n v="3"/>
    <n v="90311"/>
    <x v="2"/>
    <d v="2024-05-18T00:00:00"/>
    <n v="0.95491000000000004"/>
    <n v="70311"/>
    <x v="1"/>
    <n v="135721.82829999999"/>
    <s v="Overdue"/>
    <d v="2024-06-01T00:00:00"/>
    <s v="Variable"/>
    <d v="2024-04-02T00:00:00"/>
    <s v="YES"/>
  </r>
  <r>
    <n v="10312"/>
    <n v="5401"/>
    <x v="1"/>
    <n v="24081.119999999999"/>
    <n v="34"/>
    <x v="1"/>
    <x v="3"/>
    <n v="11611.39"/>
    <x v="0"/>
    <s v="WH-A"/>
    <n v="1166"/>
    <d v="2024-04-15T00:00:00"/>
    <n v="11"/>
    <n v="90312"/>
    <x v="3"/>
    <d v="2024-05-18T00:00:00"/>
    <n v="0.20335"/>
    <n v="70312"/>
    <x v="1"/>
    <n v="109788.7763"/>
    <s v="Overdue"/>
    <d v="2024-05-10T00:00:00"/>
    <s v="Fixed"/>
    <d v="2024-04-02T00:00:00"/>
    <s v="YES"/>
  </r>
  <r>
    <n v="10313"/>
    <n v="5767"/>
    <x v="1"/>
    <n v="77437.850000000006"/>
    <n v="41"/>
    <x v="3"/>
    <x v="0"/>
    <n v="103867.25"/>
    <x v="1"/>
    <s v="WH-A"/>
    <n v="675"/>
    <d v="2024-03-10T00:00:00"/>
    <n v="9"/>
    <n v="90313"/>
    <x v="1"/>
    <d v="2024-05-18T00:00:00"/>
    <n v="0.96089999999999998"/>
    <n v="70313"/>
    <x v="1"/>
    <n v="167926.2843"/>
    <s v="pending"/>
    <d v="2024-04-10T00:00:00"/>
    <s v="Fixed"/>
    <d v="2024-03-25T00:00:00"/>
    <s v="YES"/>
  </r>
  <r>
    <n v="10314"/>
    <n v="5294"/>
    <x v="1"/>
    <n v="17674.849999999999"/>
    <n v="51"/>
    <x v="3"/>
    <x v="0"/>
    <n v="98736.63"/>
    <x v="1"/>
    <s v="WH-A"/>
    <n v="333"/>
    <d v="2024-03-10T00:00:00"/>
    <n v="5"/>
    <n v="90314"/>
    <x v="1"/>
    <d v="2024-04-01T00:00:00"/>
    <n v="0.43143999999999999"/>
    <n v="70314"/>
    <x v="1"/>
    <n v="120522.27583"/>
    <s v="Paid"/>
    <d v="2024-05-10T00:00:00"/>
    <s v="Variable"/>
    <d v="2024-04-02T00:00:00"/>
    <s v="NO"/>
  </r>
  <r>
    <n v="10315"/>
    <n v="5280"/>
    <x v="0"/>
    <n v="74527.61"/>
    <n v="47"/>
    <x v="0"/>
    <x v="3"/>
    <n v="90786.7"/>
    <x v="1"/>
    <s v="WH-B"/>
    <n v="272"/>
    <d v="2024-04-15T00:00:00"/>
    <n v="13"/>
    <n v="90315"/>
    <x v="2"/>
    <d v="2024-03-01T00:00:00"/>
    <n v="0.68162999999999996"/>
    <n v="70315"/>
    <x v="1"/>
    <n v="127577.11979"/>
    <s v="Overdue"/>
    <d v="2024-06-01T00:00:00"/>
    <s v="Variable"/>
    <d v="2024-04-02T00:00:00"/>
    <s v="YES"/>
  </r>
  <r>
    <n v="10316"/>
    <n v="6861"/>
    <x v="1"/>
    <n v="53463.47"/>
    <n v="82"/>
    <x v="3"/>
    <x v="2"/>
    <n v="135276.70000000001"/>
    <x v="1"/>
    <s v="WH-C"/>
    <n v="793"/>
    <d v="2024-02-10T00:00:00"/>
    <n v="6"/>
    <n v="90316"/>
    <x v="1"/>
    <d v="2024-04-01T00:00:00"/>
    <n v="0.13128000000000001"/>
    <n v="70316"/>
    <x v="1"/>
    <n v="132689.07743"/>
    <s v="pending"/>
    <d v="2024-06-01T00:00:00"/>
    <s v="Variable"/>
    <d v="2024-04-02T00:00:00"/>
    <s v="NO"/>
  </r>
  <r>
    <n v="10317"/>
    <n v="5884"/>
    <x v="1"/>
    <n v="55308.36"/>
    <n v="58"/>
    <x v="2"/>
    <x v="1"/>
    <n v="115425.59"/>
    <x v="2"/>
    <s v="WH-C"/>
    <n v="512"/>
    <d v="2024-02-10T00:00:00"/>
    <n v="11"/>
    <n v="90317"/>
    <x v="1"/>
    <d v="2024-03-01T00:00:00"/>
    <n v="0.9"/>
    <n v="70317"/>
    <x v="0"/>
    <n v="68793.986099999995"/>
    <s v="Overdue"/>
    <d v="2024-05-10T00:00:00"/>
    <s v="Variable"/>
    <d v="2024-03-25T00:00:00"/>
    <s v="YES"/>
  </r>
  <r>
    <n v="10318"/>
    <n v="6634"/>
    <x v="1"/>
    <n v="63100.09"/>
    <n v="75"/>
    <x v="1"/>
    <x v="3"/>
    <n v="33501"/>
    <x v="2"/>
    <s v="WH-C"/>
    <n v="1349"/>
    <d v="2024-03-10T00:00:00"/>
    <n v="9"/>
    <n v="90318"/>
    <x v="3"/>
    <d v="2024-05-18T00:00:00"/>
    <n v="0.67744000000000004"/>
    <n v="70318"/>
    <x v="1"/>
    <n v="99280.678639999998"/>
    <s v="Overdue"/>
    <d v="2024-04-10T00:00:00"/>
    <s v="Variable"/>
    <d v="2024-04-02T00:00:00"/>
    <s v="YES"/>
  </r>
  <r>
    <n v="10319"/>
    <n v="5198"/>
    <x v="1"/>
    <n v="55694.23"/>
    <n v="57"/>
    <x v="3"/>
    <x v="0"/>
    <n v="16168.75"/>
    <x v="1"/>
    <s v="WH-B"/>
    <n v="1213"/>
    <d v="2024-02-10T00:00:00"/>
    <n v="9"/>
    <n v="90319"/>
    <x v="2"/>
    <d v="2024-03-01T00:00:00"/>
    <n v="0.67920000000000003"/>
    <n v="70319"/>
    <x v="1"/>
    <n v="105630.85642"/>
    <s v="Overdue"/>
    <d v="2024-04-10T00:00:00"/>
    <s v="Variable"/>
    <d v="2024-03-25T00:00:00"/>
    <s v="YES"/>
  </r>
  <r>
    <n v="10320"/>
    <n v="5982"/>
    <x v="0"/>
    <n v="55011.58"/>
    <n v="23"/>
    <x v="2"/>
    <x v="1"/>
    <n v="143652.95000000001"/>
    <x v="1"/>
    <s v="WH-C"/>
    <n v="406"/>
    <d v="2024-04-15T00:00:00"/>
    <n v="8"/>
    <n v="90320"/>
    <x v="0"/>
    <d v="2024-05-18T00:00:00"/>
    <n v="0.91195999999999999"/>
    <n v="70320"/>
    <x v="2"/>
    <n v="106655.69005"/>
    <s v="Overdue"/>
    <d v="2024-06-01T00:00:00"/>
    <s v="Variable"/>
    <d v="2024-03-25T00:00:00"/>
    <s v="YES"/>
  </r>
  <r>
    <n v="10321"/>
    <n v="6931"/>
    <x v="1"/>
    <n v="73325.08"/>
    <n v="48"/>
    <x v="0"/>
    <x v="3"/>
    <n v="19708.48"/>
    <x v="1"/>
    <s v="WH-B"/>
    <n v="1096"/>
    <d v="2024-04-15T00:00:00"/>
    <n v="9"/>
    <n v="90321"/>
    <x v="2"/>
    <d v="2024-04-01T00:00:00"/>
    <n v="0.55750999999999995"/>
    <n v="70321"/>
    <x v="2"/>
    <n v="98683.05171"/>
    <s v="Paid"/>
    <d v="2024-06-01T00:00:00"/>
    <s v="Variable"/>
    <d v="2024-04-02T00:00:00"/>
    <s v="YES"/>
  </r>
  <r>
    <n v="10322"/>
    <n v="6535"/>
    <x v="0"/>
    <n v="38038.910000000003"/>
    <n v="22"/>
    <x v="2"/>
    <x v="1"/>
    <n v="59284.45"/>
    <x v="1"/>
    <s v="WH-B"/>
    <n v="1343"/>
    <d v="2024-03-10T00:00:00"/>
    <n v="4"/>
    <n v="90322"/>
    <x v="3"/>
    <d v="2024-03-01T00:00:00"/>
    <n v="0.46945999999999999"/>
    <n v="70322"/>
    <x v="2"/>
    <n v="77253.511880000005"/>
    <s v="pending"/>
    <d v="2024-05-10T00:00:00"/>
    <s v="Variable"/>
    <d v="2024-03-25T00:00:00"/>
    <s v="YES"/>
  </r>
  <r>
    <n v="10323"/>
    <n v="5752"/>
    <x v="1"/>
    <n v="58372.71"/>
    <n v="17"/>
    <x v="0"/>
    <x v="1"/>
    <n v="93929.29"/>
    <x v="1"/>
    <s v="WH-B"/>
    <n v="908"/>
    <d v="2024-03-10T00:00:00"/>
    <n v="6"/>
    <n v="90323"/>
    <x v="3"/>
    <d v="2024-04-01T00:00:00"/>
    <n v="0.87951999999999997"/>
    <n v="70323"/>
    <x v="1"/>
    <n v="71860.837499999994"/>
    <s v="pending"/>
    <d v="2024-05-10T00:00:00"/>
    <s v="Variable"/>
    <d v="2024-03-25T00:00:00"/>
    <s v="YES"/>
  </r>
  <r>
    <n v="10324"/>
    <n v="5144"/>
    <x v="1"/>
    <n v="13648.03"/>
    <n v="69"/>
    <x v="0"/>
    <x v="3"/>
    <n v="22941.86"/>
    <x v="1"/>
    <s v="WH-C"/>
    <n v="714"/>
    <d v="2024-03-10T00:00:00"/>
    <n v="5"/>
    <n v="90324"/>
    <x v="3"/>
    <d v="2024-05-18T00:00:00"/>
    <n v="0.76817999999999997"/>
    <n v="70324"/>
    <x v="0"/>
    <n v="191221.66174000001"/>
    <s v="pending"/>
    <d v="2024-05-10T00:00:00"/>
    <s v="Variable"/>
    <d v="2024-04-02T00:00:00"/>
    <s v="NO"/>
  </r>
  <r>
    <n v="10325"/>
    <n v="5609"/>
    <x v="1"/>
    <n v="69632.95"/>
    <n v="11"/>
    <x v="1"/>
    <x v="1"/>
    <n v="13743.65"/>
    <x v="2"/>
    <s v="WH-B"/>
    <n v="1406"/>
    <d v="2024-02-10T00:00:00"/>
    <n v="5"/>
    <n v="90325"/>
    <x v="1"/>
    <d v="2024-04-01T00:00:00"/>
    <n v="0.95408000000000004"/>
    <n v="70325"/>
    <x v="1"/>
    <n v="105657.231"/>
    <s v="pending"/>
    <d v="2024-04-10T00:00:00"/>
    <s v="Variable"/>
    <d v="2024-03-25T00:00:00"/>
    <s v="YES"/>
  </r>
  <r>
    <n v="10326"/>
    <n v="6225"/>
    <x v="1"/>
    <n v="46590.62"/>
    <n v="94"/>
    <x v="1"/>
    <x v="2"/>
    <n v="104941.55"/>
    <x v="0"/>
    <s v="WH-C"/>
    <n v="1064"/>
    <d v="2024-04-15T00:00:00"/>
    <n v="4"/>
    <n v="90326"/>
    <x v="2"/>
    <d v="2024-05-18T00:00:00"/>
    <n v="0.94611000000000001"/>
    <n v="70326"/>
    <x v="1"/>
    <n v="68710.762199999997"/>
    <s v="pending"/>
    <d v="2024-04-10T00:00:00"/>
    <s v="Variable"/>
    <d v="2024-03-25T00:00:00"/>
    <s v="YES"/>
  </r>
  <r>
    <n v="10327"/>
    <n v="6148"/>
    <x v="0"/>
    <n v="76366.06"/>
    <n v="15"/>
    <x v="2"/>
    <x v="3"/>
    <n v="171036.48"/>
    <x v="0"/>
    <s v="WH-C"/>
    <n v="134"/>
    <d v="2024-04-15T00:00:00"/>
    <n v="2"/>
    <n v="90327"/>
    <x v="1"/>
    <d v="2024-05-18T00:00:00"/>
    <n v="0.44408999999999998"/>
    <n v="70327"/>
    <x v="0"/>
    <n v="180094.6667"/>
    <s v="Paid"/>
    <d v="2024-06-01T00:00:00"/>
    <s v="Variable"/>
    <d v="2024-03-25T00:00:00"/>
    <s v="YES"/>
  </r>
  <r>
    <n v="10328"/>
    <n v="5187"/>
    <x v="1"/>
    <n v="12274.32"/>
    <n v="91"/>
    <x v="1"/>
    <x v="2"/>
    <n v="41709.96"/>
    <x v="1"/>
    <s v="WH-A"/>
    <n v="670"/>
    <d v="2024-04-15T00:00:00"/>
    <n v="12"/>
    <n v="90328"/>
    <x v="1"/>
    <d v="2024-05-18T00:00:00"/>
    <n v="0.50229000000000001"/>
    <n v="70328"/>
    <x v="0"/>
    <n v="173407.9528"/>
    <s v="Overdue"/>
    <d v="2024-06-01T00:00:00"/>
    <s v="Fixed"/>
    <d v="2024-03-25T00:00:00"/>
    <s v="YES"/>
  </r>
  <r>
    <n v="10329"/>
    <n v="6350"/>
    <x v="1"/>
    <n v="72082.100000000006"/>
    <n v="35"/>
    <x v="1"/>
    <x v="0"/>
    <n v="148828.59"/>
    <x v="1"/>
    <s v="WH-A"/>
    <n v="1104"/>
    <d v="2024-03-10T00:00:00"/>
    <n v="6"/>
    <n v="90329"/>
    <x v="2"/>
    <d v="2024-04-01T00:00:00"/>
    <n v="0.33039000000000002"/>
    <n v="70329"/>
    <x v="1"/>
    <n v="79350.656270000007"/>
    <s v="Overdue"/>
    <d v="2024-06-01T00:00:00"/>
    <s v="Variable"/>
    <d v="2024-03-25T00:00:00"/>
    <s v="NO"/>
  </r>
  <r>
    <n v="10330"/>
    <n v="5464"/>
    <x v="1"/>
    <n v="67737.75"/>
    <n v="33"/>
    <x v="1"/>
    <x v="1"/>
    <n v="111721.28"/>
    <x v="1"/>
    <s v="WH-B"/>
    <n v="289"/>
    <d v="2024-04-15T00:00:00"/>
    <n v="9"/>
    <n v="90330"/>
    <x v="3"/>
    <d v="2024-04-01T00:00:00"/>
    <n v="0.69457999999999998"/>
    <n v="70330"/>
    <x v="1"/>
    <n v="152731.17621000001"/>
    <s v="pending"/>
    <d v="2024-05-10T00:00:00"/>
    <s v="Fixed"/>
    <d v="2024-03-25T00:00:00"/>
    <s v="NO"/>
  </r>
  <r>
    <n v="10331"/>
    <n v="6373"/>
    <x v="1"/>
    <n v="38613.67"/>
    <n v="84"/>
    <x v="2"/>
    <x v="0"/>
    <n v="73191.22"/>
    <x v="2"/>
    <s v="WH-B"/>
    <n v="412"/>
    <d v="2024-02-10T00:00:00"/>
    <n v="12"/>
    <n v="90331"/>
    <x v="0"/>
    <d v="2024-03-01T00:00:00"/>
    <n v="0.42809000000000003"/>
    <n v="70331"/>
    <x v="0"/>
    <n v="74856.988209999996"/>
    <s v="Overdue"/>
    <d v="2024-04-10T00:00:00"/>
    <s v="Variable"/>
    <d v="2024-04-02T00:00:00"/>
    <s v="YES"/>
  </r>
  <r>
    <n v="10332"/>
    <n v="6795"/>
    <x v="1"/>
    <n v="13743.99"/>
    <n v="16"/>
    <x v="3"/>
    <x v="0"/>
    <n v="149994.72"/>
    <x v="1"/>
    <s v="WH-C"/>
    <n v="871"/>
    <d v="2024-02-10T00:00:00"/>
    <n v="1"/>
    <n v="90332"/>
    <x v="0"/>
    <d v="2024-03-01T00:00:00"/>
    <n v="0.80749000000000004"/>
    <n v="70332"/>
    <x v="1"/>
    <n v="91772.676600000006"/>
    <s v="Overdue"/>
    <d v="2024-06-01T00:00:00"/>
    <s v="Variable"/>
    <d v="2024-03-25T00:00:00"/>
    <s v="YES"/>
  </r>
  <r>
    <n v="10333"/>
    <n v="5660"/>
    <x v="1"/>
    <n v="40313.49"/>
    <n v="34"/>
    <x v="1"/>
    <x v="1"/>
    <n v="79052.63"/>
    <x v="1"/>
    <s v="WH-B"/>
    <n v="1462"/>
    <d v="2024-04-15T00:00:00"/>
    <n v="14"/>
    <n v="90333"/>
    <x v="2"/>
    <d v="2024-04-01T00:00:00"/>
    <n v="0.2094"/>
    <n v="70333"/>
    <x v="1"/>
    <n v="149834.88245"/>
    <s v="Overdue"/>
    <d v="2024-06-01T00:00:00"/>
    <s v="Variable"/>
    <d v="2024-04-02T00:00:00"/>
    <s v="NO"/>
  </r>
  <r>
    <n v="10334"/>
    <n v="5764"/>
    <x v="1"/>
    <n v="87120.8"/>
    <n v="66"/>
    <x v="1"/>
    <x v="3"/>
    <n v="134402.19"/>
    <x v="2"/>
    <s v="WH-B"/>
    <n v="717"/>
    <d v="2024-03-10T00:00:00"/>
    <n v="7"/>
    <n v="90334"/>
    <x v="2"/>
    <d v="2024-04-01T00:00:00"/>
    <n v="0.20476"/>
    <n v="70334"/>
    <x v="2"/>
    <n v="117000.4736"/>
    <s v="pending"/>
    <d v="2024-06-01T00:00:00"/>
    <s v="Fixed"/>
    <d v="2024-03-25T00:00:00"/>
    <s v="YES"/>
  </r>
  <r>
    <n v="10335"/>
    <n v="5955"/>
    <x v="1"/>
    <n v="19715.11"/>
    <n v="99"/>
    <x v="2"/>
    <x v="1"/>
    <n v="76326.740000000005"/>
    <x v="1"/>
    <s v="WH-C"/>
    <n v="1372"/>
    <d v="2024-04-15T00:00:00"/>
    <n v="6"/>
    <n v="90335"/>
    <x v="3"/>
    <d v="2024-04-01T00:00:00"/>
    <n v="0.28400999999999998"/>
    <n v="70335"/>
    <x v="0"/>
    <n v="97861.721399999995"/>
    <s v="pending"/>
    <d v="2024-06-01T00:00:00"/>
    <s v="Variable"/>
    <d v="2024-03-25T00:00:00"/>
    <s v="YES"/>
  </r>
  <r>
    <n v="10336"/>
    <n v="6956"/>
    <x v="1"/>
    <n v="43579.74"/>
    <n v="40"/>
    <x v="3"/>
    <x v="0"/>
    <n v="76672.55"/>
    <x v="0"/>
    <s v="WH-B"/>
    <n v="1444"/>
    <d v="2024-02-10T00:00:00"/>
    <n v="3"/>
    <n v="90336"/>
    <x v="2"/>
    <d v="2024-04-01T00:00:00"/>
    <n v="0.17585999999999999"/>
    <n v="70336"/>
    <x v="0"/>
    <n v="170706.72870000001"/>
    <s v="Paid"/>
    <d v="2024-06-01T00:00:00"/>
    <s v="Fixed"/>
    <d v="2024-03-25T00:00:00"/>
    <s v="YES"/>
  </r>
  <r>
    <n v="10337"/>
    <n v="5403"/>
    <x v="1"/>
    <n v="8234.51"/>
    <n v="28"/>
    <x v="1"/>
    <x v="0"/>
    <n v="73094.69"/>
    <x v="2"/>
    <s v="WH-B"/>
    <n v="148"/>
    <d v="2024-02-10T00:00:00"/>
    <n v="1"/>
    <n v="90337"/>
    <x v="2"/>
    <d v="2024-05-18T00:00:00"/>
    <n v="0.65803"/>
    <n v="70337"/>
    <x v="1"/>
    <n v="86260.168869999994"/>
    <s v="pending"/>
    <d v="2024-06-01T00:00:00"/>
    <s v="Variable"/>
    <d v="2024-03-25T00:00:00"/>
    <s v="YES"/>
  </r>
  <r>
    <n v="10338"/>
    <n v="6370"/>
    <x v="0"/>
    <n v="85357.4"/>
    <n v="47"/>
    <x v="0"/>
    <x v="3"/>
    <n v="135846.01999999999"/>
    <x v="1"/>
    <s v="WH-C"/>
    <n v="96"/>
    <d v="2024-02-10T00:00:00"/>
    <n v="13"/>
    <n v="90338"/>
    <x v="3"/>
    <d v="2024-05-18T00:00:00"/>
    <n v="0.23261999999999999"/>
    <n v="70338"/>
    <x v="1"/>
    <n v="92553.458499999993"/>
    <s v="Paid"/>
    <d v="2024-04-10T00:00:00"/>
    <s v="Variable"/>
    <d v="2024-03-25T00:00:00"/>
    <s v="YES"/>
  </r>
  <r>
    <n v="10339"/>
    <n v="6987"/>
    <x v="1"/>
    <n v="49269.59"/>
    <n v="39"/>
    <x v="2"/>
    <x v="1"/>
    <n v="19690.57"/>
    <x v="2"/>
    <s v="WH-C"/>
    <n v="888"/>
    <d v="2024-04-15T00:00:00"/>
    <n v="4"/>
    <n v="90339"/>
    <x v="3"/>
    <d v="2024-05-18T00:00:00"/>
    <n v="0.24396999999999999"/>
    <n v="70339"/>
    <x v="1"/>
    <n v="146240.80395999999"/>
    <s v="pending"/>
    <d v="2024-06-01T00:00:00"/>
    <s v="Variable"/>
    <d v="2024-04-02T00:00:00"/>
    <s v="NO"/>
  </r>
  <r>
    <n v="10340"/>
    <n v="6535"/>
    <x v="1"/>
    <n v="75050.16"/>
    <n v="70"/>
    <x v="1"/>
    <x v="0"/>
    <n v="177260.55"/>
    <x v="1"/>
    <s v="WH-A"/>
    <n v="471"/>
    <d v="2024-02-10T00:00:00"/>
    <n v="14"/>
    <n v="90340"/>
    <x v="1"/>
    <d v="2024-04-01T00:00:00"/>
    <n v="0.11280999999999999"/>
    <n v="70340"/>
    <x v="2"/>
    <n v="104086.90661000001"/>
    <s v="Overdue"/>
    <d v="2024-04-10T00:00:00"/>
    <s v="Fixed"/>
    <d v="2024-04-02T00:00:00"/>
    <s v="YES"/>
  </r>
  <r>
    <n v="10341"/>
    <n v="5147"/>
    <x v="0"/>
    <n v="60916.95"/>
    <n v="73"/>
    <x v="1"/>
    <x v="2"/>
    <n v="75233.75"/>
    <x v="2"/>
    <s v="WH-C"/>
    <n v="111"/>
    <d v="2024-03-10T00:00:00"/>
    <n v="9"/>
    <n v="90341"/>
    <x v="2"/>
    <d v="2024-05-18T00:00:00"/>
    <n v="0.80388000000000004"/>
    <n v="70341"/>
    <x v="2"/>
    <n v="110070.22870000001"/>
    <s v="Paid"/>
    <d v="2024-05-10T00:00:00"/>
    <s v="Variable"/>
    <d v="2024-03-25T00:00:00"/>
    <s v="YES"/>
  </r>
  <r>
    <n v="10342"/>
    <n v="6172"/>
    <x v="1"/>
    <n v="93189.09"/>
    <n v="20"/>
    <x v="0"/>
    <x v="0"/>
    <n v="96148.98"/>
    <x v="1"/>
    <s v="WH-A"/>
    <n v="1182"/>
    <d v="2024-04-15T00:00:00"/>
    <n v="2"/>
    <n v="90342"/>
    <x v="0"/>
    <d v="2024-05-18T00:00:00"/>
    <n v="0.83106999999999998"/>
    <n v="70342"/>
    <x v="1"/>
    <n v="173168.49859999999"/>
    <s v="Paid"/>
    <d v="2024-04-10T00:00:00"/>
    <s v="Variable"/>
    <d v="2024-03-25T00:00:00"/>
    <s v="NO"/>
  </r>
  <r>
    <n v="10343"/>
    <n v="5864"/>
    <x v="1"/>
    <n v="67070.240000000005"/>
    <n v="1"/>
    <x v="0"/>
    <x v="0"/>
    <n v="15834.24"/>
    <x v="2"/>
    <s v="WH-B"/>
    <n v="1192"/>
    <d v="2024-04-15T00:00:00"/>
    <n v="3"/>
    <n v="90343"/>
    <x v="2"/>
    <d v="2024-03-01T00:00:00"/>
    <n v="0.24582000000000001"/>
    <n v="70343"/>
    <x v="1"/>
    <n v="144311.44664000001"/>
    <s v="Paid"/>
    <d v="2024-05-10T00:00:00"/>
    <s v="Variable"/>
    <d v="2024-03-25T00:00:00"/>
    <s v="YES"/>
  </r>
  <r>
    <n v="10344"/>
    <n v="6735"/>
    <x v="1"/>
    <n v="32662.99"/>
    <n v="72"/>
    <x v="2"/>
    <x v="3"/>
    <n v="83334.52"/>
    <x v="1"/>
    <s v="WH-C"/>
    <n v="1059"/>
    <d v="2024-02-10T00:00:00"/>
    <n v="2"/>
    <n v="90344"/>
    <x v="0"/>
    <d v="2024-03-01T00:00:00"/>
    <n v="0.76556999999999997"/>
    <n v="70344"/>
    <x v="1"/>
    <n v="106879.22047"/>
    <s v="pending"/>
    <d v="2024-04-10T00:00:00"/>
    <s v="Fixed"/>
    <d v="2024-04-02T00:00:00"/>
    <s v="NO"/>
  </r>
  <r>
    <n v="10345"/>
    <n v="6844"/>
    <x v="1"/>
    <n v="69699.600000000006"/>
    <n v="87"/>
    <x v="2"/>
    <x v="2"/>
    <n v="137618.47"/>
    <x v="2"/>
    <s v="WH-C"/>
    <n v="647"/>
    <d v="2024-02-10T00:00:00"/>
    <n v="14"/>
    <n v="90345"/>
    <x v="0"/>
    <d v="2024-05-18T00:00:00"/>
    <n v="0.49019000000000001"/>
    <n v="70345"/>
    <x v="1"/>
    <n v="141112.29810000001"/>
    <s v="Paid"/>
    <d v="2024-04-10T00:00:00"/>
    <s v="Variable"/>
    <d v="2024-04-02T00:00:00"/>
    <s v="YES"/>
  </r>
  <r>
    <n v="10346"/>
    <n v="5489"/>
    <x v="1"/>
    <n v="15758.1"/>
    <n v="63"/>
    <x v="0"/>
    <x v="0"/>
    <n v="23566.47"/>
    <x v="0"/>
    <s v="WH-C"/>
    <n v="1455"/>
    <d v="2024-03-10T00:00:00"/>
    <n v="2"/>
    <n v="90346"/>
    <x v="0"/>
    <d v="2024-05-18T00:00:00"/>
    <n v="0.31563999999999998"/>
    <n v="70346"/>
    <x v="1"/>
    <n v="160254.3523"/>
    <s v="pending"/>
    <d v="2024-06-01T00:00:00"/>
    <s v="Variable"/>
    <d v="2024-03-25T00:00:00"/>
    <s v="NO"/>
  </r>
  <r>
    <n v="10347"/>
    <n v="5929"/>
    <x v="0"/>
    <n v="64352.38"/>
    <n v="67"/>
    <x v="2"/>
    <x v="0"/>
    <n v="65993.47"/>
    <x v="0"/>
    <s v="WH-B"/>
    <n v="441"/>
    <d v="2024-04-15T00:00:00"/>
    <n v="10"/>
    <n v="90347"/>
    <x v="1"/>
    <d v="2024-05-18T00:00:00"/>
    <n v="0.65925"/>
    <n v="70347"/>
    <x v="1"/>
    <n v="155114.56940000001"/>
    <s v="Paid"/>
    <d v="2024-04-10T00:00:00"/>
    <s v="Fixed"/>
    <d v="2024-04-02T00:00:00"/>
    <s v="NO"/>
  </r>
  <r>
    <n v="10348"/>
    <n v="6960"/>
    <x v="1"/>
    <n v="48330.53"/>
    <n v="4"/>
    <x v="0"/>
    <x v="2"/>
    <n v="124090.11"/>
    <x v="1"/>
    <s v="WH-A"/>
    <n v="1026"/>
    <d v="2024-02-10T00:00:00"/>
    <n v="11"/>
    <n v="90348"/>
    <x v="3"/>
    <d v="2024-04-01T00:00:00"/>
    <n v="0.26063999999999998"/>
    <n v="70348"/>
    <x v="2"/>
    <n v="76869.200299999997"/>
    <s v="pending"/>
    <d v="2024-04-10T00:00:00"/>
    <s v="Variable"/>
    <d v="2024-03-25T00:00:00"/>
    <s v="NO"/>
  </r>
  <r>
    <n v="10349"/>
    <n v="6664"/>
    <x v="0"/>
    <n v="39665.33"/>
    <n v="58"/>
    <x v="1"/>
    <x v="1"/>
    <n v="77662.06"/>
    <x v="1"/>
    <s v="WH-B"/>
    <n v="1125"/>
    <d v="2024-03-10T00:00:00"/>
    <n v="11"/>
    <n v="90349"/>
    <x v="3"/>
    <d v="2024-03-01T00:00:00"/>
    <n v="0.78120000000000001"/>
    <n v="70349"/>
    <x v="1"/>
    <n v="104997.30875"/>
    <s v="Paid"/>
    <d v="2024-06-01T00:00:00"/>
    <s v="Fixed"/>
    <d v="2024-03-25T00:00:00"/>
    <s v="YES"/>
  </r>
  <r>
    <n v="10350"/>
    <n v="5551"/>
    <x v="1"/>
    <n v="15436.01"/>
    <n v="25"/>
    <x v="0"/>
    <x v="1"/>
    <n v="81429.62"/>
    <x v="2"/>
    <s v="WH-B"/>
    <n v="652"/>
    <d v="2024-02-10T00:00:00"/>
    <n v="8"/>
    <n v="90350"/>
    <x v="1"/>
    <d v="2024-03-01T00:00:00"/>
    <n v="0.14285"/>
    <n v="70350"/>
    <x v="2"/>
    <n v="111141.2421"/>
    <s v="Overdue"/>
    <d v="2024-05-10T00:00:00"/>
    <s v="Fixed"/>
    <d v="2024-03-25T00:00:00"/>
    <s v="YES"/>
  </r>
  <r>
    <n v="10351"/>
    <n v="5338"/>
    <x v="1"/>
    <n v="35943.65"/>
    <n v="47"/>
    <x v="0"/>
    <x v="0"/>
    <n v="136125.76999999999"/>
    <x v="1"/>
    <s v="WH-C"/>
    <n v="1362"/>
    <d v="2024-04-15T00:00:00"/>
    <n v="3"/>
    <n v="90351"/>
    <x v="3"/>
    <d v="2024-03-01T00:00:00"/>
    <n v="0.96321999999999997"/>
    <n v="70351"/>
    <x v="2"/>
    <n v="163528.50018"/>
    <s v="Overdue"/>
    <d v="2024-06-01T00:00:00"/>
    <s v="Variable"/>
    <d v="2024-03-25T00:00:00"/>
    <s v="YES"/>
  </r>
  <r>
    <n v="10352"/>
    <n v="5872"/>
    <x v="0"/>
    <n v="87766.76"/>
    <n v="38"/>
    <x v="3"/>
    <x v="0"/>
    <n v="150540.49"/>
    <x v="0"/>
    <s v="WH-A"/>
    <n v="386"/>
    <d v="2024-02-10T00:00:00"/>
    <n v="7"/>
    <n v="90352"/>
    <x v="1"/>
    <d v="2024-05-18T00:00:00"/>
    <n v="0.16469"/>
    <n v="70352"/>
    <x v="2"/>
    <n v="73178.010819999996"/>
    <s v="Paid"/>
    <d v="2024-06-01T00:00:00"/>
    <s v="Variable"/>
    <d v="2024-03-25T00:00:00"/>
    <s v="NO"/>
  </r>
  <r>
    <n v="10353"/>
    <n v="5641"/>
    <x v="1"/>
    <n v="76115.72"/>
    <n v="15"/>
    <x v="0"/>
    <x v="1"/>
    <n v="29466.43"/>
    <x v="1"/>
    <s v="WH-B"/>
    <n v="859"/>
    <d v="2024-04-15T00:00:00"/>
    <n v="8"/>
    <n v="90353"/>
    <x v="2"/>
    <d v="2024-04-01T00:00:00"/>
    <n v="0.62150000000000005"/>
    <n v="70353"/>
    <x v="1"/>
    <n v="53869.229639999998"/>
    <s v="pending"/>
    <d v="2024-06-01T00:00:00"/>
    <s v="Fixed"/>
    <d v="2024-03-25T00:00:00"/>
    <s v="NO"/>
  </r>
  <r>
    <n v="10354"/>
    <n v="6803"/>
    <x v="1"/>
    <n v="83827.28"/>
    <n v="63"/>
    <x v="0"/>
    <x v="3"/>
    <n v="122022.81"/>
    <x v="2"/>
    <s v="WH-C"/>
    <n v="1277"/>
    <d v="2024-02-10T00:00:00"/>
    <n v="3"/>
    <n v="90354"/>
    <x v="1"/>
    <d v="2024-03-01T00:00:00"/>
    <n v="0.91196999999999995"/>
    <n v="70354"/>
    <x v="2"/>
    <n v="88580.667249999999"/>
    <s v="pending"/>
    <d v="2024-05-10T00:00:00"/>
    <s v="Fixed"/>
    <d v="2024-03-25T00:00:00"/>
    <s v="NO"/>
  </r>
  <r>
    <n v="10355"/>
    <n v="6977"/>
    <x v="1"/>
    <n v="69436.789999999994"/>
    <n v="21"/>
    <x v="3"/>
    <x v="2"/>
    <n v="80512.42"/>
    <x v="1"/>
    <s v="WH-B"/>
    <n v="1311"/>
    <d v="2024-04-15T00:00:00"/>
    <n v="2"/>
    <n v="90355"/>
    <x v="3"/>
    <d v="2024-03-01T00:00:00"/>
    <n v="0.11071"/>
    <n v="70355"/>
    <x v="1"/>
    <n v="183219.77650000001"/>
    <s v="pending"/>
    <d v="2024-04-10T00:00:00"/>
    <s v="Fixed"/>
    <d v="2024-03-25T00:00:00"/>
    <s v="NO"/>
  </r>
  <r>
    <n v="10356"/>
    <n v="5473"/>
    <x v="1"/>
    <n v="58237.760000000002"/>
    <n v="99"/>
    <x v="2"/>
    <x v="2"/>
    <n v="149808.13"/>
    <x v="2"/>
    <s v="WH-B"/>
    <n v="1455"/>
    <d v="2024-03-10T00:00:00"/>
    <n v="13"/>
    <n v="90356"/>
    <x v="3"/>
    <d v="2024-04-01T00:00:00"/>
    <n v="0.54866000000000004"/>
    <n v="70356"/>
    <x v="1"/>
    <n v="91725.869900000005"/>
    <s v="Overdue"/>
    <d v="2024-04-10T00:00:00"/>
    <s v="Fixed"/>
    <d v="2024-04-02T00:00:00"/>
    <s v="NO"/>
  </r>
  <r>
    <n v="10357"/>
    <n v="6970"/>
    <x v="1"/>
    <n v="86823.12"/>
    <n v="57"/>
    <x v="3"/>
    <x v="3"/>
    <n v="69701.990000000005"/>
    <x v="0"/>
    <s v="WH-C"/>
    <n v="801"/>
    <d v="2024-04-15T00:00:00"/>
    <n v="13"/>
    <n v="90357"/>
    <x v="2"/>
    <d v="2024-05-18T00:00:00"/>
    <n v="0.41500999999999999"/>
    <n v="70357"/>
    <x v="1"/>
    <n v="157715.486"/>
    <s v="Overdue"/>
    <d v="2024-06-01T00:00:00"/>
    <s v="Variable"/>
    <d v="2024-04-02T00:00:00"/>
    <s v="NO"/>
  </r>
  <r>
    <n v="10358"/>
    <n v="5151"/>
    <x v="1"/>
    <n v="55359.74"/>
    <n v="53"/>
    <x v="1"/>
    <x v="3"/>
    <n v="95450.11"/>
    <x v="0"/>
    <s v="WH-C"/>
    <n v="1209"/>
    <d v="2024-03-10T00:00:00"/>
    <n v="8"/>
    <n v="90358"/>
    <x v="1"/>
    <d v="2024-05-18T00:00:00"/>
    <n v="0.62229999999999996"/>
    <n v="70358"/>
    <x v="1"/>
    <n v="70966.577019999997"/>
    <s v="Overdue"/>
    <d v="2024-06-01T00:00:00"/>
    <s v="Variable"/>
    <d v="2024-03-25T00:00:00"/>
    <s v="NO"/>
  </r>
  <r>
    <n v="10359"/>
    <n v="6439"/>
    <x v="1"/>
    <n v="80858.06"/>
    <n v="46"/>
    <x v="3"/>
    <x v="3"/>
    <n v="18515.88"/>
    <x v="0"/>
    <s v="WH-A"/>
    <n v="1480"/>
    <d v="2024-04-15T00:00:00"/>
    <n v="3"/>
    <n v="90359"/>
    <x v="2"/>
    <d v="2024-03-01T00:00:00"/>
    <n v="0.30291000000000001"/>
    <n v="70359"/>
    <x v="1"/>
    <n v="129036.6105"/>
    <s v="pending"/>
    <d v="2024-04-10T00:00:00"/>
    <s v="Fixed"/>
    <d v="2024-03-25T00:00:00"/>
    <s v="YES"/>
  </r>
  <r>
    <n v="10360"/>
    <n v="6322"/>
    <x v="0"/>
    <n v="93588.35"/>
    <n v="14"/>
    <x v="1"/>
    <x v="3"/>
    <n v="102328.25"/>
    <x v="1"/>
    <s v="WH-B"/>
    <n v="1435"/>
    <d v="2024-03-10T00:00:00"/>
    <n v="7"/>
    <n v="90360"/>
    <x v="0"/>
    <d v="2024-03-01T00:00:00"/>
    <n v="0.15841"/>
    <n v="70360"/>
    <x v="0"/>
    <n v="127187.48873"/>
    <s v="pending"/>
    <d v="2024-04-10T00:00:00"/>
    <s v="Variable"/>
    <d v="2024-03-25T00:00:00"/>
    <s v="YES"/>
  </r>
  <r>
    <n v="10361"/>
    <n v="6635"/>
    <x v="0"/>
    <n v="63083.4"/>
    <n v="76"/>
    <x v="2"/>
    <x v="3"/>
    <n v="25065.06"/>
    <x v="0"/>
    <s v="WH-C"/>
    <n v="1454"/>
    <d v="2024-02-10T00:00:00"/>
    <n v="12"/>
    <n v="90361"/>
    <x v="1"/>
    <d v="2024-04-01T00:00:00"/>
    <n v="0.66334000000000004"/>
    <n v="70361"/>
    <x v="0"/>
    <n v="103629.48966000001"/>
    <s v="pending"/>
    <d v="2024-04-10T00:00:00"/>
    <s v="Variable"/>
    <d v="2024-03-25T00:00:00"/>
    <s v="YES"/>
  </r>
  <r>
    <n v="10362"/>
    <n v="5263"/>
    <x v="1"/>
    <n v="40260.03"/>
    <n v="17"/>
    <x v="3"/>
    <x v="3"/>
    <n v="41625.599999999999"/>
    <x v="1"/>
    <s v="WH-C"/>
    <n v="930"/>
    <d v="2024-04-15T00:00:00"/>
    <n v="1"/>
    <n v="90362"/>
    <x v="2"/>
    <d v="2024-03-01T00:00:00"/>
    <n v="0.47516000000000003"/>
    <n v="70362"/>
    <x v="0"/>
    <n v="204645.3701"/>
    <s v="Paid"/>
    <d v="2024-05-10T00:00:00"/>
    <s v="Variable"/>
    <d v="2024-04-02T00:00:00"/>
    <s v="YES"/>
  </r>
  <r>
    <n v="10363"/>
    <n v="6788"/>
    <x v="1"/>
    <n v="82754.929999999993"/>
    <n v="39"/>
    <x v="3"/>
    <x v="2"/>
    <n v="41094.07"/>
    <x v="1"/>
    <s v="WH-A"/>
    <n v="684"/>
    <d v="2024-02-10T00:00:00"/>
    <n v="14"/>
    <n v="90363"/>
    <x v="2"/>
    <d v="2024-04-01T00:00:00"/>
    <n v="0.66024000000000005"/>
    <n v="70363"/>
    <x v="1"/>
    <n v="81457.264649999997"/>
    <s v="Paid"/>
    <d v="2024-05-10T00:00:00"/>
    <s v="Variable"/>
    <d v="2024-03-25T00:00:00"/>
    <s v="NO"/>
  </r>
  <r>
    <n v="10364"/>
    <n v="5144"/>
    <x v="1"/>
    <n v="70092.61"/>
    <n v="9"/>
    <x v="2"/>
    <x v="3"/>
    <n v="115241.67"/>
    <x v="0"/>
    <s v="WH-A"/>
    <n v="303"/>
    <d v="2024-03-10T00:00:00"/>
    <n v="12"/>
    <n v="90364"/>
    <x v="3"/>
    <d v="2024-03-01T00:00:00"/>
    <n v="0.28949000000000003"/>
    <n v="70364"/>
    <x v="1"/>
    <n v="167357.50683"/>
    <s v="Paid"/>
    <d v="2024-06-01T00:00:00"/>
    <s v="Fixed"/>
    <d v="2024-03-25T00:00:00"/>
    <s v="YES"/>
  </r>
  <r>
    <n v="10365"/>
    <n v="5346"/>
    <x v="1"/>
    <n v="46536.72"/>
    <n v="99"/>
    <x v="1"/>
    <x v="1"/>
    <n v="41579.24"/>
    <x v="1"/>
    <s v="WH-C"/>
    <n v="1187"/>
    <d v="2024-04-15T00:00:00"/>
    <n v="6"/>
    <n v="90365"/>
    <x v="1"/>
    <d v="2024-03-01T00:00:00"/>
    <n v="0.40487000000000001"/>
    <n v="70365"/>
    <x v="2"/>
    <n v="95044.887499999997"/>
    <s v="Overdue"/>
    <d v="2024-05-10T00:00:00"/>
    <s v="Variable"/>
    <d v="2024-03-25T00:00:00"/>
    <s v="NO"/>
  </r>
  <r>
    <n v="10366"/>
    <n v="5624"/>
    <x v="0"/>
    <n v="37286.07"/>
    <n v="77"/>
    <x v="3"/>
    <x v="3"/>
    <n v="13270.17"/>
    <x v="1"/>
    <s v="WH-A"/>
    <n v="69"/>
    <d v="2024-04-15T00:00:00"/>
    <n v="12"/>
    <n v="90366"/>
    <x v="0"/>
    <d v="2024-03-01T00:00:00"/>
    <n v="0.60550999999999999"/>
    <n v="70366"/>
    <x v="2"/>
    <n v="176910.6753"/>
    <s v="Overdue"/>
    <d v="2024-06-01T00:00:00"/>
    <s v="Fixed"/>
    <d v="2024-03-25T00:00:00"/>
    <s v="YES"/>
  </r>
  <r>
    <n v="10367"/>
    <n v="6017"/>
    <x v="1"/>
    <n v="54327.040000000001"/>
    <n v="79"/>
    <x v="1"/>
    <x v="3"/>
    <n v="128754.61"/>
    <x v="1"/>
    <s v="WH-C"/>
    <n v="577"/>
    <d v="2024-02-10T00:00:00"/>
    <n v="12"/>
    <n v="90367"/>
    <x v="0"/>
    <d v="2024-05-18T00:00:00"/>
    <n v="0.63380000000000003"/>
    <n v="70367"/>
    <x v="1"/>
    <n v="195646.32492000001"/>
    <s v="pending"/>
    <d v="2024-04-10T00:00:00"/>
    <s v="Fixed"/>
    <d v="2024-03-25T00:00:00"/>
    <s v="YES"/>
  </r>
  <r>
    <n v="10368"/>
    <n v="6596"/>
    <x v="0"/>
    <n v="87845.29"/>
    <n v="82"/>
    <x v="3"/>
    <x v="2"/>
    <n v="51754.239999999998"/>
    <x v="2"/>
    <s v="WH-B"/>
    <n v="1218"/>
    <d v="2024-04-15T00:00:00"/>
    <n v="13"/>
    <n v="90368"/>
    <x v="1"/>
    <d v="2024-04-01T00:00:00"/>
    <n v="0.43508000000000002"/>
    <n v="70368"/>
    <x v="1"/>
    <n v="100987.73798000001"/>
    <s v="Paid"/>
    <d v="2024-04-10T00:00:00"/>
    <s v="Variable"/>
    <d v="2024-04-02T00:00:00"/>
    <s v="NO"/>
  </r>
  <r>
    <n v="10369"/>
    <n v="5881"/>
    <x v="0"/>
    <n v="33500.54"/>
    <n v="97"/>
    <x v="0"/>
    <x v="2"/>
    <n v="22931.77"/>
    <x v="1"/>
    <s v="WH-A"/>
    <n v="1281"/>
    <d v="2024-04-15T00:00:00"/>
    <n v="9"/>
    <n v="90369"/>
    <x v="1"/>
    <d v="2024-04-01T00:00:00"/>
    <n v="0.35204999999999997"/>
    <n v="70369"/>
    <x v="1"/>
    <n v="74556.542619999993"/>
    <s v="pending"/>
    <d v="2024-06-01T00:00:00"/>
    <s v="Variable"/>
    <d v="2024-04-02T00:00:00"/>
    <s v="YES"/>
  </r>
  <r>
    <n v="10370"/>
    <n v="5002"/>
    <x v="1"/>
    <n v="31715.87"/>
    <n v="6"/>
    <x v="3"/>
    <x v="3"/>
    <n v="26110.82"/>
    <x v="1"/>
    <s v="WH-B"/>
    <n v="425"/>
    <d v="2024-02-10T00:00:00"/>
    <n v="12"/>
    <n v="90370"/>
    <x v="2"/>
    <d v="2024-05-18T00:00:00"/>
    <n v="0.34633000000000003"/>
    <n v="70370"/>
    <x v="1"/>
    <n v="126224.06754"/>
    <s v="Paid"/>
    <d v="2024-04-10T00:00:00"/>
    <s v="Variable"/>
    <d v="2024-03-25T00:00:00"/>
    <s v="YES"/>
  </r>
  <r>
    <n v="10371"/>
    <n v="5897"/>
    <x v="1"/>
    <n v="42479.29"/>
    <n v="91"/>
    <x v="2"/>
    <x v="2"/>
    <n v="19346.8"/>
    <x v="2"/>
    <s v="WH-B"/>
    <n v="215"/>
    <d v="2024-04-15T00:00:00"/>
    <n v="3"/>
    <n v="90371"/>
    <x v="3"/>
    <d v="2024-05-18T00:00:00"/>
    <n v="0.25723000000000001"/>
    <n v="70371"/>
    <x v="2"/>
    <n v="144055.14963999999"/>
    <s v="Paid"/>
    <d v="2024-06-01T00:00:00"/>
    <s v="Fixed"/>
    <d v="2024-03-25T00:00:00"/>
    <s v="YES"/>
  </r>
  <r>
    <n v="10372"/>
    <n v="6328"/>
    <x v="1"/>
    <n v="31902.53"/>
    <n v="23"/>
    <x v="2"/>
    <x v="0"/>
    <n v="134710.85"/>
    <x v="0"/>
    <s v="WH-B"/>
    <n v="1254"/>
    <d v="2024-02-10T00:00:00"/>
    <n v="14"/>
    <n v="90372"/>
    <x v="3"/>
    <d v="2024-05-18T00:00:00"/>
    <n v="0.39285999999999999"/>
    <n v="70372"/>
    <x v="1"/>
    <n v="67212.161999999997"/>
    <s v="pending"/>
    <d v="2024-06-01T00:00:00"/>
    <s v="Fixed"/>
    <d v="2024-04-02T00:00:00"/>
    <s v="NO"/>
  </r>
  <r>
    <n v="10373"/>
    <n v="5254"/>
    <x v="1"/>
    <n v="73884.39"/>
    <n v="59"/>
    <x v="1"/>
    <x v="2"/>
    <n v="99533.64"/>
    <x v="1"/>
    <s v="WH-C"/>
    <n v="910"/>
    <d v="2024-02-10T00:00:00"/>
    <n v="7"/>
    <n v="90373"/>
    <x v="3"/>
    <d v="2024-04-01T00:00:00"/>
    <n v="0.27950000000000003"/>
    <n v="70373"/>
    <x v="2"/>
    <n v="78459.081699999995"/>
    <s v="pending"/>
    <d v="2024-06-01T00:00:00"/>
    <s v="Fixed"/>
    <d v="2024-04-02T00:00:00"/>
    <s v="NO"/>
  </r>
  <r>
    <n v="10374"/>
    <n v="6676"/>
    <x v="1"/>
    <n v="19805.830000000002"/>
    <n v="91"/>
    <x v="3"/>
    <x v="2"/>
    <n v="122259.51"/>
    <x v="2"/>
    <s v="WH-B"/>
    <n v="666"/>
    <d v="2024-02-10T00:00:00"/>
    <n v="13"/>
    <n v="90374"/>
    <x v="1"/>
    <d v="2024-03-01T00:00:00"/>
    <n v="0.67042999999999997"/>
    <n v="70374"/>
    <x v="1"/>
    <n v="76228.754050000003"/>
    <s v="Paid"/>
    <d v="2024-05-10T00:00:00"/>
    <s v="Fixed"/>
    <d v="2024-03-25T00:00:00"/>
    <s v="YES"/>
  </r>
  <r>
    <n v="10375"/>
    <n v="5453"/>
    <x v="1"/>
    <n v="75389.61"/>
    <n v="98"/>
    <x v="1"/>
    <x v="2"/>
    <n v="148593.94"/>
    <x v="1"/>
    <s v="WH-B"/>
    <n v="661"/>
    <d v="2024-02-10T00:00:00"/>
    <n v="6"/>
    <n v="90375"/>
    <x v="3"/>
    <d v="2024-05-18T00:00:00"/>
    <n v="0.61216000000000004"/>
    <n v="70375"/>
    <x v="0"/>
    <n v="76647.296159999998"/>
    <s v="Paid"/>
    <d v="2024-06-01T00:00:00"/>
    <s v="Fixed"/>
    <d v="2024-03-25T00:00:00"/>
    <s v="NO"/>
  </r>
  <r>
    <n v="10376"/>
    <n v="6061"/>
    <x v="1"/>
    <n v="46836.1"/>
    <n v="46"/>
    <x v="1"/>
    <x v="2"/>
    <n v="48117.120000000003"/>
    <x v="1"/>
    <s v="WH-B"/>
    <n v="1405"/>
    <d v="2024-02-10T00:00:00"/>
    <n v="8"/>
    <n v="90376"/>
    <x v="2"/>
    <d v="2024-05-18T00:00:00"/>
    <n v="0.44433"/>
    <n v="70376"/>
    <x v="2"/>
    <n v="122879.9219"/>
    <s v="Overdue"/>
    <d v="2024-06-01T00:00:00"/>
    <s v="Fixed"/>
    <d v="2024-03-25T00:00:00"/>
    <s v="YES"/>
  </r>
  <r>
    <n v="10377"/>
    <n v="6184"/>
    <x v="0"/>
    <n v="46447.62"/>
    <n v="38"/>
    <x v="0"/>
    <x v="1"/>
    <n v="147549.09"/>
    <x v="1"/>
    <s v="WH-C"/>
    <n v="552"/>
    <d v="2024-03-10T00:00:00"/>
    <n v="3"/>
    <n v="90377"/>
    <x v="1"/>
    <d v="2024-05-18T00:00:00"/>
    <n v="0.39324999999999999"/>
    <n v="70377"/>
    <x v="0"/>
    <n v="131318.94200000001"/>
    <s v="pending"/>
    <d v="2024-06-01T00:00:00"/>
    <s v="Fixed"/>
    <d v="2024-04-02T00:00:00"/>
    <s v="YES"/>
  </r>
  <r>
    <n v="10378"/>
    <n v="6015"/>
    <x v="1"/>
    <n v="53530.55"/>
    <n v="14"/>
    <x v="0"/>
    <x v="1"/>
    <n v="98096.97"/>
    <x v="0"/>
    <s v="WH-B"/>
    <n v="962"/>
    <d v="2024-03-10T00:00:00"/>
    <n v="3"/>
    <n v="90378"/>
    <x v="1"/>
    <d v="2024-03-01T00:00:00"/>
    <n v="0.31385000000000002"/>
    <n v="70378"/>
    <x v="0"/>
    <n v="179598.13529999999"/>
    <s v="pending"/>
    <d v="2024-05-10T00:00:00"/>
    <s v="Fixed"/>
    <d v="2024-04-02T00:00:00"/>
    <s v="NO"/>
  </r>
  <r>
    <n v="10379"/>
    <n v="5009"/>
    <x v="1"/>
    <n v="56134.69"/>
    <n v="72"/>
    <x v="2"/>
    <x v="1"/>
    <n v="32185.43"/>
    <x v="1"/>
    <s v="WH-B"/>
    <n v="128"/>
    <d v="2024-02-10T00:00:00"/>
    <n v="4"/>
    <n v="90379"/>
    <x v="3"/>
    <d v="2024-03-01T00:00:00"/>
    <n v="0.58191000000000004"/>
    <n v="70379"/>
    <x v="1"/>
    <n v="75331.078500000003"/>
    <s v="pending"/>
    <d v="2024-04-10T00:00:00"/>
    <s v="Variable"/>
    <d v="2024-03-25T00:00:00"/>
    <s v="NO"/>
  </r>
  <r>
    <n v="10380"/>
    <n v="6257"/>
    <x v="1"/>
    <n v="99496.15"/>
    <n v="62"/>
    <x v="1"/>
    <x v="3"/>
    <n v="110328.68"/>
    <x v="2"/>
    <s v="WH-A"/>
    <n v="634"/>
    <d v="2024-03-10T00:00:00"/>
    <n v="3"/>
    <n v="90380"/>
    <x v="0"/>
    <d v="2024-05-18T00:00:00"/>
    <n v="0.92701"/>
    <n v="70380"/>
    <x v="2"/>
    <n v="51903.893190000003"/>
    <s v="pending"/>
    <d v="2024-05-10T00:00:00"/>
    <s v="Variable"/>
    <d v="2024-03-25T00:00:00"/>
    <s v="YES"/>
  </r>
  <r>
    <n v="10381"/>
    <n v="6123"/>
    <x v="0"/>
    <n v="25385.61"/>
    <n v="35"/>
    <x v="2"/>
    <x v="3"/>
    <n v="115031.5"/>
    <x v="0"/>
    <s v="WH-C"/>
    <n v="737"/>
    <d v="2024-03-10T00:00:00"/>
    <n v="9"/>
    <n v="90381"/>
    <x v="0"/>
    <d v="2024-03-01T00:00:00"/>
    <n v="0.71713000000000005"/>
    <n v="70381"/>
    <x v="1"/>
    <n v="205413.11629999999"/>
    <s v="Paid"/>
    <d v="2024-06-01T00:00:00"/>
    <s v="Variable"/>
    <d v="2024-04-02T00:00:00"/>
    <s v="NO"/>
  </r>
  <r>
    <n v="10382"/>
    <n v="6683"/>
    <x v="1"/>
    <n v="36884.9"/>
    <n v="19"/>
    <x v="3"/>
    <x v="0"/>
    <n v="79140.69"/>
    <x v="1"/>
    <s v="WH-B"/>
    <n v="445"/>
    <d v="2024-04-15T00:00:00"/>
    <n v="11"/>
    <n v="90382"/>
    <x v="2"/>
    <d v="2024-05-18T00:00:00"/>
    <n v="0.76997000000000004"/>
    <n v="70382"/>
    <x v="2"/>
    <n v="67720.236099999995"/>
    <s v="Overdue"/>
    <d v="2024-05-10T00:00:00"/>
    <s v="Variable"/>
    <d v="2024-04-02T00:00:00"/>
    <s v="YES"/>
  </r>
  <r>
    <n v="10383"/>
    <n v="5816"/>
    <x v="1"/>
    <n v="82503.86"/>
    <n v="30"/>
    <x v="1"/>
    <x v="1"/>
    <n v="148274.92000000001"/>
    <x v="0"/>
    <s v="WH-A"/>
    <n v="1176"/>
    <d v="2024-02-10T00:00:00"/>
    <n v="4"/>
    <n v="90383"/>
    <x v="3"/>
    <d v="2024-03-01T00:00:00"/>
    <n v="0.85094000000000003"/>
    <n v="70383"/>
    <x v="1"/>
    <n v="78438.128100000002"/>
    <s v="pending"/>
    <d v="2024-04-10T00:00:00"/>
    <s v="Fixed"/>
    <d v="2024-03-25T00:00:00"/>
    <s v="NO"/>
  </r>
  <r>
    <n v="10384"/>
    <n v="5208"/>
    <x v="1"/>
    <n v="75345.509999999995"/>
    <n v="78"/>
    <x v="1"/>
    <x v="3"/>
    <n v="120489.06"/>
    <x v="2"/>
    <s v="WH-C"/>
    <n v="451"/>
    <d v="2024-03-10T00:00:00"/>
    <n v="6"/>
    <n v="90384"/>
    <x v="3"/>
    <d v="2024-04-01T00:00:00"/>
    <n v="0.41647000000000001"/>
    <n v="70384"/>
    <x v="1"/>
    <n v="126612.47309"/>
    <s v="Paid"/>
    <d v="2024-04-10T00:00:00"/>
    <s v="Fixed"/>
    <d v="2024-03-25T00:00:00"/>
    <s v="YES"/>
  </r>
  <r>
    <n v="10385"/>
    <n v="6155"/>
    <x v="0"/>
    <n v="73829.13"/>
    <n v="84"/>
    <x v="3"/>
    <x v="2"/>
    <n v="122309.72"/>
    <x v="0"/>
    <s v="WH-C"/>
    <n v="1024"/>
    <d v="2024-04-15T00:00:00"/>
    <n v="8"/>
    <n v="90385"/>
    <x v="1"/>
    <d v="2024-04-01T00:00:00"/>
    <n v="0.15659000000000001"/>
    <n v="70385"/>
    <x v="1"/>
    <n v="85952.910520000005"/>
    <s v="Paid"/>
    <d v="2024-06-01T00:00:00"/>
    <s v="Variable"/>
    <d v="2024-04-02T00:00:00"/>
    <s v="YES"/>
  </r>
  <r>
    <n v="10386"/>
    <n v="5404"/>
    <x v="1"/>
    <n v="81586.09"/>
    <n v="25"/>
    <x v="3"/>
    <x v="2"/>
    <n v="94092.71"/>
    <x v="0"/>
    <s v="WH-C"/>
    <n v="273"/>
    <d v="2024-04-15T00:00:00"/>
    <n v="11"/>
    <n v="90386"/>
    <x v="1"/>
    <d v="2024-03-01T00:00:00"/>
    <n v="0.6603"/>
    <n v="70386"/>
    <x v="1"/>
    <n v="92475.472200000004"/>
    <s v="Paid"/>
    <d v="2024-04-10T00:00:00"/>
    <s v="Variable"/>
    <d v="2024-04-02T00:00:00"/>
    <s v="NO"/>
  </r>
  <r>
    <n v="10387"/>
    <n v="5152"/>
    <x v="1"/>
    <n v="64946.82"/>
    <n v="40"/>
    <x v="2"/>
    <x v="1"/>
    <n v="93351.34"/>
    <x v="0"/>
    <s v="WH-C"/>
    <n v="567"/>
    <d v="2024-02-10T00:00:00"/>
    <n v="13"/>
    <n v="90387"/>
    <x v="3"/>
    <d v="2024-04-01T00:00:00"/>
    <n v="0.26980999999999999"/>
    <n v="70387"/>
    <x v="2"/>
    <n v="145776.39455"/>
    <s v="Paid"/>
    <d v="2024-05-10T00:00:00"/>
    <s v="Variable"/>
    <d v="2024-03-25T00:00:00"/>
    <s v="YES"/>
  </r>
  <r>
    <n v="10388"/>
    <n v="5054"/>
    <x v="0"/>
    <n v="25548.06"/>
    <n v="88"/>
    <x v="2"/>
    <x v="0"/>
    <n v="71817.41"/>
    <x v="1"/>
    <s v="WH-C"/>
    <n v="683"/>
    <d v="2024-02-10T00:00:00"/>
    <n v="8"/>
    <n v="90388"/>
    <x v="1"/>
    <d v="2024-04-01T00:00:00"/>
    <n v="0.61214000000000002"/>
    <n v="70388"/>
    <x v="2"/>
    <n v="114997.034"/>
    <s v="Paid"/>
    <d v="2024-05-10T00:00:00"/>
    <s v="Variable"/>
    <d v="2024-03-25T00:00:00"/>
    <s v="NO"/>
  </r>
  <r>
    <n v="10389"/>
    <n v="6144"/>
    <x v="1"/>
    <n v="68264.58"/>
    <n v="14"/>
    <x v="3"/>
    <x v="0"/>
    <n v="142385.65"/>
    <x v="2"/>
    <s v="WH-C"/>
    <n v="285"/>
    <d v="2024-04-15T00:00:00"/>
    <n v="5"/>
    <n v="90389"/>
    <x v="3"/>
    <d v="2024-04-01T00:00:00"/>
    <n v="0.76556000000000002"/>
    <n v="70389"/>
    <x v="0"/>
    <n v="58294.145920000003"/>
    <s v="pending"/>
    <d v="2024-04-10T00:00:00"/>
    <s v="Variable"/>
    <d v="2024-03-25T00:00:00"/>
    <s v="YES"/>
  </r>
  <r>
    <n v="10390"/>
    <n v="6697"/>
    <x v="1"/>
    <n v="62250.33"/>
    <n v="26"/>
    <x v="2"/>
    <x v="2"/>
    <n v="139067.57999999999"/>
    <x v="1"/>
    <s v="WH-B"/>
    <n v="165"/>
    <d v="2024-02-10T00:00:00"/>
    <n v="5"/>
    <n v="90390"/>
    <x v="2"/>
    <d v="2024-05-18T00:00:00"/>
    <n v="0.80527000000000004"/>
    <n v="70390"/>
    <x v="1"/>
    <n v="119557.24754"/>
    <s v="pending"/>
    <d v="2024-06-01T00:00:00"/>
    <s v="Fixed"/>
    <d v="2024-04-02T00:00:00"/>
    <s v="NO"/>
  </r>
  <r>
    <n v="10391"/>
    <n v="6944"/>
    <x v="1"/>
    <n v="68308.86"/>
    <n v="87"/>
    <x v="3"/>
    <x v="0"/>
    <n v="51810.2"/>
    <x v="1"/>
    <s v="WH-B"/>
    <n v="1236"/>
    <d v="2024-02-10T00:00:00"/>
    <n v="6"/>
    <n v="90391"/>
    <x v="1"/>
    <d v="2024-03-01T00:00:00"/>
    <n v="0.37165999999999999"/>
    <n v="70391"/>
    <x v="1"/>
    <n v="91665.738100000002"/>
    <s v="Overdue"/>
    <d v="2024-06-01T00:00:00"/>
    <s v="Fixed"/>
    <d v="2024-04-02T00:00:00"/>
    <s v="YES"/>
  </r>
  <r>
    <n v="10392"/>
    <n v="5628"/>
    <x v="1"/>
    <n v="21891.62"/>
    <n v="22"/>
    <x v="1"/>
    <x v="1"/>
    <n v="131437.16"/>
    <x v="1"/>
    <s v="WH-B"/>
    <n v="275"/>
    <d v="2024-04-15T00:00:00"/>
    <n v="10"/>
    <n v="90392"/>
    <x v="3"/>
    <d v="2024-03-01T00:00:00"/>
    <n v="0.56118999999999997"/>
    <n v="70392"/>
    <x v="1"/>
    <n v="157011.53765000001"/>
    <s v="pending"/>
    <d v="2024-05-10T00:00:00"/>
    <s v="Variable"/>
    <d v="2024-03-25T00:00:00"/>
    <s v="YES"/>
  </r>
  <r>
    <n v="10393"/>
    <n v="5587"/>
    <x v="1"/>
    <n v="9013.67"/>
    <n v="48"/>
    <x v="1"/>
    <x v="2"/>
    <n v="37555.17"/>
    <x v="1"/>
    <s v="WH-B"/>
    <n v="279"/>
    <d v="2024-04-15T00:00:00"/>
    <n v="7"/>
    <n v="90393"/>
    <x v="1"/>
    <d v="2024-03-01T00:00:00"/>
    <n v="0.65886999999999996"/>
    <n v="70393"/>
    <x v="2"/>
    <n v="205937.47320000001"/>
    <s v="Paid"/>
    <d v="2024-04-10T00:00:00"/>
    <s v="Fixed"/>
    <d v="2024-04-02T00:00:00"/>
    <s v="NO"/>
  </r>
  <r>
    <n v="10394"/>
    <n v="6649"/>
    <x v="1"/>
    <n v="87891.79"/>
    <n v="83"/>
    <x v="0"/>
    <x v="3"/>
    <n v="24732.44"/>
    <x v="1"/>
    <s v="WH-A"/>
    <n v="231"/>
    <d v="2024-02-10T00:00:00"/>
    <n v="13"/>
    <n v="90394"/>
    <x v="2"/>
    <d v="2024-04-01T00:00:00"/>
    <n v="0.83753"/>
    <n v="70394"/>
    <x v="1"/>
    <n v="195242.37289"/>
    <s v="Overdue"/>
    <d v="2024-05-10T00:00:00"/>
    <s v="Fixed"/>
    <d v="2024-03-25T00:00:00"/>
    <s v="YES"/>
  </r>
  <r>
    <n v="10395"/>
    <n v="6992"/>
    <x v="1"/>
    <n v="55124.1"/>
    <n v="51"/>
    <x v="1"/>
    <x v="3"/>
    <n v="46861.73"/>
    <x v="1"/>
    <s v="WH-B"/>
    <n v="1322"/>
    <d v="2024-03-10T00:00:00"/>
    <n v="13"/>
    <n v="90395"/>
    <x v="1"/>
    <d v="2024-05-18T00:00:00"/>
    <n v="0.78525"/>
    <n v="70395"/>
    <x v="1"/>
    <n v="179422.32199999999"/>
    <s v="Paid"/>
    <d v="2024-05-10T00:00:00"/>
    <s v="Variable"/>
    <d v="2024-03-25T00:00:00"/>
    <s v="YES"/>
  </r>
  <r>
    <n v="10396"/>
    <n v="6444"/>
    <x v="0"/>
    <n v="42741.52"/>
    <n v="3"/>
    <x v="3"/>
    <x v="0"/>
    <n v="97297.79"/>
    <x v="2"/>
    <s v="WH-C"/>
    <n v="1391"/>
    <d v="2024-02-10T00:00:00"/>
    <n v="10"/>
    <n v="90396"/>
    <x v="3"/>
    <d v="2024-03-01T00:00:00"/>
    <n v="0.98917999999999995"/>
    <n v="70396"/>
    <x v="1"/>
    <n v="95539.210590000002"/>
    <s v="Paid"/>
    <d v="2024-05-10T00:00:00"/>
    <s v="Variable"/>
    <d v="2024-03-25T00:00:00"/>
    <s v="NO"/>
  </r>
  <r>
    <n v="10397"/>
    <n v="6446"/>
    <x v="0"/>
    <n v="80956.89"/>
    <n v="42"/>
    <x v="2"/>
    <x v="2"/>
    <n v="79882.679999999993"/>
    <x v="2"/>
    <s v="WH-B"/>
    <n v="259"/>
    <d v="2024-03-10T00:00:00"/>
    <n v="14"/>
    <n v="90397"/>
    <x v="1"/>
    <d v="2024-04-01T00:00:00"/>
    <n v="0.10728"/>
    <n v="70397"/>
    <x v="1"/>
    <n v="168598.51555000001"/>
    <s v="pending"/>
    <d v="2024-06-01T00:00:00"/>
    <s v="Fixed"/>
    <d v="2024-03-25T00:00:00"/>
    <s v="YES"/>
  </r>
  <r>
    <n v="10398"/>
    <n v="5104"/>
    <x v="0"/>
    <n v="25008.18"/>
    <n v="19"/>
    <x v="0"/>
    <x v="2"/>
    <n v="114719.81"/>
    <x v="0"/>
    <s v="WH-B"/>
    <n v="1465"/>
    <d v="2024-04-15T00:00:00"/>
    <n v="7"/>
    <n v="90398"/>
    <x v="1"/>
    <d v="2024-05-18T00:00:00"/>
    <n v="0.49374000000000001"/>
    <n v="70398"/>
    <x v="0"/>
    <n v="139638.6796"/>
    <s v="Paid"/>
    <d v="2024-04-10T00:00:00"/>
    <s v="Variable"/>
    <d v="2024-03-25T00:00:00"/>
    <s v="YES"/>
  </r>
  <r>
    <n v="10399"/>
    <n v="6876"/>
    <x v="1"/>
    <n v="90655.96"/>
    <n v="73"/>
    <x v="2"/>
    <x v="3"/>
    <n v="46178.97"/>
    <x v="1"/>
    <s v="WH-C"/>
    <n v="145"/>
    <d v="2024-03-10T00:00:00"/>
    <n v="13"/>
    <n v="90399"/>
    <x v="3"/>
    <d v="2024-05-18T00:00:00"/>
    <n v="0.33044000000000001"/>
    <n v="70399"/>
    <x v="1"/>
    <n v="128717.34600000001"/>
    <s v="pending"/>
    <d v="2024-04-10T00:00:00"/>
    <s v="Fixed"/>
    <d v="2024-03-25T00:00:00"/>
    <s v="NO"/>
  </r>
  <r>
    <n v="10400"/>
    <n v="5254"/>
    <x v="1"/>
    <n v="33505.49"/>
    <n v="28"/>
    <x v="3"/>
    <x v="2"/>
    <n v="74743.81"/>
    <x v="2"/>
    <s v="WH-B"/>
    <n v="943"/>
    <d v="2024-04-15T00:00:00"/>
    <n v="4"/>
    <n v="90400"/>
    <x v="0"/>
    <d v="2024-03-01T00:00:00"/>
    <n v="0.2079"/>
    <n v="70400"/>
    <x v="0"/>
    <n v="106364.90661999999"/>
    <s v="Paid"/>
    <d v="2024-06-01T00:00:00"/>
    <s v="Variable"/>
    <d v="2024-04-02T00:00:00"/>
    <s v="YES"/>
  </r>
  <r>
    <n v="10401"/>
    <n v="6251"/>
    <x v="1"/>
    <n v="75581.36"/>
    <n v="84"/>
    <x v="1"/>
    <x v="2"/>
    <n v="75033.69"/>
    <x v="0"/>
    <s v="WH-B"/>
    <n v="805"/>
    <d v="2024-02-10T00:00:00"/>
    <n v="6"/>
    <n v="90401"/>
    <x v="1"/>
    <d v="2024-03-01T00:00:00"/>
    <n v="0.92035999999999996"/>
    <n v="70401"/>
    <x v="1"/>
    <n v="134857.68530000001"/>
    <s v="Overdue"/>
    <d v="2024-05-10T00:00:00"/>
    <s v="Fixed"/>
    <d v="2024-03-25T00:00:00"/>
    <s v="YES"/>
  </r>
  <r>
    <n v="10402"/>
    <n v="6136"/>
    <x v="0"/>
    <n v="19442.59"/>
    <n v="45"/>
    <x v="0"/>
    <x v="2"/>
    <n v="120428.8"/>
    <x v="2"/>
    <s v="WH-B"/>
    <n v="1159"/>
    <d v="2024-02-10T00:00:00"/>
    <n v="7"/>
    <n v="90402"/>
    <x v="1"/>
    <d v="2024-04-01T00:00:00"/>
    <n v="0.99817"/>
    <n v="70402"/>
    <x v="1"/>
    <n v="75352.486999999994"/>
    <s v="Paid"/>
    <d v="2024-05-10T00:00:00"/>
    <s v="Variable"/>
    <d v="2024-03-25T00:00:00"/>
    <s v="YES"/>
  </r>
  <r>
    <n v="10403"/>
    <n v="5510"/>
    <x v="1"/>
    <n v="22204.46"/>
    <n v="71"/>
    <x v="3"/>
    <x v="0"/>
    <n v="142401.57"/>
    <x v="1"/>
    <s v="WH-A"/>
    <n v="464"/>
    <d v="2024-04-15T00:00:00"/>
    <n v="5"/>
    <n v="90403"/>
    <x v="2"/>
    <d v="2024-03-01T00:00:00"/>
    <n v="0.26254"/>
    <n v="70403"/>
    <x v="1"/>
    <n v="195900.43990999999"/>
    <s v="pending"/>
    <d v="2024-06-01T00:00:00"/>
    <s v="Variable"/>
    <d v="2024-04-02T00:00:00"/>
    <s v="YES"/>
  </r>
  <r>
    <n v="10404"/>
    <n v="6497"/>
    <x v="1"/>
    <n v="85602.71"/>
    <n v="78"/>
    <x v="0"/>
    <x v="2"/>
    <n v="139284.9"/>
    <x v="2"/>
    <s v="WH-B"/>
    <n v="443"/>
    <d v="2024-04-15T00:00:00"/>
    <n v="5"/>
    <n v="90404"/>
    <x v="0"/>
    <d v="2024-04-01T00:00:00"/>
    <n v="0.13458999999999999"/>
    <n v="70404"/>
    <x v="2"/>
    <n v="149874.18650000001"/>
    <s v="Paid"/>
    <d v="2024-04-10T00:00:00"/>
    <s v="Variable"/>
    <d v="2024-04-02T00:00:00"/>
    <s v="YES"/>
  </r>
  <r>
    <n v="10405"/>
    <n v="5099"/>
    <x v="1"/>
    <n v="89644.81"/>
    <n v="63"/>
    <x v="0"/>
    <x v="1"/>
    <n v="134211.34"/>
    <x v="1"/>
    <s v="WH-C"/>
    <n v="745"/>
    <d v="2024-04-15T00:00:00"/>
    <n v="2"/>
    <n v="90405"/>
    <x v="2"/>
    <d v="2024-05-18T00:00:00"/>
    <n v="0.34755000000000003"/>
    <n v="70405"/>
    <x v="1"/>
    <n v="75998.160669999997"/>
    <s v="pending"/>
    <d v="2024-06-01T00:00:00"/>
    <s v="Fixed"/>
    <d v="2024-03-25T00:00:00"/>
    <s v="YES"/>
  </r>
  <r>
    <n v="10406"/>
    <n v="5153"/>
    <x v="1"/>
    <n v="74065.16"/>
    <n v="73"/>
    <x v="1"/>
    <x v="0"/>
    <n v="58487.62"/>
    <x v="2"/>
    <s v="WH-C"/>
    <n v="893"/>
    <d v="2024-02-10T00:00:00"/>
    <n v="7"/>
    <n v="90406"/>
    <x v="3"/>
    <d v="2024-05-18T00:00:00"/>
    <n v="0.85138000000000003"/>
    <n v="70406"/>
    <x v="1"/>
    <n v="88093.451499999996"/>
    <s v="pending"/>
    <d v="2024-04-10T00:00:00"/>
    <s v="Variable"/>
    <d v="2024-03-25T00:00:00"/>
    <s v="NO"/>
  </r>
  <r>
    <n v="10407"/>
    <n v="6885"/>
    <x v="1"/>
    <n v="12752.44"/>
    <n v="19"/>
    <x v="3"/>
    <x v="2"/>
    <n v="91240.52"/>
    <x v="1"/>
    <s v="WH-B"/>
    <n v="653"/>
    <d v="2024-02-10T00:00:00"/>
    <n v="12"/>
    <n v="90407"/>
    <x v="3"/>
    <d v="2024-05-18T00:00:00"/>
    <n v="0.36449999999999999"/>
    <n v="70407"/>
    <x v="0"/>
    <n v="140918.8671"/>
    <s v="Overdue"/>
    <d v="2024-04-10T00:00:00"/>
    <s v="Variable"/>
    <d v="2024-04-02T00:00:00"/>
    <s v="NO"/>
  </r>
  <r>
    <n v="10408"/>
    <n v="5914"/>
    <x v="1"/>
    <n v="16971.75"/>
    <n v="47"/>
    <x v="2"/>
    <x v="2"/>
    <n v="93007.26"/>
    <x v="1"/>
    <s v="WH-B"/>
    <n v="631"/>
    <d v="2024-03-10T00:00:00"/>
    <n v="6"/>
    <n v="90408"/>
    <x v="2"/>
    <d v="2024-05-18T00:00:00"/>
    <n v="0.15121000000000001"/>
    <n v="70408"/>
    <x v="0"/>
    <n v="186937.70123999999"/>
    <s v="pending"/>
    <d v="2024-04-10T00:00:00"/>
    <s v="Variable"/>
    <d v="2024-03-25T00:00:00"/>
    <s v="YES"/>
  </r>
  <r>
    <n v="10409"/>
    <n v="6920"/>
    <x v="0"/>
    <n v="95920.12"/>
    <n v="14"/>
    <x v="0"/>
    <x v="1"/>
    <n v="111009.86"/>
    <x v="1"/>
    <s v="WH-B"/>
    <n v="182"/>
    <d v="2024-04-15T00:00:00"/>
    <n v="11"/>
    <n v="90409"/>
    <x v="1"/>
    <d v="2024-03-01T00:00:00"/>
    <n v="0.14724000000000001"/>
    <n v="70409"/>
    <x v="1"/>
    <n v="99265.147400000002"/>
    <s v="Overdue"/>
    <d v="2024-05-10T00:00:00"/>
    <s v="Fixed"/>
    <d v="2024-03-25T00:00:00"/>
    <s v="NO"/>
  </r>
  <r>
    <n v="10410"/>
    <n v="5878"/>
    <x v="0"/>
    <n v="46879.73"/>
    <n v="38"/>
    <x v="0"/>
    <x v="0"/>
    <n v="43900.58"/>
    <x v="2"/>
    <s v="WH-C"/>
    <n v="840"/>
    <d v="2024-03-10T00:00:00"/>
    <n v="1"/>
    <n v="90410"/>
    <x v="0"/>
    <d v="2024-03-01T00:00:00"/>
    <n v="0.48468"/>
    <n v="70410"/>
    <x v="0"/>
    <n v="76059.763000000006"/>
    <s v="Overdue"/>
    <d v="2024-05-10T00:00:00"/>
    <s v="Fixed"/>
    <d v="2024-03-25T00:00:00"/>
    <s v="YES"/>
  </r>
  <r>
    <n v="10411"/>
    <n v="5338"/>
    <x v="1"/>
    <n v="98369.82"/>
    <n v="53"/>
    <x v="2"/>
    <x v="3"/>
    <n v="119196.01"/>
    <x v="0"/>
    <s v="WH-C"/>
    <n v="698"/>
    <d v="2024-02-10T00:00:00"/>
    <n v="4"/>
    <n v="90411"/>
    <x v="2"/>
    <d v="2024-04-01T00:00:00"/>
    <n v="0.93864000000000003"/>
    <n v="70411"/>
    <x v="1"/>
    <n v="59645.470280000001"/>
    <s v="Paid"/>
    <d v="2024-06-01T00:00:00"/>
    <s v="Variable"/>
    <d v="2024-04-02T00:00:00"/>
    <s v="YES"/>
  </r>
  <r>
    <n v="10412"/>
    <n v="6730"/>
    <x v="0"/>
    <n v="55641.65"/>
    <n v="61"/>
    <x v="3"/>
    <x v="3"/>
    <n v="31518.37"/>
    <x v="1"/>
    <s v="WH-A"/>
    <n v="1387"/>
    <d v="2024-03-10T00:00:00"/>
    <n v="3"/>
    <n v="90412"/>
    <x v="2"/>
    <d v="2024-04-01T00:00:00"/>
    <n v="0.35732999999999998"/>
    <n v="70412"/>
    <x v="1"/>
    <n v="169269.17058000001"/>
    <s v="Overdue"/>
    <d v="2024-06-01T00:00:00"/>
    <s v="Variable"/>
    <d v="2024-03-25T00:00:00"/>
    <s v="YES"/>
  </r>
  <r>
    <n v="10413"/>
    <n v="5822"/>
    <x v="1"/>
    <n v="72182.33"/>
    <n v="36"/>
    <x v="0"/>
    <x v="0"/>
    <n v="64789.14"/>
    <x v="2"/>
    <s v="WH-A"/>
    <n v="270"/>
    <d v="2024-03-10T00:00:00"/>
    <n v="12"/>
    <n v="90413"/>
    <x v="3"/>
    <d v="2024-04-01T00:00:00"/>
    <n v="0.48443999999999998"/>
    <n v="70413"/>
    <x v="1"/>
    <n v="123806.58405"/>
    <s v="pending"/>
    <d v="2024-05-10T00:00:00"/>
    <s v="Variable"/>
    <d v="2024-04-02T00:00:00"/>
    <s v="NO"/>
  </r>
  <r>
    <n v="10414"/>
    <n v="6187"/>
    <x v="1"/>
    <n v="47319.360000000001"/>
    <n v="40"/>
    <x v="0"/>
    <x v="2"/>
    <n v="130562.8"/>
    <x v="1"/>
    <s v="WH-A"/>
    <n v="1025"/>
    <d v="2024-02-10T00:00:00"/>
    <n v="3"/>
    <n v="90414"/>
    <x v="1"/>
    <d v="2024-04-01T00:00:00"/>
    <n v="0.19173999999999999"/>
    <n v="70414"/>
    <x v="1"/>
    <n v="130741.94998999999"/>
    <s v="pending"/>
    <d v="2024-06-01T00:00:00"/>
    <s v="Variable"/>
    <d v="2024-04-02T00:00:00"/>
    <s v="NO"/>
  </r>
  <r>
    <n v="10415"/>
    <n v="6744"/>
    <x v="1"/>
    <n v="95507.13"/>
    <n v="81"/>
    <x v="0"/>
    <x v="2"/>
    <n v="60318.35"/>
    <x v="1"/>
    <s v="WH-C"/>
    <n v="1119"/>
    <d v="2024-02-10T00:00:00"/>
    <n v="7"/>
    <n v="90415"/>
    <x v="0"/>
    <d v="2024-04-01T00:00:00"/>
    <n v="0.54422000000000004"/>
    <n v="70415"/>
    <x v="1"/>
    <n v="193294.12229999999"/>
    <s v="Overdue"/>
    <d v="2024-05-10T00:00:00"/>
    <s v="Fixed"/>
    <d v="2024-03-25T00:00:00"/>
    <s v="YES"/>
  </r>
  <r>
    <n v="10416"/>
    <n v="5957"/>
    <x v="1"/>
    <n v="13442.35"/>
    <n v="30"/>
    <x v="3"/>
    <x v="3"/>
    <n v="107856.06"/>
    <x v="2"/>
    <s v="WH-A"/>
    <n v="1265"/>
    <d v="2024-04-15T00:00:00"/>
    <n v="11"/>
    <n v="90416"/>
    <x v="2"/>
    <d v="2024-05-18T00:00:00"/>
    <n v="0.72689000000000004"/>
    <n v="70416"/>
    <x v="0"/>
    <n v="168251.58398"/>
    <s v="Paid"/>
    <d v="2024-05-10T00:00:00"/>
    <s v="Fixed"/>
    <d v="2024-03-25T00:00:00"/>
    <s v="YES"/>
  </r>
  <r>
    <n v="10417"/>
    <n v="6705"/>
    <x v="1"/>
    <n v="14866.8"/>
    <n v="9"/>
    <x v="3"/>
    <x v="3"/>
    <n v="35463.06"/>
    <x v="2"/>
    <s v="WH-B"/>
    <n v="1452"/>
    <d v="2024-03-10T00:00:00"/>
    <n v="12"/>
    <n v="90417"/>
    <x v="0"/>
    <d v="2024-05-18T00:00:00"/>
    <n v="0.34404000000000001"/>
    <n v="70417"/>
    <x v="2"/>
    <n v="209108.42240000001"/>
    <s v="Overdue"/>
    <d v="2024-04-10T00:00:00"/>
    <s v="Fixed"/>
    <d v="2024-03-25T00:00:00"/>
    <s v="YES"/>
  </r>
  <r>
    <n v="10418"/>
    <n v="5161"/>
    <x v="1"/>
    <n v="11423.37"/>
    <n v="64"/>
    <x v="2"/>
    <x v="3"/>
    <n v="111218.96"/>
    <x v="0"/>
    <s v="WH-B"/>
    <n v="837"/>
    <d v="2024-02-10T00:00:00"/>
    <n v="10"/>
    <n v="90418"/>
    <x v="0"/>
    <d v="2024-05-18T00:00:00"/>
    <n v="0.36703999999999998"/>
    <n v="70418"/>
    <x v="1"/>
    <n v="117711.40399999999"/>
    <s v="Overdue"/>
    <d v="2024-04-10T00:00:00"/>
    <s v="Fixed"/>
    <d v="2024-03-25T00:00:00"/>
    <s v="NO"/>
  </r>
  <r>
    <n v="10419"/>
    <n v="6604"/>
    <x v="1"/>
    <n v="38515.83"/>
    <n v="33"/>
    <x v="3"/>
    <x v="1"/>
    <n v="58025.06"/>
    <x v="1"/>
    <s v="WH-C"/>
    <n v="740"/>
    <d v="2024-02-10T00:00:00"/>
    <n v="4"/>
    <n v="90419"/>
    <x v="2"/>
    <d v="2024-04-01T00:00:00"/>
    <n v="0.85777999999999999"/>
    <n v="70419"/>
    <x v="0"/>
    <n v="130370.5413"/>
    <s v="pending"/>
    <d v="2024-05-10T00:00:00"/>
    <s v="Variable"/>
    <d v="2024-03-25T00:00:00"/>
    <s v="NO"/>
  </r>
  <r>
    <n v="10420"/>
    <n v="5801"/>
    <x v="1"/>
    <n v="32440.53"/>
    <n v="52"/>
    <x v="3"/>
    <x v="3"/>
    <n v="43508.31"/>
    <x v="1"/>
    <s v="WH-A"/>
    <n v="1407"/>
    <d v="2024-03-10T00:00:00"/>
    <n v="12"/>
    <n v="90420"/>
    <x v="0"/>
    <d v="2024-05-18T00:00:00"/>
    <n v="0.10933"/>
    <n v="70420"/>
    <x v="1"/>
    <n v="69594.213099999994"/>
    <s v="Paid"/>
    <d v="2024-04-10T00:00:00"/>
    <s v="Fixed"/>
    <d v="2024-03-25T00:00:00"/>
    <s v="YES"/>
  </r>
  <r>
    <n v="10421"/>
    <n v="5398"/>
    <x v="1"/>
    <n v="89432.38"/>
    <n v="89"/>
    <x v="1"/>
    <x v="1"/>
    <n v="17865.54"/>
    <x v="2"/>
    <s v="WH-B"/>
    <n v="88"/>
    <d v="2024-02-10T00:00:00"/>
    <n v="8"/>
    <n v="90421"/>
    <x v="3"/>
    <d v="2024-05-18T00:00:00"/>
    <n v="0.67281999999999997"/>
    <n v="70421"/>
    <x v="1"/>
    <n v="91410.381819999995"/>
    <s v="Paid"/>
    <d v="2024-05-10T00:00:00"/>
    <s v="Variable"/>
    <d v="2024-04-02T00:00:00"/>
    <s v="YES"/>
  </r>
  <r>
    <n v="10422"/>
    <n v="6301"/>
    <x v="0"/>
    <n v="32185.45"/>
    <n v="14"/>
    <x v="2"/>
    <x v="0"/>
    <n v="132183.43"/>
    <x v="1"/>
    <s v="WH-C"/>
    <n v="1366"/>
    <d v="2024-04-15T00:00:00"/>
    <n v="11"/>
    <n v="90422"/>
    <x v="1"/>
    <d v="2024-05-18T00:00:00"/>
    <n v="0.45450000000000002"/>
    <n v="70422"/>
    <x v="2"/>
    <n v="72839.409499999994"/>
    <s v="Paid"/>
    <d v="2024-04-10T00:00:00"/>
    <s v="Variable"/>
    <d v="2024-03-25T00:00:00"/>
    <s v="YES"/>
  </r>
  <r>
    <n v="10423"/>
    <n v="5816"/>
    <x v="0"/>
    <n v="33211.64"/>
    <n v="75"/>
    <x v="0"/>
    <x v="2"/>
    <n v="137850.48000000001"/>
    <x v="2"/>
    <s v="WH-A"/>
    <n v="739"/>
    <d v="2024-04-15T00:00:00"/>
    <n v="9"/>
    <n v="90423"/>
    <x v="1"/>
    <d v="2024-05-18T00:00:00"/>
    <n v="0.36853999999999998"/>
    <n v="70423"/>
    <x v="0"/>
    <n v="84882.316040000005"/>
    <s v="Paid"/>
    <d v="2024-06-01T00:00:00"/>
    <s v="Variable"/>
    <d v="2024-03-25T00:00:00"/>
    <s v="YES"/>
  </r>
  <r>
    <n v="10424"/>
    <n v="6940"/>
    <x v="1"/>
    <n v="83076.75"/>
    <n v="53"/>
    <x v="3"/>
    <x v="3"/>
    <n v="34878.199999999997"/>
    <x v="1"/>
    <s v="WH-B"/>
    <n v="211"/>
    <d v="2024-03-10T00:00:00"/>
    <n v="3"/>
    <n v="90424"/>
    <x v="1"/>
    <d v="2024-03-01T00:00:00"/>
    <n v="0.69182999999999995"/>
    <n v="70424"/>
    <x v="1"/>
    <n v="66830.983200000002"/>
    <s v="pending"/>
    <d v="2024-06-01T00:00:00"/>
    <s v="Variable"/>
    <d v="2024-03-25T00:00:00"/>
    <s v="NO"/>
  </r>
  <r>
    <n v="10425"/>
    <n v="6528"/>
    <x v="1"/>
    <n v="45209.7"/>
    <n v="99"/>
    <x v="0"/>
    <x v="2"/>
    <n v="103563"/>
    <x v="2"/>
    <s v="WH-A"/>
    <n v="1404"/>
    <d v="2024-04-15T00:00:00"/>
    <n v="5"/>
    <n v="90425"/>
    <x v="3"/>
    <d v="2024-04-01T00:00:00"/>
    <n v="0.85119999999999996"/>
    <n v="70425"/>
    <x v="0"/>
    <n v="167071.51915000001"/>
    <s v="Paid"/>
    <d v="2024-05-10T00:00:00"/>
    <s v="Fixed"/>
    <d v="2024-03-25T00:00:00"/>
    <s v="YES"/>
  </r>
  <r>
    <n v="10426"/>
    <n v="6920"/>
    <x v="1"/>
    <n v="50190.6"/>
    <n v="59"/>
    <x v="0"/>
    <x v="2"/>
    <n v="48719.54"/>
    <x v="0"/>
    <s v="WH-C"/>
    <n v="1177"/>
    <d v="2024-02-10T00:00:00"/>
    <n v="4"/>
    <n v="90426"/>
    <x v="3"/>
    <d v="2024-04-01T00:00:00"/>
    <n v="0.60255000000000003"/>
    <n v="70426"/>
    <x v="1"/>
    <n v="134028.71609999999"/>
    <s v="Paid"/>
    <d v="2024-05-10T00:00:00"/>
    <s v="Variable"/>
    <d v="2024-03-25T00:00:00"/>
    <s v="YES"/>
  </r>
  <r>
    <n v="10427"/>
    <n v="6416"/>
    <x v="1"/>
    <n v="26915.4"/>
    <n v="78"/>
    <x v="1"/>
    <x v="3"/>
    <n v="170136.4"/>
    <x v="1"/>
    <s v="WH-A"/>
    <n v="210"/>
    <d v="2024-02-10T00:00:00"/>
    <n v="14"/>
    <n v="90427"/>
    <x v="3"/>
    <d v="2024-03-01T00:00:00"/>
    <n v="0.12798999999999999"/>
    <n v="70427"/>
    <x v="1"/>
    <n v="126638.39982999999"/>
    <s v="Paid"/>
    <d v="2024-04-10T00:00:00"/>
    <s v="Fixed"/>
    <d v="2024-04-02T00:00:00"/>
    <s v="NO"/>
  </r>
  <r>
    <n v="10428"/>
    <n v="6159"/>
    <x v="1"/>
    <n v="35727.660000000003"/>
    <n v="94"/>
    <x v="3"/>
    <x v="3"/>
    <n v="76031.25"/>
    <x v="2"/>
    <s v="WH-C"/>
    <n v="1127"/>
    <d v="2024-02-10T00:00:00"/>
    <n v="12"/>
    <n v="90428"/>
    <x v="1"/>
    <d v="2024-05-18T00:00:00"/>
    <n v="0.51526000000000005"/>
    <n v="70428"/>
    <x v="1"/>
    <n v="175525.2384"/>
    <s v="pending"/>
    <d v="2024-04-10T00:00:00"/>
    <s v="Variable"/>
    <d v="2024-03-25T00:00:00"/>
    <s v="YES"/>
  </r>
  <r>
    <n v="10429"/>
    <n v="6219"/>
    <x v="1"/>
    <n v="27364.97"/>
    <n v="41"/>
    <x v="2"/>
    <x v="0"/>
    <n v="18461.47"/>
    <x v="0"/>
    <s v="WH-A"/>
    <n v="1107"/>
    <d v="2024-02-10T00:00:00"/>
    <n v="10"/>
    <n v="90429"/>
    <x v="0"/>
    <d v="2024-05-18T00:00:00"/>
    <n v="0.51648000000000005"/>
    <n v="70429"/>
    <x v="1"/>
    <n v="171330.80118000001"/>
    <s v="pending"/>
    <d v="2024-05-10T00:00:00"/>
    <s v="Fixed"/>
    <d v="2024-03-25T00:00:00"/>
    <s v="YES"/>
  </r>
  <r>
    <n v="10430"/>
    <n v="5401"/>
    <x v="0"/>
    <n v="61207.4"/>
    <n v="68"/>
    <x v="3"/>
    <x v="1"/>
    <n v="149415.37"/>
    <x v="1"/>
    <s v="WH-B"/>
    <n v="291"/>
    <d v="2024-03-10T00:00:00"/>
    <n v="6"/>
    <n v="90430"/>
    <x v="3"/>
    <d v="2024-05-18T00:00:00"/>
    <n v="0.58942000000000005"/>
    <n v="70430"/>
    <x v="0"/>
    <n v="101066.79827"/>
    <s v="Paid"/>
    <d v="2024-06-01T00:00:00"/>
    <s v="Variable"/>
    <d v="2024-03-25T00:00:00"/>
    <s v="YES"/>
  </r>
  <r>
    <n v="10431"/>
    <n v="5640"/>
    <x v="1"/>
    <n v="54500.57"/>
    <n v="68"/>
    <x v="0"/>
    <x v="1"/>
    <n v="33643.56"/>
    <x v="2"/>
    <s v="WH-C"/>
    <n v="1016"/>
    <d v="2024-04-15T00:00:00"/>
    <n v="11"/>
    <n v="90431"/>
    <x v="2"/>
    <d v="2024-04-01T00:00:00"/>
    <n v="0.70386000000000004"/>
    <n v="70431"/>
    <x v="2"/>
    <n v="87179.3413"/>
    <s v="pending"/>
    <d v="2024-06-01T00:00:00"/>
    <s v="Variable"/>
    <d v="2024-03-25T00:00:00"/>
    <s v="NO"/>
  </r>
  <r>
    <n v="10432"/>
    <n v="6057"/>
    <x v="1"/>
    <n v="54322.080000000002"/>
    <n v="92"/>
    <x v="2"/>
    <x v="2"/>
    <n v="156290.73000000001"/>
    <x v="1"/>
    <s v="WH-C"/>
    <n v="939"/>
    <d v="2024-04-15T00:00:00"/>
    <n v="10"/>
    <n v="90432"/>
    <x v="3"/>
    <d v="2024-04-01T00:00:00"/>
    <n v="0.11738999999999999"/>
    <n v="70432"/>
    <x v="1"/>
    <n v="74851.229399999997"/>
    <s v="Overdue"/>
    <d v="2024-05-10T00:00:00"/>
    <s v="Variable"/>
    <d v="2024-04-02T00:00:00"/>
    <s v="YES"/>
  </r>
  <r>
    <n v="10433"/>
    <n v="5688"/>
    <x v="1"/>
    <n v="68850.75"/>
    <n v="8"/>
    <x v="3"/>
    <x v="3"/>
    <n v="38202.92"/>
    <x v="0"/>
    <s v="WH-C"/>
    <n v="162"/>
    <d v="2024-02-10T00:00:00"/>
    <n v="4"/>
    <n v="90433"/>
    <x v="2"/>
    <d v="2024-04-01T00:00:00"/>
    <n v="0.55181000000000002"/>
    <n v="70433"/>
    <x v="0"/>
    <n v="168585.59448"/>
    <s v="Paid"/>
    <d v="2024-06-01T00:00:00"/>
    <s v="Variable"/>
    <d v="2024-03-25T00:00:00"/>
    <s v="YES"/>
  </r>
  <r>
    <n v="10434"/>
    <n v="5460"/>
    <x v="1"/>
    <n v="52813.2"/>
    <n v="2"/>
    <x v="0"/>
    <x v="0"/>
    <n v="107277.35"/>
    <x v="1"/>
    <s v="WH-A"/>
    <n v="1063"/>
    <d v="2024-03-10T00:00:00"/>
    <n v="8"/>
    <n v="90434"/>
    <x v="1"/>
    <d v="2024-04-01T00:00:00"/>
    <n v="0.62948000000000004"/>
    <n v="70434"/>
    <x v="1"/>
    <n v="86875.929000000004"/>
    <s v="pending"/>
    <d v="2024-05-10T00:00:00"/>
    <s v="Variable"/>
    <d v="2024-04-02T00:00:00"/>
    <s v="YES"/>
  </r>
  <r>
    <n v="10435"/>
    <n v="5955"/>
    <x v="1"/>
    <n v="87583.01"/>
    <n v="86"/>
    <x v="0"/>
    <x v="0"/>
    <n v="142557"/>
    <x v="0"/>
    <s v="WH-A"/>
    <n v="367"/>
    <d v="2024-02-10T00:00:00"/>
    <n v="3"/>
    <n v="90435"/>
    <x v="2"/>
    <d v="2024-04-01T00:00:00"/>
    <n v="0.40901999999999999"/>
    <n v="70435"/>
    <x v="2"/>
    <n v="188132.66966000001"/>
    <s v="Paid"/>
    <d v="2024-04-10T00:00:00"/>
    <s v="Variable"/>
    <d v="2024-04-02T00:00:00"/>
    <s v="NO"/>
  </r>
  <r>
    <n v="10436"/>
    <n v="6907"/>
    <x v="1"/>
    <n v="93563.08"/>
    <n v="41"/>
    <x v="1"/>
    <x v="0"/>
    <n v="164594.53"/>
    <x v="0"/>
    <s v="WH-B"/>
    <n v="72"/>
    <d v="2024-02-10T00:00:00"/>
    <n v="11"/>
    <n v="90436"/>
    <x v="3"/>
    <d v="2024-03-01T00:00:00"/>
    <n v="0.70152999999999999"/>
    <n v="70436"/>
    <x v="1"/>
    <n v="56478.935810000003"/>
    <s v="Paid"/>
    <d v="2024-06-01T00:00:00"/>
    <s v="Variable"/>
    <d v="2024-03-25T00:00:00"/>
    <s v="YES"/>
  </r>
  <r>
    <n v="10437"/>
    <n v="5470"/>
    <x v="1"/>
    <n v="88846.45"/>
    <n v="55"/>
    <x v="1"/>
    <x v="0"/>
    <n v="129481.69"/>
    <x v="0"/>
    <s v="WH-C"/>
    <n v="873"/>
    <d v="2024-03-10T00:00:00"/>
    <n v="5"/>
    <n v="90437"/>
    <x v="3"/>
    <d v="2024-04-01T00:00:00"/>
    <n v="0.30536000000000002"/>
    <n v="70437"/>
    <x v="1"/>
    <n v="157778.61244999999"/>
    <s v="pending"/>
    <d v="2024-06-01T00:00:00"/>
    <s v="Variable"/>
    <d v="2024-03-25T00:00:00"/>
    <s v="NO"/>
  </r>
  <r>
    <n v="10438"/>
    <n v="6399"/>
    <x v="1"/>
    <n v="52559.08"/>
    <n v="16"/>
    <x v="1"/>
    <x v="0"/>
    <n v="93034.68"/>
    <x v="2"/>
    <s v="WH-C"/>
    <n v="1191"/>
    <d v="2024-03-10T00:00:00"/>
    <n v="13"/>
    <n v="90438"/>
    <x v="0"/>
    <d v="2024-05-18T00:00:00"/>
    <n v="0.38563999999999998"/>
    <n v="70438"/>
    <x v="1"/>
    <n v="146650.88993"/>
    <s v="Overdue"/>
    <d v="2024-04-10T00:00:00"/>
    <s v="Fixed"/>
    <d v="2024-03-25T00:00:00"/>
    <s v="YES"/>
  </r>
  <r>
    <n v="10439"/>
    <n v="6046"/>
    <x v="0"/>
    <n v="32839.25"/>
    <n v="93"/>
    <x v="0"/>
    <x v="1"/>
    <n v="113604.05"/>
    <x v="1"/>
    <s v="WH-A"/>
    <n v="750"/>
    <d v="2024-02-10T00:00:00"/>
    <n v="1"/>
    <n v="90439"/>
    <x v="1"/>
    <d v="2024-04-01T00:00:00"/>
    <n v="0.96648000000000001"/>
    <n v="70439"/>
    <x v="0"/>
    <n v="101623.6027"/>
    <s v="Paid"/>
    <d v="2024-04-10T00:00:00"/>
    <s v="Variable"/>
    <d v="2024-04-02T00:00:00"/>
    <s v="YES"/>
  </r>
  <r>
    <n v="10440"/>
    <n v="5750"/>
    <x v="0"/>
    <n v="62890.32"/>
    <n v="62"/>
    <x v="3"/>
    <x v="1"/>
    <n v="55145.29"/>
    <x v="1"/>
    <s v="WH-A"/>
    <n v="1068"/>
    <d v="2024-04-15T00:00:00"/>
    <n v="13"/>
    <n v="90440"/>
    <x v="2"/>
    <d v="2024-03-01T00:00:00"/>
    <n v="0.41326000000000002"/>
    <n v="70440"/>
    <x v="1"/>
    <n v="111791.1961"/>
    <s v="Overdue"/>
    <d v="2024-06-01T00:00:00"/>
    <s v="Variable"/>
    <d v="2024-03-25T00:00:00"/>
    <s v="YES"/>
  </r>
  <r>
    <n v="10441"/>
    <n v="6694"/>
    <x v="1"/>
    <n v="49078.92"/>
    <n v="48"/>
    <x v="1"/>
    <x v="1"/>
    <n v="147853.94"/>
    <x v="1"/>
    <s v="WH-B"/>
    <n v="1285"/>
    <d v="2024-02-10T00:00:00"/>
    <n v="6"/>
    <n v="90441"/>
    <x v="1"/>
    <d v="2024-05-18T00:00:00"/>
    <n v="0.41184999999999999"/>
    <n v="70441"/>
    <x v="1"/>
    <n v="128553.82935"/>
    <s v="pending"/>
    <d v="2024-06-01T00:00:00"/>
    <s v="Variable"/>
    <d v="2024-03-25T00:00:00"/>
    <s v="YES"/>
  </r>
  <r>
    <n v="10442"/>
    <n v="5038"/>
    <x v="1"/>
    <n v="49568.04"/>
    <n v="30"/>
    <x v="3"/>
    <x v="3"/>
    <n v="29600.97"/>
    <x v="1"/>
    <s v="WH-B"/>
    <n v="1491"/>
    <d v="2024-04-15T00:00:00"/>
    <n v="11"/>
    <n v="90442"/>
    <x v="3"/>
    <d v="2024-03-01T00:00:00"/>
    <n v="0.63610999999999995"/>
    <n v="70442"/>
    <x v="1"/>
    <n v="101946.2015"/>
    <s v="Paid"/>
    <d v="2024-05-10T00:00:00"/>
    <s v="Variable"/>
    <d v="2024-03-25T00:00:00"/>
    <s v="NO"/>
  </r>
  <r>
    <n v="10443"/>
    <n v="5230"/>
    <x v="1"/>
    <n v="64974.81"/>
    <n v="12"/>
    <x v="1"/>
    <x v="2"/>
    <n v="88700.98"/>
    <x v="1"/>
    <s v="WH-A"/>
    <n v="1186"/>
    <d v="2024-04-15T00:00:00"/>
    <n v="5"/>
    <n v="90443"/>
    <x v="0"/>
    <d v="2024-05-18T00:00:00"/>
    <n v="0.97387999999999997"/>
    <n v="70443"/>
    <x v="0"/>
    <n v="195952.35430000001"/>
    <s v="pending"/>
    <d v="2024-05-10T00:00:00"/>
    <s v="Variable"/>
    <d v="2024-03-25T00:00:00"/>
    <s v="YES"/>
  </r>
  <r>
    <n v="10444"/>
    <n v="6389"/>
    <x v="0"/>
    <n v="80810.600000000006"/>
    <n v="35"/>
    <x v="2"/>
    <x v="0"/>
    <n v="82604"/>
    <x v="1"/>
    <s v="WH-C"/>
    <n v="1117"/>
    <d v="2024-03-10T00:00:00"/>
    <n v="8"/>
    <n v="90444"/>
    <x v="3"/>
    <d v="2024-04-01T00:00:00"/>
    <n v="0.98477000000000003"/>
    <n v="70444"/>
    <x v="2"/>
    <n v="62718.448900000003"/>
    <s v="pending"/>
    <d v="2024-06-01T00:00:00"/>
    <s v="Variable"/>
    <d v="2024-04-02T00:00:00"/>
    <s v="NO"/>
  </r>
  <r>
    <n v="10445"/>
    <n v="5563"/>
    <x v="1"/>
    <n v="16328.31"/>
    <n v="11"/>
    <x v="2"/>
    <x v="3"/>
    <n v="40141.769999999997"/>
    <x v="1"/>
    <s v="WH-B"/>
    <n v="177"/>
    <d v="2024-03-10T00:00:00"/>
    <n v="9"/>
    <n v="90445"/>
    <x v="3"/>
    <d v="2024-03-01T00:00:00"/>
    <n v="0.62168999999999996"/>
    <n v="70445"/>
    <x v="0"/>
    <n v="173707.19078999999"/>
    <s v="pending"/>
    <d v="2024-05-10T00:00:00"/>
    <s v="Variable"/>
    <d v="2024-03-25T00:00:00"/>
    <s v="NO"/>
  </r>
  <r>
    <n v="10446"/>
    <n v="5438"/>
    <x v="1"/>
    <n v="19509.490000000002"/>
    <n v="64"/>
    <x v="1"/>
    <x v="0"/>
    <n v="143998.20000000001"/>
    <x v="0"/>
    <s v="WH-A"/>
    <n v="925"/>
    <d v="2024-02-10T00:00:00"/>
    <n v="8"/>
    <n v="90446"/>
    <x v="3"/>
    <d v="2024-05-18T00:00:00"/>
    <n v="0.10098"/>
    <n v="70446"/>
    <x v="0"/>
    <n v="197009.01070000001"/>
    <s v="pending"/>
    <d v="2024-04-10T00:00:00"/>
    <s v="Variable"/>
    <d v="2024-03-25T00:00:00"/>
    <s v="YES"/>
  </r>
  <r>
    <n v="10447"/>
    <n v="6800"/>
    <x v="1"/>
    <n v="63568.61"/>
    <n v="50"/>
    <x v="0"/>
    <x v="1"/>
    <n v="92630.85"/>
    <x v="0"/>
    <s v="WH-A"/>
    <n v="207"/>
    <d v="2024-04-15T00:00:00"/>
    <n v="8"/>
    <n v="90447"/>
    <x v="2"/>
    <d v="2024-04-01T00:00:00"/>
    <n v="0.91059000000000001"/>
    <n v="70447"/>
    <x v="0"/>
    <n v="171825.519"/>
    <s v="Paid"/>
    <d v="2024-05-10T00:00:00"/>
    <s v="Fixed"/>
    <d v="2024-03-25T00:00:00"/>
    <s v="NO"/>
  </r>
  <r>
    <n v="10448"/>
    <n v="6307"/>
    <x v="1"/>
    <n v="11331.65"/>
    <n v="85"/>
    <x v="1"/>
    <x v="3"/>
    <n v="142183.71"/>
    <x v="2"/>
    <s v="WH-C"/>
    <n v="876"/>
    <d v="2024-04-15T00:00:00"/>
    <n v="12"/>
    <n v="90448"/>
    <x v="3"/>
    <d v="2024-05-18T00:00:00"/>
    <n v="0.61321000000000003"/>
    <n v="70448"/>
    <x v="1"/>
    <n v="116451.83442"/>
    <s v="Overdue"/>
    <d v="2024-05-10T00:00:00"/>
    <s v="Variable"/>
    <d v="2024-03-25T00:00:00"/>
    <s v="YES"/>
  </r>
  <r>
    <n v="10449"/>
    <n v="5027"/>
    <x v="1"/>
    <n v="73954.17"/>
    <n v="21"/>
    <x v="1"/>
    <x v="1"/>
    <n v="130261.54"/>
    <x v="0"/>
    <s v="WH-A"/>
    <n v="1467"/>
    <d v="2024-02-10T00:00:00"/>
    <n v="14"/>
    <n v="90449"/>
    <x v="1"/>
    <d v="2024-03-01T00:00:00"/>
    <n v="0.4294"/>
    <n v="70449"/>
    <x v="1"/>
    <n v="182671.54060000001"/>
    <s v="Overdue"/>
    <d v="2024-06-01T00:00:00"/>
    <s v="Variable"/>
    <d v="2024-03-25T00:00:00"/>
    <s v="YES"/>
  </r>
  <r>
    <n v="10450"/>
    <n v="5226"/>
    <x v="1"/>
    <n v="96916.73"/>
    <n v="69"/>
    <x v="0"/>
    <x v="0"/>
    <n v="121352.72"/>
    <x v="1"/>
    <s v="WH-A"/>
    <n v="901"/>
    <d v="2024-02-10T00:00:00"/>
    <n v="13"/>
    <n v="90450"/>
    <x v="1"/>
    <d v="2024-03-01T00:00:00"/>
    <n v="0.84628000000000003"/>
    <n v="70450"/>
    <x v="2"/>
    <n v="148915.71650000001"/>
    <s v="Paid"/>
    <d v="2024-05-10T00:00:00"/>
    <s v="Variable"/>
    <d v="2024-04-02T00:00:00"/>
    <s v="YES"/>
  </r>
  <r>
    <n v="10451"/>
    <n v="6301"/>
    <x v="0"/>
    <n v="10813.96"/>
    <n v="48"/>
    <x v="2"/>
    <x v="0"/>
    <n v="134465.41"/>
    <x v="1"/>
    <s v="WH-B"/>
    <n v="561"/>
    <d v="2024-02-10T00:00:00"/>
    <n v="3"/>
    <n v="90451"/>
    <x v="0"/>
    <d v="2024-03-01T00:00:00"/>
    <n v="0.45984999999999998"/>
    <n v="70451"/>
    <x v="1"/>
    <n v="148793.88500000001"/>
    <s v="Paid"/>
    <d v="2024-06-01T00:00:00"/>
    <s v="Fixed"/>
    <d v="2024-03-25T00:00:00"/>
    <s v="YES"/>
  </r>
  <r>
    <n v="10452"/>
    <n v="5798"/>
    <x v="1"/>
    <n v="32985.919999999998"/>
    <n v="20"/>
    <x v="3"/>
    <x v="2"/>
    <n v="81552.39"/>
    <x v="1"/>
    <s v="WH-A"/>
    <n v="94"/>
    <d v="2024-03-10T00:00:00"/>
    <n v="4"/>
    <n v="90452"/>
    <x v="1"/>
    <d v="2024-03-01T00:00:00"/>
    <n v="0.13064000000000001"/>
    <n v="70452"/>
    <x v="0"/>
    <n v="168468.08789"/>
    <s v="Overdue"/>
    <d v="2024-06-01T00:00:00"/>
    <s v="Variable"/>
    <d v="2024-03-25T00:00:00"/>
    <s v="NO"/>
  </r>
  <r>
    <n v="10453"/>
    <n v="6633"/>
    <x v="1"/>
    <n v="20555.8"/>
    <n v="67"/>
    <x v="1"/>
    <x v="0"/>
    <n v="127514.31"/>
    <x v="2"/>
    <s v="WH-A"/>
    <n v="1181"/>
    <d v="2024-02-10T00:00:00"/>
    <n v="11"/>
    <n v="90453"/>
    <x v="3"/>
    <d v="2024-04-01T00:00:00"/>
    <n v="0.83896999999999999"/>
    <n v="70453"/>
    <x v="2"/>
    <n v="199068.12294"/>
    <s v="Overdue"/>
    <d v="2024-06-01T00:00:00"/>
    <s v="Variable"/>
    <d v="2024-03-25T00:00:00"/>
    <s v="NO"/>
  </r>
  <r>
    <n v="10454"/>
    <n v="5284"/>
    <x v="1"/>
    <n v="62555.66"/>
    <n v="44"/>
    <x v="0"/>
    <x v="1"/>
    <n v="71188.539999999994"/>
    <x v="1"/>
    <s v="WH-B"/>
    <n v="268"/>
    <d v="2024-02-10T00:00:00"/>
    <n v="4"/>
    <n v="90454"/>
    <x v="3"/>
    <d v="2024-05-18T00:00:00"/>
    <n v="0.59126999999999996"/>
    <n v="70454"/>
    <x v="0"/>
    <n v="130458.3738"/>
    <s v="Paid"/>
    <d v="2024-04-10T00:00:00"/>
    <s v="Variable"/>
    <d v="2024-03-25T00:00:00"/>
    <s v="YES"/>
  </r>
  <r>
    <n v="10455"/>
    <n v="5879"/>
    <x v="1"/>
    <n v="34415.769999999997"/>
    <n v="33"/>
    <x v="1"/>
    <x v="0"/>
    <n v="124093.28"/>
    <x v="0"/>
    <s v="WH-C"/>
    <n v="492"/>
    <d v="2024-04-15T00:00:00"/>
    <n v="14"/>
    <n v="90455"/>
    <x v="1"/>
    <d v="2024-04-01T00:00:00"/>
    <n v="0.40433000000000002"/>
    <n v="70455"/>
    <x v="0"/>
    <n v="73087.346900000004"/>
    <s v="pending"/>
    <d v="2024-05-10T00:00:00"/>
    <s v="Variable"/>
    <d v="2024-04-02T00:00:00"/>
    <s v="YES"/>
  </r>
  <r>
    <n v="10456"/>
    <n v="5960"/>
    <x v="1"/>
    <n v="68273.240000000005"/>
    <n v="73"/>
    <x v="0"/>
    <x v="2"/>
    <n v="123659.86"/>
    <x v="1"/>
    <s v="WH-C"/>
    <n v="364"/>
    <d v="2024-02-10T00:00:00"/>
    <n v="11"/>
    <n v="90456"/>
    <x v="0"/>
    <d v="2024-03-01T00:00:00"/>
    <n v="0.32579999999999998"/>
    <n v="70456"/>
    <x v="0"/>
    <n v="162845.93859999999"/>
    <s v="Paid"/>
    <d v="2024-05-10T00:00:00"/>
    <s v="Fixed"/>
    <d v="2024-03-25T00:00:00"/>
    <s v="YES"/>
  </r>
  <r>
    <n v="10457"/>
    <n v="6505"/>
    <x v="1"/>
    <n v="79442.36"/>
    <n v="61"/>
    <x v="3"/>
    <x v="2"/>
    <n v="35974.160000000003"/>
    <x v="1"/>
    <s v="WH-B"/>
    <n v="226"/>
    <d v="2024-04-15T00:00:00"/>
    <n v="5"/>
    <n v="90457"/>
    <x v="0"/>
    <d v="2024-05-18T00:00:00"/>
    <n v="0.63441999999999998"/>
    <n v="70457"/>
    <x v="2"/>
    <n v="78316.615900000004"/>
    <s v="Overdue"/>
    <d v="2024-05-10T00:00:00"/>
    <s v="Variable"/>
    <d v="2024-03-25T00:00:00"/>
    <s v="YES"/>
  </r>
  <r>
    <n v="10458"/>
    <n v="5453"/>
    <x v="1"/>
    <n v="29211.79"/>
    <n v="9"/>
    <x v="3"/>
    <x v="1"/>
    <n v="68507.09"/>
    <x v="1"/>
    <s v="WH-B"/>
    <n v="277"/>
    <d v="2024-04-15T00:00:00"/>
    <n v="13"/>
    <n v="90458"/>
    <x v="1"/>
    <d v="2024-03-01T00:00:00"/>
    <n v="0.28724"/>
    <n v="70458"/>
    <x v="1"/>
    <n v="195171.1079"/>
    <s v="pending"/>
    <d v="2024-06-01T00:00:00"/>
    <s v="Variable"/>
    <d v="2024-04-02T00:00:00"/>
    <s v="NO"/>
  </r>
  <r>
    <n v="10459"/>
    <n v="6020"/>
    <x v="1"/>
    <n v="36091.08"/>
    <n v="68"/>
    <x v="2"/>
    <x v="3"/>
    <n v="67484.86"/>
    <x v="1"/>
    <s v="WH-C"/>
    <n v="316"/>
    <d v="2024-03-10T00:00:00"/>
    <n v="9"/>
    <n v="90459"/>
    <x v="2"/>
    <d v="2024-04-01T00:00:00"/>
    <n v="0.39146999999999998"/>
    <n v="70459"/>
    <x v="0"/>
    <n v="142321.00570000001"/>
    <s v="Overdue"/>
    <d v="2024-04-10T00:00:00"/>
    <s v="Variable"/>
    <d v="2024-03-25T00:00:00"/>
    <s v="NO"/>
  </r>
  <r>
    <n v="10460"/>
    <n v="6853"/>
    <x v="0"/>
    <n v="9146.74"/>
    <n v="35"/>
    <x v="0"/>
    <x v="0"/>
    <n v="162881.46"/>
    <x v="0"/>
    <s v="WH-C"/>
    <n v="919"/>
    <d v="2024-02-10T00:00:00"/>
    <n v="12"/>
    <n v="90460"/>
    <x v="2"/>
    <d v="2024-04-01T00:00:00"/>
    <n v="0.67288000000000003"/>
    <n v="70460"/>
    <x v="1"/>
    <n v="103042.8576"/>
    <s v="pending"/>
    <d v="2024-06-01T00:00:00"/>
    <s v="Fixed"/>
    <d v="2024-03-25T00:00:00"/>
    <s v="YES"/>
  </r>
  <r>
    <n v="10461"/>
    <n v="5816"/>
    <x v="1"/>
    <n v="64555.51"/>
    <n v="81"/>
    <x v="0"/>
    <x v="2"/>
    <n v="79878.66"/>
    <x v="2"/>
    <s v="WH-C"/>
    <n v="887"/>
    <d v="2024-02-10T00:00:00"/>
    <n v="9"/>
    <n v="90461"/>
    <x v="2"/>
    <d v="2024-04-01T00:00:00"/>
    <n v="0.89339000000000002"/>
    <n v="70461"/>
    <x v="2"/>
    <n v="130392.3045"/>
    <s v="Overdue"/>
    <d v="2024-05-10T00:00:00"/>
    <s v="Variable"/>
    <d v="2024-04-02T00:00:00"/>
    <s v="YES"/>
  </r>
  <r>
    <n v="10462"/>
    <n v="5659"/>
    <x v="1"/>
    <n v="22582.1"/>
    <n v="98"/>
    <x v="2"/>
    <x v="0"/>
    <n v="88097.67"/>
    <x v="1"/>
    <s v="WH-C"/>
    <n v="1452"/>
    <d v="2024-04-15T00:00:00"/>
    <n v="10"/>
    <n v="90462"/>
    <x v="2"/>
    <d v="2024-05-18T00:00:00"/>
    <n v="0.5796"/>
    <n v="70462"/>
    <x v="2"/>
    <n v="141656.00330000001"/>
    <s v="pending"/>
    <d v="2024-06-01T00:00:00"/>
    <s v="Variable"/>
    <d v="2024-03-25T00:00:00"/>
    <s v="NO"/>
  </r>
  <r>
    <n v="10463"/>
    <n v="6540"/>
    <x v="1"/>
    <n v="45581.599999999999"/>
    <n v="88"/>
    <x v="2"/>
    <x v="0"/>
    <n v="61829.85"/>
    <x v="0"/>
    <s v="WH-C"/>
    <n v="538"/>
    <d v="2024-03-10T00:00:00"/>
    <n v="13"/>
    <n v="90463"/>
    <x v="1"/>
    <d v="2024-05-18T00:00:00"/>
    <n v="0.78320000000000001"/>
    <n v="70463"/>
    <x v="0"/>
    <n v="191504.80929999999"/>
    <s v="Paid"/>
    <d v="2024-06-01T00:00:00"/>
    <s v="Variable"/>
    <d v="2024-03-25T00:00:00"/>
    <s v="YES"/>
  </r>
  <r>
    <n v="10464"/>
    <n v="5547"/>
    <x v="1"/>
    <n v="26926.26"/>
    <n v="96"/>
    <x v="0"/>
    <x v="3"/>
    <n v="78293.58"/>
    <x v="1"/>
    <s v="WH-B"/>
    <n v="751"/>
    <d v="2024-03-10T00:00:00"/>
    <n v="12"/>
    <n v="90464"/>
    <x v="0"/>
    <d v="2024-03-01T00:00:00"/>
    <n v="0.78674999999999995"/>
    <n v="70464"/>
    <x v="1"/>
    <n v="143674.83851999999"/>
    <s v="Paid"/>
    <d v="2024-05-10T00:00:00"/>
    <s v="Fixed"/>
    <d v="2024-03-25T00:00:00"/>
    <s v="NO"/>
  </r>
  <r>
    <n v="10465"/>
    <n v="6216"/>
    <x v="1"/>
    <n v="47765.93"/>
    <n v="65"/>
    <x v="2"/>
    <x v="2"/>
    <n v="58496.959999999999"/>
    <x v="1"/>
    <s v="WH-A"/>
    <n v="736"/>
    <d v="2024-02-10T00:00:00"/>
    <n v="14"/>
    <n v="90465"/>
    <x v="3"/>
    <d v="2024-05-18T00:00:00"/>
    <n v="0.69791999999999998"/>
    <n v="70465"/>
    <x v="1"/>
    <n v="114214.70140000001"/>
    <s v="pending"/>
    <d v="2024-06-01T00:00:00"/>
    <s v="Variable"/>
    <d v="2024-04-02T00:00:00"/>
    <s v="YES"/>
  </r>
  <r>
    <n v="10466"/>
    <n v="6073"/>
    <x v="0"/>
    <n v="30878.57"/>
    <n v="8"/>
    <x v="3"/>
    <x v="0"/>
    <n v="71523.820000000007"/>
    <x v="1"/>
    <s v="WH-C"/>
    <n v="1363"/>
    <d v="2024-04-15T00:00:00"/>
    <n v="1"/>
    <n v="90466"/>
    <x v="3"/>
    <d v="2024-05-18T00:00:00"/>
    <n v="0.32124999999999998"/>
    <n v="70466"/>
    <x v="0"/>
    <n v="158976.47200000001"/>
    <s v="pending"/>
    <d v="2024-06-01T00:00:00"/>
    <s v="Variable"/>
    <d v="2024-03-25T00:00:00"/>
    <s v="YES"/>
  </r>
  <r>
    <n v="10467"/>
    <n v="6536"/>
    <x v="1"/>
    <n v="51097.85"/>
    <n v="45"/>
    <x v="1"/>
    <x v="2"/>
    <n v="113134.85"/>
    <x v="1"/>
    <s v="WH-C"/>
    <n v="1045"/>
    <d v="2024-02-10T00:00:00"/>
    <n v="14"/>
    <n v="90467"/>
    <x v="1"/>
    <d v="2024-04-01T00:00:00"/>
    <n v="0.88010999999999995"/>
    <n v="70467"/>
    <x v="1"/>
    <n v="122110.91271"/>
    <s v="Paid"/>
    <d v="2024-04-10T00:00:00"/>
    <s v="Fixed"/>
    <d v="2024-03-25T00:00:00"/>
    <s v="YES"/>
  </r>
  <r>
    <n v="10468"/>
    <n v="5017"/>
    <x v="1"/>
    <n v="34764.699999999997"/>
    <n v="87"/>
    <x v="3"/>
    <x v="1"/>
    <n v="109343.32"/>
    <x v="2"/>
    <s v="WH-A"/>
    <n v="406"/>
    <d v="2024-02-10T00:00:00"/>
    <n v="14"/>
    <n v="90468"/>
    <x v="3"/>
    <d v="2024-03-01T00:00:00"/>
    <n v="0.49264999999999998"/>
    <n v="70468"/>
    <x v="1"/>
    <n v="97316.404899999994"/>
    <s v="Paid"/>
    <d v="2024-06-01T00:00:00"/>
    <s v="Variable"/>
    <d v="2024-04-02T00:00:00"/>
    <s v="YES"/>
  </r>
  <r>
    <n v="10469"/>
    <n v="6196"/>
    <x v="0"/>
    <n v="52705.51"/>
    <n v="47"/>
    <x v="2"/>
    <x v="1"/>
    <n v="51785.04"/>
    <x v="1"/>
    <s v="WH-A"/>
    <n v="921"/>
    <d v="2024-02-10T00:00:00"/>
    <n v="8"/>
    <n v="90469"/>
    <x v="2"/>
    <d v="2024-04-01T00:00:00"/>
    <n v="0.13979"/>
    <n v="70469"/>
    <x v="2"/>
    <n v="115698.8873"/>
    <s v="pending"/>
    <d v="2024-04-10T00:00:00"/>
    <s v="Variable"/>
    <d v="2024-03-25T00:00:00"/>
    <s v="NO"/>
  </r>
  <r>
    <n v="10470"/>
    <n v="6244"/>
    <x v="1"/>
    <n v="15520.07"/>
    <n v="40"/>
    <x v="0"/>
    <x v="0"/>
    <n v="98597.35"/>
    <x v="1"/>
    <s v="WH-A"/>
    <n v="253"/>
    <d v="2024-02-10T00:00:00"/>
    <n v="14"/>
    <n v="90470"/>
    <x v="0"/>
    <d v="2024-03-01T00:00:00"/>
    <n v="0.32014999999999999"/>
    <n v="70470"/>
    <x v="2"/>
    <n v="65841.814549999996"/>
    <s v="pending"/>
    <d v="2024-05-10T00:00:00"/>
    <s v="Fixed"/>
    <d v="2024-03-25T00:00:00"/>
    <s v="YES"/>
  </r>
  <r>
    <n v="10471"/>
    <n v="5158"/>
    <x v="0"/>
    <n v="22972.799999999999"/>
    <n v="76"/>
    <x v="0"/>
    <x v="2"/>
    <n v="57753.13"/>
    <x v="2"/>
    <s v="WH-A"/>
    <n v="1286"/>
    <d v="2024-04-15T00:00:00"/>
    <n v="1"/>
    <n v="90471"/>
    <x v="1"/>
    <d v="2024-03-01T00:00:00"/>
    <n v="0.78898999999999997"/>
    <n v="70471"/>
    <x v="1"/>
    <n v="163994.8345"/>
    <s v="Paid"/>
    <d v="2024-04-10T00:00:00"/>
    <s v="Variable"/>
    <d v="2024-03-25T00:00:00"/>
    <s v="YES"/>
  </r>
  <r>
    <n v="10472"/>
    <n v="5477"/>
    <x v="1"/>
    <n v="75111.490000000005"/>
    <n v="54"/>
    <x v="3"/>
    <x v="0"/>
    <n v="61031.24"/>
    <x v="1"/>
    <s v="WH-A"/>
    <n v="601"/>
    <d v="2024-03-10T00:00:00"/>
    <n v="2"/>
    <n v="90472"/>
    <x v="0"/>
    <d v="2024-05-18T00:00:00"/>
    <n v="0.16222"/>
    <n v="70472"/>
    <x v="1"/>
    <n v="125272.59096"/>
    <s v="Overdue"/>
    <d v="2024-06-01T00:00:00"/>
    <s v="Variable"/>
    <d v="2024-04-02T00:00:00"/>
    <s v="NO"/>
  </r>
  <r>
    <n v="10473"/>
    <n v="6070"/>
    <x v="0"/>
    <n v="83833.22"/>
    <n v="76"/>
    <x v="0"/>
    <x v="2"/>
    <n v="25085.83"/>
    <x v="0"/>
    <s v="WH-A"/>
    <n v="372"/>
    <d v="2024-02-10T00:00:00"/>
    <n v="7"/>
    <n v="90473"/>
    <x v="1"/>
    <d v="2024-04-01T00:00:00"/>
    <n v="0.23263"/>
    <n v="70473"/>
    <x v="1"/>
    <n v="186832.08979999999"/>
    <s v="Paid"/>
    <d v="2024-05-10T00:00:00"/>
    <s v="Variable"/>
    <d v="2024-03-25T00:00:00"/>
    <s v="YES"/>
  </r>
  <r>
    <n v="10474"/>
    <n v="6397"/>
    <x v="0"/>
    <n v="89567.65"/>
    <n v="46"/>
    <x v="2"/>
    <x v="2"/>
    <n v="157330.66"/>
    <x v="1"/>
    <s v="WH-B"/>
    <n v="643"/>
    <d v="2024-02-10T00:00:00"/>
    <n v="8"/>
    <n v="90474"/>
    <x v="1"/>
    <d v="2024-05-18T00:00:00"/>
    <n v="0.7248"/>
    <n v="70474"/>
    <x v="0"/>
    <n v="53830.332649999997"/>
    <s v="pending"/>
    <d v="2024-06-01T00:00:00"/>
    <s v="Fixed"/>
    <d v="2024-03-25T00:00:00"/>
    <s v="NO"/>
  </r>
  <r>
    <n v="10475"/>
    <n v="5518"/>
    <x v="1"/>
    <n v="65905.279999999999"/>
    <n v="47"/>
    <x v="3"/>
    <x v="3"/>
    <n v="60993.89"/>
    <x v="1"/>
    <s v="WH-A"/>
    <n v="230"/>
    <d v="2024-02-10T00:00:00"/>
    <n v="1"/>
    <n v="90475"/>
    <x v="1"/>
    <d v="2024-05-18T00:00:00"/>
    <n v="0.90334000000000003"/>
    <n v="70475"/>
    <x v="0"/>
    <n v="154746.51946000001"/>
    <s v="pending"/>
    <d v="2024-06-01T00:00:00"/>
    <s v="Variable"/>
    <d v="2024-04-02T00:00:00"/>
    <s v="YES"/>
  </r>
  <r>
    <n v="10476"/>
    <n v="5099"/>
    <x v="1"/>
    <n v="20909.84"/>
    <n v="15"/>
    <x v="0"/>
    <x v="3"/>
    <n v="107790.39999999999"/>
    <x v="1"/>
    <s v="WH-A"/>
    <n v="548"/>
    <d v="2024-02-10T00:00:00"/>
    <n v="3"/>
    <n v="90476"/>
    <x v="1"/>
    <d v="2024-05-18T00:00:00"/>
    <n v="0.67035999999999996"/>
    <n v="70476"/>
    <x v="0"/>
    <n v="79511.731899999999"/>
    <s v="Overdue"/>
    <d v="2024-04-10T00:00:00"/>
    <s v="Variable"/>
    <d v="2024-03-25T00:00:00"/>
    <s v="NO"/>
  </r>
  <r>
    <n v="10477"/>
    <n v="6916"/>
    <x v="0"/>
    <n v="15388"/>
    <n v="19"/>
    <x v="1"/>
    <x v="3"/>
    <n v="51337.35"/>
    <x v="1"/>
    <s v="WH-B"/>
    <n v="1393"/>
    <d v="2024-03-10T00:00:00"/>
    <n v="7"/>
    <n v="90477"/>
    <x v="0"/>
    <d v="2024-03-01T00:00:00"/>
    <n v="0.30005999999999999"/>
    <n v="70477"/>
    <x v="0"/>
    <n v="119180.4265"/>
    <s v="Paid"/>
    <d v="2024-06-01T00:00:00"/>
    <s v="Fixed"/>
    <d v="2024-03-25T00:00:00"/>
    <s v="YES"/>
  </r>
  <r>
    <n v="10478"/>
    <n v="6769"/>
    <x v="0"/>
    <n v="89621.31"/>
    <n v="26"/>
    <x v="1"/>
    <x v="0"/>
    <n v="14015.84"/>
    <x v="1"/>
    <s v="WH-A"/>
    <n v="132"/>
    <d v="2024-03-10T00:00:00"/>
    <n v="13"/>
    <n v="90478"/>
    <x v="3"/>
    <d v="2024-04-01T00:00:00"/>
    <n v="0.14807000000000001"/>
    <n v="70478"/>
    <x v="0"/>
    <n v="108578.7252"/>
    <s v="pending"/>
    <d v="2024-04-10T00:00:00"/>
    <s v="Fixed"/>
    <d v="2024-04-02T00:00:00"/>
    <s v="YES"/>
  </r>
  <r>
    <n v="10479"/>
    <n v="6061"/>
    <x v="1"/>
    <n v="28481.919999999998"/>
    <n v="52"/>
    <x v="2"/>
    <x v="3"/>
    <n v="67885.710000000006"/>
    <x v="1"/>
    <s v="WH-C"/>
    <n v="352"/>
    <d v="2024-03-10T00:00:00"/>
    <n v="9"/>
    <n v="90479"/>
    <x v="1"/>
    <d v="2024-04-01T00:00:00"/>
    <n v="0.65361000000000002"/>
    <n v="70479"/>
    <x v="0"/>
    <n v="121864.92483"/>
    <s v="Paid"/>
    <d v="2024-05-10T00:00:00"/>
    <s v="Variable"/>
    <d v="2024-03-25T00:00:00"/>
    <s v="NO"/>
  </r>
  <r>
    <n v="10480"/>
    <n v="5280"/>
    <x v="1"/>
    <n v="26633.3"/>
    <n v="93"/>
    <x v="0"/>
    <x v="3"/>
    <n v="85203.58"/>
    <x v="0"/>
    <s v="WH-C"/>
    <n v="311"/>
    <d v="2024-03-10T00:00:00"/>
    <n v="8"/>
    <n v="90480"/>
    <x v="2"/>
    <d v="2024-05-18T00:00:00"/>
    <n v="0.14266000000000001"/>
    <n v="70480"/>
    <x v="2"/>
    <n v="141014.23759"/>
    <s v="pending"/>
    <d v="2024-05-10T00:00:00"/>
    <s v="Variable"/>
    <d v="2024-03-25T00:00:00"/>
    <s v="YES"/>
  </r>
  <r>
    <n v="10481"/>
    <n v="6373"/>
    <x v="1"/>
    <n v="14366.92"/>
    <n v="22"/>
    <x v="2"/>
    <x v="1"/>
    <n v="137168.25"/>
    <x v="1"/>
    <s v="WH-A"/>
    <n v="833"/>
    <d v="2024-02-10T00:00:00"/>
    <n v="8"/>
    <n v="90481"/>
    <x v="1"/>
    <d v="2024-03-01T00:00:00"/>
    <n v="0.65144999999999997"/>
    <n v="70481"/>
    <x v="1"/>
    <n v="67266.484509999995"/>
    <s v="Overdue"/>
    <d v="2024-06-01T00:00:00"/>
    <s v="Variable"/>
    <d v="2024-03-25T00:00:00"/>
    <s v="NO"/>
  </r>
  <r>
    <n v="10482"/>
    <n v="5497"/>
    <x v="1"/>
    <n v="29558.400000000001"/>
    <n v="21"/>
    <x v="3"/>
    <x v="2"/>
    <n v="120776.75"/>
    <x v="0"/>
    <s v="WH-B"/>
    <n v="1273"/>
    <d v="2024-04-15T00:00:00"/>
    <n v="9"/>
    <n v="90482"/>
    <x v="0"/>
    <d v="2024-04-01T00:00:00"/>
    <n v="0.30302000000000001"/>
    <n v="70482"/>
    <x v="2"/>
    <n v="113796.48219"/>
    <s v="Paid"/>
    <d v="2024-04-10T00:00:00"/>
    <s v="Variable"/>
    <d v="2024-03-25T00:00:00"/>
    <s v="NO"/>
  </r>
  <r>
    <n v="10483"/>
    <n v="5302"/>
    <x v="1"/>
    <n v="99609.32"/>
    <n v="51"/>
    <x v="1"/>
    <x v="2"/>
    <n v="90999.58"/>
    <x v="0"/>
    <s v="WH-C"/>
    <n v="1313"/>
    <d v="2024-03-10T00:00:00"/>
    <n v="10"/>
    <n v="90483"/>
    <x v="1"/>
    <d v="2024-04-01T00:00:00"/>
    <n v="0.91418999999999995"/>
    <n v="70483"/>
    <x v="1"/>
    <n v="102072.36575"/>
    <s v="Paid"/>
    <d v="2024-06-01T00:00:00"/>
    <s v="Fixed"/>
    <d v="2024-03-25T00:00:00"/>
    <s v="NO"/>
  </r>
  <r>
    <n v="10484"/>
    <n v="5181"/>
    <x v="0"/>
    <n v="34138.58"/>
    <n v="38"/>
    <x v="3"/>
    <x v="3"/>
    <n v="149163.04"/>
    <x v="1"/>
    <s v="WH-B"/>
    <n v="963"/>
    <d v="2024-03-10T00:00:00"/>
    <n v="3"/>
    <n v="90484"/>
    <x v="2"/>
    <d v="2024-05-18T00:00:00"/>
    <n v="0.52758000000000005"/>
    <n v="70484"/>
    <x v="2"/>
    <n v="77024.789350000006"/>
    <s v="Overdue"/>
    <d v="2024-06-01T00:00:00"/>
    <s v="Variable"/>
    <d v="2024-03-25T00:00:00"/>
    <s v="NO"/>
  </r>
  <r>
    <n v="10485"/>
    <n v="5607"/>
    <x v="0"/>
    <n v="91186.43"/>
    <n v="20"/>
    <x v="0"/>
    <x v="2"/>
    <n v="18443.71"/>
    <x v="0"/>
    <s v="WH-C"/>
    <n v="741"/>
    <d v="2024-02-10T00:00:00"/>
    <n v="8"/>
    <n v="90485"/>
    <x v="0"/>
    <d v="2024-03-01T00:00:00"/>
    <n v="0.30153999999999997"/>
    <n v="70485"/>
    <x v="2"/>
    <n v="184918.64817999999"/>
    <s v="pending"/>
    <d v="2024-06-01T00:00:00"/>
    <s v="Fixed"/>
    <d v="2024-03-25T00:00:00"/>
    <s v="YES"/>
  </r>
  <r>
    <n v="10486"/>
    <n v="6123"/>
    <x v="1"/>
    <n v="69566.559999999998"/>
    <n v="29"/>
    <x v="2"/>
    <x v="1"/>
    <n v="168958.34"/>
    <x v="1"/>
    <s v="WH-A"/>
    <n v="993"/>
    <d v="2024-02-10T00:00:00"/>
    <n v="1"/>
    <n v="90486"/>
    <x v="1"/>
    <d v="2024-05-18T00:00:00"/>
    <n v="0.86782999999999999"/>
    <n v="70486"/>
    <x v="0"/>
    <n v="178474.8401"/>
    <s v="pending"/>
    <d v="2024-06-01T00:00:00"/>
    <s v="Fixed"/>
    <d v="2024-04-02T00:00:00"/>
    <s v="YES"/>
  </r>
  <r>
    <n v="10487"/>
    <n v="5700"/>
    <x v="1"/>
    <n v="77554.45"/>
    <n v="51"/>
    <x v="2"/>
    <x v="1"/>
    <n v="121491.9"/>
    <x v="2"/>
    <s v="WH-B"/>
    <n v="732"/>
    <d v="2024-02-10T00:00:00"/>
    <n v="8"/>
    <n v="90487"/>
    <x v="2"/>
    <d v="2024-04-01T00:00:00"/>
    <n v="0.32862999999999998"/>
    <n v="70487"/>
    <x v="0"/>
    <n v="115490.41153"/>
    <s v="Paid"/>
    <d v="2024-04-10T00:00:00"/>
    <s v="Variable"/>
    <d v="2024-03-25T00:00:00"/>
    <s v="NO"/>
  </r>
  <r>
    <n v="10488"/>
    <n v="5993"/>
    <x v="1"/>
    <n v="68386.559999999998"/>
    <n v="4"/>
    <x v="2"/>
    <x v="3"/>
    <n v="152446.6"/>
    <x v="1"/>
    <s v="WH-B"/>
    <n v="1368"/>
    <d v="2024-02-10T00:00:00"/>
    <n v="13"/>
    <n v="90488"/>
    <x v="0"/>
    <d v="2024-03-01T00:00:00"/>
    <n v="0.37594"/>
    <n v="70488"/>
    <x v="1"/>
    <n v="103458.86928"/>
    <s v="Overdue"/>
    <d v="2024-06-01T00:00:00"/>
    <s v="Variable"/>
    <d v="2024-04-02T00:00:00"/>
    <s v="YES"/>
  </r>
  <r>
    <n v="10489"/>
    <n v="6140"/>
    <x v="1"/>
    <n v="65518.73"/>
    <n v="55"/>
    <x v="3"/>
    <x v="1"/>
    <n v="37584.33"/>
    <x v="0"/>
    <s v="WH-B"/>
    <n v="738"/>
    <d v="2024-04-15T00:00:00"/>
    <n v="7"/>
    <n v="90489"/>
    <x v="1"/>
    <d v="2024-05-18T00:00:00"/>
    <n v="0.85085"/>
    <n v="70489"/>
    <x v="1"/>
    <n v="159309.78842999999"/>
    <s v="Paid"/>
    <d v="2024-05-10T00:00:00"/>
    <s v="Fixed"/>
    <d v="2024-03-25T00:00:00"/>
    <s v="NO"/>
  </r>
  <r>
    <n v="10490"/>
    <n v="5191"/>
    <x v="1"/>
    <n v="95700.07"/>
    <n v="71"/>
    <x v="1"/>
    <x v="2"/>
    <n v="107638.74"/>
    <x v="2"/>
    <s v="WH-C"/>
    <n v="445"/>
    <d v="2024-04-15T00:00:00"/>
    <n v="13"/>
    <n v="90490"/>
    <x v="2"/>
    <d v="2024-04-01T00:00:00"/>
    <n v="0.37791000000000002"/>
    <n v="70490"/>
    <x v="0"/>
    <n v="73753.651989999998"/>
    <s v="Paid"/>
    <d v="2024-04-10T00:00:00"/>
    <s v="Variable"/>
    <d v="2024-03-25T00:00:00"/>
    <s v="NO"/>
  </r>
  <r>
    <n v="10491"/>
    <n v="5253"/>
    <x v="1"/>
    <n v="39124.74"/>
    <n v="92"/>
    <x v="3"/>
    <x v="0"/>
    <n v="80684.67"/>
    <x v="1"/>
    <s v="WH-C"/>
    <n v="1211"/>
    <d v="2024-03-10T00:00:00"/>
    <n v="8"/>
    <n v="90491"/>
    <x v="0"/>
    <d v="2024-05-18T00:00:00"/>
    <n v="0.46915000000000001"/>
    <n v="70491"/>
    <x v="2"/>
    <n v="196743.91649999999"/>
    <s v="pending"/>
    <d v="2024-06-01T00:00:00"/>
    <s v="Variable"/>
    <d v="2024-03-25T00:00:00"/>
    <s v="YES"/>
  </r>
  <r>
    <n v="10492"/>
    <n v="5981"/>
    <x v="1"/>
    <n v="53748.62"/>
    <n v="28"/>
    <x v="3"/>
    <x v="2"/>
    <n v="88932.17"/>
    <x v="0"/>
    <s v="WH-C"/>
    <n v="888"/>
    <d v="2024-04-15T00:00:00"/>
    <n v="1"/>
    <n v="90492"/>
    <x v="1"/>
    <d v="2024-05-18T00:00:00"/>
    <n v="0.41289999999999999"/>
    <n v="70492"/>
    <x v="1"/>
    <n v="87643.763600000006"/>
    <s v="pending"/>
    <d v="2024-04-10T00:00:00"/>
    <s v="Variable"/>
    <d v="2024-03-25T00:00:00"/>
    <s v="NO"/>
  </r>
  <r>
    <n v="10493"/>
    <n v="5928"/>
    <x v="0"/>
    <n v="64238.02"/>
    <n v="4"/>
    <x v="0"/>
    <x v="0"/>
    <n v="60554.01"/>
    <x v="1"/>
    <s v="WH-A"/>
    <n v="927"/>
    <d v="2024-03-10T00:00:00"/>
    <n v="6"/>
    <n v="90493"/>
    <x v="0"/>
    <d v="2024-05-18T00:00:00"/>
    <n v="0.20476"/>
    <n v="70493"/>
    <x v="1"/>
    <n v="167169.03"/>
    <s v="pending"/>
    <d v="2024-06-01T00:00:00"/>
    <s v="Fixed"/>
    <d v="2024-03-25T00:00:00"/>
    <s v="NO"/>
  </r>
  <r>
    <n v="10494"/>
    <n v="6185"/>
    <x v="1"/>
    <n v="76613.97"/>
    <n v="22"/>
    <x v="0"/>
    <x v="3"/>
    <n v="49214.17"/>
    <x v="1"/>
    <s v="WH-C"/>
    <n v="872"/>
    <d v="2024-03-10T00:00:00"/>
    <n v="7"/>
    <n v="90494"/>
    <x v="2"/>
    <d v="2024-03-01T00:00:00"/>
    <n v="0.13500999999999999"/>
    <n v="70494"/>
    <x v="1"/>
    <n v="127177.46153"/>
    <s v="pending"/>
    <d v="2024-05-10T00:00:00"/>
    <s v="Fixed"/>
    <d v="2024-04-02T00:00:00"/>
    <s v="YES"/>
  </r>
  <r>
    <n v="10495"/>
    <n v="6280"/>
    <x v="0"/>
    <n v="87630.52"/>
    <n v="76"/>
    <x v="0"/>
    <x v="0"/>
    <n v="69181.649999999994"/>
    <x v="1"/>
    <s v="WH-A"/>
    <n v="1202"/>
    <d v="2024-04-15T00:00:00"/>
    <n v="14"/>
    <n v="90495"/>
    <x v="1"/>
    <d v="2024-04-01T00:00:00"/>
    <n v="0.75209000000000004"/>
    <n v="70495"/>
    <x v="1"/>
    <n v="101875.28771"/>
    <s v="pending"/>
    <d v="2024-05-10T00:00:00"/>
    <s v="Fixed"/>
    <d v="2024-03-25T00:00:00"/>
    <s v="NO"/>
  </r>
  <r>
    <n v="10496"/>
    <n v="6347"/>
    <x v="1"/>
    <n v="32161.58"/>
    <n v="45"/>
    <x v="1"/>
    <x v="1"/>
    <n v="50749.3"/>
    <x v="1"/>
    <s v="WH-B"/>
    <n v="98"/>
    <d v="2024-03-10T00:00:00"/>
    <n v="11"/>
    <n v="90496"/>
    <x v="1"/>
    <d v="2024-04-01T00:00:00"/>
    <n v="0.68062"/>
    <n v="70496"/>
    <x v="1"/>
    <n v="161268.07206999999"/>
    <s v="Overdue"/>
    <d v="2024-05-10T00:00:00"/>
    <s v="Variable"/>
    <d v="2024-03-25T00:00:00"/>
    <s v="NO"/>
  </r>
  <r>
    <n v="10497"/>
    <n v="5128"/>
    <x v="0"/>
    <n v="85282.06"/>
    <n v="67"/>
    <x v="1"/>
    <x v="2"/>
    <n v="96633.16"/>
    <x v="1"/>
    <s v="WH-B"/>
    <n v="838"/>
    <d v="2024-02-10T00:00:00"/>
    <n v="5"/>
    <n v="90497"/>
    <x v="1"/>
    <d v="2024-04-01T00:00:00"/>
    <n v="0.35413"/>
    <n v="70497"/>
    <x v="0"/>
    <n v="219976.13519999999"/>
    <s v="Paid"/>
    <d v="2024-04-10T00:00:00"/>
    <s v="Fixed"/>
    <d v="2024-03-25T00:00:00"/>
    <s v="YES"/>
  </r>
  <r>
    <n v="10498"/>
    <n v="5018"/>
    <x v="1"/>
    <n v="14070.11"/>
    <n v="86"/>
    <x v="0"/>
    <x v="0"/>
    <n v="42286.18"/>
    <x v="0"/>
    <s v="WH-A"/>
    <n v="342"/>
    <d v="2024-03-10T00:00:00"/>
    <n v="14"/>
    <n v="90498"/>
    <x v="2"/>
    <d v="2024-04-01T00:00:00"/>
    <n v="0.36603999999999998"/>
    <n v="70498"/>
    <x v="0"/>
    <n v="54828.326280000001"/>
    <s v="Overdue"/>
    <d v="2024-05-10T00:00:00"/>
    <s v="Variable"/>
    <d v="2024-03-25T00:00:00"/>
    <s v="YES"/>
  </r>
  <r>
    <n v="10499"/>
    <n v="6817"/>
    <x v="1"/>
    <n v="21126.01"/>
    <n v="66"/>
    <x v="0"/>
    <x v="2"/>
    <n v="22233.759999999998"/>
    <x v="0"/>
    <s v="WH-C"/>
    <n v="585"/>
    <d v="2024-02-10T00:00:00"/>
    <n v="5"/>
    <n v="90499"/>
    <x v="3"/>
    <d v="2024-03-01T00:00:00"/>
    <n v="0.95050999999999997"/>
    <n v="70499"/>
    <x v="0"/>
    <n v="68431.746230000004"/>
    <s v="Paid"/>
    <d v="2024-06-01T00:00:00"/>
    <s v="Variable"/>
    <d v="2024-03-25T00:00:00"/>
    <s v="YES"/>
  </r>
  <r>
    <n v="10500"/>
    <n v="6759"/>
    <x v="1"/>
    <n v="42130.83"/>
    <n v="88"/>
    <x v="1"/>
    <x v="3"/>
    <n v="113955.45"/>
    <x v="0"/>
    <s v="WH-A"/>
    <n v="360"/>
    <d v="2024-04-15T00:00:00"/>
    <n v="7"/>
    <n v="90500"/>
    <x v="1"/>
    <d v="2024-05-18T00:00:00"/>
    <n v="0.9889"/>
    <n v="70500"/>
    <x v="1"/>
    <n v="106100.52069"/>
    <s v="pending"/>
    <d v="2024-06-01T00:00:00"/>
    <s v="Variable"/>
    <d v="2024-04-02T00:00:00"/>
    <s v="YES"/>
  </r>
  <r>
    <n v="10501"/>
    <n v="5566"/>
    <x v="1"/>
    <n v="21005.46"/>
    <n v="34"/>
    <x v="2"/>
    <x v="3"/>
    <n v="16619.89"/>
    <x v="1"/>
    <s v="WH-B"/>
    <n v="586"/>
    <d v="2024-04-15T00:00:00"/>
    <n v="11"/>
    <n v="90501"/>
    <x v="2"/>
    <d v="2024-04-01T00:00:00"/>
    <n v="0.52608999999999995"/>
    <n v="70501"/>
    <x v="1"/>
    <n v="180416.50403000001"/>
    <s v="Overdue"/>
    <d v="2024-06-01T00:00:00"/>
    <s v="Fixed"/>
    <d v="2024-03-25T00:00:00"/>
    <s v="NO"/>
  </r>
  <r>
    <n v="10502"/>
    <n v="5570"/>
    <x v="0"/>
    <n v="74653.740000000005"/>
    <n v="91"/>
    <x v="1"/>
    <x v="1"/>
    <n v="19781.88"/>
    <x v="2"/>
    <s v="WH-B"/>
    <n v="688"/>
    <d v="2024-03-10T00:00:00"/>
    <n v="3"/>
    <n v="90502"/>
    <x v="0"/>
    <d v="2024-03-01T00:00:00"/>
    <n v="0.82221"/>
    <n v="70502"/>
    <x v="1"/>
    <n v="189544.42327999999"/>
    <s v="Paid"/>
    <d v="2024-04-10T00:00:00"/>
    <s v="Variable"/>
    <d v="2024-03-25T00:00:00"/>
    <s v="YES"/>
  </r>
  <r>
    <n v="10503"/>
    <n v="6347"/>
    <x v="1"/>
    <n v="14571.88"/>
    <n v="55"/>
    <x v="1"/>
    <x v="3"/>
    <n v="140069.01999999999"/>
    <x v="2"/>
    <s v="WH-A"/>
    <n v="283"/>
    <d v="2024-02-10T00:00:00"/>
    <n v="6"/>
    <n v="90503"/>
    <x v="0"/>
    <d v="2024-05-18T00:00:00"/>
    <n v="0.76302000000000003"/>
    <n v="70503"/>
    <x v="1"/>
    <n v="159537.8768"/>
    <s v="pending"/>
    <d v="2024-04-10T00:00:00"/>
    <s v="Fixed"/>
    <d v="2024-04-02T00:00:00"/>
    <s v="YES"/>
  </r>
  <r>
    <n v="10504"/>
    <n v="6896"/>
    <x v="0"/>
    <n v="40815.449999999997"/>
    <n v="1"/>
    <x v="1"/>
    <x v="0"/>
    <n v="59745.01"/>
    <x v="2"/>
    <s v="WH-C"/>
    <n v="1282"/>
    <d v="2024-03-10T00:00:00"/>
    <n v="7"/>
    <n v="90504"/>
    <x v="2"/>
    <d v="2024-03-01T00:00:00"/>
    <n v="0.36758999999999997"/>
    <n v="70504"/>
    <x v="1"/>
    <n v="111660.54240000001"/>
    <s v="pending"/>
    <d v="2024-05-10T00:00:00"/>
    <s v="Variable"/>
    <d v="2024-04-02T00:00:00"/>
    <s v="YES"/>
  </r>
  <r>
    <n v="10505"/>
    <n v="5686"/>
    <x v="1"/>
    <n v="71804.19"/>
    <n v="72"/>
    <x v="0"/>
    <x v="3"/>
    <n v="87311.32"/>
    <x v="2"/>
    <s v="WH-C"/>
    <n v="654"/>
    <d v="2024-04-15T00:00:00"/>
    <n v="1"/>
    <n v="90505"/>
    <x v="3"/>
    <d v="2024-03-01T00:00:00"/>
    <n v="0.15271000000000001"/>
    <n v="70505"/>
    <x v="1"/>
    <n v="79439.343840000001"/>
    <s v="Overdue"/>
    <d v="2024-04-10T00:00:00"/>
    <s v="Fixed"/>
    <d v="2024-03-25T00:00:00"/>
    <s v="YES"/>
  </r>
  <r>
    <n v="10506"/>
    <n v="6816"/>
    <x v="1"/>
    <n v="86897.39"/>
    <n v="87"/>
    <x v="2"/>
    <x v="1"/>
    <n v="139236.98000000001"/>
    <x v="2"/>
    <s v="WH-A"/>
    <n v="143"/>
    <d v="2024-03-10T00:00:00"/>
    <n v="12"/>
    <n v="90506"/>
    <x v="2"/>
    <d v="2024-04-01T00:00:00"/>
    <n v="0.2283"/>
    <n v="70506"/>
    <x v="0"/>
    <n v="103881.5325"/>
    <s v="Overdue"/>
    <d v="2024-06-01T00:00:00"/>
    <s v="Fixed"/>
    <d v="2024-03-25T00:00:00"/>
    <s v="YES"/>
  </r>
  <r>
    <n v="10507"/>
    <n v="5626"/>
    <x v="1"/>
    <n v="78789.820000000007"/>
    <n v="38"/>
    <x v="1"/>
    <x v="2"/>
    <n v="139671.4"/>
    <x v="1"/>
    <s v="WH-A"/>
    <n v="376"/>
    <d v="2024-03-10T00:00:00"/>
    <n v="2"/>
    <n v="90507"/>
    <x v="0"/>
    <d v="2024-04-01T00:00:00"/>
    <n v="0.85446"/>
    <n v="70507"/>
    <x v="1"/>
    <n v="67447.144409999994"/>
    <s v="Overdue"/>
    <d v="2024-06-01T00:00:00"/>
    <s v="Fixed"/>
    <d v="2024-04-02T00:00:00"/>
    <s v="NO"/>
  </r>
  <r>
    <n v="10508"/>
    <n v="6312"/>
    <x v="1"/>
    <n v="33967.370000000003"/>
    <n v="6"/>
    <x v="0"/>
    <x v="2"/>
    <n v="137641.93"/>
    <x v="1"/>
    <s v="WH-C"/>
    <n v="274"/>
    <d v="2024-02-10T00:00:00"/>
    <n v="12"/>
    <n v="90508"/>
    <x v="0"/>
    <d v="2024-05-18T00:00:00"/>
    <n v="0.75809000000000004"/>
    <n v="70508"/>
    <x v="0"/>
    <n v="63848.521399999998"/>
    <s v="pending"/>
    <d v="2024-06-01T00:00:00"/>
    <s v="Fixed"/>
    <d v="2024-03-25T00:00:00"/>
    <s v="NO"/>
  </r>
  <r>
    <n v="10509"/>
    <n v="6967"/>
    <x v="1"/>
    <n v="74576.92"/>
    <n v="86"/>
    <x v="3"/>
    <x v="3"/>
    <n v="80721.649999999994"/>
    <x v="2"/>
    <s v="WH-B"/>
    <n v="1016"/>
    <d v="2024-04-15T00:00:00"/>
    <n v="4"/>
    <n v="90509"/>
    <x v="1"/>
    <d v="2024-05-18T00:00:00"/>
    <n v="0.69789999999999996"/>
    <n v="70509"/>
    <x v="0"/>
    <n v="68403.473929999993"/>
    <s v="Paid"/>
    <d v="2024-04-10T00:00:00"/>
    <s v="Fixed"/>
    <d v="2024-04-02T00:00:00"/>
    <s v="YES"/>
  </r>
  <r>
    <n v="10510"/>
    <n v="5854"/>
    <x v="1"/>
    <n v="76787.31"/>
    <n v="25"/>
    <x v="3"/>
    <x v="0"/>
    <n v="43080.27"/>
    <x v="1"/>
    <s v="WH-A"/>
    <n v="939"/>
    <d v="2024-03-10T00:00:00"/>
    <n v="13"/>
    <n v="90510"/>
    <x v="3"/>
    <d v="2024-04-01T00:00:00"/>
    <n v="0.21758"/>
    <n v="70510"/>
    <x v="1"/>
    <n v="97153.004499999995"/>
    <s v="Paid"/>
    <d v="2024-06-01T00:00:00"/>
    <s v="Fixed"/>
    <d v="2024-03-25T00:00:00"/>
    <s v="YES"/>
  </r>
  <r>
    <n v="10511"/>
    <n v="6687"/>
    <x v="0"/>
    <n v="12228.52"/>
    <n v="82"/>
    <x v="1"/>
    <x v="1"/>
    <n v="142231.35999999999"/>
    <x v="1"/>
    <s v="WH-C"/>
    <n v="60"/>
    <d v="2024-02-10T00:00:00"/>
    <n v="8"/>
    <n v="90511"/>
    <x v="2"/>
    <d v="2024-03-01T00:00:00"/>
    <n v="0.67593999999999999"/>
    <n v="70511"/>
    <x v="1"/>
    <n v="173422.25630000001"/>
    <s v="Overdue"/>
    <d v="2024-05-10T00:00:00"/>
    <s v="Variable"/>
    <d v="2024-04-02T00:00:00"/>
    <s v="YES"/>
  </r>
  <r>
    <n v="10512"/>
    <n v="5962"/>
    <x v="1"/>
    <n v="26840.45"/>
    <n v="17"/>
    <x v="3"/>
    <x v="0"/>
    <n v="87879.63"/>
    <x v="2"/>
    <s v="WH-C"/>
    <n v="1402"/>
    <d v="2024-03-10T00:00:00"/>
    <n v="11"/>
    <n v="90512"/>
    <x v="0"/>
    <d v="2024-04-01T00:00:00"/>
    <n v="0.79493999999999998"/>
    <n v="70512"/>
    <x v="2"/>
    <n v="214618.58009999999"/>
    <s v="Paid"/>
    <d v="2024-04-10T00:00:00"/>
    <s v="Variable"/>
    <d v="2024-03-25T00:00:00"/>
    <s v="NO"/>
  </r>
  <r>
    <n v="10513"/>
    <n v="6663"/>
    <x v="1"/>
    <n v="75750.13"/>
    <n v="61"/>
    <x v="2"/>
    <x v="1"/>
    <n v="113939.66"/>
    <x v="0"/>
    <s v="WH-B"/>
    <n v="1085"/>
    <d v="2024-02-10T00:00:00"/>
    <n v="13"/>
    <n v="90513"/>
    <x v="0"/>
    <d v="2024-05-18T00:00:00"/>
    <n v="0.87453999999999998"/>
    <n v="70513"/>
    <x v="1"/>
    <n v="150122.18150000001"/>
    <s v="pending"/>
    <d v="2024-06-01T00:00:00"/>
    <s v="Variable"/>
    <d v="2024-03-25T00:00:00"/>
    <s v="YES"/>
  </r>
  <r>
    <n v="10514"/>
    <n v="5155"/>
    <x v="1"/>
    <n v="94427.47"/>
    <n v="12"/>
    <x v="3"/>
    <x v="3"/>
    <n v="12015.78"/>
    <x v="1"/>
    <s v="WH-B"/>
    <n v="84"/>
    <d v="2024-02-10T00:00:00"/>
    <n v="14"/>
    <n v="90514"/>
    <x v="0"/>
    <d v="2024-03-01T00:00:00"/>
    <n v="0.11191"/>
    <n v="70514"/>
    <x v="2"/>
    <n v="66104.052800000005"/>
    <s v="Paid"/>
    <d v="2024-06-01T00:00:00"/>
    <s v="Fixed"/>
    <d v="2024-03-25T00:00:00"/>
    <s v="NO"/>
  </r>
  <r>
    <n v="10515"/>
    <n v="5490"/>
    <x v="0"/>
    <n v="35708.89"/>
    <n v="6"/>
    <x v="3"/>
    <x v="1"/>
    <n v="128993.7"/>
    <x v="0"/>
    <s v="WH-B"/>
    <n v="496"/>
    <d v="2024-03-10T00:00:00"/>
    <n v="10"/>
    <n v="90515"/>
    <x v="2"/>
    <d v="2024-03-01T00:00:00"/>
    <n v="0.71603000000000006"/>
    <n v="70515"/>
    <x v="1"/>
    <n v="151789.88866"/>
    <s v="pending"/>
    <d v="2024-04-10T00:00:00"/>
    <s v="Variable"/>
    <d v="2024-03-25T00:00:00"/>
    <s v="YES"/>
  </r>
  <r>
    <n v="10516"/>
    <n v="6410"/>
    <x v="0"/>
    <n v="89514.45"/>
    <n v="90"/>
    <x v="2"/>
    <x v="1"/>
    <n v="145307.53"/>
    <x v="1"/>
    <s v="WH-B"/>
    <n v="1293"/>
    <d v="2024-04-15T00:00:00"/>
    <n v="6"/>
    <n v="90516"/>
    <x v="2"/>
    <d v="2024-03-01T00:00:00"/>
    <n v="0.11719"/>
    <n v="70516"/>
    <x v="1"/>
    <n v="183568.50330000001"/>
    <s v="Overdue"/>
    <d v="2024-04-10T00:00:00"/>
    <s v="Variable"/>
    <d v="2024-03-25T00:00:00"/>
    <s v="YES"/>
  </r>
  <r>
    <n v="10517"/>
    <n v="5785"/>
    <x v="1"/>
    <n v="66333.73"/>
    <n v="27"/>
    <x v="1"/>
    <x v="3"/>
    <n v="39750.36"/>
    <x v="1"/>
    <s v="WH-B"/>
    <n v="490"/>
    <d v="2024-04-15T00:00:00"/>
    <n v="1"/>
    <n v="90517"/>
    <x v="3"/>
    <d v="2024-04-01T00:00:00"/>
    <n v="0.73619000000000001"/>
    <n v="70517"/>
    <x v="1"/>
    <n v="100167.75077"/>
    <s v="Paid"/>
    <d v="2024-05-10T00:00:00"/>
    <s v="Variable"/>
    <d v="2024-03-25T00:00:00"/>
    <s v="NO"/>
  </r>
  <r>
    <n v="10518"/>
    <n v="6128"/>
    <x v="1"/>
    <n v="88632.22"/>
    <n v="8"/>
    <x v="1"/>
    <x v="0"/>
    <n v="86616.93"/>
    <x v="2"/>
    <s v="WH-A"/>
    <n v="702"/>
    <d v="2024-02-10T00:00:00"/>
    <n v="10"/>
    <n v="90518"/>
    <x v="1"/>
    <d v="2024-04-01T00:00:00"/>
    <n v="0.67205999999999999"/>
    <n v="70518"/>
    <x v="0"/>
    <n v="106552.8116"/>
    <s v="pending"/>
    <d v="2024-04-10T00:00:00"/>
    <s v="Fixed"/>
    <d v="2024-03-25T00:00:00"/>
    <s v="YES"/>
  </r>
  <r>
    <n v="10519"/>
    <n v="6953"/>
    <x v="0"/>
    <n v="11773.36"/>
    <n v="83"/>
    <x v="2"/>
    <x v="3"/>
    <n v="71085.55"/>
    <x v="1"/>
    <s v="WH-C"/>
    <n v="644"/>
    <d v="2024-04-15T00:00:00"/>
    <n v="5"/>
    <n v="90519"/>
    <x v="1"/>
    <d v="2024-05-18T00:00:00"/>
    <n v="0.23351"/>
    <n v="70519"/>
    <x v="0"/>
    <n v="128529.09600000001"/>
    <s v="Overdue"/>
    <d v="2024-06-01T00:00:00"/>
    <s v="Fixed"/>
    <d v="2024-03-25T00:00:00"/>
    <s v="NO"/>
  </r>
  <r>
    <n v="10520"/>
    <n v="6417"/>
    <x v="1"/>
    <n v="14902.62"/>
    <n v="65"/>
    <x v="2"/>
    <x v="1"/>
    <n v="174639.18"/>
    <x v="1"/>
    <s v="WH-A"/>
    <n v="278"/>
    <d v="2024-02-10T00:00:00"/>
    <n v="7"/>
    <n v="90520"/>
    <x v="1"/>
    <d v="2024-03-01T00:00:00"/>
    <n v="0.78951000000000005"/>
    <n v="70520"/>
    <x v="1"/>
    <n v="109593.31320999999"/>
    <s v="Overdue"/>
    <d v="2024-05-10T00:00:00"/>
    <s v="Variable"/>
    <d v="2024-03-25T00:00:00"/>
    <s v="YES"/>
  </r>
  <r>
    <n v="10521"/>
    <n v="6835"/>
    <x v="1"/>
    <n v="74880.25"/>
    <n v="57"/>
    <x v="2"/>
    <x v="3"/>
    <n v="122038.54"/>
    <x v="1"/>
    <s v="WH-A"/>
    <n v="393"/>
    <d v="2024-04-15T00:00:00"/>
    <n v="13"/>
    <n v="90521"/>
    <x v="0"/>
    <d v="2024-03-01T00:00:00"/>
    <n v="0.16150999999999999"/>
    <n v="70521"/>
    <x v="1"/>
    <n v="179727.76357000001"/>
    <s v="Overdue"/>
    <d v="2024-06-01T00:00:00"/>
    <s v="Variable"/>
    <d v="2024-04-02T00:00:00"/>
    <s v="NO"/>
  </r>
  <r>
    <n v="10522"/>
    <n v="5246"/>
    <x v="1"/>
    <n v="35459.96"/>
    <n v="93"/>
    <x v="3"/>
    <x v="1"/>
    <n v="175364.31"/>
    <x v="2"/>
    <s v="WH-A"/>
    <n v="1153"/>
    <d v="2024-03-10T00:00:00"/>
    <n v="6"/>
    <n v="90522"/>
    <x v="1"/>
    <d v="2024-04-01T00:00:00"/>
    <n v="0.84375999999999995"/>
    <n v="70522"/>
    <x v="1"/>
    <n v="138368.26439999999"/>
    <s v="Overdue"/>
    <d v="2024-06-01T00:00:00"/>
    <s v="Variable"/>
    <d v="2024-03-25T00:00:00"/>
    <s v="YES"/>
  </r>
  <r>
    <n v="10523"/>
    <n v="6200"/>
    <x v="1"/>
    <n v="63465.440000000002"/>
    <n v="99"/>
    <x v="2"/>
    <x v="3"/>
    <n v="122210.83"/>
    <x v="0"/>
    <s v="WH-A"/>
    <n v="1426"/>
    <d v="2024-04-15T00:00:00"/>
    <n v="13"/>
    <n v="90523"/>
    <x v="0"/>
    <d v="2024-05-18T00:00:00"/>
    <n v="0.33573999999999998"/>
    <n v="70523"/>
    <x v="1"/>
    <n v="197532.56200000001"/>
    <s v="Paid"/>
    <d v="2024-06-01T00:00:00"/>
    <s v="Variable"/>
    <d v="2024-03-25T00:00:00"/>
    <s v="NO"/>
  </r>
  <r>
    <n v="10524"/>
    <n v="6063"/>
    <x v="1"/>
    <n v="78311.98"/>
    <n v="40"/>
    <x v="0"/>
    <x v="2"/>
    <n v="128028.52"/>
    <x v="0"/>
    <s v="WH-A"/>
    <n v="1469"/>
    <d v="2024-02-10T00:00:00"/>
    <n v="13"/>
    <n v="90524"/>
    <x v="3"/>
    <d v="2024-05-18T00:00:00"/>
    <n v="0.71997"/>
    <n v="70524"/>
    <x v="0"/>
    <n v="105810.90180000001"/>
    <s v="pending"/>
    <d v="2024-04-10T00:00:00"/>
    <s v="Variable"/>
    <d v="2024-03-25T00:00:00"/>
    <s v="YES"/>
  </r>
  <r>
    <n v="10525"/>
    <n v="6501"/>
    <x v="1"/>
    <n v="27639.83"/>
    <n v="14"/>
    <x v="3"/>
    <x v="2"/>
    <n v="52427.76"/>
    <x v="0"/>
    <s v="WH-B"/>
    <n v="1363"/>
    <d v="2024-02-10T00:00:00"/>
    <n v="12"/>
    <n v="90525"/>
    <x v="0"/>
    <d v="2024-03-01T00:00:00"/>
    <n v="0.93132000000000004"/>
    <n v="70525"/>
    <x v="1"/>
    <n v="106136.15125"/>
    <s v="Paid"/>
    <d v="2024-04-10T00:00:00"/>
    <s v="Fixed"/>
    <d v="2024-03-25T00:00:00"/>
    <s v="NO"/>
  </r>
  <r>
    <n v="10526"/>
    <n v="6706"/>
    <x v="0"/>
    <n v="65684.429999999993"/>
    <n v="35"/>
    <x v="1"/>
    <x v="3"/>
    <n v="92944.07"/>
    <x v="1"/>
    <s v="WH-B"/>
    <n v="1038"/>
    <d v="2024-04-15T00:00:00"/>
    <n v="9"/>
    <n v="90526"/>
    <x v="3"/>
    <d v="2024-04-01T00:00:00"/>
    <n v="0.40583999999999998"/>
    <n v="70526"/>
    <x v="0"/>
    <n v="64285.521829999998"/>
    <s v="pending"/>
    <d v="2024-06-01T00:00:00"/>
    <s v="Variable"/>
    <d v="2024-03-25T00:00:00"/>
    <s v="YES"/>
  </r>
  <r>
    <n v="10527"/>
    <n v="5759"/>
    <x v="1"/>
    <n v="47557.75"/>
    <n v="48"/>
    <x v="1"/>
    <x v="0"/>
    <n v="76907.460000000006"/>
    <x v="0"/>
    <s v="WH-C"/>
    <n v="1201"/>
    <d v="2024-03-10T00:00:00"/>
    <n v="8"/>
    <n v="90527"/>
    <x v="3"/>
    <d v="2024-03-01T00:00:00"/>
    <n v="0.55259999999999998"/>
    <n v="70527"/>
    <x v="2"/>
    <n v="95093.383199999997"/>
    <s v="Overdue"/>
    <d v="2024-04-10T00:00:00"/>
    <s v="Variable"/>
    <d v="2024-04-02T00:00:00"/>
    <s v="YES"/>
  </r>
  <r>
    <n v="10528"/>
    <n v="5538"/>
    <x v="1"/>
    <n v="69180.94"/>
    <n v="84"/>
    <x v="1"/>
    <x v="1"/>
    <n v="55043.91"/>
    <x v="0"/>
    <s v="WH-A"/>
    <n v="958"/>
    <d v="2024-02-10T00:00:00"/>
    <n v="4"/>
    <n v="90528"/>
    <x v="1"/>
    <d v="2024-04-01T00:00:00"/>
    <n v="0.51680999999999999"/>
    <n v="70528"/>
    <x v="2"/>
    <n v="53551.923990000003"/>
    <s v="Paid"/>
    <d v="2024-06-01T00:00:00"/>
    <s v="Variable"/>
    <d v="2024-04-02T00:00:00"/>
    <s v="YES"/>
  </r>
  <r>
    <n v="10529"/>
    <n v="6891"/>
    <x v="1"/>
    <n v="78224.58"/>
    <n v="56"/>
    <x v="3"/>
    <x v="2"/>
    <n v="136826.76999999999"/>
    <x v="2"/>
    <s v="WH-C"/>
    <n v="1432"/>
    <d v="2024-02-10T00:00:00"/>
    <n v="13"/>
    <n v="90529"/>
    <x v="1"/>
    <d v="2024-05-18T00:00:00"/>
    <n v="0.24185000000000001"/>
    <n v="70529"/>
    <x v="2"/>
    <n v="128324.31087"/>
    <s v="Overdue"/>
    <d v="2024-04-10T00:00:00"/>
    <s v="Variable"/>
    <d v="2024-04-02T00:00:00"/>
    <s v="NO"/>
  </r>
  <r>
    <n v="10530"/>
    <n v="6842"/>
    <x v="1"/>
    <n v="35783.21"/>
    <n v="49"/>
    <x v="0"/>
    <x v="0"/>
    <n v="15030.19"/>
    <x v="0"/>
    <s v="WH-B"/>
    <n v="576"/>
    <d v="2024-02-10T00:00:00"/>
    <n v="11"/>
    <n v="90530"/>
    <x v="0"/>
    <d v="2024-03-01T00:00:00"/>
    <n v="0.63127999999999995"/>
    <n v="70530"/>
    <x v="1"/>
    <n v="117501.85769999999"/>
    <s v="pending"/>
    <d v="2024-04-10T00:00:00"/>
    <s v="Variable"/>
    <d v="2024-04-02T00:00:00"/>
    <s v="YES"/>
  </r>
  <r>
    <n v="10531"/>
    <n v="5921"/>
    <x v="1"/>
    <n v="90170.7"/>
    <n v="13"/>
    <x v="2"/>
    <x v="1"/>
    <n v="104965.82"/>
    <x v="1"/>
    <s v="WH-B"/>
    <n v="1386"/>
    <d v="2024-02-10T00:00:00"/>
    <n v="12"/>
    <n v="90531"/>
    <x v="2"/>
    <d v="2024-03-01T00:00:00"/>
    <n v="0.76870000000000005"/>
    <n v="70531"/>
    <x v="2"/>
    <n v="192566.61864999999"/>
    <s v="Overdue"/>
    <d v="2024-04-10T00:00:00"/>
    <s v="Variable"/>
    <d v="2024-03-25T00:00:00"/>
    <s v="YES"/>
  </r>
  <r>
    <n v="10532"/>
    <n v="5408"/>
    <x v="1"/>
    <n v="29262.33"/>
    <n v="61"/>
    <x v="2"/>
    <x v="2"/>
    <n v="15206.02"/>
    <x v="1"/>
    <s v="WH-B"/>
    <n v="124"/>
    <d v="2024-02-10T00:00:00"/>
    <n v="5"/>
    <n v="90532"/>
    <x v="1"/>
    <d v="2024-03-01T00:00:00"/>
    <n v="0.92518999999999996"/>
    <n v="70532"/>
    <x v="1"/>
    <n v="159141.68609999999"/>
    <s v="Paid"/>
    <d v="2024-05-10T00:00:00"/>
    <s v="Fixed"/>
    <d v="2024-03-25T00:00:00"/>
    <s v="NO"/>
  </r>
  <r>
    <n v="10533"/>
    <n v="5525"/>
    <x v="1"/>
    <n v="95717.91"/>
    <n v="49"/>
    <x v="1"/>
    <x v="2"/>
    <n v="62528.14"/>
    <x v="1"/>
    <s v="WH-A"/>
    <n v="245"/>
    <d v="2024-03-10T00:00:00"/>
    <n v="7"/>
    <n v="90533"/>
    <x v="1"/>
    <d v="2024-05-18T00:00:00"/>
    <n v="0.86572000000000005"/>
    <n v="70533"/>
    <x v="0"/>
    <n v="50158.02433"/>
    <s v="Paid"/>
    <d v="2024-04-10T00:00:00"/>
    <s v="Variable"/>
    <d v="2024-03-25T00:00:00"/>
    <s v="YES"/>
  </r>
  <r>
    <n v="10534"/>
    <n v="5828"/>
    <x v="0"/>
    <n v="41200.370000000003"/>
    <n v="46"/>
    <x v="1"/>
    <x v="3"/>
    <n v="73856.59"/>
    <x v="2"/>
    <s v="WH-A"/>
    <n v="78"/>
    <d v="2024-04-15T00:00:00"/>
    <n v="8"/>
    <n v="90534"/>
    <x v="2"/>
    <d v="2024-03-01T00:00:00"/>
    <n v="0.55901999999999996"/>
    <n v="70534"/>
    <x v="0"/>
    <n v="208980.17139999999"/>
    <s v="pending"/>
    <d v="2024-05-10T00:00:00"/>
    <s v="Variable"/>
    <d v="2024-03-25T00:00:00"/>
    <s v="YES"/>
  </r>
  <r>
    <n v="10535"/>
    <n v="6530"/>
    <x v="0"/>
    <n v="39331.120000000003"/>
    <n v="62"/>
    <x v="3"/>
    <x v="1"/>
    <n v="35602.449999999997"/>
    <x v="2"/>
    <s v="WH-B"/>
    <n v="755"/>
    <d v="2024-03-10T00:00:00"/>
    <n v="5"/>
    <n v="90535"/>
    <x v="2"/>
    <d v="2024-05-18T00:00:00"/>
    <n v="0.74712000000000001"/>
    <n v="70535"/>
    <x v="1"/>
    <n v="182275.90969999999"/>
    <s v="pending"/>
    <d v="2024-05-10T00:00:00"/>
    <s v="Variable"/>
    <d v="2024-03-25T00:00:00"/>
    <s v="NO"/>
  </r>
  <r>
    <n v="10536"/>
    <n v="5903"/>
    <x v="1"/>
    <n v="22051.86"/>
    <n v="8"/>
    <x v="0"/>
    <x v="0"/>
    <n v="162887.07"/>
    <x v="1"/>
    <s v="WH-C"/>
    <n v="1070"/>
    <d v="2024-03-10T00:00:00"/>
    <n v="9"/>
    <n v="90536"/>
    <x v="1"/>
    <d v="2024-04-01T00:00:00"/>
    <n v="0.82071000000000005"/>
    <n v="70536"/>
    <x v="0"/>
    <n v="185429.2499"/>
    <s v="Paid"/>
    <d v="2024-05-10T00:00:00"/>
    <s v="Variable"/>
    <d v="2024-03-25T00:00:00"/>
    <s v="YES"/>
  </r>
  <r>
    <n v="10537"/>
    <n v="6849"/>
    <x v="1"/>
    <n v="39369.5"/>
    <n v="43"/>
    <x v="2"/>
    <x v="0"/>
    <n v="106443.93"/>
    <x v="0"/>
    <s v="WH-C"/>
    <n v="65"/>
    <d v="2024-02-10T00:00:00"/>
    <n v="14"/>
    <n v="90537"/>
    <x v="2"/>
    <d v="2024-05-18T00:00:00"/>
    <n v="0.54413999999999996"/>
    <n v="70537"/>
    <x v="0"/>
    <n v="166644.53659999999"/>
    <s v="Paid"/>
    <d v="2024-06-01T00:00:00"/>
    <s v="Variable"/>
    <d v="2024-04-02T00:00:00"/>
    <s v="YES"/>
  </r>
  <r>
    <n v="10538"/>
    <n v="5036"/>
    <x v="1"/>
    <n v="43390.63"/>
    <n v="20"/>
    <x v="3"/>
    <x v="0"/>
    <n v="23747"/>
    <x v="2"/>
    <s v="WH-B"/>
    <n v="1496"/>
    <d v="2024-03-10T00:00:00"/>
    <n v="10"/>
    <n v="90538"/>
    <x v="0"/>
    <d v="2024-04-01T00:00:00"/>
    <n v="0.20388000000000001"/>
    <n v="70538"/>
    <x v="1"/>
    <n v="63473.614000000001"/>
    <s v="Paid"/>
    <d v="2024-04-10T00:00:00"/>
    <s v="Variable"/>
    <d v="2024-03-25T00:00:00"/>
    <s v="YES"/>
  </r>
  <r>
    <n v="10539"/>
    <n v="5685"/>
    <x v="1"/>
    <n v="75974.61"/>
    <n v="97"/>
    <x v="2"/>
    <x v="1"/>
    <n v="132145.26999999999"/>
    <x v="1"/>
    <s v="WH-C"/>
    <n v="854"/>
    <d v="2024-02-10T00:00:00"/>
    <n v="12"/>
    <n v="90539"/>
    <x v="3"/>
    <d v="2024-05-18T00:00:00"/>
    <n v="0.49414000000000002"/>
    <n v="70539"/>
    <x v="2"/>
    <n v="115481.8012"/>
    <s v="Paid"/>
    <d v="2024-06-01T00:00:00"/>
    <s v="Variable"/>
    <d v="2024-03-25T00:00:00"/>
    <s v="YES"/>
  </r>
  <r>
    <n v="10540"/>
    <n v="5020"/>
    <x v="1"/>
    <n v="29281.48"/>
    <n v="90"/>
    <x v="1"/>
    <x v="0"/>
    <n v="157122.96"/>
    <x v="1"/>
    <s v="WH-B"/>
    <n v="1478"/>
    <d v="2024-03-10T00:00:00"/>
    <n v="4"/>
    <n v="90540"/>
    <x v="3"/>
    <d v="2024-05-18T00:00:00"/>
    <n v="0.85823000000000005"/>
    <n v="70540"/>
    <x v="1"/>
    <n v="136834.08009"/>
    <s v="pending"/>
    <d v="2024-05-10T00:00:00"/>
    <s v="Variable"/>
    <d v="2024-03-25T00:00:00"/>
    <s v="NO"/>
  </r>
  <r>
    <n v="10541"/>
    <n v="5321"/>
    <x v="1"/>
    <n v="75887.710000000006"/>
    <n v="39"/>
    <x v="2"/>
    <x v="0"/>
    <n v="27832.68"/>
    <x v="2"/>
    <s v="WH-C"/>
    <n v="989"/>
    <d v="2024-02-10T00:00:00"/>
    <n v="4"/>
    <n v="90541"/>
    <x v="1"/>
    <d v="2024-03-01T00:00:00"/>
    <n v="0.63697999999999999"/>
    <n v="70541"/>
    <x v="1"/>
    <n v="186018.26439999999"/>
    <s v="Paid"/>
    <d v="2024-04-10T00:00:00"/>
    <s v="Variable"/>
    <d v="2024-03-25T00:00:00"/>
    <s v="YES"/>
  </r>
  <r>
    <n v="10542"/>
    <n v="6800"/>
    <x v="1"/>
    <n v="10936.33"/>
    <n v="85"/>
    <x v="0"/>
    <x v="0"/>
    <n v="83712.36"/>
    <x v="2"/>
    <s v="WH-B"/>
    <n v="1016"/>
    <d v="2024-02-10T00:00:00"/>
    <n v="13"/>
    <n v="90542"/>
    <x v="1"/>
    <d v="2024-05-18T00:00:00"/>
    <n v="0.75200999999999996"/>
    <n v="70542"/>
    <x v="0"/>
    <n v="125027.6492"/>
    <s v="pending"/>
    <d v="2024-06-01T00:00:00"/>
    <s v="Variable"/>
    <d v="2024-04-02T00:00:00"/>
    <s v="YES"/>
  </r>
  <r>
    <n v="10543"/>
    <n v="5512"/>
    <x v="1"/>
    <n v="45482.06"/>
    <n v="49"/>
    <x v="0"/>
    <x v="3"/>
    <n v="42232.66"/>
    <x v="2"/>
    <s v="WH-C"/>
    <n v="1150"/>
    <d v="2024-03-10T00:00:00"/>
    <n v="8"/>
    <n v="90543"/>
    <x v="0"/>
    <d v="2024-03-01T00:00:00"/>
    <n v="0.26673999999999998"/>
    <n v="70543"/>
    <x v="1"/>
    <n v="115847.60042"/>
    <s v="Paid"/>
    <d v="2024-05-10T00:00:00"/>
    <s v="Fixed"/>
    <d v="2024-03-25T00:00:00"/>
    <s v="YES"/>
  </r>
  <r>
    <n v="10544"/>
    <n v="5400"/>
    <x v="1"/>
    <n v="17798.099999999999"/>
    <n v="64"/>
    <x v="1"/>
    <x v="3"/>
    <n v="137787.96"/>
    <x v="1"/>
    <s v="WH-A"/>
    <n v="278"/>
    <d v="2024-03-10T00:00:00"/>
    <n v="1"/>
    <n v="90544"/>
    <x v="2"/>
    <d v="2024-04-01T00:00:00"/>
    <n v="0.96789999999999998"/>
    <n v="70544"/>
    <x v="0"/>
    <n v="153302.20402"/>
    <s v="Paid"/>
    <d v="2024-06-01T00:00:00"/>
    <s v="Variable"/>
    <d v="2024-03-25T00:00:00"/>
    <s v="YES"/>
  </r>
  <r>
    <n v="10545"/>
    <n v="5654"/>
    <x v="1"/>
    <n v="75610.98"/>
    <n v="62"/>
    <x v="0"/>
    <x v="1"/>
    <n v="131721.48000000001"/>
    <x v="1"/>
    <s v="WH-B"/>
    <n v="1011"/>
    <d v="2024-04-15T00:00:00"/>
    <n v="8"/>
    <n v="90545"/>
    <x v="1"/>
    <d v="2024-04-01T00:00:00"/>
    <n v="0.46367000000000003"/>
    <n v="70545"/>
    <x v="2"/>
    <n v="116176.90238"/>
    <s v="Overdue"/>
    <d v="2024-06-01T00:00:00"/>
    <s v="Fixed"/>
    <d v="2024-03-25T00:00:00"/>
    <s v="NO"/>
  </r>
  <r>
    <n v="10546"/>
    <n v="5972"/>
    <x v="1"/>
    <n v="12824.96"/>
    <n v="54"/>
    <x v="0"/>
    <x v="1"/>
    <n v="126078.6"/>
    <x v="1"/>
    <s v="WH-B"/>
    <n v="1370"/>
    <d v="2024-04-15T00:00:00"/>
    <n v="5"/>
    <n v="90546"/>
    <x v="3"/>
    <d v="2024-03-01T00:00:00"/>
    <n v="0.68827000000000005"/>
    <n v="70546"/>
    <x v="0"/>
    <n v="144596.78018999999"/>
    <s v="Overdue"/>
    <d v="2024-04-10T00:00:00"/>
    <s v="Variable"/>
    <d v="2024-03-25T00:00:00"/>
    <s v="NO"/>
  </r>
  <r>
    <n v="10547"/>
    <n v="6907"/>
    <x v="1"/>
    <n v="43551.33"/>
    <n v="9"/>
    <x v="3"/>
    <x v="0"/>
    <n v="24471.87"/>
    <x v="1"/>
    <s v="WH-C"/>
    <n v="764"/>
    <d v="2024-04-15T00:00:00"/>
    <n v="13"/>
    <n v="90547"/>
    <x v="0"/>
    <d v="2024-04-01T00:00:00"/>
    <n v="0.11699"/>
    <n v="70547"/>
    <x v="1"/>
    <n v="69166.771900000007"/>
    <s v="Paid"/>
    <d v="2024-04-10T00:00:00"/>
    <s v="Variable"/>
    <d v="2024-03-25T00:00:00"/>
    <s v="NO"/>
  </r>
  <r>
    <n v="10548"/>
    <n v="5471"/>
    <x v="1"/>
    <n v="15123.02"/>
    <n v="88"/>
    <x v="2"/>
    <x v="3"/>
    <n v="32331.72"/>
    <x v="0"/>
    <s v="WH-B"/>
    <n v="1033"/>
    <d v="2024-03-10T00:00:00"/>
    <n v="14"/>
    <n v="90548"/>
    <x v="0"/>
    <d v="2024-05-18T00:00:00"/>
    <n v="0.21459"/>
    <n v="70548"/>
    <x v="2"/>
    <n v="129837.452"/>
    <s v="pending"/>
    <d v="2024-06-01T00:00:00"/>
    <s v="Variable"/>
    <d v="2024-03-25T00:00:00"/>
    <s v="NO"/>
  </r>
  <r>
    <n v="10549"/>
    <n v="6167"/>
    <x v="1"/>
    <n v="21201"/>
    <n v="37"/>
    <x v="1"/>
    <x v="2"/>
    <n v="143927.57999999999"/>
    <x v="1"/>
    <s v="WH-B"/>
    <n v="622"/>
    <d v="2024-03-10T00:00:00"/>
    <n v="11"/>
    <n v="90549"/>
    <x v="2"/>
    <d v="2024-03-01T00:00:00"/>
    <n v="0.80383000000000004"/>
    <n v="70549"/>
    <x v="2"/>
    <n v="141366.27729999999"/>
    <s v="Paid"/>
    <d v="2024-04-10T00:00:00"/>
    <s v="Variable"/>
    <d v="2024-04-02T00:00:00"/>
    <s v="YES"/>
  </r>
  <r>
    <n v="10550"/>
    <n v="6116"/>
    <x v="1"/>
    <n v="78573.009999999995"/>
    <n v="49"/>
    <x v="1"/>
    <x v="2"/>
    <n v="18620.23"/>
    <x v="1"/>
    <s v="WH-B"/>
    <n v="664"/>
    <d v="2024-02-10T00:00:00"/>
    <n v="1"/>
    <n v="90550"/>
    <x v="1"/>
    <d v="2024-03-01T00:00:00"/>
    <n v="0.97116999999999998"/>
    <n v="70550"/>
    <x v="2"/>
    <n v="69419.171300000002"/>
    <s v="Overdue"/>
    <d v="2024-04-10T00:00:00"/>
    <s v="Variable"/>
    <d v="2024-04-02T00:00:00"/>
    <s v="YES"/>
  </r>
  <r>
    <n v="10551"/>
    <n v="6378"/>
    <x v="0"/>
    <n v="31488.27"/>
    <n v="41"/>
    <x v="1"/>
    <x v="0"/>
    <n v="145404.9"/>
    <x v="2"/>
    <s v="WH-A"/>
    <n v="375"/>
    <d v="2024-04-15T00:00:00"/>
    <n v="4"/>
    <n v="90551"/>
    <x v="1"/>
    <d v="2024-03-01T00:00:00"/>
    <n v="0.38805000000000001"/>
    <n v="70551"/>
    <x v="1"/>
    <n v="219094.01800000001"/>
    <s v="Paid"/>
    <d v="2024-06-01T00:00:00"/>
    <s v="Variable"/>
    <d v="2024-03-25T00:00:00"/>
    <s v="NO"/>
  </r>
  <r>
    <n v="10552"/>
    <n v="5834"/>
    <x v="1"/>
    <n v="38295.03"/>
    <n v="17"/>
    <x v="1"/>
    <x v="0"/>
    <n v="12536.45"/>
    <x v="2"/>
    <s v="WH-A"/>
    <n v="1436"/>
    <d v="2024-02-10T00:00:00"/>
    <n v="2"/>
    <n v="90552"/>
    <x v="0"/>
    <d v="2024-04-01T00:00:00"/>
    <n v="0.13346"/>
    <n v="70552"/>
    <x v="1"/>
    <n v="217361.96049999999"/>
    <s v="Overdue"/>
    <d v="2024-04-10T00:00:00"/>
    <s v="Variable"/>
    <d v="2024-04-02T00:00:00"/>
    <s v="YES"/>
  </r>
  <r>
    <n v="10553"/>
    <n v="6824"/>
    <x v="1"/>
    <n v="22630.14"/>
    <n v="88"/>
    <x v="1"/>
    <x v="3"/>
    <n v="90315.4"/>
    <x v="0"/>
    <s v="WH-C"/>
    <n v="924"/>
    <d v="2024-02-10T00:00:00"/>
    <n v="4"/>
    <n v="90553"/>
    <x v="3"/>
    <d v="2024-04-01T00:00:00"/>
    <n v="0.42477999999999999"/>
    <n v="70553"/>
    <x v="1"/>
    <n v="202773.4761"/>
    <s v="Paid"/>
    <d v="2024-04-10T00:00:00"/>
    <s v="Variable"/>
    <d v="2024-04-02T00:00:00"/>
    <s v="NO"/>
  </r>
  <r>
    <n v="10554"/>
    <n v="5727"/>
    <x v="1"/>
    <n v="46725.64"/>
    <n v="21"/>
    <x v="0"/>
    <x v="3"/>
    <n v="146743.04999999999"/>
    <x v="1"/>
    <s v="WH-A"/>
    <n v="408"/>
    <d v="2024-02-10T00:00:00"/>
    <n v="8"/>
    <n v="90554"/>
    <x v="1"/>
    <d v="2024-05-18T00:00:00"/>
    <n v="0.11572"/>
    <n v="70554"/>
    <x v="2"/>
    <n v="114021.2452"/>
    <s v="Paid"/>
    <d v="2024-05-10T00:00:00"/>
    <s v="Fixed"/>
    <d v="2024-04-02T00:00:00"/>
    <s v="NO"/>
  </r>
  <r>
    <n v="10555"/>
    <n v="6983"/>
    <x v="1"/>
    <n v="78907.520000000004"/>
    <n v="51"/>
    <x v="3"/>
    <x v="3"/>
    <n v="74529.100000000006"/>
    <x v="2"/>
    <s v="WH-C"/>
    <n v="373"/>
    <d v="2024-02-10T00:00:00"/>
    <n v="5"/>
    <n v="90555"/>
    <x v="3"/>
    <d v="2024-05-18T00:00:00"/>
    <n v="0.27313999999999999"/>
    <n v="70555"/>
    <x v="0"/>
    <n v="167050.58077"/>
    <s v="pending"/>
    <d v="2024-04-10T00:00:00"/>
    <s v="Variable"/>
    <d v="2024-03-25T00:00:00"/>
    <s v="NO"/>
  </r>
  <r>
    <n v="10556"/>
    <n v="5854"/>
    <x v="1"/>
    <n v="36582.58"/>
    <n v="59"/>
    <x v="1"/>
    <x v="1"/>
    <n v="86901.29"/>
    <x v="2"/>
    <s v="WH-A"/>
    <n v="1399"/>
    <d v="2024-04-15T00:00:00"/>
    <n v="1"/>
    <n v="90556"/>
    <x v="0"/>
    <d v="2024-03-01T00:00:00"/>
    <n v="0.77722000000000002"/>
    <n v="70556"/>
    <x v="2"/>
    <n v="67560.266050000006"/>
    <s v="Overdue"/>
    <d v="2024-05-10T00:00:00"/>
    <s v="Variable"/>
    <d v="2024-03-25T00:00:00"/>
    <s v="YES"/>
  </r>
  <r>
    <n v="10557"/>
    <n v="5051"/>
    <x v="0"/>
    <n v="66133.149999999994"/>
    <n v="39"/>
    <x v="3"/>
    <x v="1"/>
    <n v="89667.51"/>
    <x v="1"/>
    <s v="WH-C"/>
    <n v="214"/>
    <d v="2024-02-10T00:00:00"/>
    <n v="7"/>
    <n v="90557"/>
    <x v="1"/>
    <d v="2024-05-18T00:00:00"/>
    <n v="0.94338"/>
    <n v="70557"/>
    <x v="1"/>
    <n v="175751.07120999999"/>
    <s v="Overdue"/>
    <d v="2024-06-01T00:00:00"/>
    <s v="Variable"/>
    <d v="2024-03-25T00:00:00"/>
    <s v="YES"/>
  </r>
  <r>
    <n v="10558"/>
    <n v="6689"/>
    <x v="1"/>
    <n v="89333.98"/>
    <n v="55"/>
    <x v="3"/>
    <x v="0"/>
    <n v="104281.79"/>
    <x v="1"/>
    <s v="WH-A"/>
    <n v="847"/>
    <d v="2024-03-10T00:00:00"/>
    <n v="1"/>
    <n v="90558"/>
    <x v="3"/>
    <d v="2024-04-01T00:00:00"/>
    <n v="0.1787"/>
    <n v="70558"/>
    <x v="2"/>
    <n v="141602.65401999999"/>
    <s v="Overdue"/>
    <d v="2024-05-10T00:00:00"/>
    <s v="Variable"/>
    <d v="2024-03-25T00:00:00"/>
    <s v="YES"/>
  </r>
  <r>
    <n v="10559"/>
    <n v="6722"/>
    <x v="0"/>
    <n v="67739.7"/>
    <n v="41"/>
    <x v="0"/>
    <x v="1"/>
    <n v="94794.8"/>
    <x v="2"/>
    <s v="WH-A"/>
    <n v="504"/>
    <d v="2024-03-10T00:00:00"/>
    <n v="9"/>
    <n v="90559"/>
    <x v="0"/>
    <d v="2024-05-18T00:00:00"/>
    <n v="0.60211000000000003"/>
    <n v="70559"/>
    <x v="1"/>
    <n v="50059.899720000001"/>
    <s v="pending"/>
    <d v="2024-06-01T00:00:00"/>
    <s v="Variable"/>
    <d v="2024-03-25T00:00:00"/>
    <s v="NO"/>
  </r>
  <r>
    <n v="10560"/>
    <n v="5575"/>
    <x v="1"/>
    <n v="78946.929999999993"/>
    <n v="39"/>
    <x v="1"/>
    <x v="3"/>
    <n v="50489.48"/>
    <x v="1"/>
    <s v="WH-C"/>
    <n v="1226"/>
    <d v="2024-03-10T00:00:00"/>
    <n v="3"/>
    <n v="90560"/>
    <x v="3"/>
    <d v="2024-04-01T00:00:00"/>
    <n v="0.32849"/>
    <n v="70560"/>
    <x v="2"/>
    <n v="215703.4926"/>
    <s v="Paid"/>
    <d v="2024-04-10T00:00:00"/>
    <s v="Fixed"/>
    <d v="2024-04-02T00:00:00"/>
    <s v="YES"/>
  </r>
  <r>
    <n v="10561"/>
    <n v="6214"/>
    <x v="1"/>
    <n v="67552.289999999994"/>
    <n v="13"/>
    <x v="0"/>
    <x v="3"/>
    <n v="15231.8"/>
    <x v="0"/>
    <s v="WH-B"/>
    <n v="1200"/>
    <d v="2024-04-15T00:00:00"/>
    <n v="12"/>
    <n v="90561"/>
    <x v="1"/>
    <d v="2024-05-18T00:00:00"/>
    <n v="0.22514999999999999"/>
    <n v="70561"/>
    <x v="0"/>
    <n v="191921.05961"/>
    <s v="pending"/>
    <d v="2024-04-10T00:00:00"/>
    <s v="Variable"/>
    <d v="2024-03-25T00:00:00"/>
    <s v="YES"/>
  </r>
  <r>
    <n v="10562"/>
    <n v="6149"/>
    <x v="1"/>
    <n v="12628.71"/>
    <n v="64"/>
    <x v="1"/>
    <x v="1"/>
    <n v="157059.01999999999"/>
    <x v="2"/>
    <s v="WH-B"/>
    <n v="242"/>
    <d v="2024-02-10T00:00:00"/>
    <n v="3"/>
    <n v="90562"/>
    <x v="2"/>
    <d v="2024-04-01T00:00:00"/>
    <n v="0.29708000000000001"/>
    <n v="70562"/>
    <x v="1"/>
    <n v="100709.9605"/>
    <s v="Paid"/>
    <d v="2024-05-10T00:00:00"/>
    <s v="Variable"/>
    <d v="2024-03-25T00:00:00"/>
    <s v="YES"/>
  </r>
  <r>
    <n v="10563"/>
    <n v="5150"/>
    <x v="1"/>
    <n v="29489.37"/>
    <n v="11"/>
    <x v="0"/>
    <x v="2"/>
    <n v="14547.45"/>
    <x v="1"/>
    <s v="WH-A"/>
    <n v="676"/>
    <d v="2024-04-15T00:00:00"/>
    <n v="6"/>
    <n v="90563"/>
    <x v="3"/>
    <d v="2024-04-01T00:00:00"/>
    <n v="0.61999000000000004"/>
    <n v="70563"/>
    <x v="0"/>
    <n v="68005.916379999995"/>
    <s v="pending"/>
    <d v="2024-06-01T00:00:00"/>
    <s v="Fixed"/>
    <d v="2024-04-02T00:00:00"/>
    <s v="NO"/>
  </r>
  <r>
    <n v="10564"/>
    <n v="5314"/>
    <x v="1"/>
    <n v="48076.47"/>
    <n v="19"/>
    <x v="3"/>
    <x v="0"/>
    <n v="144530.28"/>
    <x v="0"/>
    <s v="WH-C"/>
    <n v="579"/>
    <d v="2024-02-10T00:00:00"/>
    <n v="10"/>
    <n v="90564"/>
    <x v="2"/>
    <d v="2024-05-18T00:00:00"/>
    <n v="0.15862000000000001"/>
    <n v="70564"/>
    <x v="2"/>
    <n v="126533.61620999999"/>
    <s v="pending"/>
    <d v="2024-04-10T00:00:00"/>
    <s v="Variable"/>
    <d v="2024-03-25T00:00:00"/>
    <s v="YES"/>
  </r>
  <r>
    <n v="10565"/>
    <n v="5570"/>
    <x v="1"/>
    <n v="55039.27"/>
    <n v="11"/>
    <x v="1"/>
    <x v="2"/>
    <n v="92000.4"/>
    <x v="1"/>
    <s v="WH-B"/>
    <n v="1083"/>
    <d v="2024-04-15T00:00:00"/>
    <n v="6"/>
    <n v="90565"/>
    <x v="1"/>
    <d v="2024-05-18T00:00:00"/>
    <n v="0.49080000000000001"/>
    <n v="70565"/>
    <x v="1"/>
    <n v="145901.17634999999"/>
    <s v="Overdue"/>
    <d v="2024-05-10T00:00:00"/>
    <s v="Variable"/>
    <d v="2024-04-02T00:00:00"/>
    <s v="YES"/>
  </r>
  <r>
    <n v="10566"/>
    <n v="6366"/>
    <x v="1"/>
    <n v="56955.199999999997"/>
    <n v="77"/>
    <x v="2"/>
    <x v="0"/>
    <n v="101052.14"/>
    <x v="1"/>
    <s v="WH-C"/>
    <n v="141"/>
    <d v="2024-04-15T00:00:00"/>
    <n v="13"/>
    <n v="90566"/>
    <x v="2"/>
    <d v="2024-04-01T00:00:00"/>
    <n v="0.22170999999999999"/>
    <n v="70566"/>
    <x v="1"/>
    <n v="110173.4715"/>
    <s v="pending"/>
    <d v="2024-05-10T00:00:00"/>
    <s v="Variable"/>
    <d v="2024-03-25T00:00:00"/>
    <s v="NO"/>
  </r>
  <r>
    <n v="10567"/>
    <n v="5305"/>
    <x v="1"/>
    <n v="32850.99"/>
    <n v="46"/>
    <x v="3"/>
    <x v="2"/>
    <n v="177370.64"/>
    <x v="1"/>
    <s v="WH-B"/>
    <n v="188"/>
    <d v="2024-02-10T00:00:00"/>
    <n v="11"/>
    <n v="90567"/>
    <x v="0"/>
    <d v="2024-03-01T00:00:00"/>
    <n v="0.34540999999999999"/>
    <n v="70567"/>
    <x v="1"/>
    <n v="177340.33314"/>
    <s v="Paid"/>
    <d v="2024-05-10T00:00:00"/>
    <s v="Variable"/>
    <d v="2024-04-02T00:00:00"/>
    <s v="NO"/>
  </r>
  <r>
    <n v="10568"/>
    <n v="6716"/>
    <x v="0"/>
    <n v="46916.86"/>
    <n v="45"/>
    <x v="2"/>
    <x v="1"/>
    <n v="106156.84"/>
    <x v="2"/>
    <s v="WH-C"/>
    <n v="530"/>
    <d v="2024-04-15T00:00:00"/>
    <n v="11"/>
    <n v="90568"/>
    <x v="2"/>
    <d v="2024-05-18T00:00:00"/>
    <n v="0.27167999999999998"/>
    <n v="70568"/>
    <x v="0"/>
    <n v="107025.9479"/>
    <s v="pending"/>
    <d v="2024-04-10T00:00:00"/>
    <s v="Variable"/>
    <d v="2024-03-25T00:00:00"/>
    <s v="YES"/>
  </r>
  <r>
    <n v="10569"/>
    <n v="5682"/>
    <x v="1"/>
    <n v="61806"/>
    <n v="1"/>
    <x v="3"/>
    <x v="0"/>
    <n v="42648.63"/>
    <x v="1"/>
    <s v="WH-A"/>
    <n v="498"/>
    <d v="2024-02-10T00:00:00"/>
    <n v="6"/>
    <n v="90569"/>
    <x v="3"/>
    <d v="2024-04-01T00:00:00"/>
    <n v="0.89468000000000003"/>
    <n v="70569"/>
    <x v="1"/>
    <n v="82613.624100000001"/>
    <s v="pending"/>
    <d v="2024-06-01T00:00:00"/>
    <s v="Fixed"/>
    <d v="2024-03-25T00:00:00"/>
    <s v="YES"/>
  </r>
  <r>
    <n v="10570"/>
    <n v="5838"/>
    <x v="1"/>
    <n v="84350.56"/>
    <n v="40"/>
    <x v="0"/>
    <x v="0"/>
    <n v="64112.63"/>
    <x v="1"/>
    <s v="WH-C"/>
    <n v="1406"/>
    <d v="2024-03-10T00:00:00"/>
    <n v="13"/>
    <n v="90570"/>
    <x v="3"/>
    <d v="2024-05-18T00:00:00"/>
    <n v="0.73721000000000003"/>
    <n v="70570"/>
    <x v="1"/>
    <n v="211718.29639999999"/>
    <s v="Paid"/>
    <d v="2024-04-10T00:00:00"/>
    <s v="Fixed"/>
    <d v="2024-03-25T00:00:00"/>
    <s v="NO"/>
  </r>
  <r>
    <n v="10571"/>
    <n v="6807"/>
    <x v="1"/>
    <n v="55727.59"/>
    <n v="19"/>
    <x v="1"/>
    <x v="0"/>
    <n v="40899.99"/>
    <x v="0"/>
    <s v="WH-B"/>
    <n v="918"/>
    <d v="2024-03-10T00:00:00"/>
    <n v="1"/>
    <n v="90571"/>
    <x v="2"/>
    <d v="2024-05-18T00:00:00"/>
    <n v="0.88161999999999996"/>
    <n v="70571"/>
    <x v="1"/>
    <n v="76121.172999999995"/>
    <s v="Overdue"/>
    <d v="2024-04-10T00:00:00"/>
    <s v="Variable"/>
    <d v="2024-03-25T00:00:00"/>
    <s v="YES"/>
  </r>
  <r>
    <n v="10572"/>
    <n v="6078"/>
    <x v="0"/>
    <n v="47637.77"/>
    <n v="76"/>
    <x v="3"/>
    <x v="3"/>
    <n v="97572.63"/>
    <x v="2"/>
    <s v="WH-A"/>
    <n v="389"/>
    <d v="2024-03-10T00:00:00"/>
    <n v="5"/>
    <n v="90572"/>
    <x v="0"/>
    <d v="2024-05-18T00:00:00"/>
    <n v="0.44512000000000002"/>
    <n v="70572"/>
    <x v="1"/>
    <n v="74045.200150000004"/>
    <s v="Paid"/>
    <d v="2024-06-01T00:00:00"/>
    <s v="Variable"/>
    <d v="2024-04-02T00:00:00"/>
    <s v="NO"/>
  </r>
  <r>
    <n v="10573"/>
    <n v="6003"/>
    <x v="1"/>
    <n v="90561.5"/>
    <n v="72"/>
    <x v="0"/>
    <x v="3"/>
    <n v="76862.720000000001"/>
    <x v="2"/>
    <s v="WH-C"/>
    <n v="1125"/>
    <d v="2024-04-15T00:00:00"/>
    <n v="12"/>
    <n v="90573"/>
    <x v="1"/>
    <d v="2024-05-18T00:00:00"/>
    <n v="0.38207000000000002"/>
    <n v="70573"/>
    <x v="1"/>
    <n v="82134.254140000005"/>
    <s v="Paid"/>
    <d v="2024-05-10T00:00:00"/>
    <s v="Variable"/>
    <d v="2024-03-25T00:00:00"/>
    <s v="YES"/>
  </r>
  <r>
    <n v="10574"/>
    <n v="5444"/>
    <x v="0"/>
    <n v="38400.230000000003"/>
    <n v="72"/>
    <x v="1"/>
    <x v="2"/>
    <n v="44020.15"/>
    <x v="0"/>
    <s v="WH-B"/>
    <n v="515"/>
    <d v="2024-03-10T00:00:00"/>
    <n v="6"/>
    <n v="90574"/>
    <x v="2"/>
    <d v="2024-05-18T00:00:00"/>
    <n v="0.44252999999999998"/>
    <n v="70574"/>
    <x v="0"/>
    <n v="189311.573"/>
    <s v="Paid"/>
    <d v="2024-04-10T00:00:00"/>
    <s v="Fixed"/>
    <d v="2024-03-25T00:00:00"/>
    <s v="YES"/>
  </r>
  <r>
    <n v="10575"/>
    <n v="5613"/>
    <x v="0"/>
    <n v="37834.31"/>
    <n v="61"/>
    <x v="1"/>
    <x v="1"/>
    <n v="140413.62"/>
    <x v="1"/>
    <s v="WH-A"/>
    <n v="767"/>
    <d v="2024-02-10T00:00:00"/>
    <n v="8"/>
    <n v="90575"/>
    <x v="3"/>
    <d v="2024-03-01T00:00:00"/>
    <n v="0.11669"/>
    <n v="70575"/>
    <x v="1"/>
    <n v="149932.3468"/>
    <s v="pending"/>
    <d v="2024-05-10T00:00:00"/>
    <s v="Fixed"/>
    <d v="2024-03-25T00:00:00"/>
    <s v="NO"/>
  </r>
  <r>
    <n v="10576"/>
    <n v="5993"/>
    <x v="1"/>
    <n v="63163.79"/>
    <n v="12"/>
    <x v="3"/>
    <x v="3"/>
    <n v="87887.55"/>
    <x v="1"/>
    <s v="WH-C"/>
    <n v="848"/>
    <d v="2024-03-10T00:00:00"/>
    <n v="13"/>
    <n v="90576"/>
    <x v="3"/>
    <d v="2024-03-01T00:00:00"/>
    <n v="0.75222999999999995"/>
    <n v="70576"/>
    <x v="2"/>
    <n v="51464.110959999998"/>
    <s v="pending"/>
    <d v="2024-05-10T00:00:00"/>
    <s v="Fixed"/>
    <d v="2024-03-25T00:00:00"/>
    <s v="YES"/>
  </r>
  <r>
    <n v="10577"/>
    <n v="5264"/>
    <x v="1"/>
    <n v="22886.84"/>
    <n v="61"/>
    <x v="1"/>
    <x v="0"/>
    <n v="46271.62"/>
    <x v="1"/>
    <s v="WH-B"/>
    <n v="524"/>
    <d v="2024-03-10T00:00:00"/>
    <n v="1"/>
    <n v="90577"/>
    <x v="2"/>
    <d v="2024-03-01T00:00:00"/>
    <n v="0.4148"/>
    <n v="70577"/>
    <x v="1"/>
    <n v="123634.18253000001"/>
    <s v="Paid"/>
    <d v="2024-06-01T00:00:00"/>
    <s v="Fixed"/>
    <d v="2024-03-25T00:00:00"/>
    <s v="YES"/>
  </r>
  <r>
    <n v="10578"/>
    <n v="6077"/>
    <x v="1"/>
    <n v="59916.04"/>
    <n v="33"/>
    <x v="3"/>
    <x v="3"/>
    <n v="117963.97"/>
    <x v="0"/>
    <s v="WH-C"/>
    <n v="450"/>
    <d v="2024-04-15T00:00:00"/>
    <n v="5"/>
    <n v="90578"/>
    <x v="2"/>
    <d v="2024-04-01T00:00:00"/>
    <n v="0.38199"/>
    <n v="70578"/>
    <x v="2"/>
    <n v="89819.139049999998"/>
    <s v="Paid"/>
    <d v="2024-06-01T00:00:00"/>
    <s v="Fixed"/>
    <d v="2024-04-02T00:00:00"/>
    <s v="NO"/>
  </r>
  <r>
    <n v="10579"/>
    <n v="6596"/>
    <x v="1"/>
    <n v="12805.76"/>
    <n v="45"/>
    <x v="1"/>
    <x v="1"/>
    <n v="73802.42"/>
    <x v="2"/>
    <s v="WH-C"/>
    <n v="654"/>
    <d v="2024-02-10T00:00:00"/>
    <n v="3"/>
    <n v="90579"/>
    <x v="2"/>
    <d v="2024-03-01T00:00:00"/>
    <n v="0.63832999999999995"/>
    <n v="70579"/>
    <x v="2"/>
    <n v="214091.76550000001"/>
    <s v="Overdue"/>
    <d v="2024-06-01T00:00:00"/>
    <s v="Variable"/>
    <d v="2024-03-25T00:00:00"/>
    <s v="YES"/>
  </r>
  <r>
    <n v="10580"/>
    <n v="6004"/>
    <x v="1"/>
    <n v="28218.94"/>
    <n v="90"/>
    <x v="2"/>
    <x v="3"/>
    <n v="95764.27"/>
    <x v="1"/>
    <s v="WH-A"/>
    <n v="981"/>
    <d v="2024-04-15T00:00:00"/>
    <n v="2"/>
    <n v="90580"/>
    <x v="1"/>
    <d v="2024-03-01T00:00:00"/>
    <n v="0.49262"/>
    <n v="70580"/>
    <x v="1"/>
    <n v="174467.56518999999"/>
    <s v="pending"/>
    <d v="2024-05-10T00:00:00"/>
    <s v="Variable"/>
    <d v="2024-03-25T00:00:00"/>
    <s v="NO"/>
  </r>
  <r>
    <n v="10581"/>
    <n v="6644"/>
    <x v="1"/>
    <n v="39283.019999999997"/>
    <n v="92"/>
    <x v="0"/>
    <x v="0"/>
    <n v="81162.75"/>
    <x v="2"/>
    <s v="WH-A"/>
    <n v="1046"/>
    <d v="2024-04-15T00:00:00"/>
    <n v="11"/>
    <n v="90581"/>
    <x v="3"/>
    <d v="2024-04-01T00:00:00"/>
    <n v="0.98275999999999997"/>
    <n v="70581"/>
    <x v="2"/>
    <n v="194006.26800000001"/>
    <s v="pending"/>
    <d v="2024-05-10T00:00:00"/>
    <s v="Fixed"/>
    <d v="2024-03-25T00:00:00"/>
    <s v="YES"/>
  </r>
  <r>
    <n v="10582"/>
    <n v="5005"/>
    <x v="1"/>
    <n v="53124.62"/>
    <n v="69"/>
    <x v="2"/>
    <x v="2"/>
    <n v="130383.76"/>
    <x v="0"/>
    <s v="WH-B"/>
    <n v="971"/>
    <d v="2024-02-10T00:00:00"/>
    <n v="8"/>
    <n v="90582"/>
    <x v="3"/>
    <d v="2024-03-01T00:00:00"/>
    <n v="0.42063"/>
    <n v="70582"/>
    <x v="2"/>
    <n v="204952.595"/>
    <s v="pending"/>
    <d v="2024-04-10T00:00:00"/>
    <s v="Variable"/>
    <d v="2024-04-02T00:00:00"/>
    <s v="YES"/>
  </r>
  <r>
    <n v="10583"/>
    <n v="6127"/>
    <x v="1"/>
    <n v="19475.96"/>
    <n v="8"/>
    <x v="3"/>
    <x v="0"/>
    <n v="140480.67000000001"/>
    <x v="1"/>
    <s v="WH-A"/>
    <n v="870"/>
    <d v="2024-04-15T00:00:00"/>
    <n v="7"/>
    <n v="90583"/>
    <x v="3"/>
    <d v="2024-05-18T00:00:00"/>
    <n v="0.65251000000000003"/>
    <n v="70583"/>
    <x v="0"/>
    <n v="202795.2163"/>
    <s v="pending"/>
    <d v="2024-05-10T00:00:00"/>
    <s v="Variable"/>
    <d v="2024-03-25T00:00:00"/>
    <s v="YES"/>
  </r>
  <r>
    <n v="10584"/>
    <n v="6220"/>
    <x v="1"/>
    <n v="10422.25"/>
    <n v="25"/>
    <x v="2"/>
    <x v="1"/>
    <n v="69703.41"/>
    <x v="1"/>
    <s v="WH-B"/>
    <n v="706"/>
    <d v="2024-02-10T00:00:00"/>
    <n v="10"/>
    <n v="90584"/>
    <x v="1"/>
    <d v="2024-03-01T00:00:00"/>
    <n v="0.38048999999999999"/>
    <n v="70584"/>
    <x v="2"/>
    <n v="87696.434500000003"/>
    <s v="Paid"/>
    <d v="2024-06-01T00:00:00"/>
    <s v="Variable"/>
    <d v="2024-04-02T00:00:00"/>
    <s v="YES"/>
  </r>
  <r>
    <n v="10585"/>
    <n v="5774"/>
    <x v="1"/>
    <n v="57373.31"/>
    <n v="91"/>
    <x v="3"/>
    <x v="2"/>
    <n v="102702.08"/>
    <x v="2"/>
    <s v="WH-C"/>
    <n v="647"/>
    <d v="2024-03-10T00:00:00"/>
    <n v="7"/>
    <n v="90585"/>
    <x v="0"/>
    <d v="2024-03-01T00:00:00"/>
    <n v="0.99153999999999998"/>
    <n v="70585"/>
    <x v="1"/>
    <n v="181044.48980000001"/>
    <s v="Paid"/>
    <d v="2024-06-01T00:00:00"/>
    <s v="Variable"/>
    <d v="2024-04-02T00:00:00"/>
    <s v="YES"/>
  </r>
  <r>
    <n v="10586"/>
    <n v="5877"/>
    <x v="0"/>
    <n v="9914.02"/>
    <n v="46"/>
    <x v="1"/>
    <x v="3"/>
    <n v="147115.25"/>
    <x v="2"/>
    <s v="WH-C"/>
    <n v="1226"/>
    <d v="2024-02-10T00:00:00"/>
    <n v="5"/>
    <n v="90586"/>
    <x v="3"/>
    <d v="2024-03-01T00:00:00"/>
    <n v="0.50060000000000004"/>
    <n v="70586"/>
    <x v="2"/>
    <n v="165098.79749999999"/>
    <s v="Overdue"/>
    <d v="2024-06-01T00:00:00"/>
    <s v="Variable"/>
    <d v="2024-03-25T00:00:00"/>
    <s v="YES"/>
  </r>
  <r>
    <n v="10587"/>
    <n v="5992"/>
    <x v="0"/>
    <n v="53659.98"/>
    <n v="87"/>
    <x v="1"/>
    <x v="3"/>
    <n v="111781.71"/>
    <x v="2"/>
    <s v="WH-B"/>
    <n v="563"/>
    <d v="2024-02-10T00:00:00"/>
    <n v="12"/>
    <n v="90587"/>
    <x v="3"/>
    <d v="2024-05-18T00:00:00"/>
    <n v="0.67071999999999998"/>
    <n v="70587"/>
    <x v="1"/>
    <n v="188383.4184"/>
    <s v="pending"/>
    <d v="2024-06-01T00:00:00"/>
    <s v="Fixed"/>
    <d v="2024-04-02T00:00:00"/>
    <s v="YES"/>
  </r>
  <r>
    <n v="10588"/>
    <n v="5884"/>
    <x v="0"/>
    <n v="79343.87"/>
    <n v="30"/>
    <x v="3"/>
    <x v="3"/>
    <n v="92313.64"/>
    <x v="1"/>
    <s v="WH-C"/>
    <n v="1079"/>
    <d v="2024-02-10T00:00:00"/>
    <n v="13"/>
    <n v="90588"/>
    <x v="0"/>
    <d v="2024-05-18T00:00:00"/>
    <n v="0.21404999999999999"/>
    <n v="70588"/>
    <x v="1"/>
    <n v="179061.9522"/>
    <s v="pending"/>
    <d v="2024-05-10T00:00:00"/>
    <s v="Variable"/>
    <d v="2024-03-25T00:00:00"/>
    <s v="NO"/>
  </r>
  <r>
    <n v="10589"/>
    <n v="6374"/>
    <x v="1"/>
    <n v="9551.8799999999992"/>
    <n v="47"/>
    <x v="2"/>
    <x v="2"/>
    <n v="112230.47"/>
    <x v="1"/>
    <s v="WH-A"/>
    <n v="549"/>
    <d v="2024-04-15T00:00:00"/>
    <n v="9"/>
    <n v="90589"/>
    <x v="1"/>
    <d v="2024-05-18T00:00:00"/>
    <n v="0.75971999999999995"/>
    <n v="70589"/>
    <x v="2"/>
    <n v="170518.89600000001"/>
    <s v="Paid"/>
    <d v="2024-06-01T00:00:00"/>
    <s v="Fixed"/>
    <d v="2024-03-25T00:00:00"/>
    <s v="YES"/>
  </r>
  <r>
    <n v="10590"/>
    <n v="5047"/>
    <x v="1"/>
    <n v="60017.96"/>
    <n v="87"/>
    <x v="1"/>
    <x v="0"/>
    <n v="85583.47"/>
    <x v="1"/>
    <s v="WH-C"/>
    <n v="766"/>
    <d v="2024-02-10T00:00:00"/>
    <n v="5"/>
    <n v="90590"/>
    <x v="0"/>
    <d v="2024-05-18T00:00:00"/>
    <n v="0.34228999999999998"/>
    <n v="70590"/>
    <x v="2"/>
    <n v="110678.8395"/>
    <s v="Overdue"/>
    <d v="2024-04-10T00:00:00"/>
    <s v="Variable"/>
    <d v="2024-03-25T00:00:00"/>
    <s v="NO"/>
  </r>
  <r>
    <n v="10591"/>
    <n v="5867"/>
    <x v="1"/>
    <n v="10496.38"/>
    <n v="49"/>
    <x v="0"/>
    <x v="2"/>
    <n v="166561.13"/>
    <x v="1"/>
    <s v="WH-A"/>
    <n v="1191"/>
    <d v="2024-02-10T00:00:00"/>
    <n v="2"/>
    <n v="90591"/>
    <x v="0"/>
    <d v="2024-04-01T00:00:00"/>
    <n v="0.50375000000000003"/>
    <n v="70591"/>
    <x v="2"/>
    <n v="89679.520329999999"/>
    <s v="Paid"/>
    <d v="2024-05-10T00:00:00"/>
    <s v="Variable"/>
    <d v="2024-03-25T00:00:00"/>
    <s v="YES"/>
  </r>
  <r>
    <n v="10592"/>
    <n v="5823"/>
    <x v="1"/>
    <n v="38910.699999999997"/>
    <n v="47"/>
    <x v="1"/>
    <x v="2"/>
    <n v="100915.3"/>
    <x v="1"/>
    <s v="WH-B"/>
    <n v="650"/>
    <d v="2024-02-10T00:00:00"/>
    <n v="3"/>
    <n v="90592"/>
    <x v="0"/>
    <d v="2024-05-18T00:00:00"/>
    <n v="0.89481999999999995"/>
    <n v="70592"/>
    <x v="1"/>
    <n v="189120.4313"/>
    <s v="pending"/>
    <d v="2024-06-01T00:00:00"/>
    <s v="Variable"/>
    <d v="2024-03-25T00:00:00"/>
    <s v="YES"/>
  </r>
  <r>
    <n v="10593"/>
    <n v="5936"/>
    <x v="0"/>
    <n v="67217.16"/>
    <n v="84"/>
    <x v="0"/>
    <x v="1"/>
    <n v="22146.21"/>
    <x v="0"/>
    <s v="WH-B"/>
    <n v="715"/>
    <d v="2024-03-10T00:00:00"/>
    <n v="4"/>
    <n v="90593"/>
    <x v="0"/>
    <d v="2024-05-18T00:00:00"/>
    <n v="0.97350000000000003"/>
    <n v="70593"/>
    <x v="0"/>
    <n v="171874.54493999999"/>
    <s v="pending"/>
    <d v="2024-04-10T00:00:00"/>
    <s v="Fixed"/>
    <d v="2024-03-25T00:00:00"/>
    <s v="YES"/>
  </r>
  <r>
    <n v="10594"/>
    <n v="6844"/>
    <x v="1"/>
    <n v="34048.89"/>
    <n v="82"/>
    <x v="2"/>
    <x v="2"/>
    <n v="48856.43"/>
    <x v="0"/>
    <s v="WH-C"/>
    <n v="517"/>
    <d v="2024-02-10T00:00:00"/>
    <n v="5"/>
    <n v="90594"/>
    <x v="1"/>
    <d v="2024-05-18T00:00:00"/>
    <n v="0.48210999999999998"/>
    <n v="70594"/>
    <x v="2"/>
    <n v="121159.3711"/>
    <s v="Overdue"/>
    <d v="2024-06-01T00:00:00"/>
    <s v="Variable"/>
    <d v="2024-04-02T00:00:00"/>
    <s v="YES"/>
  </r>
  <r>
    <n v="10595"/>
    <n v="5656"/>
    <x v="1"/>
    <n v="51108.72"/>
    <n v="18"/>
    <x v="0"/>
    <x v="3"/>
    <n v="48997.01"/>
    <x v="0"/>
    <s v="WH-C"/>
    <n v="210"/>
    <d v="2024-04-15T00:00:00"/>
    <n v="13"/>
    <n v="90595"/>
    <x v="1"/>
    <d v="2024-05-18T00:00:00"/>
    <n v="0.85131999999999997"/>
    <n v="70595"/>
    <x v="1"/>
    <n v="189137.15239999999"/>
    <s v="Paid"/>
    <d v="2024-05-10T00:00:00"/>
    <s v="Variable"/>
    <d v="2024-03-25T00:00:00"/>
    <s v="YES"/>
  </r>
  <r>
    <n v="10596"/>
    <n v="5269"/>
    <x v="1"/>
    <n v="64823.839999999997"/>
    <n v="66"/>
    <x v="0"/>
    <x v="0"/>
    <n v="143850.46"/>
    <x v="1"/>
    <s v="WH-A"/>
    <n v="319"/>
    <d v="2024-02-10T00:00:00"/>
    <n v="3"/>
    <n v="90596"/>
    <x v="0"/>
    <d v="2024-04-01T00:00:00"/>
    <n v="0.14801"/>
    <n v="70596"/>
    <x v="0"/>
    <n v="155443.61314"/>
    <s v="pending"/>
    <d v="2024-05-10T00:00:00"/>
    <s v="Variable"/>
    <d v="2024-04-02T00:00:00"/>
    <s v="NO"/>
  </r>
  <r>
    <n v="10597"/>
    <n v="5370"/>
    <x v="1"/>
    <n v="47725.79"/>
    <n v="68"/>
    <x v="0"/>
    <x v="0"/>
    <n v="148872.28"/>
    <x v="1"/>
    <s v="WH-A"/>
    <n v="1129"/>
    <d v="2024-02-10T00:00:00"/>
    <n v="12"/>
    <n v="90597"/>
    <x v="2"/>
    <d v="2024-03-01T00:00:00"/>
    <n v="0.86282000000000003"/>
    <n v="70597"/>
    <x v="0"/>
    <n v="183597.698"/>
    <s v="pending"/>
    <d v="2024-04-10T00:00:00"/>
    <s v="Variable"/>
    <d v="2024-04-02T00:00:00"/>
    <s v="NO"/>
  </r>
  <r>
    <n v="10598"/>
    <n v="5636"/>
    <x v="1"/>
    <n v="67724.509999999995"/>
    <n v="94"/>
    <x v="0"/>
    <x v="0"/>
    <n v="46445.75"/>
    <x v="1"/>
    <s v="WH-C"/>
    <n v="277"/>
    <d v="2024-03-10T00:00:00"/>
    <n v="14"/>
    <n v="90598"/>
    <x v="2"/>
    <d v="2024-03-01T00:00:00"/>
    <n v="0.66656000000000004"/>
    <n v="70598"/>
    <x v="0"/>
    <n v="99474.644629999995"/>
    <s v="Overdue"/>
    <d v="2024-05-10T00:00:00"/>
    <s v="Variable"/>
    <d v="2024-03-25T00:00:00"/>
    <s v="NO"/>
  </r>
  <r>
    <n v="10599"/>
    <n v="6130"/>
    <x v="1"/>
    <n v="30361.38"/>
    <n v="33"/>
    <x v="1"/>
    <x v="3"/>
    <n v="65940.850000000006"/>
    <x v="0"/>
    <s v="WH-C"/>
    <n v="898"/>
    <d v="2024-02-10T00:00:00"/>
    <n v="7"/>
    <n v="90599"/>
    <x v="2"/>
    <d v="2024-05-18T00:00:00"/>
    <n v="0.53983999999999999"/>
    <n v="70599"/>
    <x v="2"/>
    <n v="153155.06469999999"/>
    <s v="pending"/>
    <d v="2024-04-10T00:00:00"/>
    <s v="Fixed"/>
    <d v="2024-03-25T00:00:00"/>
    <s v="YES"/>
  </r>
  <r>
    <n v="10600"/>
    <n v="6694"/>
    <x v="0"/>
    <n v="53445.37"/>
    <n v="36"/>
    <x v="0"/>
    <x v="3"/>
    <n v="69811.100000000006"/>
    <x v="1"/>
    <s v="WH-B"/>
    <n v="198"/>
    <d v="2024-04-15T00:00:00"/>
    <n v="5"/>
    <n v="90600"/>
    <x v="2"/>
    <d v="2024-05-18T00:00:00"/>
    <n v="0.90097000000000005"/>
    <n v="70600"/>
    <x v="1"/>
    <n v="65325.417999999998"/>
    <s v="pending"/>
    <d v="2024-06-01T00:00:00"/>
    <s v="Variable"/>
    <d v="2024-03-25T00:00:00"/>
    <s v="YES"/>
  </r>
  <r>
    <n v="10601"/>
    <n v="6683"/>
    <x v="1"/>
    <n v="20441.79"/>
    <n v="82"/>
    <x v="1"/>
    <x v="3"/>
    <n v="143440.12"/>
    <x v="1"/>
    <s v="WH-B"/>
    <n v="1119"/>
    <d v="2024-02-10T00:00:00"/>
    <n v="5"/>
    <n v="90601"/>
    <x v="3"/>
    <d v="2024-05-18T00:00:00"/>
    <n v="0.86080000000000001"/>
    <n v="70601"/>
    <x v="1"/>
    <n v="191309.7243"/>
    <s v="Paid"/>
    <d v="2024-05-10T00:00:00"/>
    <s v="Variable"/>
    <d v="2024-04-02T00:00:00"/>
    <s v="YES"/>
  </r>
  <r>
    <n v="10602"/>
    <n v="5657"/>
    <x v="1"/>
    <n v="46579.63"/>
    <n v="19"/>
    <x v="0"/>
    <x v="3"/>
    <n v="76494.05"/>
    <x v="2"/>
    <s v="WH-B"/>
    <n v="1217"/>
    <d v="2024-04-15T00:00:00"/>
    <n v="6"/>
    <n v="90602"/>
    <x v="1"/>
    <d v="2024-03-01T00:00:00"/>
    <n v="0.36725000000000002"/>
    <n v="70602"/>
    <x v="2"/>
    <n v="102616.46795999999"/>
    <s v="Overdue"/>
    <d v="2024-06-01T00:00:00"/>
    <s v="Fixed"/>
    <d v="2024-04-02T00:00:00"/>
    <s v="YES"/>
  </r>
  <r>
    <n v="10603"/>
    <n v="5120"/>
    <x v="1"/>
    <n v="70198.63"/>
    <n v="28"/>
    <x v="3"/>
    <x v="3"/>
    <n v="157688.22"/>
    <x v="1"/>
    <s v="WH-C"/>
    <n v="681"/>
    <d v="2024-03-10T00:00:00"/>
    <n v="7"/>
    <n v="90603"/>
    <x v="1"/>
    <d v="2024-03-01T00:00:00"/>
    <n v="0.81233999999999995"/>
    <n v="70603"/>
    <x v="1"/>
    <n v="196090.19127000001"/>
    <s v="Overdue"/>
    <d v="2024-06-01T00:00:00"/>
    <s v="Variable"/>
    <d v="2024-03-25T00:00:00"/>
    <s v="YES"/>
  </r>
  <r>
    <n v="10604"/>
    <n v="5831"/>
    <x v="1"/>
    <n v="48231.17"/>
    <n v="40"/>
    <x v="2"/>
    <x v="2"/>
    <n v="91438.28"/>
    <x v="2"/>
    <s v="WH-C"/>
    <n v="1413"/>
    <d v="2024-02-10T00:00:00"/>
    <n v="10"/>
    <n v="90604"/>
    <x v="0"/>
    <d v="2024-05-18T00:00:00"/>
    <n v="0.18953999999999999"/>
    <n v="70604"/>
    <x v="1"/>
    <n v="164084.41857000001"/>
    <s v="Overdue"/>
    <d v="2024-05-10T00:00:00"/>
    <s v="Variable"/>
    <d v="2024-04-02T00:00:00"/>
    <s v="YES"/>
  </r>
  <r>
    <n v="10605"/>
    <n v="6811"/>
    <x v="1"/>
    <n v="92210.55"/>
    <n v="84"/>
    <x v="0"/>
    <x v="3"/>
    <n v="134599.70000000001"/>
    <x v="1"/>
    <s v="WH-C"/>
    <n v="462"/>
    <d v="2024-03-10T00:00:00"/>
    <n v="10"/>
    <n v="90605"/>
    <x v="3"/>
    <d v="2024-03-01T00:00:00"/>
    <n v="0.84048999999999996"/>
    <n v="70605"/>
    <x v="1"/>
    <n v="129116.624"/>
    <s v="Paid"/>
    <d v="2024-06-01T00:00:00"/>
    <s v="Variable"/>
    <d v="2024-04-02T00:00:00"/>
    <s v="YES"/>
  </r>
  <r>
    <n v="10606"/>
    <n v="6628"/>
    <x v="1"/>
    <n v="60619.05"/>
    <n v="97"/>
    <x v="3"/>
    <x v="3"/>
    <n v="101491.36"/>
    <x v="1"/>
    <s v="WH-B"/>
    <n v="569"/>
    <d v="2024-02-10T00:00:00"/>
    <n v="8"/>
    <n v="90606"/>
    <x v="0"/>
    <d v="2024-04-01T00:00:00"/>
    <n v="0.70791000000000004"/>
    <n v="70606"/>
    <x v="2"/>
    <n v="90812.288499999995"/>
    <s v="Overdue"/>
    <d v="2024-04-10T00:00:00"/>
    <s v="Variable"/>
    <d v="2024-03-25T00:00:00"/>
    <s v="YES"/>
  </r>
  <r>
    <n v="10607"/>
    <n v="6082"/>
    <x v="1"/>
    <n v="84896.49"/>
    <n v="76"/>
    <x v="0"/>
    <x v="3"/>
    <n v="39542.839999999997"/>
    <x v="0"/>
    <s v="WH-C"/>
    <n v="1417"/>
    <d v="2024-04-15T00:00:00"/>
    <n v="9"/>
    <n v="90607"/>
    <x v="0"/>
    <d v="2024-05-18T00:00:00"/>
    <n v="0.17907999999999999"/>
    <n v="70607"/>
    <x v="1"/>
    <n v="129602.10324"/>
    <s v="pending"/>
    <d v="2024-04-10T00:00:00"/>
    <s v="Fixed"/>
    <d v="2024-03-25T00:00:00"/>
    <s v="NO"/>
  </r>
  <r>
    <n v="10608"/>
    <n v="6975"/>
    <x v="1"/>
    <n v="35822.43"/>
    <n v="15"/>
    <x v="0"/>
    <x v="3"/>
    <n v="134920.99"/>
    <x v="2"/>
    <s v="WH-A"/>
    <n v="436"/>
    <d v="2024-03-10T00:00:00"/>
    <n v="11"/>
    <n v="90608"/>
    <x v="1"/>
    <d v="2024-05-18T00:00:00"/>
    <n v="0.71477000000000002"/>
    <n v="70608"/>
    <x v="2"/>
    <n v="164100.33348"/>
    <s v="Overdue"/>
    <d v="2024-04-10T00:00:00"/>
    <s v="Fixed"/>
    <d v="2024-03-25T00:00:00"/>
    <s v="YES"/>
  </r>
  <r>
    <n v="10609"/>
    <n v="6370"/>
    <x v="1"/>
    <n v="99298.87"/>
    <n v="41"/>
    <x v="0"/>
    <x v="0"/>
    <n v="27854.31"/>
    <x v="0"/>
    <s v="WH-C"/>
    <n v="324"/>
    <d v="2024-02-10T00:00:00"/>
    <n v="4"/>
    <n v="90609"/>
    <x v="3"/>
    <d v="2024-04-01T00:00:00"/>
    <n v="0.62246999999999997"/>
    <n v="70609"/>
    <x v="1"/>
    <n v="156191.2513"/>
    <s v="pending"/>
    <d v="2024-05-10T00:00:00"/>
    <s v="Variable"/>
    <d v="2024-03-25T00:00:00"/>
    <s v="YES"/>
  </r>
  <r>
    <n v="10610"/>
    <n v="5741"/>
    <x v="1"/>
    <n v="18457.2"/>
    <n v="39"/>
    <x v="3"/>
    <x v="3"/>
    <n v="98326.76"/>
    <x v="2"/>
    <s v="WH-C"/>
    <n v="402"/>
    <d v="2024-04-15T00:00:00"/>
    <n v="5"/>
    <n v="90610"/>
    <x v="2"/>
    <d v="2024-04-01T00:00:00"/>
    <n v="0.6351"/>
    <n v="70610"/>
    <x v="0"/>
    <n v="218044.86610000001"/>
    <s v="Overdue"/>
    <d v="2024-06-01T00:00:00"/>
    <s v="Variable"/>
    <d v="2024-03-25T00:00:00"/>
    <s v="NO"/>
  </r>
  <r>
    <n v="10611"/>
    <n v="6498"/>
    <x v="0"/>
    <n v="17172.53"/>
    <n v="2"/>
    <x v="2"/>
    <x v="2"/>
    <n v="86345.22"/>
    <x v="2"/>
    <s v="WH-C"/>
    <n v="1139"/>
    <d v="2024-03-10T00:00:00"/>
    <n v="5"/>
    <n v="90611"/>
    <x v="1"/>
    <d v="2024-03-01T00:00:00"/>
    <n v="0.36177999999999999"/>
    <n v="70611"/>
    <x v="2"/>
    <n v="202567.0759"/>
    <s v="Overdue"/>
    <d v="2024-06-01T00:00:00"/>
    <s v="Fixed"/>
    <d v="2024-04-02T00:00:00"/>
    <s v="YES"/>
  </r>
  <r>
    <n v="10612"/>
    <n v="5117"/>
    <x v="0"/>
    <n v="39502.6"/>
    <n v="63"/>
    <x v="3"/>
    <x v="2"/>
    <n v="66516.899999999994"/>
    <x v="2"/>
    <s v="WH-C"/>
    <n v="1152"/>
    <d v="2024-02-10T00:00:00"/>
    <n v="8"/>
    <n v="90612"/>
    <x v="3"/>
    <d v="2024-04-01T00:00:00"/>
    <n v="0.33984999999999999"/>
    <n v="70612"/>
    <x v="1"/>
    <n v="179472.43040000001"/>
    <s v="Paid"/>
    <d v="2024-06-01T00:00:00"/>
    <s v="Fixed"/>
    <d v="2024-04-02T00:00:00"/>
    <s v="NO"/>
  </r>
  <r>
    <n v="10613"/>
    <n v="6854"/>
    <x v="1"/>
    <n v="57204.800000000003"/>
    <n v="29"/>
    <x v="2"/>
    <x v="2"/>
    <n v="71406.78"/>
    <x v="1"/>
    <s v="WH-C"/>
    <n v="647"/>
    <d v="2024-03-10T00:00:00"/>
    <n v="9"/>
    <n v="90613"/>
    <x v="3"/>
    <d v="2024-05-18T00:00:00"/>
    <n v="0.78627999999999998"/>
    <n v="70613"/>
    <x v="0"/>
    <n v="152342.36444"/>
    <s v="Overdue"/>
    <d v="2024-06-01T00:00:00"/>
    <s v="Variable"/>
    <d v="2024-03-25T00:00:00"/>
    <s v="YES"/>
  </r>
  <r>
    <n v="10614"/>
    <n v="5791"/>
    <x v="1"/>
    <n v="9414.5"/>
    <n v="74"/>
    <x v="0"/>
    <x v="1"/>
    <n v="81768.87"/>
    <x v="1"/>
    <s v="WH-A"/>
    <n v="1275"/>
    <d v="2024-02-10T00:00:00"/>
    <n v="7"/>
    <n v="90614"/>
    <x v="1"/>
    <d v="2024-03-01T00:00:00"/>
    <n v="0.33112999999999998"/>
    <n v="70614"/>
    <x v="0"/>
    <n v="95568.611690000005"/>
    <s v="Overdue"/>
    <d v="2024-04-10T00:00:00"/>
    <s v="Variable"/>
    <d v="2024-04-02T00:00:00"/>
    <s v="NO"/>
  </r>
  <r>
    <n v="10615"/>
    <n v="6151"/>
    <x v="1"/>
    <n v="73000.179999999993"/>
    <n v="66"/>
    <x v="1"/>
    <x v="0"/>
    <n v="110261.22"/>
    <x v="2"/>
    <s v="WH-A"/>
    <n v="607"/>
    <d v="2024-04-15T00:00:00"/>
    <n v="5"/>
    <n v="90615"/>
    <x v="1"/>
    <d v="2024-04-01T00:00:00"/>
    <n v="0.50163999999999997"/>
    <n v="70615"/>
    <x v="2"/>
    <n v="137498.15689000001"/>
    <s v="Paid"/>
    <d v="2024-05-10T00:00:00"/>
    <s v="Fixed"/>
    <d v="2024-03-25T00:00:00"/>
    <s v="NO"/>
  </r>
  <r>
    <n v="10616"/>
    <n v="6417"/>
    <x v="1"/>
    <n v="54352.52"/>
    <n v="51"/>
    <x v="0"/>
    <x v="3"/>
    <n v="176587.19"/>
    <x v="1"/>
    <s v="WH-C"/>
    <n v="162"/>
    <d v="2024-04-15T00:00:00"/>
    <n v="3"/>
    <n v="90616"/>
    <x v="0"/>
    <d v="2024-03-01T00:00:00"/>
    <n v="0.72531000000000001"/>
    <n v="70616"/>
    <x v="1"/>
    <n v="65316.203200000004"/>
    <s v="pending"/>
    <d v="2024-04-10T00:00:00"/>
    <s v="Variable"/>
    <d v="2024-03-25T00:00:00"/>
    <s v="YES"/>
  </r>
  <r>
    <n v="10617"/>
    <n v="6932"/>
    <x v="0"/>
    <n v="36915.129999999997"/>
    <n v="75"/>
    <x v="2"/>
    <x v="1"/>
    <n v="98995.18"/>
    <x v="2"/>
    <s v="WH-B"/>
    <n v="1164"/>
    <d v="2024-03-10T00:00:00"/>
    <n v="1"/>
    <n v="90617"/>
    <x v="0"/>
    <d v="2024-03-01T00:00:00"/>
    <n v="0.17165"/>
    <n v="70617"/>
    <x v="0"/>
    <n v="82815.766080000001"/>
    <s v="Overdue"/>
    <d v="2024-04-10T00:00:00"/>
    <s v="Fixed"/>
    <d v="2024-03-25T00:00:00"/>
    <s v="YES"/>
  </r>
  <r>
    <n v="10618"/>
    <n v="6013"/>
    <x v="1"/>
    <n v="47579.59"/>
    <n v="77"/>
    <x v="3"/>
    <x v="3"/>
    <n v="152960.66"/>
    <x v="1"/>
    <s v="WH-C"/>
    <n v="190"/>
    <d v="2024-03-10T00:00:00"/>
    <n v="11"/>
    <n v="90618"/>
    <x v="0"/>
    <d v="2024-03-01T00:00:00"/>
    <n v="0.63509000000000004"/>
    <n v="70618"/>
    <x v="2"/>
    <n v="161227.69054000001"/>
    <s v="Overdue"/>
    <d v="2024-05-10T00:00:00"/>
    <s v="Variable"/>
    <d v="2024-04-02T00:00:00"/>
    <s v="YES"/>
  </r>
  <r>
    <n v="10619"/>
    <n v="6665"/>
    <x v="0"/>
    <n v="95850.67"/>
    <n v="10"/>
    <x v="0"/>
    <x v="1"/>
    <n v="76191.62"/>
    <x v="2"/>
    <s v="WH-C"/>
    <n v="1362"/>
    <d v="2024-02-10T00:00:00"/>
    <n v="9"/>
    <n v="90619"/>
    <x v="2"/>
    <d v="2024-03-01T00:00:00"/>
    <n v="0.63044"/>
    <n v="70619"/>
    <x v="0"/>
    <n v="155515.02775000001"/>
    <s v="pending"/>
    <d v="2024-05-10T00:00:00"/>
    <s v="Variable"/>
    <d v="2024-04-02T00:00:00"/>
    <s v="YES"/>
  </r>
  <r>
    <n v="10620"/>
    <n v="6082"/>
    <x v="1"/>
    <n v="55355.23"/>
    <n v="14"/>
    <x v="3"/>
    <x v="1"/>
    <n v="84333.08"/>
    <x v="1"/>
    <s v="WH-C"/>
    <n v="779"/>
    <d v="2024-04-15T00:00:00"/>
    <n v="5"/>
    <n v="90620"/>
    <x v="1"/>
    <d v="2024-04-01T00:00:00"/>
    <n v="0.71580999999999995"/>
    <n v="70620"/>
    <x v="1"/>
    <n v="112795.89169999999"/>
    <s v="Paid"/>
    <d v="2024-04-10T00:00:00"/>
    <s v="Variable"/>
    <d v="2024-03-25T00:00:00"/>
    <s v="YES"/>
  </r>
  <r>
    <n v="10621"/>
    <n v="5634"/>
    <x v="1"/>
    <n v="54030.06"/>
    <n v="82"/>
    <x v="3"/>
    <x v="2"/>
    <n v="67378.06"/>
    <x v="1"/>
    <s v="WH-B"/>
    <n v="638"/>
    <d v="2024-02-10T00:00:00"/>
    <n v="9"/>
    <n v="90621"/>
    <x v="3"/>
    <d v="2024-05-18T00:00:00"/>
    <n v="0.43293999999999999"/>
    <n v="70621"/>
    <x v="2"/>
    <n v="148928.57678999999"/>
    <s v="Overdue"/>
    <d v="2024-06-01T00:00:00"/>
    <s v="Variable"/>
    <d v="2024-04-02T00:00:00"/>
    <s v="NO"/>
  </r>
  <r>
    <n v="10622"/>
    <n v="5513"/>
    <x v="1"/>
    <n v="25536.04"/>
    <n v="51"/>
    <x v="3"/>
    <x v="2"/>
    <n v="52313.84"/>
    <x v="1"/>
    <s v="WH-B"/>
    <n v="460"/>
    <d v="2024-04-15T00:00:00"/>
    <n v="10"/>
    <n v="90622"/>
    <x v="1"/>
    <d v="2024-05-18T00:00:00"/>
    <n v="0.50407999999999997"/>
    <n v="70622"/>
    <x v="0"/>
    <n v="110148.80777"/>
    <s v="Paid"/>
    <d v="2024-05-10T00:00:00"/>
    <s v="Fixed"/>
    <d v="2024-04-02T00:00:00"/>
    <s v="YES"/>
  </r>
  <r>
    <n v="10623"/>
    <n v="6775"/>
    <x v="1"/>
    <n v="68508.28"/>
    <n v="73"/>
    <x v="0"/>
    <x v="1"/>
    <n v="50587.66"/>
    <x v="1"/>
    <s v="WH-B"/>
    <n v="426"/>
    <d v="2024-03-10T00:00:00"/>
    <n v="12"/>
    <n v="90623"/>
    <x v="3"/>
    <d v="2024-04-01T00:00:00"/>
    <n v="0.39696999999999999"/>
    <n v="70623"/>
    <x v="2"/>
    <n v="148009.4938"/>
    <s v="pending"/>
    <d v="2024-05-10T00:00:00"/>
    <s v="Fixed"/>
    <d v="2024-04-02T00:00:00"/>
    <s v="NO"/>
  </r>
  <r>
    <n v="10624"/>
    <n v="5802"/>
    <x v="1"/>
    <n v="28552.33"/>
    <n v="39"/>
    <x v="3"/>
    <x v="2"/>
    <n v="57436.57"/>
    <x v="1"/>
    <s v="WH-A"/>
    <n v="1457"/>
    <d v="2024-02-10T00:00:00"/>
    <n v="13"/>
    <n v="90624"/>
    <x v="2"/>
    <d v="2024-05-18T00:00:00"/>
    <n v="0.82735000000000003"/>
    <n v="70624"/>
    <x v="2"/>
    <n v="206019.13130000001"/>
    <s v="pending"/>
    <d v="2024-04-10T00:00:00"/>
    <s v="Variable"/>
    <d v="2024-03-25T00:00:00"/>
    <s v="YES"/>
  </r>
  <r>
    <n v="10625"/>
    <n v="6120"/>
    <x v="1"/>
    <n v="34934.46"/>
    <n v="28"/>
    <x v="3"/>
    <x v="1"/>
    <n v="165769.16"/>
    <x v="0"/>
    <s v="WH-B"/>
    <n v="1225"/>
    <d v="2024-02-10T00:00:00"/>
    <n v="14"/>
    <n v="90625"/>
    <x v="1"/>
    <d v="2024-03-01T00:00:00"/>
    <n v="0.21754999999999999"/>
    <n v="70625"/>
    <x v="1"/>
    <n v="164769.9179"/>
    <s v="Paid"/>
    <d v="2024-06-01T00:00:00"/>
    <s v="Fixed"/>
    <d v="2024-04-02T00:00:00"/>
    <s v="YES"/>
  </r>
  <r>
    <n v="10626"/>
    <n v="6662"/>
    <x v="1"/>
    <n v="12202.22"/>
    <n v="3"/>
    <x v="0"/>
    <x v="0"/>
    <n v="112952.57"/>
    <x v="0"/>
    <s v="WH-A"/>
    <n v="800"/>
    <d v="2024-04-15T00:00:00"/>
    <n v="4"/>
    <n v="90626"/>
    <x v="3"/>
    <d v="2024-03-01T00:00:00"/>
    <n v="0.96665999999999996"/>
    <n v="70626"/>
    <x v="1"/>
    <n v="161478.5551"/>
    <s v="pending"/>
    <d v="2024-05-10T00:00:00"/>
    <s v="Fixed"/>
    <d v="2024-04-02T00:00:00"/>
    <s v="NO"/>
  </r>
  <r>
    <n v="10627"/>
    <n v="6142"/>
    <x v="1"/>
    <n v="32664"/>
    <n v="84"/>
    <x v="3"/>
    <x v="2"/>
    <n v="61703.82"/>
    <x v="0"/>
    <s v="WH-A"/>
    <n v="676"/>
    <d v="2024-04-15T00:00:00"/>
    <n v="5"/>
    <n v="90627"/>
    <x v="3"/>
    <d v="2024-03-01T00:00:00"/>
    <n v="0.67135"/>
    <n v="70627"/>
    <x v="0"/>
    <n v="176540.21844999999"/>
    <s v="pending"/>
    <d v="2024-04-10T00:00:00"/>
    <s v="Variable"/>
    <d v="2024-03-25T00:00:00"/>
    <s v="YES"/>
  </r>
  <r>
    <n v="10628"/>
    <n v="5560"/>
    <x v="1"/>
    <n v="67094.41"/>
    <n v="70"/>
    <x v="0"/>
    <x v="2"/>
    <n v="31001.53"/>
    <x v="1"/>
    <s v="WH-B"/>
    <n v="1392"/>
    <d v="2024-04-15T00:00:00"/>
    <n v="4"/>
    <n v="90628"/>
    <x v="0"/>
    <d v="2024-04-01T00:00:00"/>
    <n v="0.89822000000000002"/>
    <n v="70628"/>
    <x v="2"/>
    <n v="214351.723"/>
    <s v="Overdue"/>
    <d v="2024-05-10T00:00:00"/>
    <s v="Variable"/>
    <d v="2024-03-25T00:00:00"/>
    <s v="YES"/>
  </r>
  <r>
    <n v="10629"/>
    <n v="6625"/>
    <x v="1"/>
    <n v="22807.200000000001"/>
    <n v="27"/>
    <x v="2"/>
    <x v="2"/>
    <n v="75398.600000000006"/>
    <x v="2"/>
    <s v="WH-B"/>
    <n v="1442"/>
    <d v="2024-03-10T00:00:00"/>
    <n v="2"/>
    <n v="90629"/>
    <x v="2"/>
    <d v="2024-03-01T00:00:00"/>
    <n v="0.48360999999999998"/>
    <n v="70629"/>
    <x v="2"/>
    <n v="174709.5276"/>
    <s v="Paid"/>
    <d v="2024-06-01T00:00:00"/>
    <s v="Variable"/>
    <d v="2024-03-25T00:00:00"/>
    <s v="YES"/>
  </r>
  <r>
    <n v="10630"/>
    <n v="5488"/>
    <x v="1"/>
    <n v="45485.36"/>
    <n v="2"/>
    <x v="2"/>
    <x v="0"/>
    <n v="164654.31"/>
    <x v="1"/>
    <s v="WH-B"/>
    <n v="1044"/>
    <d v="2024-02-10T00:00:00"/>
    <n v="12"/>
    <n v="90630"/>
    <x v="1"/>
    <d v="2024-03-01T00:00:00"/>
    <n v="0.39905000000000002"/>
    <n v="70630"/>
    <x v="1"/>
    <n v="86455.383499999996"/>
    <s v="Overdue"/>
    <d v="2024-04-10T00:00:00"/>
    <s v="Variable"/>
    <d v="2024-03-25T00:00:00"/>
    <s v="YES"/>
  </r>
  <r>
    <n v="10631"/>
    <n v="6261"/>
    <x v="1"/>
    <n v="8791.91"/>
    <n v="93"/>
    <x v="2"/>
    <x v="1"/>
    <n v="73285.5"/>
    <x v="1"/>
    <s v="WH-A"/>
    <n v="752"/>
    <d v="2024-04-15T00:00:00"/>
    <n v="1"/>
    <n v="90631"/>
    <x v="0"/>
    <d v="2024-04-01T00:00:00"/>
    <n v="0.91064999999999996"/>
    <n v="70631"/>
    <x v="2"/>
    <n v="167633.59099"/>
    <s v="Paid"/>
    <d v="2024-04-10T00:00:00"/>
    <s v="Variable"/>
    <d v="2024-04-02T00:00:00"/>
    <s v="NO"/>
  </r>
  <r>
    <n v="10632"/>
    <n v="6909"/>
    <x v="0"/>
    <n v="82880.789999999994"/>
    <n v="38"/>
    <x v="3"/>
    <x v="3"/>
    <n v="119165.48"/>
    <x v="1"/>
    <s v="WH-C"/>
    <n v="511"/>
    <d v="2024-03-10T00:00:00"/>
    <n v="8"/>
    <n v="90632"/>
    <x v="2"/>
    <d v="2024-03-01T00:00:00"/>
    <n v="0.18898999999999999"/>
    <n v="70632"/>
    <x v="1"/>
    <n v="122018.41365"/>
    <s v="Overdue"/>
    <d v="2024-06-01T00:00:00"/>
    <s v="Variable"/>
    <d v="2024-04-02T00:00:00"/>
    <s v="NO"/>
  </r>
  <r>
    <n v="10633"/>
    <n v="5897"/>
    <x v="0"/>
    <n v="48007.62"/>
    <n v="3"/>
    <x v="1"/>
    <x v="2"/>
    <n v="150005.63"/>
    <x v="0"/>
    <s v="WH-B"/>
    <n v="61"/>
    <d v="2024-04-15T00:00:00"/>
    <n v="4"/>
    <n v="90633"/>
    <x v="0"/>
    <d v="2024-03-01T00:00:00"/>
    <n v="0.2054"/>
    <n v="70633"/>
    <x v="2"/>
    <n v="159557.85680000001"/>
    <s v="pending"/>
    <d v="2024-04-10T00:00:00"/>
    <s v="Fixed"/>
    <d v="2024-04-02T00:00:00"/>
    <s v="NO"/>
  </r>
  <r>
    <n v="10634"/>
    <n v="6296"/>
    <x v="1"/>
    <n v="33873.08"/>
    <n v="16"/>
    <x v="1"/>
    <x v="1"/>
    <n v="61273.73"/>
    <x v="1"/>
    <s v="WH-B"/>
    <n v="1229"/>
    <d v="2024-02-10T00:00:00"/>
    <n v="5"/>
    <n v="90634"/>
    <x v="1"/>
    <d v="2024-05-18T00:00:00"/>
    <n v="0.36941000000000002"/>
    <n v="70634"/>
    <x v="1"/>
    <n v="52996.47294"/>
    <s v="Paid"/>
    <d v="2024-06-01T00:00:00"/>
    <s v="Variable"/>
    <d v="2024-03-25T00:00:00"/>
    <s v="YES"/>
  </r>
  <r>
    <n v="10635"/>
    <n v="6213"/>
    <x v="1"/>
    <n v="62091.49"/>
    <n v="94"/>
    <x v="3"/>
    <x v="0"/>
    <n v="10691.92"/>
    <x v="0"/>
    <s v="WH-B"/>
    <n v="526"/>
    <d v="2024-04-15T00:00:00"/>
    <n v="6"/>
    <n v="90635"/>
    <x v="3"/>
    <d v="2024-04-01T00:00:00"/>
    <n v="0.96379999999999999"/>
    <n v="70635"/>
    <x v="1"/>
    <n v="136543.18018"/>
    <s v="Paid"/>
    <d v="2024-04-10T00:00:00"/>
    <s v="Variable"/>
    <d v="2024-03-25T00:00:00"/>
    <s v="YES"/>
  </r>
  <r>
    <n v="10636"/>
    <n v="5704"/>
    <x v="0"/>
    <n v="44025.21"/>
    <n v="40"/>
    <x v="1"/>
    <x v="3"/>
    <n v="110292.1"/>
    <x v="2"/>
    <s v="WH-A"/>
    <n v="988"/>
    <d v="2024-02-10T00:00:00"/>
    <n v="14"/>
    <n v="90636"/>
    <x v="1"/>
    <d v="2024-03-01T00:00:00"/>
    <n v="0.66976000000000002"/>
    <n v="70636"/>
    <x v="0"/>
    <n v="61125.075599999996"/>
    <s v="Paid"/>
    <d v="2024-06-01T00:00:00"/>
    <s v="Variable"/>
    <d v="2024-04-02T00:00:00"/>
    <s v="YES"/>
  </r>
  <r>
    <n v="10637"/>
    <n v="6471"/>
    <x v="1"/>
    <n v="58105.61"/>
    <n v="2"/>
    <x v="0"/>
    <x v="2"/>
    <n v="63063.47"/>
    <x v="1"/>
    <s v="WH-A"/>
    <n v="450"/>
    <d v="2024-03-10T00:00:00"/>
    <n v="8"/>
    <n v="90637"/>
    <x v="2"/>
    <d v="2024-03-01T00:00:00"/>
    <n v="0.59877000000000002"/>
    <n v="70637"/>
    <x v="1"/>
    <n v="219678.71979999999"/>
    <s v="Paid"/>
    <d v="2024-05-10T00:00:00"/>
    <s v="Variable"/>
    <d v="2024-04-02T00:00:00"/>
    <s v="NO"/>
  </r>
  <r>
    <n v="10638"/>
    <n v="5581"/>
    <x v="0"/>
    <n v="58841.74"/>
    <n v="81"/>
    <x v="1"/>
    <x v="0"/>
    <n v="100357.72"/>
    <x v="1"/>
    <s v="WH-C"/>
    <n v="857"/>
    <d v="2024-03-10T00:00:00"/>
    <n v="11"/>
    <n v="90638"/>
    <x v="1"/>
    <d v="2024-03-01T00:00:00"/>
    <n v="0.73482000000000003"/>
    <n v="70638"/>
    <x v="0"/>
    <n v="162899.2568"/>
    <s v="pending"/>
    <d v="2024-05-10T00:00:00"/>
    <s v="Fixed"/>
    <d v="2024-04-02T00:00:00"/>
    <s v="NO"/>
  </r>
  <r>
    <n v="10639"/>
    <n v="5790"/>
    <x v="1"/>
    <n v="33879.870000000003"/>
    <n v="41"/>
    <x v="3"/>
    <x v="0"/>
    <n v="36133.39"/>
    <x v="0"/>
    <s v="WH-B"/>
    <n v="226"/>
    <d v="2024-04-15T00:00:00"/>
    <n v="8"/>
    <n v="90639"/>
    <x v="2"/>
    <d v="2024-03-01T00:00:00"/>
    <n v="0.47572999999999999"/>
    <n v="70639"/>
    <x v="0"/>
    <n v="89186.552649999998"/>
    <s v="pending"/>
    <d v="2024-05-10T00:00:00"/>
    <s v="Fixed"/>
    <d v="2024-03-25T00:00:00"/>
    <s v="YES"/>
  </r>
  <r>
    <n v="10640"/>
    <n v="5861"/>
    <x v="1"/>
    <n v="29706.29"/>
    <n v="12"/>
    <x v="3"/>
    <x v="3"/>
    <n v="37097.5"/>
    <x v="0"/>
    <s v="WH-A"/>
    <n v="1414"/>
    <d v="2024-02-10T00:00:00"/>
    <n v="7"/>
    <n v="90640"/>
    <x v="0"/>
    <d v="2024-05-18T00:00:00"/>
    <n v="0.78227000000000002"/>
    <n v="70640"/>
    <x v="0"/>
    <n v="110952.03109999999"/>
    <s v="pending"/>
    <d v="2024-04-10T00:00:00"/>
    <s v="Variable"/>
    <d v="2024-03-25T00:00:00"/>
    <s v="YES"/>
  </r>
  <r>
    <n v="10641"/>
    <n v="5247"/>
    <x v="1"/>
    <n v="28173.14"/>
    <n v="35"/>
    <x v="0"/>
    <x v="1"/>
    <n v="83392.05"/>
    <x v="2"/>
    <s v="WH-C"/>
    <n v="106"/>
    <d v="2024-02-10T00:00:00"/>
    <n v="4"/>
    <n v="90641"/>
    <x v="2"/>
    <d v="2024-05-18T00:00:00"/>
    <n v="0.45390999999999998"/>
    <n v="70641"/>
    <x v="0"/>
    <n v="109200.95419999999"/>
    <s v="Overdue"/>
    <d v="2024-06-01T00:00:00"/>
    <s v="Fixed"/>
    <d v="2024-03-25T00:00:00"/>
    <s v="YES"/>
  </r>
  <r>
    <n v="10642"/>
    <n v="6987"/>
    <x v="0"/>
    <n v="67438.62"/>
    <n v="65"/>
    <x v="2"/>
    <x v="2"/>
    <n v="34820.36"/>
    <x v="2"/>
    <s v="WH-B"/>
    <n v="497"/>
    <d v="2024-02-10T00:00:00"/>
    <n v="6"/>
    <n v="90642"/>
    <x v="3"/>
    <d v="2024-05-18T00:00:00"/>
    <n v="0.84372999999999998"/>
    <n v="70642"/>
    <x v="1"/>
    <n v="115890.8766"/>
    <s v="pending"/>
    <d v="2024-06-01T00:00:00"/>
    <s v="Variable"/>
    <d v="2024-04-02T00:00:00"/>
    <s v="NO"/>
  </r>
  <r>
    <n v="10643"/>
    <n v="6100"/>
    <x v="1"/>
    <n v="70102.44"/>
    <n v="55"/>
    <x v="3"/>
    <x v="2"/>
    <n v="95038.88"/>
    <x v="0"/>
    <s v="WH-A"/>
    <n v="252"/>
    <d v="2024-04-15T00:00:00"/>
    <n v="4"/>
    <n v="90643"/>
    <x v="3"/>
    <d v="2024-05-18T00:00:00"/>
    <n v="0.34056999999999998"/>
    <n v="70643"/>
    <x v="1"/>
    <n v="79229.329759999993"/>
    <s v="Overdue"/>
    <d v="2024-05-10T00:00:00"/>
    <s v="Fixed"/>
    <d v="2024-03-25T00:00:00"/>
    <s v="NO"/>
  </r>
  <r>
    <n v="10644"/>
    <n v="5154"/>
    <x v="1"/>
    <n v="48046.09"/>
    <n v="45"/>
    <x v="0"/>
    <x v="1"/>
    <n v="19800.04"/>
    <x v="2"/>
    <s v="WH-B"/>
    <n v="787"/>
    <d v="2024-02-10T00:00:00"/>
    <n v="14"/>
    <n v="90644"/>
    <x v="3"/>
    <d v="2024-04-01T00:00:00"/>
    <n v="0.34978999999999999"/>
    <n v="70644"/>
    <x v="2"/>
    <n v="86655.716020000007"/>
    <s v="Overdue"/>
    <d v="2024-05-10T00:00:00"/>
    <s v="Variable"/>
    <d v="2024-04-02T00:00:00"/>
    <s v="YES"/>
  </r>
  <r>
    <n v="10645"/>
    <n v="6680"/>
    <x v="1"/>
    <n v="60313.83"/>
    <n v="79"/>
    <x v="1"/>
    <x v="1"/>
    <n v="170009.95"/>
    <x v="1"/>
    <s v="WH-B"/>
    <n v="251"/>
    <d v="2024-02-10T00:00:00"/>
    <n v="7"/>
    <n v="90645"/>
    <x v="0"/>
    <d v="2024-03-01T00:00:00"/>
    <n v="0.57013999999999998"/>
    <n v="70645"/>
    <x v="1"/>
    <n v="101160.52622"/>
    <s v="pending"/>
    <d v="2024-05-10T00:00:00"/>
    <s v="Fixed"/>
    <d v="2024-03-25T00:00:00"/>
    <s v="NO"/>
  </r>
  <r>
    <n v="10646"/>
    <n v="6459"/>
    <x v="1"/>
    <n v="38715.660000000003"/>
    <n v="90"/>
    <x v="1"/>
    <x v="1"/>
    <n v="71066.97"/>
    <x v="2"/>
    <s v="WH-A"/>
    <n v="1403"/>
    <d v="2024-02-10T00:00:00"/>
    <n v="12"/>
    <n v="90646"/>
    <x v="2"/>
    <d v="2024-05-18T00:00:00"/>
    <n v="0.48769000000000001"/>
    <n v="70646"/>
    <x v="1"/>
    <n v="165874.00855"/>
    <s v="pending"/>
    <d v="2024-06-01T00:00:00"/>
    <s v="Variable"/>
    <d v="2024-03-25T00:00:00"/>
    <s v="YES"/>
  </r>
  <r>
    <n v="10647"/>
    <n v="5997"/>
    <x v="1"/>
    <n v="77343.399999999994"/>
    <n v="85"/>
    <x v="0"/>
    <x v="3"/>
    <n v="135817.53"/>
    <x v="2"/>
    <s v="WH-A"/>
    <n v="412"/>
    <d v="2024-02-10T00:00:00"/>
    <n v="13"/>
    <n v="90647"/>
    <x v="0"/>
    <d v="2024-03-01T00:00:00"/>
    <n v="0.68330000000000002"/>
    <n v="70647"/>
    <x v="2"/>
    <n v="130249.16"/>
    <s v="pending"/>
    <d v="2024-05-10T00:00:00"/>
    <s v="Variable"/>
    <d v="2024-03-25T00:00:00"/>
    <s v="YES"/>
  </r>
  <r>
    <n v="10648"/>
    <n v="6110"/>
    <x v="1"/>
    <n v="42136.68"/>
    <n v="62"/>
    <x v="0"/>
    <x v="3"/>
    <n v="136571.74"/>
    <x v="0"/>
    <s v="WH-A"/>
    <n v="941"/>
    <d v="2024-04-15T00:00:00"/>
    <n v="12"/>
    <n v="90648"/>
    <x v="1"/>
    <d v="2024-04-01T00:00:00"/>
    <n v="0.42786000000000002"/>
    <n v="70648"/>
    <x v="0"/>
    <n v="108012.65691999999"/>
    <s v="Overdue"/>
    <d v="2024-04-10T00:00:00"/>
    <s v="Variable"/>
    <d v="2024-04-02T00:00:00"/>
    <s v="NO"/>
  </r>
  <r>
    <n v="10649"/>
    <n v="5697"/>
    <x v="1"/>
    <n v="33435.46"/>
    <n v="49"/>
    <x v="3"/>
    <x v="2"/>
    <n v="85104.35"/>
    <x v="0"/>
    <s v="WH-B"/>
    <n v="503"/>
    <d v="2024-04-15T00:00:00"/>
    <n v="13"/>
    <n v="90649"/>
    <x v="1"/>
    <d v="2024-03-01T00:00:00"/>
    <n v="0.3075"/>
    <n v="70649"/>
    <x v="2"/>
    <n v="105216.59166000001"/>
    <s v="Paid"/>
    <d v="2024-05-10T00:00:00"/>
    <s v="Variable"/>
    <d v="2024-03-25T00:00:00"/>
    <s v="YES"/>
  </r>
  <r>
    <n v="10650"/>
    <n v="6309"/>
    <x v="1"/>
    <n v="50251.07"/>
    <n v="95"/>
    <x v="1"/>
    <x v="3"/>
    <n v="11696.59"/>
    <x v="1"/>
    <s v="WH-B"/>
    <n v="405"/>
    <d v="2024-02-10T00:00:00"/>
    <n v="13"/>
    <n v="90650"/>
    <x v="1"/>
    <d v="2024-03-01T00:00:00"/>
    <n v="0.52283000000000002"/>
    <n v="70650"/>
    <x v="2"/>
    <n v="60414.542999999998"/>
    <s v="pending"/>
    <d v="2024-05-10T00:00:00"/>
    <s v="Fixed"/>
    <d v="2024-03-25T00:00:00"/>
    <s v="YES"/>
  </r>
  <r>
    <n v="10651"/>
    <n v="6998"/>
    <x v="1"/>
    <n v="66704.820000000007"/>
    <n v="25"/>
    <x v="0"/>
    <x v="0"/>
    <n v="126477.18"/>
    <x v="1"/>
    <s v="WH-C"/>
    <n v="265"/>
    <d v="2024-02-10T00:00:00"/>
    <n v="11"/>
    <n v="90651"/>
    <x v="1"/>
    <d v="2024-05-18T00:00:00"/>
    <n v="0.60485999999999995"/>
    <n v="70651"/>
    <x v="1"/>
    <n v="201294.73250000001"/>
    <s v="Overdue"/>
    <d v="2024-06-01T00:00:00"/>
    <s v="Variable"/>
    <d v="2024-04-02T00:00:00"/>
    <s v="YES"/>
  </r>
  <r>
    <n v="10652"/>
    <n v="6244"/>
    <x v="1"/>
    <n v="97148.23"/>
    <n v="23"/>
    <x v="1"/>
    <x v="2"/>
    <n v="26369.93"/>
    <x v="0"/>
    <s v="WH-B"/>
    <n v="1021"/>
    <d v="2024-03-10T00:00:00"/>
    <n v="14"/>
    <n v="90652"/>
    <x v="3"/>
    <d v="2024-05-18T00:00:00"/>
    <n v="0.22833999999999999"/>
    <n v="70652"/>
    <x v="2"/>
    <n v="97209.601920000001"/>
    <s v="Overdue"/>
    <d v="2024-04-10T00:00:00"/>
    <s v="Variable"/>
    <d v="2024-04-02T00:00:00"/>
    <s v="NO"/>
  </r>
  <r>
    <n v="10653"/>
    <n v="6093"/>
    <x v="1"/>
    <n v="17310.87"/>
    <n v="24"/>
    <x v="0"/>
    <x v="3"/>
    <n v="96166.78"/>
    <x v="2"/>
    <s v="WH-A"/>
    <n v="604"/>
    <d v="2024-03-10T00:00:00"/>
    <n v="1"/>
    <n v="90653"/>
    <x v="2"/>
    <d v="2024-04-01T00:00:00"/>
    <n v="0.60104999999999997"/>
    <n v="70653"/>
    <x v="0"/>
    <n v="115773.3691"/>
    <s v="pending"/>
    <d v="2024-06-01T00:00:00"/>
    <s v="Variable"/>
    <d v="2024-04-02T00:00:00"/>
    <s v="YES"/>
  </r>
  <r>
    <n v="10654"/>
    <n v="6071"/>
    <x v="1"/>
    <n v="56566.67"/>
    <n v="38"/>
    <x v="1"/>
    <x v="1"/>
    <n v="159024.75"/>
    <x v="2"/>
    <s v="WH-B"/>
    <n v="936"/>
    <d v="2024-02-10T00:00:00"/>
    <n v="5"/>
    <n v="90654"/>
    <x v="3"/>
    <d v="2024-03-01T00:00:00"/>
    <n v="0.38733000000000001"/>
    <n v="70654"/>
    <x v="1"/>
    <n v="146328.16990000001"/>
    <s v="Overdue"/>
    <d v="2024-04-10T00:00:00"/>
    <s v="Variable"/>
    <d v="2024-03-25T00:00:00"/>
    <s v="YES"/>
  </r>
  <r>
    <n v="10655"/>
    <n v="6009"/>
    <x v="1"/>
    <n v="75725.95"/>
    <n v="28"/>
    <x v="2"/>
    <x v="0"/>
    <n v="21640.92"/>
    <x v="1"/>
    <s v="WH-C"/>
    <n v="72"/>
    <d v="2024-02-10T00:00:00"/>
    <n v="14"/>
    <n v="90655"/>
    <x v="2"/>
    <d v="2024-05-18T00:00:00"/>
    <n v="0.45321"/>
    <n v="70655"/>
    <x v="1"/>
    <n v="70532.613230000003"/>
    <s v="pending"/>
    <d v="2024-04-10T00:00:00"/>
    <s v="Fixed"/>
    <d v="2024-04-02T00:00:00"/>
    <s v="YES"/>
  </r>
  <r>
    <n v="10656"/>
    <n v="5094"/>
    <x v="1"/>
    <n v="27409.040000000001"/>
    <n v="21"/>
    <x v="3"/>
    <x v="1"/>
    <n v="101902.31"/>
    <x v="1"/>
    <s v="WH-C"/>
    <n v="204"/>
    <d v="2024-03-10T00:00:00"/>
    <n v="10"/>
    <n v="90656"/>
    <x v="2"/>
    <d v="2024-05-18T00:00:00"/>
    <n v="0.35138999999999998"/>
    <n v="70656"/>
    <x v="1"/>
    <n v="80538.248099999997"/>
    <s v="Overdue"/>
    <d v="2024-05-10T00:00:00"/>
    <s v="Fixed"/>
    <d v="2024-03-25T00:00:00"/>
    <s v="NO"/>
  </r>
  <r>
    <n v="10657"/>
    <n v="6774"/>
    <x v="1"/>
    <n v="69254.63"/>
    <n v="54"/>
    <x v="1"/>
    <x v="2"/>
    <n v="37067.35"/>
    <x v="1"/>
    <s v="WH-A"/>
    <n v="1259"/>
    <d v="2024-03-10T00:00:00"/>
    <n v="12"/>
    <n v="90657"/>
    <x v="0"/>
    <d v="2024-05-18T00:00:00"/>
    <n v="0.93827000000000005"/>
    <n v="70657"/>
    <x v="0"/>
    <n v="134872.68924000001"/>
    <s v="Paid"/>
    <d v="2024-05-10T00:00:00"/>
    <s v="Fixed"/>
    <d v="2024-03-25T00:00:00"/>
    <s v="YES"/>
  </r>
  <r>
    <n v="10658"/>
    <n v="5958"/>
    <x v="1"/>
    <n v="72831.77"/>
    <n v="18"/>
    <x v="2"/>
    <x v="1"/>
    <n v="113298.34"/>
    <x v="1"/>
    <s v="WH-A"/>
    <n v="298"/>
    <d v="2024-02-10T00:00:00"/>
    <n v="10"/>
    <n v="90658"/>
    <x v="1"/>
    <d v="2024-04-01T00:00:00"/>
    <n v="0.71499999999999997"/>
    <n v="70658"/>
    <x v="0"/>
    <n v="116676.7592"/>
    <s v="Overdue"/>
    <d v="2024-06-01T00:00:00"/>
    <s v="Variable"/>
    <d v="2024-04-02T00:00:00"/>
    <s v="YES"/>
  </r>
  <r>
    <n v="10659"/>
    <n v="6012"/>
    <x v="1"/>
    <n v="96366.97"/>
    <n v="36"/>
    <x v="1"/>
    <x v="3"/>
    <n v="122718.29"/>
    <x v="1"/>
    <s v="WH-C"/>
    <n v="798"/>
    <d v="2024-04-15T00:00:00"/>
    <n v="4"/>
    <n v="90659"/>
    <x v="2"/>
    <d v="2024-03-01T00:00:00"/>
    <n v="0.33621000000000001"/>
    <n v="70659"/>
    <x v="2"/>
    <n v="64179.657599999999"/>
    <s v="pending"/>
    <d v="2024-06-01T00:00:00"/>
    <s v="Fixed"/>
    <d v="2024-03-25T00:00:00"/>
    <s v="NO"/>
  </r>
  <r>
    <n v="10660"/>
    <n v="5453"/>
    <x v="1"/>
    <n v="61822.76"/>
    <n v="99"/>
    <x v="1"/>
    <x v="3"/>
    <n v="113068.58"/>
    <x v="1"/>
    <s v="WH-C"/>
    <n v="854"/>
    <d v="2024-04-15T00:00:00"/>
    <n v="11"/>
    <n v="90660"/>
    <x v="1"/>
    <d v="2024-05-18T00:00:00"/>
    <n v="0.68052999999999997"/>
    <n v="70660"/>
    <x v="1"/>
    <n v="185957.44605"/>
    <s v="Paid"/>
    <d v="2024-06-01T00:00:00"/>
    <s v="Variable"/>
    <d v="2024-03-25T00:00:00"/>
    <s v="NO"/>
  </r>
  <r>
    <n v="10661"/>
    <n v="6228"/>
    <x v="1"/>
    <n v="80326.710000000006"/>
    <n v="45"/>
    <x v="2"/>
    <x v="2"/>
    <n v="42989.5"/>
    <x v="2"/>
    <s v="WH-C"/>
    <n v="183"/>
    <d v="2024-02-10T00:00:00"/>
    <n v="7"/>
    <n v="90661"/>
    <x v="1"/>
    <d v="2024-03-01T00:00:00"/>
    <n v="0.86372000000000004"/>
    <n v="70661"/>
    <x v="0"/>
    <n v="151878.74160000001"/>
    <s v="pending"/>
    <d v="2024-04-10T00:00:00"/>
    <s v="Variable"/>
    <d v="2024-03-25T00:00:00"/>
    <s v="NO"/>
  </r>
  <r>
    <n v="10662"/>
    <n v="5912"/>
    <x v="1"/>
    <n v="31283.67"/>
    <n v="73"/>
    <x v="1"/>
    <x v="1"/>
    <n v="65987.850000000006"/>
    <x v="1"/>
    <s v="WH-A"/>
    <n v="370"/>
    <d v="2024-02-10T00:00:00"/>
    <n v="13"/>
    <n v="90662"/>
    <x v="1"/>
    <d v="2024-04-01T00:00:00"/>
    <n v="0.46146999999999999"/>
    <n v="70662"/>
    <x v="0"/>
    <n v="145666.67459000001"/>
    <s v="Overdue"/>
    <d v="2024-06-01T00:00:00"/>
    <s v="Fixed"/>
    <d v="2024-03-25T00:00:00"/>
    <s v="NO"/>
  </r>
  <r>
    <n v="10663"/>
    <n v="5218"/>
    <x v="1"/>
    <n v="94979.44"/>
    <n v="53"/>
    <x v="1"/>
    <x v="2"/>
    <n v="63958.36"/>
    <x v="1"/>
    <s v="WH-C"/>
    <n v="439"/>
    <d v="2024-03-10T00:00:00"/>
    <n v="9"/>
    <n v="90663"/>
    <x v="3"/>
    <d v="2024-03-01T00:00:00"/>
    <n v="0.84696000000000005"/>
    <n v="70663"/>
    <x v="0"/>
    <n v="203187.80590000001"/>
    <s v="Paid"/>
    <d v="2024-04-10T00:00:00"/>
    <s v="Variable"/>
    <d v="2024-04-02T00:00:00"/>
    <s v="YES"/>
  </r>
  <r>
    <n v="10664"/>
    <n v="5474"/>
    <x v="0"/>
    <n v="62191.27"/>
    <n v="30"/>
    <x v="3"/>
    <x v="1"/>
    <n v="37606.339999999997"/>
    <x v="2"/>
    <s v="WH-C"/>
    <n v="483"/>
    <d v="2024-03-10T00:00:00"/>
    <n v="5"/>
    <n v="90664"/>
    <x v="1"/>
    <d v="2024-05-18T00:00:00"/>
    <n v="0.23896999999999999"/>
    <n v="70664"/>
    <x v="1"/>
    <n v="140586.71012"/>
    <s v="Paid"/>
    <d v="2024-04-10T00:00:00"/>
    <s v="Variable"/>
    <d v="2024-03-25T00:00:00"/>
    <s v="YES"/>
  </r>
  <r>
    <n v="10665"/>
    <n v="5432"/>
    <x v="1"/>
    <n v="83754.55"/>
    <n v="60"/>
    <x v="2"/>
    <x v="0"/>
    <n v="92084.91"/>
    <x v="1"/>
    <s v="WH-A"/>
    <n v="1095"/>
    <d v="2024-04-15T00:00:00"/>
    <n v="4"/>
    <n v="90665"/>
    <x v="2"/>
    <d v="2024-03-01T00:00:00"/>
    <n v="0.84050000000000002"/>
    <n v="70665"/>
    <x v="1"/>
    <n v="74313.460600000006"/>
    <s v="Overdue"/>
    <d v="2024-04-10T00:00:00"/>
    <s v="Fixed"/>
    <d v="2024-03-25T00:00:00"/>
    <s v="YES"/>
  </r>
  <r>
    <n v="10666"/>
    <n v="5341"/>
    <x v="0"/>
    <n v="43776.41"/>
    <n v="98"/>
    <x v="2"/>
    <x v="3"/>
    <n v="39656.07"/>
    <x v="2"/>
    <s v="WH-B"/>
    <n v="922"/>
    <d v="2024-02-10T00:00:00"/>
    <n v="9"/>
    <n v="90666"/>
    <x v="3"/>
    <d v="2024-03-01T00:00:00"/>
    <n v="0.58626"/>
    <n v="70666"/>
    <x v="1"/>
    <n v="142943.14721"/>
    <s v="Paid"/>
    <d v="2024-04-10T00:00:00"/>
    <s v="Variable"/>
    <d v="2024-03-25T00:00:00"/>
    <s v="NO"/>
  </r>
  <r>
    <n v="10667"/>
    <n v="5551"/>
    <x v="1"/>
    <n v="28152.75"/>
    <n v="32"/>
    <x v="0"/>
    <x v="2"/>
    <n v="57697.23"/>
    <x v="1"/>
    <s v="WH-B"/>
    <n v="1198"/>
    <d v="2024-03-10T00:00:00"/>
    <n v="5"/>
    <n v="90667"/>
    <x v="1"/>
    <d v="2024-04-01T00:00:00"/>
    <n v="0.30068"/>
    <n v="70667"/>
    <x v="2"/>
    <n v="113083.4742"/>
    <s v="Paid"/>
    <d v="2024-04-10T00:00:00"/>
    <s v="Fixed"/>
    <d v="2024-03-25T00:00:00"/>
    <s v="NO"/>
  </r>
  <r>
    <n v="10668"/>
    <n v="6636"/>
    <x v="1"/>
    <n v="48602.47"/>
    <n v="67"/>
    <x v="1"/>
    <x v="0"/>
    <n v="174909.36"/>
    <x v="2"/>
    <s v="WH-C"/>
    <n v="1152"/>
    <d v="2024-04-15T00:00:00"/>
    <n v="9"/>
    <n v="90668"/>
    <x v="0"/>
    <d v="2024-04-01T00:00:00"/>
    <n v="0.46643000000000001"/>
    <n v="70668"/>
    <x v="2"/>
    <n v="121120.51182"/>
    <s v="Paid"/>
    <d v="2024-05-10T00:00:00"/>
    <s v="Fixed"/>
    <d v="2024-04-02T00:00:00"/>
    <s v="YES"/>
  </r>
  <r>
    <n v="10669"/>
    <n v="6313"/>
    <x v="1"/>
    <n v="8211.98"/>
    <n v="67"/>
    <x v="3"/>
    <x v="0"/>
    <n v="76847.960000000006"/>
    <x v="2"/>
    <s v="WH-B"/>
    <n v="907"/>
    <d v="2024-04-15T00:00:00"/>
    <n v="8"/>
    <n v="90669"/>
    <x v="1"/>
    <d v="2024-03-01T00:00:00"/>
    <n v="0.98919000000000001"/>
    <n v="70669"/>
    <x v="2"/>
    <n v="144447.3302"/>
    <s v="pending"/>
    <d v="2024-04-10T00:00:00"/>
    <s v="Fixed"/>
    <d v="2024-03-25T00:00:00"/>
    <s v="YES"/>
  </r>
  <r>
    <n v="10670"/>
    <n v="6278"/>
    <x v="1"/>
    <n v="79241.67"/>
    <n v="28"/>
    <x v="1"/>
    <x v="2"/>
    <n v="107198.94"/>
    <x v="2"/>
    <s v="WH-B"/>
    <n v="100"/>
    <d v="2024-04-15T00:00:00"/>
    <n v="4"/>
    <n v="90670"/>
    <x v="1"/>
    <d v="2024-03-01T00:00:00"/>
    <n v="0.80520000000000003"/>
    <n v="70670"/>
    <x v="0"/>
    <n v="101303.25646999999"/>
    <s v="pending"/>
    <d v="2024-04-10T00:00:00"/>
    <s v="Variable"/>
    <d v="2024-04-02T00:00:00"/>
    <s v="NO"/>
  </r>
  <r>
    <n v="10671"/>
    <n v="6758"/>
    <x v="1"/>
    <n v="64542.48"/>
    <n v="44"/>
    <x v="1"/>
    <x v="2"/>
    <n v="24710.89"/>
    <x v="2"/>
    <s v="WH-B"/>
    <n v="225"/>
    <d v="2024-03-10T00:00:00"/>
    <n v="11"/>
    <n v="90671"/>
    <x v="3"/>
    <d v="2024-03-01T00:00:00"/>
    <n v="0.61758000000000002"/>
    <n v="70671"/>
    <x v="1"/>
    <n v="129725.28782"/>
    <s v="Paid"/>
    <d v="2024-05-10T00:00:00"/>
    <s v="Variable"/>
    <d v="2024-04-02T00:00:00"/>
    <s v="NO"/>
  </r>
  <r>
    <n v="10672"/>
    <n v="5357"/>
    <x v="1"/>
    <n v="95897.279999999999"/>
    <n v="79"/>
    <x v="0"/>
    <x v="0"/>
    <n v="148295.25"/>
    <x v="0"/>
    <s v="WH-B"/>
    <n v="919"/>
    <d v="2024-03-10T00:00:00"/>
    <n v="11"/>
    <n v="90672"/>
    <x v="2"/>
    <d v="2024-04-01T00:00:00"/>
    <n v="0.20365"/>
    <n v="70672"/>
    <x v="0"/>
    <n v="84190.868199999997"/>
    <s v="Overdue"/>
    <d v="2024-05-10T00:00:00"/>
    <s v="Fixed"/>
    <d v="2024-03-25T00:00:00"/>
    <s v="YES"/>
  </r>
  <r>
    <n v="10673"/>
    <n v="5023"/>
    <x v="1"/>
    <n v="92588.73"/>
    <n v="41"/>
    <x v="1"/>
    <x v="1"/>
    <n v="34814.6"/>
    <x v="1"/>
    <s v="WH-C"/>
    <n v="302"/>
    <d v="2024-02-10T00:00:00"/>
    <n v="7"/>
    <n v="90673"/>
    <x v="1"/>
    <d v="2024-04-01T00:00:00"/>
    <n v="0.47603000000000001"/>
    <n v="70673"/>
    <x v="0"/>
    <n v="131934.44404999999"/>
    <s v="Overdue"/>
    <d v="2024-05-10T00:00:00"/>
    <s v="Variable"/>
    <d v="2024-03-25T00:00:00"/>
    <s v="YES"/>
  </r>
  <r>
    <n v="10674"/>
    <n v="6786"/>
    <x v="1"/>
    <n v="30252.84"/>
    <n v="63"/>
    <x v="3"/>
    <x v="0"/>
    <n v="150689.66"/>
    <x v="1"/>
    <s v="WH-B"/>
    <n v="1015"/>
    <d v="2024-02-10T00:00:00"/>
    <n v="5"/>
    <n v="90674"/>
    <x v="3"/>
    <d v="2024-03-01T00:00:00"/>
    <n v="0.33674999999999999"/>
    <n v="70674"/>
    <x v="1"/>
    <n v="50051.382080000003"/>
    <s v="pending"/>
    <d v="2024-06-01T00:00:00"/>
    <s v="Fixed"/>
    <d v="2024-03-25T00:00:00"/>
    <s v="YES"/>
  </r>
  <r>
    <n v="10675"/>
    <n v="5522"/>
    <x v="1"/>
    <n v="65406.63"/>
    <n v="23"/>
    <x v="3"/>
    <x v="2"/>
    <n v="78925.94"/>
    <x v="0"/>
    <s v="WH-B"/>
    <n v="1319"/>
    <d v="2024-04-15T00:00:00"/>
    <n v="10"/>
    <n v="90675"/>
    <x v="3"/>
    <d v="2024-04-01T00:00:00"/>
    <n v="0.16389999999999999"/>
    <n v="70675"/>
    <x v="0"/>
    <n v="189325.3939"/>
    <s v="Overdue"/>
    <d v="2024-06-01T00:00:00"/>
    <s v="Variable"/>
    <d v="2024-03-25T00:00:00"/>
    <s v="NO"/>
  </r>
  <r>
    <n v="10676"/>
    <n v="6782"/>
    <x v="1"/>
    <n v="36741.61"/>
    <n v="75"/>
    <x v="0"/>
    <x v="0"/>
    <n v="35408.85"/>
    <x v="2"/>
    <s v="WH-A"/>
    <n v="788"/>
    <d v="2024-04-15T00:00:00"/>
    <n v="4"/>
    <n v="90676"/>
    <x v="2"/>
    <d v="2024-05-18T00:00:00"/>
    <n v="0.58797999999999995"/>
    <n v="70676"/>
    <x v="2"/>
    <n v="106254.5338"/>
    <s v="Paid"/>
    <d v="2024-04-10T00:00:00"/>
    <s v="Variable"/>
    <d v="2024-03-25T00:00:00"/>
    <s v="YES"/>
  </r>
  <r>
    <n v="10677"/>
    <n v="6861"/>
    <x v="1"/>
    <n v="85095.79"/>
    <n v="48"/>
    <x v="1"/>
    <x v="1"/>
    <n v="172250.05"/>
    <x v="2"/>
    <s v="WH-C"/>
    <n v="1179"/>
    <d v="2024-03-10T00:00:00"/>
    <n v="5"/>
    <n v="90677"/>
    <x v="3"/>
    <d v="2024-04-01T00:00:00"/>
    <n v="0.90027000000000001"/>
    <n v="70677"/>
    <x v="1"/>
    <n v="211955.81020000001"/>
    <s v="Overdue"/>
    <d v="2024-04-10T00:00:00"/>
    <s v="Variable"/>
    <d v="2024-04-02T00:00:00"/>
    <s v="NO"/>
  </r>
  <r>
    <n v="10678"/>
    <n v="6124"/>
    <x v="0"/>
    <n v="34229.47"/>
    <n v="32"/>
    <x v="3"/>
    <x v="3"/>
    <n v="40268.14"/>
    <x v="1"/>
    <s v="WH-A"/>
    <n v="1266"/>
    <d v="2024-03-10T00:00:00"/>
    <n v="5"/>
    <n v="90678"/>
    <x v="2"/>
    <d v="2024-04-01T00:00:00"/>
    <n v="0.70804"/>
    <n v="70678"/>
    <x v="1"/>
    <n v="93770.663360000006"/>
    <s v="pending"/>
    <d v="2024-04-10T00:00:00"/>
    <s v="Variable"/>
    <d v="2024-04-02T00:00:00"/>
    <s v="NO"/>
  </r>
  <r>
    <n v="10679"/>
    <n v="5802"/>
    <x v="1"/>
    <n v="74313.42"/>
    <n v="57"/>
    <x v="1"/>
    <x v="3"/>
    <n v="138355.73000000001"/>
    <x v="0"/>
    <s v="WH-A"/>
    <n v="1389"/>
    <d v="2024-02-10T00:00:00"/>
    <n v="11"/>
    <n v="90679"/>
    <x v="0"/>
    <d v="2024-04-01T00:00:00"/>
    <n v="0.32471"/>
    <n v="70679"/>
    <x v="0"/>
    <n v="99713.5144"/>
    <s v="pending"/>
    <d v="2024-04-10T00:00:00"/>
    <s v="Variable"/>
    <d v="2024-03-25T00:00:00"/>
    <s v="YES"/>
  </r>
  <r>
    <n v="10680"/>
    <n v="6204"/>
    <x v="1"/>
    <n v="84211.199999999997"/>
    <n v="33"/>
    <x v="1"/>
    <x v="0"/>
    <n v="60409.19"/>
    <x v="2"/>
    <s v="WH-C"/>
    <n v="351"/>
    <d v="2024-02-10T00:00:00"/>
    <n v="9"/>
    <n v="90680"/>
    <x v="1"/>
    <d v="2024-05-18T00:00:00"/>
    <n v="0.61623000000000006"/>
    <n v="70680"/>
    <x v="2"/>
    <n v="197726.652"/>
    <s v="Paid"/>
    <d v="2024-05-10T00:00:00"/>
    <s v="Variable"/>
    <d v="2024-03-25T00:00:00"/>
    <s v="YES"/>
  </r>
  <r>
    <n v="10681"/>
    <n v="6247"/>
    <x v="1"/>
    <n v="52120.959999999999"/>
    <n v="24"/>
    <x v="1"/>
    <x v="1"/>
    <n v="131732.29999999999"/>
    <x v="2"/>
    <s v="WH-B"/>
    <n v="597"/>
    <d v="2024-02-10T00:00:00"/>
    <n v="12"/>
    <n v="90681"/>
    <x v="3"/>
    <d v="2024-05-18T00:00:00"/>
    <n v="0.94891000000000003"/>
    <n v="70681"/>
    <x v="2"/>
    <n v="179275.6348"/>
    <s v="pending"/>
    <d v="2024-06-01T00:00:00"/>
    <s v="Fixed"/>
    <d v="2024-03-25T00:00:00"/>
    <s v="YES"/>
  </r>
  <r>
    <n v="10682"/>
    <n v="6930"/>
    <x v="1"/>
    <n v="27457.26"/>
    <n v="39"/>
    <x v="0"/>
    <x v="3"/>
    <n v="167766.21"/>
    <x v="2"/>
    <s v="WH-A"/>
    <n v="765"/>
    <d v="2024-03-10T00:00:00"/>
    <n v="9"/>
    <n v="90682"/>
    <x v="0"/>
    <d v="2024-05-18T00:00:00"/>
    <n v="0.75061999999999995"/>
    <n v="70682"/>
    <x v="2"/>
    <n v="103124.62092"/>
    <s v="pending"/>
    <d v="2024-05-10T00:00:00"/>
    <s v="Fixed"/>
    <d v="2024-04-02T00:00:00"/>
    <s v="YES"/>
  </r>
  <r>
    <n v="10683"/>
    <n v="5762"/>
    <x v="1"/>
    <n v="49108.84"/>
    <n v="34"/>
    <x v="1"/>
    <x v="0"/>
    <n v="127447.87"/>
    <x v="1"/>
    <s v="WH-C"/>
    <n v="828"/>
    <d v="2024-04-15T00:00:00"/>
    <n v="6"/>
    <n v="90683"/>
    <x v="3"/>
    <d v="2024-03-01T00:00:00"/>
    <n v="0.72053"/>
    <n v="70683"/>
    <x v="1"/>
    <n v="149117.71343999999"/>
    <s v="pending"/>
    <d v="2024-06-01T00:00:00"/>
    <s v="Variable"/>
    <d v="2024-03-25T00:00:00"/>
    <s v="YES"/>
  </r>
  <r>
    <n v="10684"/>
    <n v="6683"/>
    <x v="1"/>
    <n v="82273.149999999994"/>
    <n v="56"/>
    <x v="3"/>
    <x v="0"/>
    <n v="31136.14"/>
    <x v="0"/>
    <s v="WH-B"/>
    <n v="317"/>
    <d v="2024-02-10T00:00:00"/>
    <n v="14"/>
    <n v="90684"/>
    <x v="3"/>
    <d v="2024-03-01T00:00:00"/>
    <n v="0.97133999999999998"/>
    <n v="70684"/>
    <x v="2"/>
    <n v="134447.64825999999"/>
    <s v="Overdue"/>
    <d v="2024-05-10T00:00:00"/>
    <s v="Fixed"/>
    <d v="2024-03-25T00:00:00"/>
    <s v="YES"/>
  </r>
  <r>
    <n v="10685"/>
    <n v="5442"/>
    <x v="1"/>
    <n v="78380.100000000006"/>
    <n v="28"/>
    <x v="1"/>
    <x v="1"/>
    <n v="59194.71"/>
    <x v="2"/>
    <s v="WH-C"/>
    <n v="1243"/>
    <d v="2024-02-10T00:00:00"/>
    <n v="4"/>
    <n v="90685"/>
    <x v="0"/>
    <d v="2024-05-18T00:00:00"/>
    <n v="0.81899"/>
    <n v="70685"/>
    <x v="2"/>
    <n v="134215.99"/>
    <s v="pending"/>
    <d v="2024-04-10T00:00:00"/>
    <s v="Variable"/>
    <d v="2024-03-25T00:00:00"/>
    <s v="NO"/>
  </r>
  <r>
    <n v="10686"/>
    <n v="6632"/>
    <x v="1"/>
    <n v="18397.07"/>
    <n v="37"/>
    <x v="3"/>
    <x v="2"/>
    <n v="36080.25"/>
    <x v="1"/>
    <s v="WH-A"/>
    <n v="1059"/>
    <d v="2024-03-10T00:00:00"/>
    <n v="2"/>
    <n v="90686"/>
    <x v="3"/>
    <d v="2024-03-01T00:00:00"/>
    <n v="0.22295999999999999"/>
    <n v="70686"/>
    <x v="0"/>
    <n v="101389.64221000001"/>
    <s v="Overdue"/>
    <d v="2024-06-01T00:00:00"/>
    <s v="Variable"/>
    <d v="2024-04-02T00:00:00"/>
    <s v="NO"/>
  </r>
  <r>
    <n v="10687"/>
    <n v="5769"/>
    <x v="1"/>
    <n v="56304.23"/>
    <n v="7"/>
    <x v="1"/>
    <x v="0"/>
    <n v="24286.84"/>
    <x v="0"/>
    <s v="WH-B"/>
    <n v="600"/>
    <d v="2024-02-10T00:00:00"/>
    <n v="14"/>
    <n v="90687"/>
    <x v="3"/>
    <d v="2024-03-01T00:00:00"/>
    <n v="0.41287000000000001"/>
    <n v="70687"/>
    <x v="1"/>
    <n v="191112.75138"/>
    <s v="pending"/>
    <d v="2024-04-10T00:00:00"/>
    <s v="Variable"/>
    <d v="2024-04-02T00:00:00"/>
    <s v="NO"/>
  </r>
  <r>
    <n v="10688"/>
    <n v="6016"/>
    <x v="1"/>
    <n v="61266.21"/>
    <n v="68"/>
    <x v="3"/>
    <x v="2"/>
    <n v="45767.040000000001"/>
    <x v="2"/>
    <s v="WH-B"/>
    <n v="1365"/>
    <d v="2024-04-15T00:00:00"/>
    <n v="3"/>
    <n v="90688"/>
    <x v="0"/>
    <d v="2024-03-01T00:00:00"/>
    <n v="0.96862999999999999"/>
    <n v="70688"/>
    <x v="2"/>
    <n v="102268.2277"/>
    <s v="pending"/>
    <d v="2024-06-01T00:00:00"/>
    <s v="Fixed"/>
    <d v="2024-04-02T00:00:00"/>
    <s v="NO"/>
  </r>
  <r>
    <n v="10689"/>
    <n v="6349"/>
    <x v="1"/>
    <n v="30929.62"/>
    <n v="37"/>
    <x v="3"/>
    <x v="2"/>
    <n v="83896.09"/>
    <x v="1"/>
    <s v="WH-C"/>
    <n v="1214"/>
    <d v="2024-03-10T00:00:00"/>
    <n v="2"/>
    <n v="90689"/>
    <x v="3"/>
    <d v="2024-05-18T00:00:00"/>
    <n v="0.54073000000000004"/>
    <n v="70689"/>
    <x v="0"/>
    <n v="141136.00252000001"/>
    <s v="Overdue"/>
    <d v="2024-06-01T00:00:00"/>
    <s v="Variable"/>
    <d v="2024-04-02T00:00:00"/>
    <s v="NO"/>
  </r>
  <r>
    <n v="10690"/>
    <n v="5516"/>
    <x v="1"/>
    <n v="47304.28"/>
    <n v="56"/>
    <x v="1"/>
    <x v="3"/>
    <n v="33456.83"/>
    <x v="1"/>
    <s v="WH-B"/>
    <n v="1219"/>
    <d v="2024-02-10T00:00:00"/>
    <n v="5"/>
    <n v="90690"/>
    <x v="2"/>
    <d v="2024-04-01T00:00:00"/>
    <n v="0.20047000000000001"/>
    <n v="70690"/>
    <x v="0"/>
    <n v="100877.86594"/>
    <s v="Overdue"/>
    <d v="2024-04-10T00:00:00"/>
    <s v="Fixed"/>
    <d v="2024-03-25T00:00:00"/>
    <s v="NO"/>
  </r>
  <r>
    <n v="10691"/>
    <n v="6040"/>
    <x v="1"/>
    <n v="48870.17"/>
    <n v="65"/>
    <x v="1"/>
    <x v="2"/>
    <n v="69368.36"/>
    <x v="1"/>
    <s v="WH-A"/>
    <n v="1498"/>
    <d v="2024-02-10T00:00:00"/>
    <n v="6"/>
    <n v="90691"/>
    <x v="3"/>
    <d v="2024-05-18T00:00:00"/>
    <n v="0.51273999999999997"/>
    <n v="70691"/>
    <x v="2"/>
    <n v="94179.967499999999"/>
    <s v="Paid"/>
    <d v="2024-04-10T00:00:00"/>
    <s v="Variable"/>
    <d v="2024-04-02T00:00:00"/>
    <s v="NO"/>
  </r>
  <r>
    <n v="10692"/>
    <n v="5792"/>
    <x v="1"/>
    <n v="21012.799999999999"/>
    <n v="65"/>
    <x v="3"/>
    <x v="1"/>
    <n v="129508.16"/>
    <x v="2"/>
    <s v="WH-A"/>
    <n v="363"/>
    <d v="2024-03-10T00:00:00"/>
    <n v="11"/>
    <n v="90692"/>
    <x v="1"/>
    <d v="2024-05-18T00:00:00"/>
    <n v="0.72728999999999999"/>
    <n v="70692"/>
    <x v="1"/>
    <n v="153408.46692000001"/>
    <s v="Paid"/>
    <d v="2024-04-10T00:00:00"/>
    <s v="Fixed"/>
    <d v="2024-04-02T00:00:00"/>
    <s v="YES"/>
  </r>
  <r>
    <n v="10693"/>
    <n v="5336"/>
    <x v="1"/>
    <n v="43524.65"/>
    <n v="47"/>
    <x v="2"/>
    <x v="3"/>
    <n v="153224.04"/>
    <x v="2"/>
    <s v="WH-A"/>
    <n v="233"/>
    <d v="2024-03-10T00:00:00"/>
    <n v="5"/>
    <n v="90693"/>
    <x v="3"/>
    <d v="2024-03-01T00:00:00"/>
    <n v="0.99778999999999995"/>
    <n v="70693"/>
    <x v="1"/>
    <n v="130577.10456000001"/>
    <s v="Overdue"/>
    <d v="2024-05-10T00:00:00"/>
    <s v="Variable"/>
    <d v="2024-03-25T00:00:00"/>
    <s v="YES"/>
  </r>
  <r>
    <n v="10694"/>
    <n v="6783"/>
    <x v="1"/>
    <n v="93928.97"/>
    <n v="20"/>
    <x v="0"/>
    <x v="3"/>
    <n v="56871.05"/>
    <x v="1"/>
    <s v="WH-C"/>
    <n v="762"/>
    <d v="2024-02-10T00:00:00"/>
    <n v="2"/>
    <n v="90694"/>
    <x v="1"/>
    <d v="2024-03-01T00:00:00"/>
    <n v="0.39151000000000002"/>
    <n v="70694"/>
    <x v="1"/>
    <n v="103056.14911"/>
    <s v="pending"/>
    <d v="2024-06-01T00:00:00"/>
    <s v="Fixed"/>
    <d v="2024-03-25T00:00:00"/>
    <s v="NO"/>
  </r>
  <r>
    <n v="10695"/>
    <n v="5258"/>
    <x v="1"/>
    <n v="64821.03"/>
    <n v="19"/>
    <x v="2"/>
    <x v="3"/>
    <n v="46443.81"/>
    <x v="1"/>
    <s v="WH-B"/>
    <n v="177"/>
    <d v="2024-04-15T00:00:00"/>
    <n v="12"/>
    <n v="90695"/>
    <x v="1"/>
    <d v="2024-04-01T00:00:00"/>
    <n v="0.56267999999999996"/>
    <n v="70695"/>
    <x v="2"/>
    <n v="181071.47555"/>
    <s v="Paid"/>
    <d v="2024-06-01T00:00:00"/>
    <s v="Variable"/>
    <d v="2024-03-25T00:00:00"/>
    <s v="YES"/>
  </r>
  <r>
    <n v="10696"/>
    <n v="5497"/>
    <x v="1"/>
    <n v="20794.78"/>
    <n v="29"/>
    <x v="2"/>
    <x v="0"/>
    <n v="112211.33"/>
    <x v="1"/>
    <s v="WH-B"/>
    <n v="1360"/>
    <d v="2024-03-10T00:00:00"/>
    <n v="5"/>
    <n v="90696"/>
    <x v="3"/>
    <d v="2024-04-01T00:00:00"/>
    <n v="0.89171"/>
    <n v="70696"/>
    <x v="1"/>
    <n v="154241.0441"/>
    <s v="Overdue"/>
    <d v="2024-06-01T00:00:00"/>
    <s v="Fixed"/>
    <d v="2024-03-25T00:00:00"/>
    <s v="YES"/>
  </r>
  <r>
    <n v="10697"/>
    <n v="5896"/>
    <x v="1"/>
    <n v="15214.25"/>
    <n v="74"/>
    <x v="1"/>
    <x v="0"/>
    <n v="144921.73000000001"/>
    <x v="0"/>
    <s v="WH-B"/>
    <n v="1326"/>
    <d v="2024-04-15T00:00:00"/>
    <n v="9"/>
    <n v="90697"/>
    <x v="0"/>
    <d v="2024-04-01T00:00:00"/>
    <n v="0.41974"/>
    <n v="70697"/>
    <x v="0"/>
    <n v="114698.12586"/>
    <s v="Overdue"/>
    <d v="2024-04-10T00:00:00"/>
    <s v="Variable"/>
    <d v="2024-03-25T00:00:00"/>
    <s v="YES"/>
  </r>
  <r>
    <n v="10698"/>
    <n v="5160"/>
    <x v="1"/>
    <n v="32330.6"/>
    <n v="60"/>
    <x v="0"/>
    <x v="2"/>
    <n v="122646.86"/>
    <x v="2"/>
    <s v="WH-A"/>
    <n v="749"/>
    <d v="2024-02-10T00:00:00"/>
    <n v="4"/>
    <n v="90698"/>
    <x v="2"/>
    <d v="2024-04-01T00:00:00"/>
    <n v="0.19833999999999999"/>
    <n v="70698"/>
    <x v="0"/>
    <n v="169970.54490000001"/>
    <s v="pending"/>
    <d v="2024-06-01T00:00:00"/>
    <s v="Variable"/>
    <d v="2024-04-02T00:00:00"/>
    <s v="NO"/>
  </r>
  <r>
    <n v="10699"/>
    <n v="6499"/>
    <x v="1"/>
    <n v="51425.38"/>
    <n v="18"/>
    <x v="2"/>
    <x v="3"/>
    <n v="103037.04"/>
    <x v="1"/>
    <s v="WH-B"/>
    <n v="435"/>
    <d v="2024-04-15T00:00:00"/>
    <n v="12"/>
    <n v="90699"/>
    <x v="2"/>
    <d v="2024-05-18T00:00:00"/>
    <n v="0.95404"/>
    <n v="70699"/>
    <x v="1"/>
    <n v="160633.61191000001"/>
    <s v="Overdue"/>
    <d v="2024-06-01T00:00:00"/>
    <s v="Fixed"/>
    <d v="2024-03-25T00:00:00"/>
    <s v="YES"/>
  </r>
  <r>
    <n v="10700"/>
    <n v="5852"/>
    <x v="1"/>
    <n v="18990.900000000001"/>
    <n v="92"/>
    <x v="1"/>
    <x v="3"/>
    <n v="101986.44"/>
    <x v="0"/>
    <s v="WH-A"/>
    <n v="1303"/>
    <d v="2024-02-10T00:00:00"/>
    <n v="10"/>
    <n v="90700"/>
    <x v="3"/>
    <d v="2024-04-01T00:00:00"/>
    <n v="0.53959999999999997"/>
    <n v="70700"/>
    <x v="1"/>
    <n v="114707.97903"/>
    <s v="Paid"/>
    <d v="2024-04-10T00:00:00"/>
    <s v="Variable"/>
    <d v="2024-03-25T00:00:00"/>
    <s v="YES"/>
  </r>
  <r>
    <n v="10701"/>
    <n v="6688"/>
    <x v="1"/>
    <n v="94212.68"/>
    <n v="35"/>
    <x v="2"/>
    <x v="1"/>
    <n v="134813.26"/>
    <x v="1"/>
    <s v="WH-B"/>
    <n v="320"/>
    <d v="2024-02-10T00:00:00"/>
    <n v="2"/>
    <n v="90701"/>
    <x v="0"/>
    <d v="2024-05-18T00:00:00"/>
    <n v="0.55250999999999995"/>
    <n v="70701"/>
    <x v="1"/>
    <n v="101730.21954999999"/>
    <s v="pending"/>
    <d v="2024-04-10T00:00:00"/>
    <s v="Fixed"/>
    <d v="2024-04-02T00:00:00"/>
    <s v="YES"/>
  </r>
  <r>
    <n v="10702"/>
    <n v="6932"/>
    <x v="1"/>
    <n v="53016.32"/>
    <n v="43"/>
    <x v="2"/>
    <x v="2"/>
    <n v="26596.07"/>
    <x v="2"/>
    <s v="WH-A"/>
    <n v="860"/>
    <d v="2024-02-10T00:00:00"/>
    <n v="3"/>
    <n v="90702"/>
    <x v="0"/>
    <d v="2024-03-01T00:00:00"/>
    <n v="0.65908"/>
    <n v="70702"/>
    <x v="2"/>
    <n v="171180.46019000001"/>
    <s v="Overdue"/>
    <d v="2024-06-01T00:00:00"/>
    <s v="Variable"/>
    <d v="2024-04-02T00:00:00"/>
    <s v="NO"/>
  </r>
  <r>
    <n v="10703"/>
    <n v="5690"/>
    <x v="0"/>
    <n v="16927.28"/>
    <n v="95"/>
    <x v="1"/>
    <x v="1"/>
    <n v="56371.66"/>
    <x v="0"/>
    <s v="WH-B"/>
    <n v="464"/>
    <d v="2024-02-10T00:00:00"/>
    <n v="3"/>
    <n v="90703"/>
    <x v="2"/>
    <d v="2024-04-01T00:00:00"/>
    <n v="0.10317999999999999"/>
    <n v="70703"/>
    <x v="1"/>
    <n v="163781.31865999999"/>
    <s v="Overdue"/>
    <d v="2024-05-10T00:00:00"/>
    <s v="Variable"/>
    <d v="2024-04-02T00:00:00"/>
    <s v="YES"/>
  </r>
  <r>
    <n v="10704"/>
    <n v="6699"/>
    <x v="1"/>
    <n v="20686.86"/>
    <n v="91"/>
    <x v="1"/>
    <x v="2"/>
    <n v="46900.3"/>
    <x v="0"/>
    <s v="WH-C"/>
    <n v="247"/>
    <d v="2024-04-15T00:00:00"/>
    <n v="9"/>
    <n v="90704"/>
    <x v="0"/>
    <d v="2024-03-01T00:00:00"/>
    <n v="0.93801999999999996"/>
    <n v="70704"/>
    <x v="1"/>
    <n v="132424.46520000001"/>
    <s v="pending"/>
    <d v="2024-04-10T00:00:00"/>
    <s v="Fixed"/>
    <d v="2024-03-25T00:00:00"/>
    <s v="YES"/>
  </r>
  <r>
    <n v="10705"/>
    <n v="5380"/>
    <x v="0"/>
    <n v="27210.67"/>
    <n v="11"/>
    <x v="1"/>
    <x v="2"/>
    <n v="139825.85999999999"/>
    <x v="0"/>
    <s v="WH-C"/>
    <n v="1396"/>
    <d v="2024-02-10T00:00:00"/>
    <n v="4"/>
    <n v="90705"/>
    <x v="3"/>
    <d v="2024-03-01T00:00:00"/>
    <n v="0.42531000000000002"/>
    <n v="70705"/>
    <x v="1"/>
    <n v="174744.65108000001"/>
    <s v="pending"/>
    <d v="2024-05-10T00:00:00"/>
    <s v="Fixed"/>
    <d v="2024-03-25T00:00:00"/>
    <s v="YES"/>
  </r>
  <r>
    <n v="10706"/>
    <n v="6569"/>
    <x v="1"/>
    <n v="57736.6"/>
    <n v="49"/>
    <x v="0"/>
    <x v="0"/>
    <n v="126245.49"/>
    <x v="1"/>
    <s v="WH-A"/>
    <n v="1129"/>
    <d v="2024-02-10T00:00:00"/>
    <n v="1"/>
    <n v="90706"/>
    <x v="3"/>
    <d v="2024-05-18T00:00:00"/>
    <n v="0.45723999999999998"/>
    <n v="70706"/>
    <x v="1"/>
    <n v="189828.77499000001"/>
    <s v="pending"/>
    <d v="2024-05-10T00:00:00"/>
    <s v="Variable"/>
    <d v="2024-03-25T00:00:00"/>
    <s v="YES"/>
  </r>
  <r>
    <n v="10707"/>
    <n v="6953"/>
    <x v="1"/>
    <n v="13959.74"/>
    <n v="38"/>
    <x v="2"/>
    <x v="0"/>
    <n v="91145.47"/>
    <x v="2"/>
    <s v="WH-A"/>
    <n v="880"/>
    <d v="2024-04-15T00:00:00"/>
    <n v="1"/>
    <n v="90707"/>
    <x v="0"/>
    <d v="2024-04-01T00:00:00"/>
    <n v="0.25669999999999998"/>
    <n v="70707"/>
    <x v="1"/>
    <n v="193948.8309"/>
    <s v="Paid"/>
    <d v="2024-05-10T00:00:00"/>
    <s v="Fixed"/>
    <d v="2024-03-25T00:00:00"/>
    <s v="YES"/>
  </r>
  <r>
    <n v="10708"/>
    <n v="5957"/>
    <x v="1"/>
    <n v="42414.94"/>
    <n v="64"/>
    <x v="1"/>
    <x v="1"/>
    <n v="52081.2"/>
    <x v="0"/>
    <s v="WH-B"/>
    <n v="1276"/>
    <d v="2024-03-10T00:00:00"/>
    <n v="7"/>
    <n v="90708"/>
    <x v="3"/>
    <d v="2024-05-18T00:00:00"/>
    <n v="0.44034000000000001"/>
    <n v="70708"/>
    <x v="2"/>
    <n v="80684.7883"/>
    <s v="Paid"/>
    <d v="2024-05-10T00:00:00"/>
    <s v="Variable"/>
    <d v="2024-04-02T00:00:00"/>
    <s v="YES"/>
  </r>
  <r>
    <n v="10709"/>
    <n v="5691"/>
    <x v="1"/>
    <n v="69359.17"/>
    <n v="69"/>
    <x v="3"/>
    <x v="2"/>
    <n v="27509.52"/>
    <x v="1"/>
    <s v="WH-B"/>
    <n v="677"/>
    <d v="2024-04-15T00:00:00"/>
    <n v="7"/>
    <n v="90709"/>
    <x v="1"/>
    <d v="2024-03-01T00:00:00"/>
    <n v="0.82355"/>
    <n v="70709"/>
    <x v="0"/>
    <n v="100280.03939999999"/>
    <s v="Overdue"/>
    <d v="2024-04-10T00:00:00"/>
    <s v="Variable"/>
    <d v="2024-04-02T00:00:00"/>
    <s v="NO"/>
  </r>
  <r>
    <n v="10710"/>
    <n v="6451"/>
    <x v="0"/>
    <n v="74586.64"/>
    <n v="8"/>
    <x v="2"/>
    <x v="3"/>
    <n v="175242.97"/>
    <x v="2"/>
    <s v="WH-C"/>
    <n v="653"/>
    <d v="2024-04-15T00:00:00"/>
    <n v="2"/>
    <n v="90710"/>
    <x v="2"/>
    <d v="2024-04-01T00:00:00"/>
    <n v="0.81999"/>
    <n v="70710"/>
    <x v="2"/>
    <n v="203260.4541"/>
    <s v="Overdue"/>
    <d v="2024-06-01T00:00:00"/>
    <s v="Variable"/>
    <d v="2024-03-25T00:00:00"/>
    <s v="YES"/>
  </r>
  <r>
    <n v="10711"/>
    <n v="6637"/>
    <x v="0"/>
    <n v="27425.09"/>
    <n v="34"/>
    <x v="3"/>
    <x v="0"/>
    <n v="23411.26"/>
    <x v="1"/>
    <s v="WH-B"/>
    <n v="1211"/>
    <d v="2024-04-15T00:00:00"/>
    <n v="9"/>
    <n v="90711"/>
    <x v="3"/>
    <d v="2024-03-01T00:00:00"/>
    <n v="0.94221999999999995"/>
    <n v="70711"/>
    <x v="1"/>
    <n v="62918.169560000002"/>
    <s v="pending"/>
    <d v="2024-06-01T00:00:00"/>
    <s v="Fixed"/>
    <d v="2024-04-02T00:00:00"/>
    <s v="YES"/>
  </r>
  <r>
    <n v="10712"/>
    <n v="6292"/>
    <x v="0"/>
    <n v="30431.24"/>
    <n v="48"/>
    <x v="0"/>
    <x v="3"/>
    <n v="23767.19"/>
    <x v="1"/>
    <s v="WH-A"/>
    <n v="1495"/>
    <d v="2024-02-10T00:00:00"/>
    <n v="9"/>
    <n v="90712"/>
    <x v="0"/>
    <d v="2024-03-01T00:00:00"/>
    <n v="0.46290999999999999"/>
    <n v="70712"/>
    <x v="0"/>
    <n v="188736.68460000001"/>
    <s v="Overdue"/>
    <d v="2024-04-10T00:00:00"/>
    <s v="Fixed"/>
    <d v="2024-03-25T00:00:00"/>
    <s v="YES"/>
  </r>
  <r>
    <n v="10713"/>
    <n v="6859"/>
    <x v="1"/>
    <n v="24062.22"/>
    <n v="56"/>
    <x v="1"/>
    <x v="1"/>
    <n v="68001.89"/>
    <x v="0"/>
    <s v="WH-A"/>
    <n v="1130"/>
    <d v="2024-02-10T00:00:00"/>
    <n v="5"/>
    <n v="90713"/>
    <x v="2"/>
    <d v="2024-04-01T00:00:00"/>
    <n v="0.73785000000000001"/>
    <n v="70713"/>
    <x v="1"/>
    <n v="94798.221879999997"/>
    <s v="Overdue"/>
    <d v="2024-04-10T00:00:00"/>
    <s v="Variable"/>
    <d v="2024-03-25T00:00:00"/>
    <s v="YES"/>
  </r>
  <r>
    <n v="10714"/>
    <n v="6601"/>
    <x v="1"/>
    <n v="49878.35"/>
    <n v="76"/>
    <x v="3"/>
    <x v="0"/>
    <n v="148858.76999999999"/>
    <x v="0"/>
    <s v="WH-A"/>
    <n v="1059"/>
    <d v="2024-02-10T00:00:00"/>
    <n v="3"/>
    <n v="90714"/>
    <x v="3"/>
    <d v="2024-04-01T00:00:00"/>
    <n v="0.55650999999999995"/>
    <n v="70714"/>
    <x v="2"/>
    <n v="129187.69839999999"/>
    <s v="pending"/>
    <d v="2024-05-10T00:00:00"/>
    <s v="Variable"/>
    <d v="2024-04-02T00:00:00"/>
    <s v="YES"/>
  </r>
  <r>
    <n v="10715"/>
    <n v="6441"/>
    <x v="1"/>
    <n v="72438.19"/>
    <n v="65"/>
    <x v="0"/>
    <x v="0"/>
    <n v="21543.97"/>
    <x v="1"/>
    <s v="WH-A"/>
    <n v="120"/>
    <d v="2024-03-10T00:00:00"/>
    <n v="3"/>
    <n v="90715"/>
    <x v="2"/>
    <d v="2024-04-01T00:00:00"/>
    <n v="0.82362000000000002"/>
    <n v="70715"/>
    <x v="1"/>
    <n v="155871.93403"/>
    <s v="Paid"/>
    <d v="2024-05-10T00:00:00"/>
    <s v="Variable"/>
    <d v="2024-03-25T00:00:00"/>
    <s v="YES"/>
  </r>
  <r>
    <n v="10716"/>
    <n v="6192"/>
    <x v="1"/>
    <n v="50654.34"/>
    <n v="31"/>
    <x v="1"/>
    <x v="2"/>
    <n v="32848.43"/>
    <x v="1"/>
    <s v="WH-A"/>
    <n v="960"/>
    <d v="2024-02-10T00:00:00"/>
    <n v="12"/>
    <n v="90716"/>
    <x v="0"/>
    <d v="2024-05-18T00:00:00"/>
    <n v="0.74129"/>
    <n v="70716"/>
    <x v="0"/>
    <n v="129395.25891999999"/>
    <s v="Paid"/>
    <d v="2024-04-10T00:00:00"/>
    <s v="Variable"/>
    <d v="2024-03-25T00:00:00"/>
    <s v="YES"/>
  </r>
  <r>
    <n v="10717"/>
    <n v="6866"/>
    <x v="1"/>
    <n v="56335.49"/>
    <n v="4"/>
    <x v="3"/>
    <x v="1"/>
    <n v="114016.48"/>
    <x v="1"/>
    <s v="WH-C"/>
    <n v="643"/>
    <d v="2024-03-10T00:00:00"/>
    <n v="3"/>
    <n v="90717"/>
    <x v="1"/>
    <d v="2024-05-18T00:00:00"/>
    <n v="0.43110999999999999"/>
    <n v="70717"/>
    <x v="1"/>
    <n v="159058.14749999999"/>
    <s v="Paid"/>
    <d v="2024-06-01T00:00:00"/>
    <s v="Variable"/>
    <d v="2024-03-25T00:00:00"/>
    <s v="YES"/>
  </r>
  <r>
    <n v="10718"/>
    <n v="6067"/>
    <x v="0"/>
    <n v="23808.38"/>
    <n v="50"/>
    <x v="3"/>
    <x v="2"/>
    <n v="78214.94"/>
    <x v="2"/>
    <s v="WH-C"/>
    <n v="1445"/>
    <d v="2024-02-10T00:00:00"/>
    <n v="6"/>
    <n v="90718"/>
    <x v="1"/>
    <d v="2024-03-01T00:00:00"/>
    <n v="0.40300999999999998"/>
    <n v="70718"/>
    <x v="0"/>
    <n v="168744.78941"/>
    <s v="Overdue"/>
    <d v="2024-05-10T00:00:00"/>
    <s v="Variable"/>
    <d v="2024-04-02T00:00:00"/>
    <s v="YES"/>
  </r>
  <r>
    <n v="10719"/>
    <n v="6580"/>
    <x v="1"/>
    <n v="26718.240000000002"/>
    <n v="69"/>
    <x v="0"/>
    <x v="0"/>
    <n v="75377.490000000005"/>
    <x v="1"/>
    <s v="WH-A"/>
    <n v="649"/>
    <d v="2024-04-15T00:00:00"/>
    <n v="4"/>
    <n v="90719"/>
    <x v="3"/>
    <d v="2024-04-01T00:00:00"/>
    <n v="0.32719999999999999"/>
    <n v="70719"/>
    <x v="0"/>
    <n v="71657.7641"/>
    <s v="pending"/>
    <d v="2024-04-10T00:00:00"/>
    <s v="Variable"/>
    <d v="2024-03-25T00:00:00"/>
    <s v="YES"/>
  </r>
  <r>
    <n v="10720"/>
    <n v="5285"/>
    <x v="1"/>
    <n v="42709.98"/>
    <n v="30"/>
    <x v="1"/>
    <x v="1"/>
    <n v="20554.03"/>
    <x v="1"/>
    <s v="WH-B"/>
    <n v="563"/>
    <d v="2024-02-10T00:00:00"/>
    <n v="8"/>
    <n v="90720"/>
    <x v="1"/>
    <d v="2024-03-01T00:00:00"/>
    <n v="0.61885999999999997"/>
    <n v="70720"/>
    <x v="1"/>
    <n v="82597.432499999995"/>
    <s v="Paid"/>
    <d v="2024-04-10T00:00:00"/>
    <s v="Variable"/>
    <d v="2024-03-25T00:00:00"/>
    <s v="NO"/>
  </r>
  <r>
    <n v="10721"/>
    <n v="5397"/>
    <x v="1"/>
    <n v="60500.56"/>
    <n v="88"/>
    <x v="1"/>
    <x v="0"/>
    <n v="80137.27"/>
    <x v="1"/>
    <s v="WH-A"/>
    <n v="133"/>
    <d v="2024-03-10T00:00:00"/>
    <n v="13"/>
    <n v="90721"/>
    <x v="3"/>
    <d v="2024-03-01T00:00:00"/>
    <n v="0.96745999999999999"/>
    <n v="70721"/>
    <x v="2"/>
    <n v="149652.00025000001"/>
    <s v="Overdue"/>
    <d v="2024-04-10T00:00:00"/>
    <s v="Fixed"/>
    <d v="2024-04-02T00:00:00"/>
    <s v="YES"/>
  </r>
  <r>
    <n v="10722"/>
    <n v="5012"/>
    <x v="1"/>
    <n v="50427.44"/>
    <n v="59"/>
    <x v="3"/>
    <x v="1"/>
    <n v="32355.38"/>
    <x v="0"/>
    <s v="WH-C"/>
    <n v="1043"/>
    <d v="2024-03-10T00:00:00"/>
    <n v="11"/>
    <n v="90722"/>
    <x v="2"/>
    <d v="2024-03-01T00:00:00"/>
    <n v="0.28005999999999998"/>
    <n v="70722"/>
    <x v="0"/>
    <n v="72489.508900000001"/>
    <s v="pending"/>
    <d v="2024-05-10T00:00:00"/>
    <s v="Fixed"/>
    <d v="2024-04-02T00:00:00"/>
    <s v="YES"/>
  </r>
  <r>
    <n v="10723"/>
    <n v="6631"/>
    <x v="1"/>
    <n v="21413.27"/>
    <n v="67"/>
    <x v="3"/>
    <x v="0"/>
    <n v="142311.57"/>
    <x v="1"/>
    <s v="WH-A"/>
    <n v="1116"/>
    <d v="2024-02-10T00:00:00"/>
    <n v="13"/>
    <n v="90723"/>
    <x v="3"/>
    <d v="2024-03-01T00:00:00"/>
    <n v="0.18573000000000001"/>
    <n v="70723"/>
    <x v="1"/>
    <n v="165042.29102"/>
    <s v="Paid"/>
    <d v="2024-04-10T00:00:00"/>
    <s v="Variable"/>
    <d v="2024-03-25T00:00:00"/>
    <s v="NO"/>
  </r>
  <r>
    <n v="10724"/>
    <n v="6326"/>
    <x v="1"/>
    <n v="49331.28"/>
    <n v="75"/>
    <x v="3"/>
    <x v="3"/>
    <n v="31137.919999999998"/>
    <x v="2"/>
    <s v="WH-C"/>
    <n v="888"/>
    <d v="2024-04-15T00:00:00"/>
    <n v="11"/>
    <n v="90724"/>
    <x v="3"/>
    <d v="2024-03-01T00:00:00"/>
    <n v="0.20746000000000001"/>
    <n v="70724"/>
    <x v="0"/>
    <n v="202383.39249999999"/>
    <s v="Paid"/>
    <d v="2024-06-01T00:00:00"/>
    <s v="Variable"/>
    <d v="2024-04-02T00:00:00"/>
    <s v="NO"/>
  </r>
  <r>
    <n v="10725"/>
    <n v="6922"/>
    <x v="1"/>
    <n v="21649.19"/>
    <n v="45"/>
    <x v="1"/>
    <x v="3"/>
    <n v="46656.22"/>
    <x v="2"/>
    <s v="WH-C"/>
    <n v="655"/>
    <d v="2024-02-10T00:00:00"/>
    <n v="11"/>
    <n v="90725"/>
    <x v="3"/>
    <d v="2024-04-01T00:00:00"/>
    <n v="0.80479000000000001"/>
    <n v="70725"/>
    <x v="1"/>
    <n v="79408.408599999995"/>
    <s v="pending"/>
    <d v="2024-04-10T00:00:00"/>
    <s v="Variable"/>
    <d v="2024-04-02T00:00:00"/>
    <s v="YES"/>
  </r>
  <r>
    <n v="10726"/>
    <n v="6277"/>
    <x v="0"/>
    <n v="88824.36"/>
    <n v="4"/>
    <x v="0"/>
    <x v="2"/>
    <n v="150393.99"/>
    <x v="1"/>
    <s v="WH-A"/>
    <n v="859"/>
    <d v="2024-02-10T00:00:00"/>
    <n v="5"/>
    <n v="90726"/>
    <x v="1"/>
    <d v="2024-05-18T00:00:00"/>
    <n v="0.41509000000000001"/>
    <n v="70726"/>
    <x v="2"/>
    <n v="197245.58869999999"/>
    <s v="Overdue"/>
    <d v="2024-05-10T00:00:00"/>
    <s v="Fixed"/>
    <d v="2024-04-02T00:00:00"/>
    <s v="YES"/>
  </r>
  <r>
    <n v="10727"/>
    <n v="5499"/>
    <x v="0"/>
    <n v="33368.49"/>
    <n v="26"/>
    <x v="0"/>
    <x v="3"/>
    <n v="152140.64000000001"/>
    <x v="2"/>
    <s v="WH-A"/>
    <n v="182"/>
    <d v="2024-02-10T00:00:00"/>
    <n v="1"/>
    <n v="90727"/>
    <x v="3"/>
    <d v="2024-04-01T00:00:00"/>
    <n v="0.30192999999999998"/>
    <n v="70727"/>
    <x v="1"/>
    <n v="206455.14920000001"/>
    <s v="Overdue"/>
    <d v="2024-06-01T00:00:00"/>
    <s v="Variable"/>
    <d v="2024-03-25T00:00:00"/>
    <s v="YES"/>
  </r>
  <r>
    <n v="10728"/>
    <n v="5754"/>
    <x v="1"/>
    <n v="9804.0400000000009"/>
    <n v="27"/>
    <x v="1"/>
    <x v="0"/>
    <n v="70715.28"/>
    <x v="1"/>
    <s v="WH-B"/>
    <n v="1468"/>
    <d v="2024-04-15T00:00:00"/>
    <n v="9"/>
    <n v="90728"/>
    <x v="0"/>
    <d v="2024-04-01T00:00:00"/>
    <n v="0.41755999999999999"/>
    <n v="70728"/>
    <x v="1"/>
    <n v="67140.070779999995"/>
    <s v="Paid"/>
    <d v="2024-06-01T00:00:00"/>
    <s v="Variable"/>
    <d v="2024-03-25T00:00:00"/>
    <s v="YES"/>
  </r>
  <r>
    <n v="10729"/>
    <n v="5035"/>
    <x v="1"/>
    <n v="45197.14"/>
    <n v="46"/>
    <x v="2"/>
    <x v="0"/>
    <n v="23242.76"/>
    <x v="0"/>
    <s v="WH-C"/>
    <n v="1138"/>
    <d v="2024-03-10T00:00:00"/>
    <n v="1"/>
    <n v="90729"/>
    <x v="3"/>
    <d v="2024-04-01T00:00:00"/>
    <n v="0.68079999999999996"/>
    <n v="70729"/>
    <x v="0"/>
    <n v="142494.51615000001"/>
    <s v="pending"/>
    <d v="2024-04-10T00:00:00"/>
    <s v="Variable"/>
    <d v="2024-04-02T00:00:00"/>
    <s v="YES"/>
  </r>
  <r>
    <n v="10730"/>
    <n v="5727"/>
    <x v="1"/>
    <n v="31289.09"/>
    <n v="64"/>
    <x v="0"/>
    <x v="3"/>
    <n v="61498.2"/>
    <x v="2"/>
    <s v="WH-B"/>
    <n v="339"/>
    <d v="2024-04-15T00:00:00"/>
    <n v="6"/>
    <n v="90730"/>
    <x v="2"/>
    <d v="2024-05-18T00:00:00"/>
    <n v="0.59211000000000003"/>
    <n v="70730"/>
    <x v="0"/>
    <n v="143101.36981999999"/>
    <s v="Overdue"/>
    <d v="2024-04-10T00:00:00"/>
    <s v="Variable"/>
    <d v="2024-03-25T00:00:00"/>
    <s v="YES"/>
  </r>
  <r>
    <n v="10731"/>
    <n v="5849"/>
    <x v="0"/>
    <n v="13936.1"/>
    <n v="91"/>
    <x v="3"/>
    <x v="2"/>
    <n v="70881.440000000002"/>
    <x v="1"/>
    <s v="WH-A"/>
    <n v="425"/>
    <d v="2024-03-10T00:00:00"/>
    <n v="1"/>
    <n v="90731"/>
    <x v="0"/>
    <d v="2024-05-18T00:00:00"/>
    <n v="0.76922999999999997"/>
    <n v="70731"/>
    <x v="2"/>
    <n v="210145.2708"/>
    <s v="pending"/>
    <d v="2024-06-01T00:00:00"/>
    <s v="Variable"/>
    <d v="2024-03-25T00:00:00"/>
    <s v="YES"/>
  </r>
  <r>
    <n v="10732"/>
    <n v="5090"/>
    <x v="1"/>
    <n v="9748.92"/>
    <n v="51"/>
    <x v="2"/>
    <x v="3"/>
    <n v="121445.69"/>
    <x v="1"/>
    <s v="WH-C"/>
    <n v="818"/>
    <d v="2024-03-10T00:00:00"/>
    <n v="3"/>
    <n v="90732"/>
    <x v="2"/>
    <d v="2024-05-18T00:00:00"/>
    <n v="0.40516999999999997"/>
    <n v="70732"/>
    <x v="1"/>
    <n v="128737.65888"/>
    <s v="pending"/>
    <d v="2024-04-10T00:00:00"/>
    <s v="Fixed"/>
    <d v="2024-03-25T00:00:00"/>
    <s v="YES"/>
  </r>
  <r>
    <n v="10733"/>
    <n v="5776"/>
    <x v="0"/>
    <n v="63412.24"/>
    <n v="50"/>
    <x v="2"/>
    <x v="1"/>
    <n v="83236.399999999994"/>
    <x v="1"/>
    <s v="WH-B"/>
    <n v="516"/>
    <d v="2024-03-10T00:00:00"/>
    <n v="10"/>
    <n v="90733"/>
    <x v="2"/>
    <d v="2024-04-01T00:00:00"/>
    <n v="0.50683"/>
    <n v="70733"/>
    <x v="1"/>
    <n v="165575.3058"/>
    <s v="Paid"/>
    <d v="2024-05-10T00:00:00"/>
    <s v="Variable"/>
    <d v="2024-03-25T00:00:00"/>
    <s v="YES"/>
  </r>
  <r>
    <n v="10734"/>
    <n v="5605"/>
    <x v="1"/>
    <n v="74384.38"/>
    <n v="6"/>
    <x v="0"/>
    <x v="1"/>
    <n v="143154.37"/>
    <x v="2"/>
    <s v="WH-B"/>
    <n v="1286"/>
    <d v="2024-04-15T00:00:00"/>
    <n v="5"/>
    <n v="90734"/>
    <x v="2"/>
    <d v="2024-05-18T00:00:00"/>
    <n v="0.19177"/>
    <n v="70734"/>
    <x v="2"/>
    <n v="68885.384000000005"/>
    <s v="pending"/>
    <d v="2024-06-01T00:00:00"/>
    <s v="Variable"/>
    <d v="2024-03-25T00:00:00"/>
    <s v="NO"/>
  </r>
  <r>
    <n v="10735"/>
    <n v="6946"/>
    <x v="0"/>
    <n v="27223.23"/>
    <n v="59"/>
    <x v="2"/>
    <x v="1"/>
    <n v="43060.88"/>
    <x v="2"/>
    <s v="WH-B"/>
    <n v="1221"/>
    <d v="2024-02-10T00:00:00"/>
    <n v="10"/>
    <n v="90735"/>
    <x v="0"/>
    <d v="2024-03-01T00:00:00"/>
    <n v="0.16575000000000001"/>
    <n v="70735"/>
    <x v="1"/>
    <n v="187836.09022000001"/>
    <s v="pending"/>
    <d v="2024-04-10T00:00:00"/>
    <s v="Variable"/>
    <d v="2024-03-25T00:00:00"/>
    <s v="YES"/>
  </r>
  <r>
    <n v="10736"/>
    <n v="5970"/>
    <x v="1"/>
    <n v="70375.740000000005"/>
    <n v="15"/>
    <x v="2"/>
    <x v="3"/>
    <n v="13618.32"/>
    <x v="1"/>
    <s v="WH-A"/>
    <n v="520"/>
    <d v="2024-02-10T00:00:00"/>
    <n v="7"/>
    <n v="90736"/>
    <x v="0"/>
    <d v="2024-05-18T00:00:00"/>
    <n v="0.51602999999999999"/>
    <n v="70736"/>
    <x v="1"/>
    <n v="183365.50640000001"/>
    <s v="pending"/>
    <d v="2024-06-01T00:00:00"/>
    <s v="Variable"/>
    <d v="2024-03-25T00:00:00"/>
    <s v="NO"/>
  </r>
  <r>
    <n v="10737"/>
    <n v="6626"/>
    <x v="1"/>
    <n v="55496.26"/>
    <n v="30"/>
    <x v="0"/>
    <x v="3"/>
    <n v="114905.01"/>
    <x v="1"/>
    <s v="WH-A"/>
    <n v="198"/>
    <d v="2024-02-10T00:00:00"/>
    <n v="14"/>
    <n v="90737"/>
    <x v="1"/>
    <d v="2024-04-01T00:00:00"/>
    <n v="0.37143999999999999"/>
    <n v="70737"/>
    <x v="2"/>
    <n v="168432.86966999999"/>
    <s v="Overdue"/>
    <d v="2024-04-10T00:00:00"/>
    <s v="Fixed"/>
    <d v="2024-03-25T00:00:00"/>
    <s v="NO"/>
  </r>
  <r>
    <n v="10738"/>
    <n v="6022"/>
    <x v="1"/>
    <n v="80092.86"/>
    <n v="42"/>
    <x v="0"/>
    <x v="3"/>
    <n v="60820.72"/>
    <x v="2"/>
    <s v="WH-A"/>
    <n v="137"/>
    <d v="2024-02-10T00:00:00"/>
    <n v="10"/>
    <n v="90738"/>
    <x v="0"/>
    <d v="2024-04-01T00:00:00"/>
    <n v="0.65151999999999999"/>
    <n v="70738"/>
    <x v="1"/>
    <n v="73012.395399999994"/>
    <s v="Paid"/>
    <d v="2024-04-10T00:00:00"/>
    <s v="Fixed"/>
    <d v="2024-04-02T00:00:00"/>
    <s v="YES"/>
  </r>
  <r>
    <n v="10739"/>
    <n v="5418"/>
    <x v="1"/>
    <n v="61880.94"/>
    <n v="37"/>
    <x v="2"/>
    <x v="1"/>
    <n v="22593.599999999999"/>
    <x v="0"/>
    <s v="WH-C"/>
    <n v="1397"/>
    <d v="2024-02-10T00:00:00"/>
    <n v="8"/>
    <n v="90739"/>
    <x v="3"/>
    <d v="2024-03-01T00:00:00"/>
    <n v="0.13869999999999999"/>
    <n v="70739"/>
    <x v="2"/>
    <n v="190719.546"/>
    <s v="Paid"/>
    <d v="2024-05-10T00:00:00"/>
    <s v="Fixed"/>
    <d v="2024-03-25T00:00:00"/>
    <s v="YES"/>
  </r>
  <r>
    <n v="10740"/>
    <n v="5115"/>
    <x v="1"/>
    <n v="22526.62"/>
    <n v="42"/>
    <x v="3"/>
    <x v="2"/>
    <n v="158661.97"/>
    <x v="2"/>
    <s v="WH-A"/>
    <n v="445"/>
    <d v="2024-04-15T00:00:00"/>
    <n v="12"/>
    <n v="90740"/>
    <x v="2"/>
    <d v="2024-05-18T00:00:00"/>
    <n v="0.20959"/>
    <n v="70740"/>
    <x v="0"/>
    <n v="96946.653380000003"/>
    <s v="pending"/>
    <d v="2024-04-10T00:00:00"/>
    <s v="Fixed"/>
    <d v="2024-03-25T00:00:00"/>
    <s v="NO"/>
  </r>
  <r>
    <n v="10741"/>
    <n v="5617"/>
    <x v="1"/>
    <n v="33216.36"/>
    <n v="35"/>
    <x v="1"/>
    <x v="0"/>
    <n v="46733.04"/>
    <x v="1"/>
    <s v="WH-C"/>
    <n v="839"/>
    <d v="2024-04-15T00:00:00"/>
    <n v="9"/>
    <n v="90741"/>
    <x v="1"/>
    <d v="2024-05-18T00:00:00"/>
    <n v="0.87866999999999995"/>
    <n v="70741"/>
    <x v="0"/>
    <n v="93945.060540000006"/>
    <s v="pending"/>
    <d v="2024-04-10T00:00:00"/>
    <s v="Variable"/>
    <d v="2024-03-25T00:00:00"/>
    <s v="YES"/>
  </r>
  <r>
    <n v="10742"/>
    <n v="6927"/>
    <x v="1"/>
    <n v="23168.32"/>
    <n v="87"/>
    <x v="2"/>
    <x v="3"/>
    <n v="47922.83"/>
    <x v="2"/>
    <s v="WH-B"/>
    <n v="1477"/>
    <d v="2024-04-15T00:00:00"/>
    <n v="6"/>
    <n v="90742"/>
    <x v="0"/>
    <d v="2024-03-01T00:00:00"/>
    <n v="0.60968"/>
    <n v="70742"/>
    <x v="1"/>
    <n v="79682.423699999999"/>
    <s v="Overdue"/>
    <d v="2024-04-10T00:00:00"/>
    <s v="Variable"/>
    <d v="2024-03-25T00:00:00"/>
    <s v="YES"/>
  </r>
  <r>
    <n v="10743"/>
    <n v="6220"/>
    <x v="1"/>
    <n v="90231"/>
    <n v="6"/>
    <x v="2"/>
    <x v="2"/>
    <n v="34207.49"/>
    <x v="1"/>
    <s v="WH-B"/>
    <n v="1155"/>
    <d v="2024-04-15T00:00:00"/>
    <n v="11"/>
    <n v="90743"/>
    <x v="2"/>
    <d v="2024-04-01T00:00:00"/>
    <n v="0.74085000000000001"/>
    <n v="70743"/>
    <x v="1"/>
    <n v="180532.15987"/>
    <s v="Paid"/>
    <d v="2024-05-10T00:00:00"/>
    <s v="Variable"/>
    <d v="2024-04-02T00:00:00"/>
    <s v="NO"/>
  </r>
  <r>
    <n v="10744"/>
    <n v="5826"/>
    <x v="1"/>
    <n v="60642.59"/>
    <n v="68"/>
    <x v="3"/>
    <x v="0"/>
    <n v="15485.91"/>
    <x v="2"/>
    <s v="WH-A"/>
    <n v="1359"/>
    <d v="2024-04-15T00:00:00"/>
    <n v="9"/>
    <n v="90744"/>
    <x v="0"/>
    <d v="2024-04-01T00:00:00"/>
    <n v="0.85777000000000003"/>
    <n v="70744"/>
    <x v="0"/>
    <n v="81313.699139999997"/>
    <s v="Overdue"/>
    <d v="2024-04-10T00:00:00"/>
    <s v="Variable"/>
    <d v="2024-03-25T00:00:00"/>
    <s v="YES"/>
  </r>
  <r>
    <n v="10745"/>
    <n v="6525"/>
    <x v="1"/>
    <n v="90289.24"/>
    <n v="18"/>
    <x v="2"/>
    <x v="0"/>
    <n v="30534.32"/>
    <x v="2"/>
    <s v="WH-B"/>
    <n v="1455"/>
    <d v="2024-04-15T00:00:00"/>
    <n v="8"/>
    <n v="90745"/>
    <x v="1"/>
    <d v="2024-05-18T00:00:00"/>
    <n v="0.51744999999999997"/>
    <n v="70745"/>
    <x v="1"/>
    <n v="154817.1539"/>
    <s v="Paid"/>
    <d v="2024-04-10T00:00:00"/>
    <s v="Variable"/>
    <d v="2024-04-02T00:00:00"/>
    <s v="NO"/>
  </r>
  <r>
    <n v="10746"/>
    <n v="6650"/>
    <x v="1"/>
    <n v="78003.100000000006"/>
    <n v="73"/>
    <x v="2"/>
    <x v="0"/>
    <n v="63244.71"/>
    <x v="1"/>
    <s v="WH-A"/>
    <n v="914"/>
    <d v="2024-04-15T00:00:00"/>
    <n v="9"/>
    <n v="90746"/>
    <x v="0"/>
    <d v="2024-05-18T00:00:00"/>
    <n v="0.78495000000000004"/>
    <n v="70746"/>
    <x v="2"/>
    <n v="187721.60759999999"/>
    <s v="Overdue"/>
    <d v="2024-04-10T00:00:00"/>
    <s v="Variable"/>
    <d v="2024-03-25T00:00:00"/>
    <s v="NO"/>
  </r>
  <r>
    <n v="10747"/>
    <n v="6517"/>
    <x v="0"/>
    <n v="12717.95"/>
    <n v="29"/>
    <x v="1"/>
    <x v="2"/>
    <n v="26304.68"/>
    <x v="1"/>
    <s v="WH-C"/>
    <n v="1343"/>
    <d v="2024-02-10T00:00:00"/>
    <n v="10"/>
    <n v="90747"/>
    <x v="0"/>
    <d v="2024-05-18T00:00:00"/>
    <n v="0.57213000000000003"/>
    <n v="70747"/>
    <x v="1"/>
    <n v="72084.164269999994"/>
    <s v="pending"/>
    <d v="2024-06-01T00:00:00"/>
    <s v="Fixed"/>
    <d v="2024-03-25T00:00:00"/>
    <s v="YES"/>
  </r>
  <r>
    <n v="10748"/>
    <n v="6099"/>
    <x v="1"/>
    <n v="81605.539999999994"/>
    <n v="77"/>
    <x v="1"/>
    <x v="2"/>
    <n v="149890.01999999999"/>
    <x v="1"/>
    <s v="WH-B"/>
    <n v="1365"/>
    <d v="2024-03-10T00:00:00"/>
    <n v="4"/>
    <n v="90748"/>
    <x v="2"/>
    <d v="2024-05-18T00:00:00"/>
    <n v="0.30047000000000001"/>
    <n v="70748"/>
    <x v="1"/>
    <n v="189519.04621999999"/>
    <s v="Overdue"/>
    <d v="2024-05-10T00:00:00"/>
    <s v="Fixed"/>
    <d v="2024-03-25T00:00:00"/>
    <s v="YES"/>
  </r>
  <r>
    <n v="10749"/>
    <n v="5413"/>
    <x v="1"/>
    <n v="55087.54"/>
    <n v="59"/>
    <x v="1"/>
    <x v="1"/>
    <n v="36610.199999999997"/>
    <x v="2"/>
    <s v="WH-A"/>
    <n v="73"/>
    <d v="2024-04-15T00:00:00"/>
    <n v="9"/>
    <n v="90749"/>
    <x v="3"/>
    <d v="2024-05-18T00:00:00"/>
    <n v="0.40389000000000003"/>
    <n v="70749"/>
    <x v="1"/>
    <n v="163216.79397999999"/>
    <s v="pending"/>
    <d v="2024-06-01T00:00:00"/>
    <s v="Variable"/>
    <d v="2024-04-02T00:00:00"/>
    <s v="YES"/>
  </r>
  <r>
    <n v="10750"/>
    <n v="6400"/>
    <x v="1"/>
    <n v="62835.34"/>
    <n v="47"/>
    <x v="0"/>
    <x v="2"/>
    <n v="44232.26"/>
    <x v="0"/>
    <s v="WH-B"/>
    <n v="1005"/>
    <d v="2024-03-10T00:00:00"/>
    <n v="7"/>
    <n v="90750"/>
    <x v="0"/>
    <d v="2024-04-01T00:00:00"/>
    <n v="0.54132000000000002"/>
    <n v="70750"/>
    <x v="0"/>
    <n v="124625.50827000001"/>
    <s v="Paid"/>
    <d v="2024-05-10T00:00:00"/>
    <s v="Variable"/>
    <d v="2024-03-25T00:00:00"/>
    <s v="NO"/>
  </r>
  <r>
    <n v="10751"/>
    <n v="6444"/>
    <x v="1"/>
    <n v="80786.19"/>
    <n v="17"/>
    <x v="0"/>
    <x v="2"/>
    <n v="63846.44"/>
    <x v="2"/>
    <s v="WH-B"/>
    <n v="360"/>
    <d v="2024-04-15T00:00:00"/>
    <n v="5"/>
    <n v="90751"/>
    <x v="1"/>
    <d v="2024-04-01T00:00:00"/>
    <n v="0.38519999999999999"/>
    <n v="70751"/>
    <x v="1"/>
    <n v="159542.67126"/>
    <s v="Paid"/>
    <d v="2024-05-10T00:00:00"/>
    <s v="Fixed"/>
    <d v="2024-04-02T00:00:00"/>
    <s v="YES"/>
  </r>
  <r>
    <n v="10752"/>
    <n v="5729"/>
    <x v="1"/>
    <n v="21775.03"/>
    <n v="96"/>
    <x v="1"/>
    <x v="2"/>
    <n v="84606.21"/>
    <x v="1"/>
    <s v="WH-A"/>
    <n v="1281"/>
    <d v="2024-04-15T00:00:00"/>
    <n v="5"/>
    <n v="90752"/>
    <x v="0"/>
    <d v="2024-04-01T00:00:00"/>
    <n v="0.40196999999999999"/>
    <n v="70752"/>
    <x v="1"/>
    <n v="135986.60980000001"/>
    <s v="pending"/>
    <d v="2024-06-01T00:00:00"/>
    <s v="Variable"/>
    <d v="2024-04-02T00:00:00"/>
    <s v="NO"/>
  </r>
  <r>
    <n v="10753"/>
    <n v="6301"/>
    <x v="1"/>
    <n v="34187.03"/>
    <n v="22"/>
    <x v="1"/>
    <x v="0"/>
    <n v="30789.88"/>
    <x v="0"/>
    <s v="WH-B"/>
    <n v="713"/>
    <d v="2024-02-10T00:00:00"/>
    <n v="1"/>
    <n v="90753"/>
    <x v="0"/>
    <d v="2024-04-01T00:00:00"/>
    <n v="0.40365000000000001"/>
    <n v="70753"/>
    <x v="0"/>
    <n v="155302.74239999999"/>
    <s v="Paid"/>
    <d v="2024-05-10T00:00:00"/>
    <s v="Fixed"/>
    <d v="2024-03-25T00:00:00"/>
    <s v="YES"/>
  </r>
  <r>
    <n v="10754"/>
    <n v="6021"/>
    <x v="1"/>
    <n v="33766.17"/>
    <n v="68"/>
    <x v="0"/>
    <x v="3"/>
    <n v="49369.47"/>
    <x v="1"/>
    <s v="WH-B"/>
    <n v="487"/>
    <d v="2024-03-10T00:00:00"/>
    <n v="2"/>
    <n v="90754"/>
    <x v="3"/>
    <d v="2024-03-01T00:00:00"/>
    <n v="0.21056"/>
    <n v="70754"/>
    <x v="2"/>
    <n v="141875.06937000001"/>
    <s v="Overdue"/>
    <d v="2024-05-10T00:00:00"/>
    <s v="Variable"/>
    <d v="2024-03-25T00:00:00"/>
    <s v="YES"/>
  </r>
  <r>
    <n v="10755"/>
    <n v="5761"/>
    <x v="1"/>
    <n v="40671.410000000003"/>
    <n v="69"/>
    <x v="3"/>
    <x v="1"/>
    <n v="170750.74"/>
    <x v="1"/>
    <s v="WH-B"/>
    <n v="755"/>
    <d v="2024-02-10T00:00:00"/>
    <n v="10"/>
    <n v="90755"/>
    <x v="2"/>
    <d v="2024-04-01T00:00:00"/>
    <n v="0.17618"/>
    <n v="70755"/>
    <x v="1"/>
    <n v="100958.57627999999"/>
    <s v="pending"/>
    <d v="2024-06-01T00:00:00"/>
    <s v="Fixed"/>
    <d v="2024-04-02T00:00:00"/>
    <s v="YES"/>
  </r>
  <r>
    <n v="10756"/>
    <n v="5676"/>
    <x v="1"/>
    <n v="45738.239999999998"/>
    <n v="37"/>
    <x v="2"/>
    <x v="3"/>
    <n v="69967.22"/>
    <x v="1"/>
    <s v="WH-B"/>
    <n v="1409"/>
    <d v="2024-02-10T00:00:00"/>
    <n v="3"/>
    <n v="90756"/>
    <x v="1"/>
    <d v="2024-03-01T00:00:00"/>
    <n v="0.14185"/>
    <n v="70756"/>
    <x v="2"/>
    <n v="215373.96049999999"/>
    <s v="Paid"/>
    <d v="2024-04-10T00:00:00"/>
    <s v="Fixed"/>
    <d v="2024-03-25T00:00:00"/>
    <s v="YES"/>
  </r>
  <r>
    <n v="10757"/>
    <n v="6418"/>
    <x v="0"/>
    <n v="39071.51"/>
    <n v="49"/>
    <x v="2"/>
    <x v="3"/>
    <n v="95936.6"/>
    <x v="0"/>
    <s v="WH-C"/>
    <n v="471"/>
    <d v="2024-03-10T00:00:00"/>
    <n v="14"/>
    <n v="90757"/>
    <x v="2"/>
    <d v="2024-04-01T00:00:00"/>
    <n v="0.19986000000000001"/>
    <n v="70757"/>
    <x v="1"/>
    <n v="165006.76303999999"/>
    <s v="Overdue"/>
    <d v="2024-05-10T00:00:00"/>
    <s v="Fixed"/>
    <d v="2024-03-25T00:00:00"/>
    <s v="YES"/>
  </r>
  <r>
    <n v="10758"/>
    <n v="6893"/>
    <x v="1"/>
    <n v="74181.990000000005"/>
    <n v="13"/>
    <x v="1"/>
    <x v="2"/>
    <n v="85809.64"/>
    <x v="2"/>
    <s v="WH-B"/>
    <n v="370"/>
    <d v="2024-02-10T00:00:00"/>
    <n v="14"/>
    <n v="90758"/>
    <x v="2"/>
    <d v="2024-05-18T00:00:00"/>
    <n v="0.40933999999999998"/>
    <n v="70758"/>
    <x v="1"/>
    <n v="159319.7641"/>
    <s v="Overdue"/>
    <d v="2024-06-01T00:00:00"/>
    <s v="Variable"/>
    <d v="2024-03-25T00:00:00"/>
    <s v="YES"/>
  </r>
  <r>
    <n v="10759"/>
    <n v="5457"/>
    <x v="1"/>
    <n v="60073.31"/>
    <n v="34"/>
    <x v="3"/>
    <x v="1"/>
    <n v="143262.89000000001"/>
    <x v="1"/>
    <s v="WH-B"/>
    <n v="636"/>
    <d v="2024-04-15T00:00:00"/>
    <n v="8"/>
    <n v="90759"/>
    <x v="2"/>
    <d v="2024-05-18T00:00:00"/>
    <n v="0.63448000000000004"/>
    <n v="70759"/>
    <x v="1"/>
    <n v="112403.8952"/>
    <s v="Paid"/>
    <d v="2024-05-10T00:00:00"/>
    <s v="Variable"/>
    <d v="2024-04-02T00:00:00"/>
    <s v="NO"/>
  </r>
  <r>
    <n v="10760"/>
    <n v="5920"/>
    <x v="0"/>
    <n v="68292.41"/>
    <n v="86"/>
    <x v="0"/>
    <x v="3"/>
    <n v="36406.39"/>
    <x v="2"/>
    <s v="WH-A"/>
    <n v="996"/>
    <d v="2024-04-15T00:00:00"/>
    <n v="6"/>
    <n v="90760"/>
    <x v="0"/>
    <d v="2024-05-18T00:00:00"/>
    <n v="0.26933000000000001"/>
    <n v="70760"/>
    <x v="1"/>
    <n v="143628.77536999999"/>
    <s v="Paid"/>
    <d v="2024-06-01T00:00:00"/>
    <s v="Fixed"/>
    <d v="2024-03-25T00:00:00"/>
    <s v="YES"/>
  </r>
  <r>
    <n v="10761"/>
    <n v="5192"/>
    <x v="1"/>
    <n v="94035.61"/>
    <n v="53"/>
    <x v="1"/>
    <x v="3"/>
    <n v="102236.74"/>
    <x v="1"/>
    <s v="WH-C"/>
    <n v="1236"/>
    <d v="2024-04-15T00:00:00"/>
    <n v="12"/>
    <n v="90761"/>
    <x v="3"/>
    <d v="2024-03-01T00:00:00"/>
    <n v="0.89920999999999995"/>
    <n v="70761"/>
    <x v="1"/>
    <n v="67222.542700000005"/>
    <s v="Overdue"/>
    <d v="2024-04-10T00:00:00"/>
    <s v="Fixed"/>
    <d v="2024-04-02T00:00:00"/>
    <s v="YES"/>
  </r>
  <r>
    <n v="10762"/>
    <n v="5739"/>
    <x v="0"/>
    <n v="51961.23"/>
    <n v="87"/>
    <x v="3"/>
    <x v="1"/>
    <n v="70810.22"/>
    <x v="1"/>
    <s v="WH-A"/>
    <n v="1238"/>
    <d v="2024-04-15T00:00:00"/>
    <n v="10"/>
    <n v="90762"/>
    <x v="0"/>
    <d v="2024-04-01T00:00:00"/>
    <n v="0.82754000000000005"/>
    <n v="70762"/>
    <x v="2"/>
    <n v="171617.33966999999"/>
    <s v="pending"/>
    <d v="2024-05-10T00:00:00"/>
    <s v="Variable"/>
    <d v="2024-03-25T00:00:00"/>
    <s v="YES"/>
  </r>
  <r>
    <n v="10763"/>
    <n v="6713"/>
    <x v="1"/>
    <n v="8430.16"/>
    <n v="51"/>
    <x v="3"/>
    <x v="2"/>
    <n v="179845"/>
    <x v="0"/>
    <s v="WH-A"/>
    <n v="898"/>
    <d v="2024-04-15T00:00:00"/>
    <n v="11"/>
    <n v="90763"/>
    <x v="1"/>
    <d v="2024-04-01T00:00:00"/>
    <n v="0.56847000000000003"/>
    <n v="70763"/>
    <x v="2"/>
    <n v="174722.11783999999"/>
    <s v="Paid"/>
    <d v="2024-04-10T00:00:00"/>
    <s v="Variable"/>
    <d v="2024-04-02T00:00:00"/>
    <s v="YES"/>
  </r>
  <r>
    <n v="10764"/>
    <n v="6123"/>
    <x v="1"/>
    <n v="86070.97"/>
    <n v="3"/>
    <x v="3"/>
    <x v="3"/>
    <n v="118039.91"/>
    <x v="1"/>
    <s v="WH-A"/>
    <n v="1368"/>
    <d v="2024-02-10T00:00:00"/>
    <n v="13"/>
    <n v="90764"/>
    <x v="3"/>
    <d v="2024-03-01T00:00:00"/>
    <n v="0.75178999999999996"/>
    <n v="70764"/>
    <x v="1"/>
    <n v="150973.84169999999"/>
    <s v="Paid"/>
    <d v="2024-04-10T00:00:00"/>
    <s v="Fixed"/>
    <d v="2024-04-02T00:00:00"/>
    <s v="YES"/>
  </r>
  <r>
    <n v="10765"/>
    <n v="6572"/>
    <x v="1"/>
    <n v="28308.29"/>
    <n v="42"/>
    <x v="0"/>
    <x v="0"/>
    <n v="56141.919999999998"/>
    <x v="1"/>
    <s v="WH-C"/>
    <n v="91"/>
    <d v="2024-02-10T00:00:00"/>
    <n v="14"/>
    <n v="90765"/>
    <x v="2"/>
    <d v="2024-03-01T00:00:00"/>
    <n v="0.42970000000000003"/>
    <n v="70765"/>
    <x v="1"/>
    <n v="172083.93051999999"/>
    <s v="pending"/>
    <d v="2024-06-01T00:00:00"/>
    <s v="Variable"/>
    <d v="2024-03-25T00:00:00"/>
    <s v="YES"/>
  </r>
  <r>
    <n v="10766"/>
    <n v="5978"/>
    <x v="1"/>
    <n v="74432.509999999995"/>
    <n v="98"/>
    <x v="0"/>
    <x v="3"/>
    <n v="112721.54"/>
    <x v="2"/>
    <s v="WH-A"/>
    <n v="1358"/>
    <d v="2024-04-15T00:00:00"/>
    <n v="5"/>
    <n v="90766"/>
    <x v="3"/>
    <d v="2024-03-01T00:00:00"/>
    <n v="0.1331"/>
    <n v="70766"/>
    <x v="2"/>
    <n v="150046.8616"/>
    <s v="pending"/>
    <d v="2024-05-10T00:00:00"/>
    <s v="Variable"/>
    <d v="2024-03-25T00:00:00"/>
    <s v="NO"/>
  </r>
  <r>
    <n v="10767"/>
    <n v="6009"/>
    <x v="1"/>
    <n v="96674.54"/>
    <n v="32"/>
    <x v="2"/>
    <x v="0"/>
    <n v="136631.70000000001"/>
    <x v="1"/>
    <s v="WH-A"/>
    <n v="988"/>
    <d v="2024-04-15T00:00:00"/>
    <n v="13"/>
    <n v="90767"/>
    <x v="1"/>
    <d v="2024-03-01T00:00:00"/>
    <n v="0.91390000000000005"/>
    <n v="70767"/>
    <x v="1"/>
    <n v="111107.2191"/>
    <s v="Paid"/>
    <d v="2024-05-10T00:00:00"/>
    <s v="Fixed"/>
    <d v="2024-03-25T00:00:00"/>
    <s v="NO"/>
  </r>
  <r>
    <n v="10768"/>
    <n v="5096"/>
    <x v="1"/>
    <n v="82507.75"/>
    <n v="51"/>
    <x v="2"/>
    <x v="2"/>
    <n v="95050.64"/>
    <x v="1"/>
    <s v="WH-A"/>
    <n v="436"/>
    <d v="2024-02-10T00:00:00"/>
    <n v="1"/>
    <n v="90768"/>
    <x v="0"/>
    <d v="2024-03-01T00:00:00"/>
    <n v="0.21501000000000001"/>
    <n v="70768"/>
    <x v="1"/>
    <n v="113116.3156"/>
    <s v="pending"/>
    <d v="2024-05-10T00:00:00"/>
    <s v="Variable"/>
    <d v="2024-03-25T00:00:00"/>
    <s v="NO"/>
  </r>
  <r>
    <n v="10769"/>
    <n v="6688"/>
    <x v="1"/>
    <n v="9863.42"/>
    <n v="85"/>
    <x v="3"/>
    <x v="3"/>
    <n v="142715.82999999999"/>
    <x v="1"/>
    <s v="WH-B"/>
    <n v="1211"/>
    <d v="2024-03-10T00:00:00"/>
    <n v="12"/>
    <n v="90769"/>
    <x v="0"/>
    <d v="2024-05-18T00:00:00"/>
    <n v="0.95313999999999999"/>
    <n v="70769"/>
    <x v="2"/>
    <n v="81961.596600000004"/>
    <s v="Overdue"/>
    <d v="2024-05-10T00:00:00"/>
    <s v="Variable"/>
    <d v="2024-04-02T00:00:00"/>
    <s v="NO"/>
  </r>
  <r>
    <n v="10770"/>
    <n v="5663"/>
    <x v="0"/>
    <n v="10493.7"/>
    <n v="46"/>
    <x v="3"/>
    <x v="1"/>
    <n v="74027.34"/>
    <x v="1"/>
    <s v="WH-A"/>
    <n v="1260"/>
    <d v="2024-02-10T00:00:00"/>
    <n v="11"/>
    <n v="90770"/>
    <x v="2"/>
    <d v="2024-04-01T00:00:00"/>
    <n v="0.61468999999999996"/>
    <n v="70770"/>
    <x v="0"/>
    <n v="106155.4575"/>
    <s v="Overdue"/>
    <d v="2024-05-10T00:00:00"/>
    <s v="Variable"/>
    <d v="2024-03-25T00:00:00"/>
    <s v="NO"/>
  </r>
  <r>
    <n v="10771"/>
    <n v="6214"/>
    <x v="0"/>
    <n v="76903.11"/>
    <n v="21"/>
    <x v="0"/>
    <x v="1"/>
    <n v="34522.36"/>
    <x v="1"/>
    <s v="WH-C"/>
    <n v="959"/>
    <d v="2024-02-10T00:00:00"/>
    <n v="12"/>
    <n v="90771"/>
    <x v="0"/>
    <d v="2024-03-01T00:00:00"/>
    <n v="0.37501000000000001"/>
    <n v="70771"/>
    <x v="0"/>
    <n v="153551.94062000001"/>
    <s v="Overdue"/>
    <d v="2024-06-01T00:00:00"/>
    <s v="Variable"/>
    <d v="2024-04-02T00:00:00"/>
    <s v="NO"/>
  </r>
  <r>
    <n v="10772"/>
    <n v="6760"/>
    <x v="0"/>
    <n v="54602.96"/>
    <n v="44"/>
    <x v="2"/>
    <x v="3"/>
    <n v="86879.06"/>
    <x v="1"/>
    <s v="WH-C"/>
    <n v="765"/>
    <d v="2024-02-10T00:00:00"/>
    <n v="9"/>
    <n v="90772"/>
    <x v="0"/>
    <d v="2024-05-18T00:00:00"/>
    <n v="0.54596999999999996"/>
    <n v="70772"/>
    <x v="1"/>
    <n v="161901.21609999999"/>
    <s v="Paid"/>
    <d v="2024-05-10T00:00:00"/>
    <s v="Fixed"/>
    <d v="2024-03-25T00:00:00"/>
    <s v="YES"/>
  </r>
  <r>
    <n v="10773"/>
    <n v="5037"/>
    <x v="1"/>
    <n v="63579.38"/>
    <n v="11"/>
    <x v="3"/>
    <x v="2"/>
    <n v="117086.87"/>
    <x v="1"/>
    <s v="WH-B"/>
    <n v="480"/>
    <d v="2024-02-10T00:00:00"/>
    <n v="3"/>
    <n v="90773"/>
    <x v="1"/>
    <d v="2024-03-01T00:00:00"/>
    <n v="0.55147000000000002"/>
    <n v="70773"/>
    <x v="2"/>
    <n v="61318.643400000001"/>
    <s v="pending"/>
    <d v="2024-04-10T00:00:00"/>
    <s v="Variable"/>
    <d v="2024-03-25T00:00:00"/>
    <s v="NO"/>
  </r>
  <r>
    <n v="10774"/>
    <n v="6804"/>
    <x v="1"/>
    <n v="14879.42"/>
    <n v="68"/>
    <x v="2"/>
    <x v="2"/>
    <n v="38770.699999999997"/>
    <x v="0"/>
    <s v="WH-C"/>
    <n v="603"/>
    <d v="2024-02-10T00:00:00"/>
    <n v="3"/>
    <n v="90774"/>
    <x v="3"/>
    <d v="2024-05-18T00:00:00"/>
    <n v="0.12096"/>
    <n v="70774"/>
    <x v="0"/>
    <n v="191428.23658"/>
    <s v="Overdue"/>
    <d v="2024-04-10T00:00:00"/>
    <s v="Variable"/>
    <d v="2024-03-25T00:00:00"/>
    <s v="YES"/>
  </r>
  <r>
    <n v="10775"/>
    <n v="6393"/>
    <x v="0"/>
    <n v="31342.25"/>
    <n v="1"/>
    <x v="2"/>
    <x v="1"/>
    <n v="95658.9"/>
    <x v="0"/>
    <s v="WH-C"/>
    <n v="1489"/>
    <d v="2024-03-10T00:00:00"/>
    <n v="2"/>
    <n v="90775"/>
    <x v="0"/>
    <d v="2024-03-01T00:00:00"/>
    <n v="0.41991000000000001"/>
    <n v="70775"/>
    <x v="1"/>
    <n v="102090.03121"/>
    <s v="pending"/>
    <d v="2024-05-10T00:00:00"/>
    <s v="Variable"/>
    <d v="2024-03-25T00:00:00"/>
    <s v="NO"/>
  </r>
  <r>
    <n v="10776"/>
    <n v="6719"/>
    <x v="1"/>
    <n v="29638.62"/>
    <n v="92"/>
    <x v="3"/>
    <x v="3"/>
    <n v="110137.55"/>
    <x v="1"/>
    <s v="WH-B"/>
    <n v="849"/>
    <d v="2024-04-15T00:00:00"/>
    <n v="4"/>
    <n v="90776"/>
    <x v="1"/>
    <d v="2024-04-01T00:00:00"/>
    <n v="0.76588000000000001"/>
    <n v="70776"/>
    <x v="1"/>
    <n v="195757.44639"/>
    <s v="Overdue"/>
    <d v="2024-06-01T00:00:00"/>
    <s v="Fixed"/>
    <d v="2024-03-25T00:00:00"/>
    <s v="YES"/>
  </r>
  <r>
    <n v="10777"/>
    <n v="6549"/>
    <x v="1"/>
    <n v="99700.54"/>
    <n v="63"/>
    <x v="0"/>
    <x v="2"/>
    <n v="100234.54"/>
    <x v="1"/>
    <s v="WH-A"/>
    <n v="475"/>
    <d v="2024-04-15T00:00:00"/>
    <n v="12"/>
    <n v="90777"/>
    <x v="1"/>
    <d v="2024-03-01T00:00:00"/>
    <n v="0.55906"/>
    <n v="70777"/>
    <x v="0"/>
    <n v="132377.3248"/>
    <s v="pending"/>
    <d v="2024-06-01T00:00:00"/>
    <s v="Variable"/>
    <d v="2024-03-25T00:00:00"/>
    <s v="NO"/>
  </r>
  <r>
    <n v="10778"/>
    <n v="5279"/>
    <x v="1"/>
    <n v="73366.06"/>
    <n v="24"/>
    <x v="3"/>
    <x v="1"/>
    <n v="74986.95"/>
    <x v="2"/>
    <s v="WH-B"/>
    <n v="1489"/>
    <d v="2024-03-10T00:00:00"/>
    <n v="2"/>
    <n v="90778"/>
    <x v="2"/>
    <d v="2024-03-01T00:00:00"/>
    <n v="0.31980999999999998"/>
    <n v="70778"/>
    <x v="2"/>
    <n v="152263.93692000001"/>
    <s v="Overdue"/>
    <d v="2024-05-10T00:00:00"/>
    <s v="Variable"/>
    <d v="2024-03-25T00:00:00"/>
    <s v="YES"/>
  </r>
  <r>
    <n v="10779"/>
    <n v="5217"/>
    <x v="1"/>
    <n v="82426.94"/>
    <n v="99"/>
    <x v="3"/>
    <x v="0"/>
    <n v="96125.4"/>
    <x v="0"/>
    <s v="WH-A"/>
    <n v="75"/>
    <d v="2024-04-15T00:00:00"/>
    <n v="13"/>
    <n v="90779"/>
    <x v="1"/>
    <d v="2024-04-01T00:00:00"/>
    <n v="0.40160000000000001"/>
    <n v="70779"/>
    <x v="2"/>
    <n v="94889.584400000007"/>
    <s v="Overdue"/>
    <d v="2024-04-10T00:00:00"/>
    <s v="Variable"/>
    <d v="2024-03-25T00:00:00"/>
    <s v="YES"/>
  </r>
  <r>
    <n v="10780"/>
    <n v="5867"/>
    <x v="1"/>
    <n v="72242.490000000005"/>
    <n v="13"/>
    <x v="2"/>
    <x v="3"/>
    <n v="96866.78"/>
    <x v="2"/>
    <s v="WH-A"/>
    <n v="1444"/>
    <d v="2024-04-15T00:00:00"/>
    <n v="9"/>
    <n v="90780"/>
    <x v="2"/>
    <d v="2024-04-01T00:00:00"/>
    <n v="0.87675000000000003"/>
    <n v="70780"/>
    <x v="1"/>
    <n v="141299.66725999999"/>
    <s v="Overdue"/>
    <d v="2024-05-10T00:00:00"/>
    <s v="Fixed"/>
    <d v="2024-03-25T00:00:00"/>
    <s v="YES"/>
  </r>
  <r>
    <n v="10781"/>
    <n v="5873"/>
    <x v="1"/>
    <n v="44930.92"/>
    <n v="98"/>
    <x v="3"/>
    <x v="0"/>
    <n v="146136.23000000001"/>
    <x v="0"/>
    <s v="WH-C"/>
    <n v="434"/>
    <d v="2024-04-15T00:00:00"/>
    <n v="12"/>
    <n v="90781"/>
    <x v="0"/>
    <d v="2024-03-01T00:00:00"/>
    <n v="0.57299"/>
    <n v="70781"/>
    <x v="2"/>
    <n v="175531.71424999999"/>
    <s v="Overdue"/>
    <d v="2024-05-10T00:00:00"/>
    <s v="Variable"/>
    <d v="2024-04-02T00:00:00"/>
    <s v="NO"/>
  </r>
  <r>
    <n v="10782"/>
    <n v="6822"/>
    <x v="1"/>
    <n v="14498.13"/>
    <n v="11"/>
    <x v="0"/>
    <x v="0"/>
    <n v="94178.07"/>
    <x v="0"/>
    <s v="WH-B"/>
    <n v="105"/>
    <d v="2024-03-10T00:00:00"/>
    <n v="10"/>
    <n v="90782"/>
    <x v="2"/>
    <d v="2024-04-01T00:00:00"/>
    <n v="0.57552000000000003"/>
    <n v="70782"/>
    <x v="1"/>
    <n v="112024.4014"/>
    <s v="Overdue"/>
    <d v="2024-05-10T00:00:00"/>
    <s v="Variable"/>
    <d v="2024-03-25T00:00:00"/>
    <s v="YES"/>
  </r>
  <r>
    <n v="10783"/>
    <n v="6297"/>
    <x v="1"/>
    <n v="69285.8"/>
    <n v="51"/>
    <x v="3"/>
    <x v="2"/>
    <n v="98944.77"/>
    <x v="1"/>
    <s v="WH-C"/>
    <n v="1326"/>
    <d v="2024-03-10T00:00:00"/>
    <n v="7"/>
    <n v="90783"/>
    <x v="1"/>
    <d v="2024-04-01T00:00:00"/>
    <n v="0.96531999999999996"/>
    <n v="70783"/>
    <x v="1"/>
    <n v="176037.57889"/>
    <s v="Overdue"/>
    <d v="2024-06-01T00:00:00"/>
    <s v="Fixed"/>
    <d v="2024-03-25T00:00:00"/>
    <s v="YES"/>
  </r>
  <r>
    <n v="10784"/>
    <n v="6905"/>
    <x v="1"/>
    <n v="15286.47"/>
    <n v="17"/>
    <x v="0"/>
    <x v="2"/>
    <n v="74698.2"/>
    <x v="0"/>
    <s v="WH-C"/>
    <n v="683"/>
    <d v="2024-04-15T00:00:00"/>
    <n v="8"/>
    <n v="90784"/>
    <x v="3"/>
    <d v="2024-05-18T00:00:00"/>
    <n v="0.38879000000000002"/>
    <n v="70784"/>
    <x v="0"/>
    <n v="217242.9405"/>
    <s v="Overdue"/>
    <d v="2024-06-01T00:00:00"/>
    <s v="Variable"/>
    <d v="2024-04-02T00:00:00"/>
    <s v="NO"/>
  </r>
  <r>
    <n v="10785"/>
    <n v="5062"/>
    <x v="1"/>
    <n v="69552.210000000006"/>
    <n v="99"/>
    <x v="0"/>
    <x v="2"/>
    <n v="113010.47"/>
    <x v="2"/>
    <s v="WH-A"/>
    <n v="155"/>
    <d v="2024-04-15T00:00:00"/>
    <n v="3"/>
    <n v="90785"/>
    <x v="3"/>
    <d v="2024-04-01T00:00:00"/>
    <n v="0.53159000000000001"/>
    <n v="70785"/>
    <x v="2"/>
    <n v="172264.09641999999"/>
    <s v="Overdue"/>
    <d v="2024-04-10T00:00:00"/>
    <s v="Fixed"/>
    <d v="2024-03-25T00:00:00"/>
    <s v="YES"/>
  </r>
  <r>
    <n v="10786"/>
    <n v="5596"/>
    <x v="0"/>
    <n v="16442.54"/>
    <n v="82"/>
    <x v="2"/>
    <x v="3"/>
    <n v="94616.49"/>
    <x v="0"/>
    <s v="WH-C"/>
    <n v="1203"/>
    <d v="2024-04-15T00:00:00"/>
    <n v="6"/>
    <n v="90786"/>
    <x v="0"/>
    <d v="2024-04-01T00:00:00"/>
    <n v="0.83053999999999994"/>
    <n v="70786"/>
    <x v="1"/>
    <n v="189435.38563999999"/>
    <s v="Overdue"/>
    <d v="2024-04-10T00:00:00"/>
    <s v="Variable"/>
    <d v="2024-03-25T00:00:00"/>
    <s v="YES"/>
  </r>
  <r>
    <n v="10787"/>
    <n v="6904"/>
    <x v="0"/>
    <n v="65029.41"/>
    <n v="86"/>
    <x v="1"/>
    <x v="0"/>
    <n v="32421.39"/>
    <x v="1"/>
    <s v="WH-B"/>
    <n v="898"/>
    <d v="2024-02-10T00:00:00"/>
    <n v="10"/>
    <n v="90787"/>
    <x v="0"/>
    <d v="2024-03-01T00:00:00"/>
    <n v="0.78302000000000005"/>
    <n v="70787"/>
    <x v="1"/>
    <n v="111526.1771"/>
    <s v="pending"/>
    <d v="2024-05-10T00:00:00"/>
    <s v="Fixed"/>
    <d v="2024-03-25T00:00:00"/>
    <s v="YES"/>
  </r>
  <r>
    <n v="10788"/>
    <n v="5729"/>
    <x v="1"/>
    <n v="33315.72"/>
    <n v="24"/>
    <x v="1"/>
    <x v="3"/>
    <n v="11401.5"/>
    <x v="1"/>
    <s v="WH-C"/>
    <n v="719"/>
    <d v="2024-02-10T00:00:00"/>
    <n v="6"/>
    <n v="90788"/>
    <x v="3"/>
    <d v="2024-03-01T00:00:00"/>
    <n v="0.33922000000000002"/>
    <n v="70788"/>
    <x v="2"/>
    <n v="169597.77989999999"/>
    <s v="pending"/>
    <d v="2024-04-10T00:00:00"/>
    <s v="Variable"/>
    <d v="2024-04-02T00:00:00"/>
    <s v="YES"/>
  </r>
  <r>
    <n v="10789"/>
    <n v="6366"/>
    <x v="1"/>
    <n v="23594.04"/>
    <n v="19"/>
    <x v="2"/>
    <x v="2"/>
    <n v="81654.92"/>
    <x v="1"/>
    <s v="WH-C"/>
    <n v="425"/>
    <d v="2024-02-10T00:00:00"/>
    <n v="13"/>
    <n v="90789"/>
    <x v="2"/>
    <d v="2024-05-18T00:00:00"/>
    <n v="0.23598"/>
    <n v="70789"/>
    <x v="0"/>
    <n v="216962.95009999999"/>
    <s v="Paid"/>
    <d v="2024-05-10T00:00:00"/>
    <s v="Variable"/>
    <d v="2024-03-25T00:00:00"/>
    <s v="NO"/>
  </r>
  <r>
    <n v="10790"/>
    <n v="5397"/>
    <x v="1"/>
    <n v="43887.11"/>
    <n v="37"/>
    <x v="3"/>
    <x v="0"/>
    <n v="122287.61"/>
    <x v="1"/>
    <s v="WH-A"/>
    <n v="792"/>
    <d v="2024-03-10T00:00:00"/>
    <n v="1"/>
    <n v="90790"/>
    <x v="0"/>
    <d v="2024-03-01T00:00:00"/>
    <n v="0.73063"/>
    <n v="70790"/>
    <x v="1"/>
    <n v="150164.63750000001"/>
    <s v="Overdue"/>
    <d v="2024-04-10T00:00:00"/>
    <s v="Variable"/>
    <d v="2024-03-25T00:00:00"/>
    <s v="YES"/>
  </r>
  <r>
    <n v="10791"/>
    <n v="5699"/>
    <x v="0"/>
    <n v="56570"/>
    <n v="85"/>
    <x v="2"/>
    <x v="3"/>
    <n v="77559.11"/>
    <x v="1"/>
    <s v="WH-B"/>
    <n v="1016"/>
    <d v="2024-04-15T00:00:00"/>
    <n v="6"/>
    <n v="90791"/>
    <x v="1"/>
    <d v="2024-04-01T00:00:00"/>
    <n v="0.33189000000000002"/>
    <n v="70791"/>
    <x v="1"/>
    <n v="64477.277099999999"/>
    <s v="pending"/>
    <d v="2024-05-10T00:00:00"/>
    <s v="Variable"/>
    <d v="2024-04-02T00:00:00"/>
    <s v="YES"/>
  </r>
  <r>
    <n v="10792"/>
    <n v="6043"/>
    <x v="1"/>
    <n v="76351.62"/>
    <n v="8"/>
    <x v="0"/>
    <x v="3"/>
    <n v="116132.62"/>
    <x v="1"/>
    <s v="WH-C"/>
    <n v="357"/>
    <d v="2024-03-10T00:00:00"/>
    <n v="13"/>
    <n v="90792"/>
    <x v="0"/>
    <d v="2024-04-01T00:00:00"/>
    <n v="0.93040999999999996"/>
    <n v="70792"/>
    <x v="1"/>
    <n v="70007.148270000005"/>
    <s v="pending"/>
    <d v="2024-06-01T00:00:00"/>
    <s v="Fixed"/>
    <d v="2024-03-25T00:00:00"/>
    <s v="YES"/>
  </r>
  <r>
    <n v="10793"/>
    <n v="5177"/>
    <x v="1"/>
    <n v="77165.17"/>
    <n v="28"/>
    <x v="1"/>
    <x v="1"/>
    <n v="167595.13"/>
    <x v="0"/>
    <s v="WH-A"/>
    <n v="140"/>
    <d v="2024-03-10T00:00:00"/>
    <n v="14"/>
    <n v="90793"/>
    <x v="2"/>
    <d v="2024-04-01T00:00:00"/>
    <n v="0.21632000000000001"/>
    <n v="70793"/>
    <x v="1"/>
    <n v="70059.275120000006"/>
    <s v="pending"/>
    <d v="2024-05-10T00:00:00"/>
    <s v="Variable"/>
    <d v="2024-04-02T00:00:00"/>
    <s v="YES"/>
  </r>
  <r>
    <n v="10794"/>
    <n v="6636"/>
    <x v="1"/>
    <n v="63588.11"/>
    <n v="5"/>
    <x v="2"/>
    <x v="3"/>
    <n v="96502.24"/>
    <x v="1"/>
    <s v="WH-C"/>
    <n v="1466"/>
    <d v="2024-03-10T00:00:00"/>
    <n v="3"/>
    <n v="90794"/>
    <x v="0"/>
    <d v="2024-03-01T00:00:00"/>
    <n v="0.38647999999999999"/>
    <n v="70794"/>
    <x v="1"/>
    <n v="72638.091199999995"/>
    <s v="pending"/>
    <d v="2024-06-01T00:00:00"/>
    <s v="Fixed"/>
    <d v="2024-04-02T00:00:00"/>
    <s v="NO"/>
  </r>
  <r>
    <n v="10795"/>
    <n v="5396"/>
    <x v="1"/>
    <n v="67144.460000000006"/>
    <n v="17"/>
    <x v="3"/>
    <x v="2"/>
    <n v="60550.86"/>
    <x v="1"/>
    <s v="WH-B"/>
    <n v="851"/>
    <d v="2024-04-15T00:00:00"/>
    <n v="11"/>
    <n v="90795"/>
    <x v="1"/>
    <d v="2024-04-01T00:00:00"/>
    <n v="0.14931"/>
    <n v="70795"/>
    <x v="1"/>
    <n v="147779.58987"/>
    <s v="pending"/>
    <d v="2024-06-01T00:00:00"/>
    <s v="Fixed"/>
    <d v="2024-03-25T00:00:00"/>
    <s v="YES"/>
  </r>
  <r>
    <n v="10796"/>
    <n v="5445"/>
    <x v="0"/>
    <n v="35697.75"/>
    <n v="36"/>
    <x v="2"/>
    <x v="3"/>
    <n v="163091.54"/>
    <x v="0"/>
    <s v="WH-C"/>
    <n v="159"/>
    <d v="2024-02-10T00:00:00"/>
    <n v="3"/>
    <n v="90796"/>
    <x v="1"/>
    <d v="2024-04-01T00:00:00"/>
    <n v="0.73297000000000001"/>
    <n v="70796"/>
    <x v="1"/>
    <n v="86709.855800000005"/>
    <s v="pending"/>
    <d v="2024-04-10T00:00:00"/>
    <s v="Variable"/>
    <d v="2024-03-25T00:00:00"/>
    <s v="YES"/>
  </r>
  <r>
    <n v="10797"/>
    <n v="6257"/>
    <x v="1"/>
    <n v="43800.959999999999"/>
    <n v="19"/>
    <x v="1"/>
    <x v="0"/>
    <n v="157425.26999999999"/>
    <x v="1"/>
    <s v="WH-C"/>
    <n v="634"/>
    <d v="2024-04-15T00:00:00"/>
    <n v="3"/>
    <n v="90797"/>
    <x v="1"/>
    <d v="2024-05-18T00:00:00"/>
    <n v="0.90214000000000005"/>
    <n v="70797"/>
    <x v="1"/>
    <n v="137622.09520000001"/>
    <s v="Paid"/>
    <d v="2024-04-10T00:00:00"/>
    <s v="Fixed"/>
    <d v="2024-03-25T00:00:00"/>
    <s v="YES"/>
  </r>
  <r>
    <n v="10798"/>
    <n v="6939"/>
    <x v="1"/>
    <n v="22620.82"/>
    <n v="64"/>
    <x v="2"/>
    <x v="3"/>
    <n v="12399.35"/>
    <x v="2"/>
    <s v="WH-A"/>
    <n v="389"/>
    <d v="2024-04-15T00:00:00"/>
    <n v="10"/>
    <n v="90798"/>
    <x v="2"/>
    <d v="2024-05-18T00:00:00"/>
    <n v="0.67229000000000005"/>
    <n v="70798"/>
    <x v="2"/>
    <n v="181654.86480000001"/>
    <s v="pending"/>
    <d v="2024-06-01T00:00:00"/>
    <s v="Fixed"/>
    <d v="2024-03-25T00:00:00"/>
    <s v="YES"/>
  </r>
  <r>
    <n v="10799"/>
    <n v="5076"/>
    <x v="1"/>
    <n v="73069.17"/>
    <n v="91"/>
    <x v="2"/>
    <x v="1"/>
    <n v="117933.29"/>
    <x v="2"/>
    <s v="WH-C"/>
    <n v="1028"/>
    <d v="2024-03-10T00:00:00"/>
    <n v="11"/>
    <n v="90799"/>
    <x v="2"/>
    <d v="2024-05-18T00:00:00"/>
    <n v="0.94398000000000004"/>
    <n v="70799"/>
    <x v="1"/>
    <n v="171514.80877"/>
    <s v="Paid"/>
    <d v="2024-05-10T00:00:00"/>
    <s v="Variable"/>
    <d v="2024-03-25T00:00:00"/>
    <s v="NO"/>
  </r>
  <r>
    <n v="10800"/>
    <n v="5265"/>
    <x v="1"/>
    <n v="45853.59"/>
    <n v="98"/>
    <x v="1"/>
    <x v="0"/>
    <n v="74316.55"/>
    <x v="1"/>
    <s v="WH-A"/>
    <n v="405"/>
    <d v="2024-03-10T00:00:00"/>
    <n v="11"/>
    <n v="90800"/>
    <x v="1"/>
    <d v="2024-03-01T00:00:00"/>
    <n v="0.21565000000000001"/>
    <n v="70800"/>
    <x v="1"/>
    <n v="148084.14379999999"/>
    <s v="Paid"/>
    <d v="2024-05-10T00:00:00"/>
    <s v="Variable"/>
    <d v="2024-03-25T00:00:00"/>
    <s v="YES"/>
  </r>
  <r>
    <n v="10801"/>
    <n v="5455"/>
    <x v="0"/>
    <n v="43151.24"/>
    <n v="11"/>
    <x v="0"/>
    <x v="0"/>
    <n v="20420.27"/>
    <x v="0"/>
    <s v="WH-B"/>
    <n v="217"/>
    <d v="2024-03-10T00:00:00"/>
    <n v="10"/>
    <n v="90801"/>
    <x v="1"/>
    <d v="2024-04-01T00:00:00"/>
    <n v="0.17896000000000001"/>
    <n v="70801"/>
    <x v="2"/>
    <n v="110333.26469"/>
    <s v="Overdue"/>
    <d v="2024-04-10T00:00:00"/>
    <s v="Fixed"/>
    <d v="2024-04-02T00:00:00"/>
    <s v="NO"/>
  </r>
  <r>
    <n v="10802"/>
    <n v="6820"/>
    <x v="1"/>
    <n v="13468.09"/>
    <n v="54"/>
    <x v="0"/>
    <x v="1"/>
    <n v="92603.5"/>
    <x v="2"/>
    <s v="WH-C"/>
    <n v="606"/>
    <d v="2024-02-10T00:00:00"/>
    <n v="11"/>
    <n v="90802"/>
    <x v="2"/>
    <d v="2024-04-01T00:00:00"/>
    <n v="0.85457000000000005"/>
    <n v="70802"/>
    <x v="1"/>
    <n v="73845.275039999993"/>
    <s v="Overdue"/>
    <d v="2024-05-10T00:00:00"/>
    <s v="Fixed"/>
    <d v="2024-03-25T00:00:00"/>
    <s v="NO"/>
  </r>
  <r>
    <n v="10803"/>
    <n v="5718"/>
    <x v="1"/>
    <n v="75949.69"/>
    <n v="45"/>
    <x v="1"/>
    <x v="2"/>
    <n v="101170.33"/>
    <x v="2"/>
    <s v="WH-B"/>
    <n v="954"/>
    <d v="2024-02-10T00:00:00"/>
    <n v="8"/>
    <n v="90803"/>
    <x v="2"/>
    <d v="2024-04-01T00:00:00"/>
    <n v="0.86995999999999996"/>
    <n v="70803"/>
    <x v="2"/>
    <n v="87962.484899999996"/>
    <s v="Overdue"/>
    <d v="2024-05-10T00:00:00"/>
    <s v="Variable"/>
    <d v="2024-04-02T00:00:00"/>
    <s v="NO"/>
  </r>
  <r>
    <n v="10804"/>
    <n v="5735"/>
    <x v="1"/>
    <n v="83029.179999999993"/>
    <n v="47"/>
    <x v="2"/>
    <x v="0"/>
    <n v="164667.87"/>
    <x v="0"/>
    <s v="WH-B"/>
    <n v="154"/>
    <d v="2024-02-10T00:00:00"/>
    <n v="13"/>
    <n v="90804"/>
    <x v="2"/>
    <d v="2024-05-18T00:00:00"/>
    <n v="0.84794000000000003"/>
    <n v="70804"/>
    <x v="1"/>
    <n v="219693.033"/>
    <s v="pending"/>
    <d v="2024-05-10T00:00:00"/>
    <s v="Fixed"/>
    <d v="2024-03-25T00:00:00"/>
    <s v="YES"/>
  </r>
  <r>
    <n v="10805"/>
    <n v="6408"/>
    <x v="1"/>
    <n v="52704.29"/>
    <n v="12"/>
    <x v="1"/>
    <x v="2"/>
    <n v="79729.710000000006"/>
    <x v="1"/>
    <s v="WH-C"/>
    <n v="199"/>
    <d v="2024-04-15T00:00:00"/>
    <n v="5"/>
    <n v="90805"/>
    <x v="3"/>
    <d v="2024-04-01T00:00:00"/>
    <n v="0.81906999999999996"/>
    <n v="70805"/>
    <x v="1"/>
    <n v="146591.91005000001"/>
    <s v="Overdue"/>
    <d v="2024-06-01T00:00:00"/>
    <s v="Variable"/>
    <d v="2024-04-02T00:00:00"/>
    <s v="YES"/>
  </r>
  <r>
    <n v="10806"/>
    <n v="6588"/>
    <x v="1"/>
    <n v="96257.43"/>
    <n v="21"/>
    <x v="0"/>
    <x v="0"/>
    <n v="88490.02"/>
    <x v="0"/>
    <s v="WH-A"/>
    <n v="195"/>
    <d v="2024-03-10T00:00:00"/>
    <n v="4"/>
    <n v="90806"/>
    <x v="2"/>
    <d v="2024-04-01T00:00:00"/>
    <n v="0.42601"/>
    <n v="70806"/>
    <x v="1"/>
    <n v="134124.35879999999"/>
    <s v="pending"/>
    <d v="2024-06-01T00:00:00"/>
    <s v="Variable"/>
    <d v="2024-03-25T00:00:00"/>
    <s v="YES"/>
  </r>
  <r>
    <n v="10807"/>
    <n v="5851"/>
    <x v="1"/>
    <n v="88977.83"/>
    <n v="11"/>
    <x v="3"/>
    <x v="0"/>
    <n v="80445.490000000005"/>
    <x v="1"/>
    <s v="WH-B"/>
    <n v="765"/>
    <d v="2024-04-15T00:00:00"/>
    <n v="13"/>
    <n v="90807"/>
    <x v="1"/>
    <d v="2024-04-01T00:00:00"/>
    <n v="0.29571999999999998"/>
    <n v="70807"/>
    <x v="1"/>
    <n v="86292.763399999996"/>
    <s v="pending"/>
    <d v="2024-05-10T00:00:00"/>
    <s v="Variable"/>
    <d v="2024-04-02T00:00:00"/>
    <s v="YES"/>
  </r>
  <r>
    <n v="10808"/>
    <n v="6530"/>
    <x v="1"/>
    <n v="10350.549999999999"/>
    <n v="92"/>
    <x v="2"/>
    <x v="2"/>
    <n v="85060.39"/>
    <x v="2"/>
    <s v="WH-B"/>
    <n v="923"/>
    <d v="2024-02-10T00:00:00"/>
    <n v="9"/>
    <n v="90808"/>
    <x v="3"/>
    <d v="2024-04-01T00:00:00"/>
    <n v="0.93591999999999997"/>
    <n v="70808"/>
    <x v="1"/>
    <n v="164539.11290000001"/>
    <s v="Overdue"/>
    <d v="2024-04-10T00:00:00"/>
    <s v="Variable"/>
    <d v="2024-03-25T00:00:00"/>
    <s v="YES"/>
  </r>
  <r>
    <n v="10809"/>
    <n v="6391"/>
    <x v="1"/>
    <n v="76813.48"/>
    <n v="5"/>
    <x v="0"/>
    <x v="0"/>
    <n v="118782.67"/>
    <x v="2"/>
    <s v="WH-C"/>
    <n v="348"/>
    <d v="2024-03-10T00:00:00"/>
    <n v="9"/>
    <n v="90809"/>
    <x v="2"/>
    <d v="2024-04-01T00:00:00"/>
    <n v="0.37630000000000002"/>
    <n v="70809"/>
    <x v="1"/>
    <n v="183383.08819000001"/>
    <s v="Overdue"/>
    <d v="2024-05-10T00:00:00"/>
    <s v="Variable"/>
    <d v="2024-03-25T00:00:00"/>
    <s v="NO"/>
  </r>
  <r>
    <n v="10810"/>
    <n v="5144"/>
    <x v="1"/>
    <n v="74571.09"/>
    <n v="81"/>
    <x v="2"/>
    <x v="2"/>
    <n v="28439.83"/>
    <x v="2"/>
    <s v="WH-C"/>
    <n v="1240"/>
    <d v="2024-02-10T00:00:00"/>
    <n v="1"/>
    <n v="90810"/>
    <x v="1"/>
    <d v="2024-03-01T00:00:00"/>
    <n v="0.45856999999999998"/>
    <n v="70810"/>
    <x v="1"/>
    <n v="156123.82999"/>
    <s v="Paid"/>
    <d v="2024-04-10T00:00:00"/>
    <s v="Variable"/>
    <d v="2024-04-02T00:00:00"/>
    <s v="NO"/>
  </r>
  <r>
    <n v="10811"/>
    <n v="5885"/>
    <x v="0"/>
    <n v="95773.01"/>
    <n v="56"/>
    <x v="1"/>
    <x v="1"/>
    <n v="135091.85"/>
    <x v="1"/>
    <s v="WH-C"/>
    <n v="695"/>
    <d v="2024-03-10T00:00:00"/>
    <n v="2"/>
    <n v="90811"/>
    <x v="0"/>
    <d v="2024-04-01T00:00:00"/>
    <n v="0.72960000000000003"/>
    <n v="70811"/>
    <x v="0"/>
    <n v="82002.155299999999"/>
    <s v="Paid"/>
    <d v="2024-06-01T00:00:00"/>
    <s v="Fixed"/>
    <d v="2024-03-25T00:00:00"/>
    <s v="NO"/>
  </r>
  <r>
    <n v="10812"/>
    <n v="6093"/>
    <x v="0"/>
    <n v="78499.990000000005"/>
    <n v="20"/>
    <x v="3"/>
    <x v="2"/>
    <n v="64817.89"/>
    <x v="1"/>
    <s v="WH-C"/>
    <n v="772"/>
    <d v="2024-03-10T00:00:00"/>
    <n v="8"/>
    <n v="90812"/>
    <x v="3"/>
    <d v="2024-03-01T00:00:00"/>
    <n v="0.36402000000000001"/>
    <n v="70812"/>
    <x v="1"/>
    <n v="217058.39920000001"/>
    <s v="pending"/>
    <d v="2024-05-10T00:00:00"/>
    <s v="Variable"/>
    <d v="2024-03-25T00:00:00"/>
    <s v="YES"/>
  </r>
  <r>
    <n v="10813"/>
    <n v="6123"/>
    <x v="1"/>
    <n v="69223.39"/>
    <n v="41"/>
    <x v="1"/>
    <x v="1"/>
    <n v="138395.32999999999"/>
    <x v="1"/>
    <s v="WH-C"/>
    <n v="1121"/>
    <d v="2024-04-15T00:00:00"/>
    <n v="5"/>
    <n v="90813"/>
    <x v="1"/>
    <d v="2024-04-01T00:00:00"/>
    <n v="0.83721999999999996"/>
    <n v="70813"/>
    <x v="1"/>
    <n v="103670.03594"/>
    <s v="pending"/>
    <d v="2024-05-10T00:00:00"/>
    <s v="Fixed"/>
    <d v="2024-04-02T00:00:00"/>
    <s v="YES"/>
  </r>
  <r>
    <n v="10814"/>
    <n v="5396"/>
    <x v="0"/>
    <n v="69468.25"/>
    <n v="46"/>
    <x v="3"/>
    <x v="0"/>
    <n v="125071.2"/>
    <x v="0"/>
    <s v="WH-C"/>
    <n v="687"/>
    <d v="2024-04-15T00:00:00"/>
    <n v="7"/>
    <n v="90814"/>
    <x v="0"/>
    <d v="2024-03-01T00:00:00"/>
    <n v="0.16303000000000001"/>
    <n v="70814"/>
    <x v="0"/>
    <n v="79547.008000000002"/>
    <s v="Overdue"/>
    <d v="2024-04-10T00:00:00"/>
    <s v="Fixed"/>
    <d v="2024-03-25T00:00:00"/>
    <s v="YES"/>
  </r>
  <r>
    <n v="10815"/>
    <n v="6049"/>
    <x v="1"/>
    <n v="50401.1"/>
    <n v="12"/>
    <x v="2"/>
    <x v="2"/>
    <n v="67581.69"/>
    <x v="2"/>
    <s v="WH-A"/>
    <n v="288"/>
    <d v="2024-02-10T00:00:00"/>
    <n v="1"/>
    <n v="90815"/>
    <x v="1"/>
    <d v="2024-04-01T00:00:00"/>
    <n v="0.81206"/>
    <n v="70815"/>
    <x v="1"/>
    <n v="146557.69528000001"/>
    <s v="Overdue"/>
    <d v="2024-04-10T00:00:00"/>
    <s v="Variable"/>
    <d v="2024-04-02T00:00:00"/>
    <s v="YES"/>
  </r>
  <r>
    <n v="10816"/>
    <n v="5948"/>
    <x v="1"/>
    <n v="47722.27"/>
    <n v="70"/>
    <x v="2"/>
    <x v="0"/>
    <n v="76952.78"/>
    <x v="2"/>
    <s v="WH-B"/>
    <n v="1080"/>
    <d v="2024-04-15T00:00:00"/>
    <n v="12"/>
    <n v="90816"/>
    <x v="2"/>
    <d v="2024-04-01T00:00:00"/>
    <n v="0.64166999999999996"/>
    <n v="70816"/>
    <x v="1"/>
    <n v="75451.979200000002"/>
    <s v="Paid"/>
    <d v="2024-05-10T00:00:00"/>
    <s v="Variable"/>
    <d v="2024-04-02T00:00:00"/>
    <s v="YES"/>
  </r>
  <r>
    <n v="10817"/>
    <n v="5891"/>
    <x v="1"/>
    <n v="15710.43"/>
    <n v="17"/>
    <x v="1"/>
    <x v="2"/>
    <n v="95938.4"/>
    <x v="0"/>
    <s v="WH-A"/>
    <n v="513"/>
    <d v="2024-04-15T00:00:00"/>
    <n v="10"/>
    <n v="90817"/>
    <x v="2"/>
    <d v="2024-04-01T00:00:00"/>
    <n v="0.61568999999999996"/>
    <n v="70817"/>
    <x v="0"/>
    <n v="95620.657489999998"/>
    <s v="Overdue"/>
    <d v="2024-05-10T00:00:00"/>
    <s v="Variable"/>
    <d v="2024-03-25T00:00:00"/>
    <s v="YES"/>
  </r>
  <r>
    <n v="10818"/>
    <n v="6493"/>
    <x v="1"/>
    <n v="85700.66"/>
    <n v="19"/>
    <x v="3"/>
    <x v="1"/>
    <n v="163898.01"/>
    <x v="1"/>
    <s v="WH-A"/>
    <n v="502"/>
    <d v="2024-04-15T00:00:00"/>
    <n v="12"/>
    <n v="90818"/>
    <x v="0"/>
    <d v="2024-04-01T00:00:00"/>
    <n v="0.51254"/>
    <n v="70818"/>
    <x v="0"/>
    <n v="193700.44651000001"/>
    <s v="pending"/>
    <d v="2024-04-10T00:00:00"/>
    <s v="Fixed"/>
    <d v="2024-04-02T00:00:00"/>
    <s v="YES"/>
  </r>
  <r>
    <n v="10819"/>
    <n v="6508"/>
    <x v="1"/>
    <n v="70352.27"/>
    <n v="26"/>
    <x v="3"/>
    <x v="1"/>
    <n v="82205.27"/>
    <x v="0"/>
    <s v="WH-C"/>
    <n v="833"/>
    <d v="2024-03-10T00:00:00"/>
    <n v="5"/>
    <n v="90819"/>
    <x v="2"/>
    <d v="2024-05-18T00:00:00"/>
    <n v="0.34933999999999998"/>
    <n v="70819"/>
    <x v="2"/>
    <n v="107792.414"/>
    <s v="Overdue"/>
    <d v="2024-06-01T00:00:00"/>
    <s v="Fixed"/>
    <d v="2024-03-25T00:00:00"/>
    <s v="YES"/>
  </r>
  <r>
    <n v="10820"/>
    <n v="6589"/>
    <x v="1"/>
    <n v="73137.899999999994"/>
    <n v="48"/>
    <x v="2"/>
    <x v="2"/>
    <n v="84506.42"/>
    <x v="1"/>
    <s v="WH-B"/>
    <n v="946"/>
    <d v="2024-04-15T00:00:00"/>
    <n v="11"/>
    <n v="90820"/>
    <x v="1"/>
    <d v="2024-04-01T00:00:00"/>
    <n v="0.51766000000000001"/>
    <n v="70820"/>
    <x v="1"/>
    <n v="142771.64246"/>
    <s v="Paid"/>
    <d v="2024-04-10T00:00:00"/>
    <s v="Variable"/>
    <d v="2024-03-25T00:00:00"/>
    <s v="YES"/>
  </r>
  <r>
    <n v="10821"/>
    <n v="6175"/>
    <x v="0"/>
    <n v="28985.599999999999"/>
    <n v="52"/>
    <x v="1"/>
    <x v="1"/>
    <n v="111135.94"/>
    <x v="2"/>
    <s v="WH-A"/>
    <n v="420"/>
    <d v="2024-02-10T00:00:00"/>
    <n v="12"/>
    <n v="90821"/>
    <x v="0"/>
    <d v="2024-03-01T00:00:00"/>
    <n v="0.50502999999999998"/>
    <n v="70821"/>
    <x v="2"/>
    <n v="64673.6685"/>
    <s v="pending"/>
    <d v="2024-05-10T00:00:00"/>
    <s v="Variable"/>
    <d v="2024-03-25T00:00:00"/>
    <s v="YES"/>
  </r>
  <r>
    <n v="10822"/>
    <n v="6168"/>
    <x v="1"/>
    <n v="37111.08"/>
    <n v="96"/>
    <x v="3"/>
    <x v="0"/>
    <n v="36294.9"/>
    <x v="1"/>
    <s v="WH-C"/>
    <n v="536"/>
    <d v="2024-03-10T00:00:00"/>
    <n v="3"/>
    <n v="90822"/>
    <x v="1"/>
    <d v="2024-05-18T00:00:00"/>
    <n v="0.62538000000000005"/>
    <n v="70822"/>
    <x v="1"/>
    <n v="151087.63782"/>
    <s v="Paid"/>
    <d v="2024-06-01T00:00:00"/>
    <s v="Variable"/>
    <d v="2024-03-25T00:00:00"/>
    <s v="YES"/>
  </r>
  <r>
    <n v="10823"/>
    <n v="5569"/>
    <x v="1"/>
    <n v="72849.070000000007"/>
    <n v="70"/>
    <x v="2"/>
    <x v="0"/>
    <n v="77725.94"/>
    <x v="1"/>
    <s v="WH-C"/>
    <n v="1284"/>
    <d v="2024-03-10T00:00:00"/>
    <n v="10"/>
    <n v="90823"/>
    <x v="1"/>
    <d v="2024-05-18T00:00:00"/>
    <n v="0.35342000000000001"/>
    <n v="70823"/>
    <x v="2"/>
    <n v="101564.76480999999"/>
    <s v="Paid"/>
    <d v="2024-06-01T00:00:00"/>
    <s v="Variable"/>
    <d v="2024-03-25T00:00:00"/>
    <s v="YES"/>
  </r>
  <r>
    <n v="10824"/>
    <n v="6063"/>
    <x v="1"/>
    <n v="65472.9"/>
    <n v="55"/>
    <x v="0"/>
    <x v="3"/>
    <n v="51740.27"/>
    <x v="2"/>
    <s v="WH-B"/>
    <n v="214"/>
    <d v="2024-04-15T00:00:00"/>
    <n v="12"/>
    <n v="90824"/>
    <x v="1"/>
    <d v="2024-04-01T00:00:00"/>
    <n v="0.16983999999999999"/>
    <n v="70824"/>
    <x v="0"/>
    <n v="79606.992970000007"/>
    <s v="pending"/>
    <d v="2024-06-01T00:00:00"/>
    <s v="Variable"/>
    <d v="2024-04-02T00:00:00"/>
    <s v="YES"/>
  </r>
  <r>
    <n v="10825"/>
    <n v="5109"/>
    <x v="1"/>
    <n v="66388.58"/>
    <n v="75"/>
    <x v="1"/>
    <x v="1"/>
    <n v="86026.98"/>
    <x v="2"/>
    <s v="WH-A"/>
    <n v="1198"/>
    <d v="2024-03-10T00:00:00"/>
    <n v="12"/>
    <n v="90825"/>
    <x v="2"/>
    <d v="2024-03-01T00:00:00"/>
    <n v="0.23058000000000001"/>
    <n v="70825"/>
    <x v="0"/>
    <n v="111050.8756"/>
    <s v="Paid"/>
    <d v="2024-06-01T00:00:00"/>
    <s v="Variable"/>
    <d v="2024-04-02T00:00:00"/>
    <s v="YES"/>
  </r>
  <r>
    <n v="10826"/>
    <n v="6717"/>
    <x v="0"/>
    <n v="13241.98"/>
    <n v="33"/>
    <x v="0"/>
    <x v="0"/>
    <n v="62061.84"/>
    <x v="1"/>
    <s v="WH-A"/>
    <n v="1410"/>
    <d v="2024-02-10T00:00:00"/>
    <n v="14"/>
    <n v="90826"/>
    <x v="2"/>
    <d v="2024-03-01T00:00:00"/>
    <n v="0.72926000000000002"/>
    <n v="70826"/>
    <x v="0"/>
    <n v="61467.324500000002"/>
    <s v="Overdue"/>
    <d v="2024-05-10T00:00:00"/>
    <s v="Variable"/>
    <d v="2024-04-02T00:00:00"/>
    <s v="YES"/>
  </r>
  <r>
    <n v="10827"/>
    <n v="6066"/>
    <x v="1"/>
    <n v="20124.68"/>
    <n v="62"/>
    <x v="1"/>
    <x v="2"/>
    <n v="163492.82"/>
    <x v="2"/>
    <s v="WH-A"/>
    <n v="241"/>
    <d v="2024-02-10T00:00:00"/>
    <n v="2"/>
    <n v="90827"/>
    <x v="1"/>
    <d v="2024-05-18T00:00:00"/>
    <n v="0.12024"/>
    <n v="70827"/>
    <x v="0"/>
    <n v="115357.20389999999"/>
    <s v="Overdue"/>
    <d v="2024-06-01T00:00:00"/>
    <s v="Variable"/>
    <d v="2024-03-25T00:00:00"/>
    <s v="NO"/>
  </r>
  <r>
    <n v="10828"/>
    <n v="6210"/>
    <x v="1"/>
    <n v="73979.77"/>
    <n v="88"/>
    <x v="2"/>
    <x v="1"/>
    <n v="87932.23"/>
    <x v="2"/>
    <s v="WH-C"/>
    <n v="779"/>
    <d v="2024-03-10T00:00:00"/>
    <n v="2"/>
    <n v="90828"/>
    <x v="3"/>
    <d v="2024-03-01T00:00:00"/>
    <n v="0.87080000000000002"/>
    <n v="70828"/>
    <x v="2"/>
    <n v="148541.07070000001"/>
    <s v="Paid"/>
    <d v="2024-04-10T00:00:00"/>
    <s v="Variable"/>
    <d v="2024-03-25T00:00:00"/>
    <s v="YES"/>
  </r>
  <r>
    <n v="10829"/>
    <n v="5935"/>
    <x v="0"/>
    <n v="70455.69"/>
    <n v="23"/>
    <x v="3"/>
    <x v="0"/>
    <n v="145550.10999999999"/>
    <x v="1"/>
    <s v="WH-B"/>
    <n v="263"/>
    <d v="2024-04-15T00:00:00"/>
    <n v="9"/>
    <n v="90829"/>
    <x v="1"/>
    <d v="2024-04-01T00:00:00"/>
    <n v="0.72496000000000005"/>
    <n v="70829"/>
    <x v="2"/>
    <n v="186460.7991"/>
    <s v="Overdue"/>
    <d v="2024-04-10T00:00:00"/>
    <s v="Fixed"/>
    <d v="2024-04-02T00:00:00"/>
    <s v="YES"/>
  </r>
  <r>
    <n v="10830"/>
    <n v="5398"/>
    <x v="1"/>
    <n v="22114.38"/>
    <n v="15"/>
    <x v="3"/>
    <x v="1"/>
    <n v="123254.94"/>
    <x v="1"/>
    <s v="WH-B"/>
    <n v="623"/>
    <d v="2024-04-15T00:00:00"/>
    <n v="13"/>
    <n v="90830"/>
    <x v="1"/>
    <d v="2024-04-01T00:00:00"/>
    <n v="0.79127999999999998"/>
    <n v="70830"/>
    <x v="2"/>
    <n v="89939.867310000001"/>
    <s v="Paid"/>
    <d v="2024-04-10T00:00:00"/>
    <s v="Variable"/>
    <d v="2024-04-02T00:00:00"/>
    <s v="YES"/>
  </r>
  <r>
    <n v="10831"/>
    <n v="6247"/>
    <x v="1"/>
    <n v="54532.89"/>
    <n v="27"/>
    <x v="3"/>
    <x v="2"/>
    <n v="151628.85"/>
    <x v="1"/>
    <s v="WH-A"/>
    <n v="1401"/>
    <d v="2024-03-10T00:00:00"/>
    <n v="4"/>
    <n v="90831"/>
    <x v="0"/>
    <d v="2024-04-01T00:00:00"/>
    <n v="0.85238999999999998"/>
    <n v="70831"/>
    <x v="0"/>
    <n v="191941.90664999999"/>
    <s v="Overdue"/>
    <d v="2024-05-10T00:00:00"/>
    <s v="Variable"/>
    <d v="2024-03-25T00:00:00"/>
    <s v="YES"/>
  </r>
  <r>
    <n v="10832"/>
    <n v="5634"/>
    <x v="0"/>
    <n v="39370.370000000003"/>
    <n v="75"/>
    <x v="1"/>
    <x v="0"/>
    <n v="165076.54999999999"/>
    <x v="1"/>
    <s v="WH-C"/>
    <n v="1006"/>
    <d v="2024-02-10T00:00:00"/>
    <n v="4"/>
    <n v="90832"/>
    <x v="1"/>
    <d v="2024-04-01T00:00:00"/>
    <n v="0.21043999999999999"/>
    <n v="70832"/>
    <x v="0"/>
    <n v="102220.83229999999"/>
    <s v="Paid"/>
    <d v="2024-06-01T00:00:00"/>
    <s v="Variable"/>
    <d v="2024-04-02T00:00:00"/>
    <s v="NO"/>
  </r>
  <r>
    <n v="10833"/>
    <n v="6157"/>
    <x v="0"/>
    <n v="13951.61"/>
    <n v="64"/>
    <x v="2"/>
    <x v="3"/>
    <n v="170379.46"/>
    <x v="2"/>
    <s v="WH-A"/>
    <n v="430"/>
    <d v="2024-03-10T00:00:00"/>
    <n v="7"/>
    <n v="90833"/>
    <x v="2"/>
    <d v="2024-04-01T00:00:00"/>
    <n v="0.84021000000000001"/>
    <n v="70833"/>
    <x v="1"/>
    <n v="126554.4614"/>
    <s v="Overdue"/>
    <d v="2024-04-10T00:00:00"/>
    <s v="Fixed"/>
    <d v="2024-03-25T00:00:00"/>
    <s v="NO"/>
  </r>
  <r>
    <n v="10834"/>
    <n v="6187"/>
    <x v="1"/>
    <n v="19194.86"/>
    <n v="81"/>
    <x v="0"/>
    <x v="3"/>
    <n v="53994.02"/>
    <x v="1"/>
    <s v="WH-B"/>
    <n v="722"/>
    <d v="2024-04-15T00:00:00"/>
    <n v="10"/>
    <n v="90834"/>
    <x v="0"/>
    <d v="2024-05-18T00:00:00"/>
    <n v="0.55418000000000001"/>
    <n v="70834"/>
    <x v="1"/>
    <n v="197921.986"/>
    <s v="pending"/>
    <d v="2024-04-10T00:00:00"/>
    <s v="Fixed"/>
    <d v="2024-03-25T00:00:00"/>
    <s v="NO"/>
  </r>
  <r>
    <n v="10835"/>
    <n v="6239"/>
    <x v="0"/>
    <n v="20294.34"/>
    <n v="51"/>
    <x v="2"/>
    <x v="1"/>
    <n v="158270.09"/>
    <x v="1"/>
    <s v="WH-C"/>
    <n v="847"/>
    <d v="2024-04-15T00:00:00"/>
    <n v="10"/>
    <n v="90835"/>
    <x v="3"/>
    <d v="2024-04-01T00:00:00"/>
    <n v="0.89697000000000005"/>
    <n v="70835"/>
    <x v="0"/>
    <n v="60975.932800000002"/>
    <s v="pending"/>
    <d v="2024-04-10T00:00:00"/>
    <s v="Variable"/>
    <d v="2024-04-02T00:00:00"/>
    <s v="YES"/>
  </r>
  <r>
    <n v="10836"/>
    <n v="5733"/>
    <x v="1"/>
    <n v="14085.47"/>
    <n v="53"/>
    <x v="0"/>
    <x v="2"/>
    <n v="103341.34"/>
    <x v="1"/>
    <s v="WH-A"/>
    <n v="288"/>
    <d v="2024-03-10T00:00:00"/>
    <n v="13"/>
    <n v="90836"/>
    <x v="0"/>
    <d v="2024-04-01T00:00:00"/>
    <n v="0.89793000000000001"/>
    <n v="70836"/>
    <x v="1"/>
    <n v="68432.354200000002"/>
    <s v="Overdue"/>
    <d v="2024-06-01T00:00:00"/>
    <s v="Variable"/>
    <d v="2024-03-25T00:00:00"/>
    <s v="NO"/>
  </r>
  <r>
    <n v="10837"/>
    <n v="5235"/>
    <x v="1"/>
    <n v="88204.49"/>
    <n v="78"/>
    <x v="1"/>
    <x v="0"/>
    <n v="48192.45"/>
    <x v="0"/>
    <s v="WH-A"/>
    <n v="749"/>
    <d v="2024-02-10T00:00:00"/>
    <n v="2"/>
    <n v="90837"/>
    <x v="3"/>
    <d v="2024-05-18T00:00:00"/>
    <n v="0.12175999999999999"/>
    <n v="70837"/>
    <x v="1"/>
    <n v="206064.63200000001"/>
    <s v="Paid"/>
    <d v="2024-04-10T00:00:00"/>
    <s v="Fixed"/>
    <d v="2024-04-02T00:00:00"/>
    <s v="NO"/>
  </r>
  <r>
    <n v="10838"/>
    <n v="6867"/>
    <x v="1"/>
    <n v="31514.799999999999"/>
    <n v="91"/>
    <x v="1"/>
    <x v="2"/>
    <n v="158553.57"/>
    <x v="1"/>
    <s v="WH-C"/>
    <n v="1155"/>
    <d v="2024-03-10T00:00:00"/>
    <n v="3"/>
    <n v="90838"/>
    <x v="0"/>
    <d v="2024-05-18T00:00:00"/>
    <n v="0.44457999999999998"/>
    <n v="70838"/>
    <x v="1"/>
    <n v="131482.74489999999"/>
    <s v="Overdue"/>
    <d v="2024-06-01T00:00:00"/>
    <s v="Variable"/>
    <d v="2024-03-25T00:00:00"/>
    <s v="YES"/>
  </r>
  <r>
    <n v="10839"/>
    <n v="5658"/>
    <x v="1"/>
    <n v="87558.99"/>
    <n v="82"/>
    <x v="0"/>
    <x v="0"/>
    <n v="25166.23"/>
    <x v="2"/>
    <s v="WH-B"/>
    <n v="1436"/>
    <d v="2024-02-10T00:00:00"/>
    <n v="3"/>
    <n v="90839"/>
    <x v="0"/>
    <d v="2024-05-18T00:00:00"/>
    <n v="0.57376000000000005"/>
    <n v="70839"/>
    <x v="0"/>
    <n v="74899.369600000005"/>
    <s v="Paid"/>
    <d v="2024-06-01T00:00:00"/>
    <s v="Fixed"/>
    <d v="2024-04-02T00:00:00"/>
    <s v="NO"/>
  </r>
  <r>
    <n v="10840"/>
    <n v="5751"/>
    <x v="1"/>
    <n v="14861.25"/>
    <n v="92"/>
    <x v="0"/>
    <x v="1"/>
    <n v="41024.61"/>
    <x v="1"/>
    <s v="WH-C"/>
    <n v="554"/>
    <d v="2024-02-10T00:00:00"/>
    <n v="6"/>
    <n v="90840"/>
    <x v="3"/>
    <d v="2024-03-01T00:00:00"/>
    <n v="0.71052000000000004"/>
    <n v="70840"/>
    <x v="2"/>
    <n v="163008.48229000001"/>
    <s v="Overdue"/>
    <d v="2024-06-01T00:00:00"/>
    <s v="Variable"/>
    <d v="2024-03-25T00:00:00"/>
    <s v="NO"/>
  </r>
  <r>
    <n v="10841"/>
    <n v="5588"/>
    <x v="1"/>
    <n v="84676.54"/>
    <n v="51"/>
    <x v="0"/>
    <x v="0"/>
    <n v="81839.78"/>
    <x v="1"/>
    <s v="WH-A"/>
    <n v="251"/>
    <d v="2024-03-10T00:00:00"/>
    <n v="3"/>
    <n v="90841"/>
    <x v="2"/>
    <d v="2024-03-01T00:00:00"/>
    <n v="0.35757"/>
    <n v="70841"/>
    <x v="1"/>
    <n v="115528.85914"/>
    <s v="Overdue"/>
    <d v="2024-05-10T00:00:00"/>
    <s v="Variable"/>
    <d v="2024-03-25T00:00:00"/>
    <s v="NO"/>
  </r>
  <r>
    <n v="10842"/>
    <n v="6033"/>
    <x v="0"/>
    <n v="57657.95"/>
    <n v="47"/>
    <x v="2"/>
    <x v="2"/>
    <n v="112543.06"/>
    <x v="0"/>
    <s v="WH-A"/>
    <n v="969"/>
    <d v="2024-03-10T00:00:00"/>
    <n v="11"/>
    <n v="90842"/>
    <x v="2"/>
    <d v="2024-04-01T00:00:00"/>
    <n v="0.32693"/>
    <n v="70842"/>
    <x v="1"/>
    <n v="73131.753100000002"/>
    <s v="pending"/>
    <d v="2024-05-10T00:00:00"/>
    <s v="Fixed"/>
    <d v="2024-03-25T00:00:00"/>
    <s v="YES"/>
  </r>
  <r>
    <n v="10843"/>
    <n v="6098"/>
    <x v="1"/>
    <n v="86787.19"/>
    <n v="4"/>
    <x v="0"/>
    <x v="2"/>
    <n v="12057.22"/>
    <x v="1"/>
    <s v="WH-A"/>
    <n v="86"/>
    <d v="2024-02-10T00:00:00"/>
    <n v="5"/>
    <n v="90843"/>
    <x v="2"/>
    <d v="2024-04-01T00:00:00"/>
    <n v="0.44313999999999998"/>
    <n v="70843"/>
    <x v="2"/>
    <n v="117886.13959999999"/>
    <s v="Paid"/>
    <d v="2024-06-01T00:00:00"/>
    <s v="Fixed"/>
    <d v="2024-03-25T00:00:00"/>
    <s v="YES"/>
  </r>
  <r>
    <n v="10844"/>
    <n v="5954"/>
    <x v="1"/>
    <n v="50538.18"/>
    <n v="7"/>
    <x v="1"/>
    <x v="1"/>
    <n v="114075.4"/>
    <x v="1"/>
    <s v="WH-A"/>
    <n v="693"/>
    <d v="2024-02-10T00:00:00"/>
    <n v="4"/>
    <n v="90844"/>
    <x v="0"/>
    <d v="2024-04-01T00:00:00"/>
    <n v="0.55084"/>
    <n v="70844"/>
    <x v="1"/>
    <n v="97550.460680000004"/>
    <s v="Paid"/>
    <d v="2024-06-01T00:00:00"/>
    <s v="Variable"/>
    <d v="2024-04-02T00:00:00"/>
    <s v="NO"/>
  </r>
  <r>
    <n v="10845"/>
    <n v="5492"/>
    <x v="1"/>
    <n v="23110.84"/>
    <n v="35"/>
    <x v="1"/>
    <x v="2"/>
    <n v="29426.78"/>
    <x v="0"/>
    <s v="WH-B"/>
    <n v="1475"/>
    <d v="2024-02-10T00:00:00"/>
    <n v="3"/>
    <n v="90845"/>
    <x v="1"/>
    <d v="2024-03-01T00:00:00"/>
    <n v="0.95603000000000005"/>
    <n v="70845"/>
    <x v="2"/>
    <n v="168634.86332999999"/>
    <s v="Paid"/>
    <d v="2024-05-10T00:00:00"/>
    <s v="Variable"/>
    <d v="2024-03-25T00:00:00"/>
    <s v="YES"/>
  </r>
  <r>
    <n v="10846"/>
    <n v="5913"/>
    <x v="1"/>
    <n v="10976.36"/>
    <n v="48"/>
    <x v="3"/>
    <x v="0"/>
    <n v="149425.25"/>
    <x v="1"/>
    <s v="WH-B"/>
    <n v="814"/>
    <d v="2024-02-10T00:00:00"/>
    <n v="8"/>
    <n v="90846"/>
    <x v="0"/>
    <d v="2024-04-01T00:00:00"/>
    <n v="0.78590000000000004"/>
    <n v="70846"/>
    <x v="1"/>
    <n v="60157.473700000002"/>
    <s v="Paid"/>
    <d v="2024-05-10T00:00:00"/>
    <s v="Fixed"/>
    <d v="2024-03-25T00:00:00"/>
    <s v="YES"/>
  </r>
  <r>
    <n v="10847"/>
    <n v="6277"/>
    <x v="1"/>
    <n v="77245.460000000006"/>
    <n v="73"/>
    <x v="0"/>
    <x v="1"/>
    <n v="20691.580000000002"/>
    <x v="1"/>
    <s v="WH-A"/>
    <n v="755"/>
    <d v="2024-04-15T00:00:00"/>
    <n v="14"/>
    <n v="90847"/>
    <x v="1"/>
    <d v="2024-04-01T00:00:00"/>
    <n v="0.48638999999999999"/>
    <n v="70847"/>
    <x v="1"/>
    <n v="172825.3995"/>
    <s v="Paid"/>
    <d v="2024-06-01T00:00:00"/>
    <s v="Variable"/>
    <d v="2024-03-25T00:00:00"/>
    <s v="YES"/>
  </r>
  <r>
    <n v="10848"/>
    <n v="6254"/>
    <x v="1"/>
    <n v="11442.85"/>
    <n v="72"/>
    <x v="2"/>
    <x v="0"/>
    <n v="144872.62"/>
    <x v="1"/>
    <s v="WH-B"/>
    <n v="1249"/>
    <d v="2024-03-10T00:00:00"/>
    <n v="10"/>
    <n v="90848"/>
    <x v="1"/>
    <d v="2024-03-01T00:00:00"/>
    <n v="0.14893000000000001"/>
    <n v="70848"/>
    <x v="2"/>
    <n v="61752.145830000001"/>
    <s v="pending"/>
    <d v="2024-05-10T00:00:00"/>
    <s v="Variable"/>
    <d v="2024-03-25T00:00:00"/>
    <s v="NO"/>
  </r>
  <r>
    <n v="10849"/>
    <n v="6543"/>
    <x v="0"/>
    <n v="67245.64"/>
    <n v="45"/>
    <x v="2"/>
    <x v="2"/>
    <n v="90952.21"/>
    <x v="1"/>
    <s v="WH-B"/>
    <n v="594"/>
    <d v="2024-02-10T00:00:00"/>
    <n v="3"/>
    <n v="90849"/>
    <x v="2"/>
    <d v="2024-05-18T00:00:00"/>
    <n v="0.25167"/>
    <n v="70849"/>
    <x v="1"/>
    <n v="86910.524399999995"/>
    <s v="Overdue"/>
    <d v="2024-04-10T00:00:00"/>
    <s v="Fixed"/>
    <d v="2024-03-25T00:00:00"/>
    <s v="YES"/>
  </r>
  <r>
    <n v="10850"/>
    <n v="6198"/>
    <x v="1"/>
    <n v="57948.5"/>
    <n v="81"/>
    <x v="2"/>
    <x v="1"/>
    <n v="48015.09"/>
    <x v="2"/>
    <s v="WH-B"/>
    <n v="1274"/>
    <d v="2024-03-10T00:00:00"/>
    <n v="6"/>
    <n v="90850"/>
    <x v="1"/>
    <d v="2024-03-01T00:00:00"/>
    <n v="0.51032999999999995"/>
    <n v="70850"/>
    <x v="1"/>
    <n v="151167.48123999999"/>
    <s v="Paid"/>
    <d v="2024-06-01T00:00:00"/>
    <s v="Variable"/>
    <d v="2024-04-02T00:00:00"/>
    <s v="NO"/>
  </r>
  <r>
    <n v="10851"/>
    <n v="6677"/>
    <x v="1"/>
    <n v="43206.41"/>
    <n v="81"/>
    <x v="3"/>
    <x v="0"/>
    <n v="40041.86"/>
    <x v="1"/>
    <s v="WH-A"/>
    <n v="589"/>
    <d v="2024-02-10T00:00:00"/>
    <n v="13"/>
    <n v="90851"/>
    <x v="0"/>
    <d v="2024-04-01T00:00:00"/>
    <n v="0.83243999999999996"/>
    <n v="70851"/>
    <x v="0"/>
    <n v="87421.7932"/>
    <s v="Paid"/>
    <d v="2024-06-01T00:00:00"/>
    <s v="Variable"/>
    <d v="2024-03-25T00:00:00"/>
    <s v="YES"/>
  </r>
  <r>
    <n v="10852"/>
    <n v="6192"/>
    <x v="1"/>
    <n v="15900.23"/>
    <n v="97"/>
    <x v="1"/>
    <x v="2"/>
    <n v="154913.51999999999"/>
    <x v="2"/>
    <s v="WH-C"/>
    <n v="1066"/>
    <d v="2024-03-10T00:00:00"/>
    <n v="7"/>
    <n v="90852"/>
    <x v="0"/>
    <d v="2024-03-01T00:00:00"/>
    <n v="0.44263000000000002"/>
    <n v="70852"/>
    <x v="1"/>
    <n v="199068.02566000001"/>
    <s v="Overdue"/>
    <d v="2024-05-10T00:00:00"/>
    <s v="Variable"/>
    <d v="2024-04-02T00:00:00"/>
    <s v="YES"/>
  </r>
  <r>
    <n v="10853"/>
    <n v="5170"/>
    <x v="1"/>
    <n v="81728.41"/>
    <n v="96"/>
    <x v="2"/>
    <x v="2"/>
    <n v="63732.73"/>
    <x v="1"/>
    <s v="WH-C"/>
    <n v="443"/>
    <d v="2024-03-10T00:00:00"/>
    <n v="7"/>
    <n v="90853"/>
    <x v="2"/>
    <d v="2024-05-18T00:00:00"/>
    <n v="0.58465"/>
    <n v="70853"/>
    <x v="1"/>
    <n v="75278.289739999993"/>
    <s v="pending"/>
    <d v="2024-04-10T00:00:00"/>
    <s v="Variable"/>
    <d v="2024-03-25T00:00:00"/>
    <s v="YES"/>
  </r>
  <r>
    <n v="10854"/>
    <n v="6417"/>
    <x v="1"/>
    <n v="64041.52"/>
    <n v="72"/>
    <x v="1"/>
    <x v="3"/>
    <n v="48885.919999999998"/>
    <x v="0"/>
    <s v="WH-C"/>
    <n v="882"/>
    <d v="2024-02-10T00:00:00"/>
    <n v="2"/>
    <n v="90854"/>
    <x v="3"/>
    <d v="2024-05-18T00:00:00"/>
    <n v="0.90261999999999998"/>
    <n v="70854"/>
    <x v="2"/>
    <n v="199803.42240000001"/>
    <s v="pending"/>
    <d v="2024-05-10T00:00:00"/>
    <s v="Fixed"/>
    <d v="2024-03-25T00:00:00"/>
    <s v="NO"/>
  </r>
  <r>
    <n v="10855"/>
    <n v="5946"/>
    <x v="0"/>
    <n v="45268.44"/>
    <n v="19"/>
    <x v="3"/>
    <x v="2"/>
    <n v="44992.92"/>
    <x v="1"/>
    <s v="WH-A"/>
    <n v="1115"/>
    <d v="2024-02-10T00:00:00"/>
    <n v="14"/>
    <n v="90855"/>
    <x v="0"/>
    <d v="2024-05-18T00:00:00"/>
    <n v="0.92242000000000002"/>
    <n v="70855"/>
    <x v="1"/>
    <n v="139122.42449999999"/>
    <s v="pending"/>
    <d v="2024-04-10T00:00:00"/>
    <s v="Variable"/>
    <d v="2024-04-02T00:00:00"/>
    <s v="YES"/>
  </r>
  <r>
    <n v="10856"/>
    <n v="5795"/>
    <x v="1"/>
    <n v="95284.9"/>
    <n v="63"/>
    <x v="0"/>
    <x v="0"/>
    <n v="44419.64"/>
    <x v="2"/>
    <s v="WH-B"/>
    <n v="646"/>
    <d v="2024-03-10T00:00:00"/>
    <n v="3"/>
    <n v="90856"/>
    <x v="1"/>
    <d v="2024-05-18T00:00:00"/>
    <n v="0.29420000000000002"/>
    <n v="70856"/>
    <x v="1"/>
    <n v="88898.284230000005"/>
    <s v="Overdue"/>
    <d v="2024-04-10T00:00:00"/>
    <s v="Variable"/>
    <d v="2024-04-02T00:00:00"/>
    <s v="YES"/>
  </r>
  <r>
    <n v="10857"/>
    <n v="5634"/>
    <x v="1"/>
    <n v="65748.56"/>
    <n v="38"/>
    <x v="0"/>
    <x v="1"/>
    <n v="111051.97"/>
    <x v="1"/>
    <s v="WH-B"/>
    <n v="442"/>
    <d v="2024-03-10T00:00:00"/>
    <n v="12"/>
    <n v="90857"/>
    <x v="0"/>
    <d v="2024-05-18T00:00:00"/>
    <n v="0.13924"/>
    <n v="70857"/>
    <x v="1"/>
    <n v="173389.54560000001"/>
    <s v="Overdue"/>
    <d v="2024-06-01T00:00:00"/>
    <s v="Variable"/>
    <d v="2024-04-02T00:00:00"/>
    <s v="YES"/>
  </r>
  <r>
    <n v="10858"/>
    <n v="6218"/>
    <x v="1"/>
    <n v="28406.09"/>
    <n v="67"/>
    <x v="0"/>
    <x v="3"/>
    <n v="117292.7"/>
    <x v="0"/>
    <s v="WH-A"/>
    <n v="749"/>
    <d v="2024-03-10T00:00:00"/>
    <n v="10"/>
    <n v="90858"/>
    <x v="0"/>
    <d v="2024-05-18T00:00:00"/>
    <n v="0.37486999999999998"/>
    <n v="70858"/>
    <x v="2"/>
    <n v="124262.96394"/>
    <s v="pending"/>
    <d v="2024-04-10T00:00:00"/>
    <s v="Variable"/>
    <d v="2024-04-02T00:00:00"/>
    <s v="YES"/>
  </r>
  <r>
    <n v="10859"/>
    <n v="6541"/>
    <x v="1"/>
    <n v="78433.94"/>
    <n v="59"/>
    <x v="2"/>
    <x v="2"/>
    <n v="178495.23"/>
    <x v="2"/>
    <s v="WH-A"/>
    <n v="490"/>
    <d v="2024-04-15T00:00:00"/>
    <n v="10"/>
    <n v="90859"/>
    <x v="0"/>
    <d v="2024-04-01T00:00:00"/>
    <n v="0.72621999999999998"/>
    <n v="70859"/>
    <x v="0"/>
    <n v="132557.86504"/>
    <s v="pending"/>
    <d v="2024-06-01T00:00:00"/>
    <s v="Fixed"/>
    <d v="2024-03-25T00:00:00"/>
    <s v="YES"/>
  </r>
  <r>
    <n v="10860"/>
    <n v="5029"/>
    <x v="1"/>
    <n v="89541.48"/>
    <n v="69"/>
    <x v="0"/>
    <x v="2"/>
    <n v="99956.82"/>
    <x v="1"/>
    <s v="WH-C"/>
    <n v="967"/>
    <d v="2024-02-10T00:00:00"/>
    <n v="4"/>
    <n v="90860"/>
    <x v="3"/>
    <d v="2024-04-01T00:00:00"/>
    <n v="0.95599999999999996"/>
    <n v="70860"/>
    <x v="1"/>
    <n v="181964.5288"/>
    <s v="Overdue"/>
    <d v="2024-04-10T00:00:00"/>
    <s v="Variable"/>
    <d v="2024-03-25T00:00:00"/>
    <s v="NO"/>
  </r>
  <r>
    <n v="10861"/>
    <n v="6189"/>
    <x v="0"/>
    <n v="34136.050000000003"/>
    <n v="13"/>
    <x v="2"/>
    <x v="2"/>
    <n v="156502.39999999999"/>
    <x v="2"/>
    <s v="WH-C"/>
    <n v="369"/>
    <d v="2024-04-15T00:00:00"/>
    <n v="7"/>
    <n v="90861"/>
    <x v="1"/>
    <d v="2024-03-01T00:00:00"/>
    <n v="0.16933000000000001"/>
    <n v="70861"/>
    <x v="0"/>
    <n v="103022.4868"/>
    <s v="pending"/>
    <d v="2024-06-01T00:00:00"/>
    <s v="Fixed"/>
    <d v="2024-03-25T00:00:00"/>
    <s v="YES"/>
  </r>
  <r>
    <n v="10862"/>
    <n v="6446"/>
    <x v="1"/>
    <n v="80997.429999999993"/>
    <n v="47"/>
    <x v="3"/>
    <x v="0"/>
    <n v="89887.25"/>
    <x v="1"/>
    <s v="WH-A"/>
    <n v="602"/>
    <d v="2024-04-15T00:00:00"/>
    <n v="2"/>
    <n v="90862"/>
    <x v="2"/>
    <d v="2024-04-01T00:00:00"/>
    <n v="0.12564"/>
    <n v="70862"/>
    <x v="1"/>
    <n v="171925.57388000001"/>
    <s v="Paid"/>
    <d v="2024-04-10T00:00:00"/>
    <s v="Fixed"/>
    <d v="2024-03-25T00:00:00"/>
    <s v="NO"/>
  </r>
  <r>
    <n v="10863"/>
    <n v="5339"/>
    <x v="0"/>
    <n v="40658.39"/>
    <n v="61"/>
    <x v="3"/>
    <x v="3"/>
    <n v="24853.31"/>
    <x v="1"/>
    <s v="WH-C"/>
    <n v="1288"/>
    <d v="2024-02-10T00:00:00"/>
    <n v="3"/>
    <n v="90863"/>
    <x v="0"/>
    <d v="2024-05-18T00:00:00"/>
    <n v="0.89573000000000003"/>
    <n v="70863"/>
    <x v="1"/>
    <n v="158207.59768000001"/>
    <s v="Overdue"/>
    <d v="2024-05-10T00:00:00"/>
    <s v="Variable"/>
    <d v="2024-03-25T00:00:00"/>
    <s v="NO"/>
  </r>
  <r>
    <n v="10864"/>
    <n v="6672"/>
    <x v="0"/>
    <n v="18504.330000000002"/>
    <n v="31"/>
    <x v="2"/>
    <x v="0"/>
    <n v="16265.25"/>
    <x v="1"/>
    <s v="WH-B"/>
    <n v="1144"/>
    <d v="2024-02-10T00:00:00"/>
    <n v="7"/>
    <n v="90864"/>
    <x v="1"/>
    <d v="2024-04-01T00:00:00"/>
    <n v="0.77332999999999996"/>
    <n v="70864"/>
    <x v="2"/>
    <n v="106711.19765"/>
    <s v="pending"/>
    <d v="2024-04-10T00:00:00"/>
    <s v="Variable"/>
    <d v="2024-03-25T00:00:00"/>
    <s v="NO"/>
  </r>
  <r>
    <n v="10865"/>
    <n v="6520"/>
    <x v="1"/>
    <n v="53607.31"/>
    <n v="80"/>
    <x v="1"/>
    <x v="3"/>
    <n v="146323.41"/>
    <x v="1"/>
    <s v="WH-A"/>
    <n v="617"/>
    <d v="2024-04-15T00:00:00"/>
    <n v="7"/>
    <n v="90865"/>
    <x v="1"/>
    <d v="2024-03-01T00:00:00"/>
    <n v="0.99302000000000001"/>
    <n v="70865"/>
    <x v="1"/>
    <n v="77205.747300000003"/>
    <s v="Paid"/>
    <d v="2024-05-10T00:00:00"/>
    <s v="Fixed"/>
    <d v="2024-04-02T00:00:00"/>
    <s v="NO"/>
  </r>
  <r>
    <n v="10866"/>
    <n v="6389"/>
    <x v="1"/>
    <n v="11899.01"/>
    <n v="96"/>
    <x v="0"/>
    <x v="1"/>
    <n v="90283.13"/>
    <x v="1"/>
    <s v="WH-A"/>
    <n v="968"/>
    <d v="2024-02-10T00:00:00"/>
    <n v="10"/>
    <n v="90866"/>
    <x v="2"/>
    <d v="2024-05-18T00:00:00"/>
    <n v="0.45711000000000002"/>
    <n v="70866"/>
    <x v="1"/>
    <n v="129903.62820000001"/>
    <s v="Overdue"/>
    <d v="2024-04-10T00:00:00"/>
    <s v="Variable"/>
    <d v="2024-03-25T00:00:00"/>
    <s v="NO"/>
  </r>
  <r>
    <n v="10867"/>
    <n v="6857"/>
    <x v="1"/>
    <n v="80274.73"/>
    <n v="22"/>
    <x v="0"/>
    <x v="0"/>
    <n v="160487.62"/>
    <x v="2"/>
    <s v="WH-B"/>
    <n v="285"/>
    <d v="2024-03-10T00:00:00"/>
    <n v="3"/>
    <n v="90867"/>
    <x v="0"/>
    <d v="2024-04-01T00:00:00"/>
    <n v="0.47444999999999998"/>
    <n v="70867"/>
    <x v="1"/>
    <n v="206734.23740000001"/>
    <s v="Overdue"/>
    <d v="2024-04-10T00:00:00"/>
    <s v="Variable"/>
    <d v="2024-03-25T00:00:00"/>
    <s v="YES"/>
  </r>
  <r>
    <n v="10868"/>
    <n v="6366"/>
    <x v="1"/>
    <n v="41472.43"/>
    <n v="93"/>
    <x v="0"/>
    <x v="0"/>
    <n v="105531.99"/>
    <x v="1"/>
    <s v="WH-B"/>
    <n v="1354"/>
    <d v="2024-03-10T00:00:00"/>
    <n v="12"/>
    <n v="90868"/>
    <x v="3"/>
    <d v="2024-04-01T00:00:00"/>
    <n v="0.25507999999999997"/>
    <n v="70868"/>
    <x v="0"/>
    <n v="119777.09517"/>
    <s v="Paid"/>
    <d v="2024-06-01T00:00:00"/>
    <s v="Fixed"/>
    <d v="2024-03-25T00:00:00"/>
    <s v="NO"/>
  </r>
  <r>
    <n v="10869"/>
    <n v="5500"/>
    <x v="1"/>
    <n v="20336.5"/>
    <n v="86"/>
    <x v="2"/>
    <x v="1"/>
    <n v="50124.5"/>
    <x v="1"/>
    <s v="WH-B"/>
    <n v="1036"/>
    <d v="2024-04-15T00:00:00"/>
    <n v="1"/>
    <n v="90869"/>
    <x v="1"/>
    <d v="2024-03-01T00:00:00"/>
    <n v="0.20426"/>
    <n v="70869"/>
    <x v="0"/>
    <n v="72767.681920000003"/>
    <s v="Overdue"/>
    <d v="2024-04-10T00:00:00"/>
    <s v="Fixed"/>
    <d v="2024-03-25T00:00:00"/>
    <s v="YES"/>
  </r>
  <r>
    <n v="10870"/>
    <n v="6681"/>
    <x v="1"/>
    <n v="30016.15"/>
    <n v="43"/>
    <x v="3"/>
    <x v="3"/>
    <n v="100251.67"/>
    <x v="1"/>
    <s v="WH-C"/>
    <n v="1235"/>
    <d v="2024-04-15T00:00:00"/>
    <n v="12"/>
    <n v="90870"/>
    <x v="2"/>
    <d v="2024-05-18T00:00:00"/>
    <n v="0.62085000000000001"/>
    <n v="70870"/>
    <x v="1"/>
    <n v="90144.850439999995"/>
    <s v="pending"/>
    <d v="2024-04-10T00:00:00"/>
    <s v="Variable"/>
    <d v="2024-04-02T00:00:00"/>
    <s v="YES"/>
  </r>
  <r>
    <n v="10871"/>
    <n v="5511"/>
    <x v="1"/>
    <n v="15625.03"/>
    <n v="67"/>
    <x v="0"/>
    <x v="2"/>
    <n v="48506.3"/>
    <x v="1"/>
    <s v="WH-A"/>
    <n v="1264"/>
    <d v="2024-02-10T00:00:00"/>
    <n v="3"/>
    <n v="90871"/>
    <x v="3"/>
    <d v="2024-03-01T00:00:00"/>
    <n v="0.42786000000000002"/>
    <n v="70871"/>
    <x v="0"/>
    <n v="202437.84419999999"/>
    <s v="Overdue"/>
    <d v="2024-04-10T00:00:00"/>
    <s v="Fixed"/>
    <d v="2024-03-25T00:00:00"/>
    <s v="YES"/>
  </r>
  <r>
    <n v="10872"/>
    <n v="6351"/>
    <x v="1"/>
    <n v="89468.79"/>
    <n v="54"/>
    <x v="3"/>
    <x v="1"/>
    <n v="111009.16"/>
    <x v="1"/>
    <s v="WH-C"/>
    <n v="1082"/>
    <d v="2024-02-10T00:00:00"/>
    <n v="5"/>
    <n v="90872"/>
    <x v="1"/>
    <d v="2024-05-18T00:00:00"/>
    <n v="0.17227999999999999"/>
    <n v="70872"/>
    <x v="0"/>
    <n v="88956.474860000002"/>
    <s v="pending"/>
    <d v="2024-05-10T00:00:00"/>
    <s v="Variable"/>
    <d v="2024-04-02T00:00:00"/>
    <s v="NO"/>
  </r>
  <r>
    <n v="10873"/>
    <n v="5217"/>
    <x v="1"/>
    <n v="55971.37"/>
    <n v="10"/>
    <x v="0"/>
    <x v="2"/>
    <n v="143042.35"/>
    <x v="1"/>
    <s v="WH-B"/>
    <n v="109"/>
    <d v="2024-04-15T00:00:00"/>
    <n v="7"/>
    <n v="90873"/>
    <x v="0"/>
    <d v="2024-05-18T00:00:00"/>
    <n v="0.89829000000000003"/>
    <n v="70873"/>
    <x v="1"/>
    <n v="70012.078339999993"/>
    <s v="Paid"/>
    <d v="2024-06-01T00:00:00"/>
    <s v="Fixed"/>
    <d v="2024-03-25T00:00:00"/>
    <s v="YES"/>
  </r>
  <r>
    <n v="10874"/>
    <n v="6325"/>
    <x v="1"/>
    <n v="52213.93"/>
    <n v="42"/>
    <x v="0"/>
    <x v="2"/>
    <n v="69000.429999999993"/>
    <x v="2"/>
    <s v="WH-C"/>
    <n v="942"/>
    <d v="2024-04-15T00:00:00"/>
    <n v="4"/>
    <n v="90874"/>
    <x v="1"/>
    <d v="2024-04-01T00:00:00"/>
    <n v="0.27851999999999999"/>
    <n v="70874"/>
    <x v="1"/>
    <n v="106325.48813"/>
    <s v="Paid"/>
    <d v="2024-06-01T00:00:00"/>
    <s v="Fixed"/>
    <d v="2024-04-02T00:00:00"/>
    <s v="YES"/>
  </r>
  <r>
    <n v="10875"/>
    <n v="6156"/>
    <x v="1"/>
    <n v="9489.36"/>
    <n v="64"/>
    <x v="2"/>
    <x v="1"/>
    <n v="83267.25"/>
    <x v="0"/>
    <s v="WH-B"/>
    <n v="274"/>
    <d v="2024-03-10T00:00:00"/>
    <n v="13"/>
    <n v="90875"/>
    <x v="3"/>
    <d v="2024-03-01T00:00:00"/>
    <n v="0.77373000000000003"/>
    <n v="70875"/>
    <x v="1"/>
    <n v="104541.28581"/>
    <s v="Overdue"/>
    <d v="2024-04-10T00:00:00"/>
    <s v="Variable"/>
    <d v="2024-03-25T00:00:00"/>
    <s v="NO"/>
  </r>
  <r>
    <n v="10876"/>
    <n v="6828"/>
    <x v="1"/>
    <n v="38402.559999999998"/>
    <n v="21"/>
    <x v="1"/>
    <x v="3"/>
    <n v="38897.94"/>
    <x v="1"/>
    <s v="WH-C"/>
    <n v="749"/>
    <d v="2024-03-10T00:00:00"/>
    <n v="13"/>
    <n v="90876"/>
    <x v="3"/>
    <d v="2024-03-01T00:00:00"/>
    <n v="0.35400999999999999"/>
    <n v="70876"/>
    <x v="2"/>
    <n v="53332.601340000001"/>
    <s v="Paid"/>
    <d v="2024-04-10T00:00:00"/>
    <s v="Variable"/>
    <d v="2024-03-25T00:00:00"/>
    <s v="NO"/>
  </r>
  <r>
    <n v="10877"/>
    <n v="6094"/>
    <x v="1"/>
    <n v="67100.42"/>
    <n v="80"/>
    <x v="2"/>
    <x v="2"/>
    <n v="59472.639999999999"/>
    <x v="2"/>
    <s v="WH-C"/>
    <n v="631"/>
    <d v="2024-02-10T00:00:00"/>
    <n v="11"/>
    <n v="90877"/>
    <x v="0"/>
    <d v="2024-03-01T00:00:00"/>
    <n v="0.83160999999999996"/>
    <n v="70877"/>
    <x v="2"/>
    <n v="129716.09826"/>
    <s v="Paid"/>
    <d v="2024-05-10T00:00:00"/>
    <s v="Variable"/>
    <d v="2024-03-25T00:00:00"/>
    <s v="YES"/>
  </r>
  <r>
    <n v="10878"/>
    <n v="6276"/>
    <x v="1"/>
    <n v="64873.66"/>
    <n v="76"/>
    <x v="0"/>
    <x v="1"/>
    <n v="128531.98"/>
    <x v="1"/>
    <s v="WH-B"/>
    <n v="1360"/>
    <d v="2024-03-10T00:00:00"/>
    <n v="11"/>
    <n v="90878"/>
    <x v="0"/>
    <d v="2024-05-18T00:00:00"/>
    <n v="0.20655999999999999"/>
    <n v="70878"/>
    <x v="1"/>
    <n v="210114.39540000001"/>
    <s v="Overdue"/>
    <d v="2024-04-10T00:00:00"/>
    <s v="Variable"/>
    <d v="2024-03-25T00:00:00"/>
    <s v="YES"/>
  </r>
  <r>
    <n v="10879"/>
    <n v="6439"/>
    <x v="1"/>
    <n v="42664.19"/>
    <n v="66"/>
    <x v="0"/>
    <x v="0"/>
    <n v="158062.49"/>
    <x v="1"/>
    <s v="WH-C"/>
    <n v="1043"/>
    <d v="2024-02-10T00:00:00"/>
    <n v="1"/>
    <n v="90879"/>
    <x v="2"/>
    <d v="2024-03-01T00:00:00"/>
    <n v="0.78046000000000004"/>
    <n v="70879"/>
    <x v="1"/>
    <n v="190652.52799999999"/>
    <s v="pending"/>
    <d v="2024-06-01T00:00:00"/>
    <s v="Variable"/>
    <d v="2024-04-02T00:00:00"/>
    <s v="YES"/>
  </r>
  <r>
    <n v="10880"/>
    <n v="6811"/>
    <x v="1"/>
    <n v="79261.95"/>
    <n v="41"/>
    <x v="1"/>
    <x v="0"/>
    <n v="137138.44"/>
    <x v="1"/>
    <s v="WH-A"/>
    <n v="218"/>
    <d v="2024-02-10T00:00:00"/>
    <n v="6"/>
    <n v="90880"/>
    <x v="0"/>
    <d v="2024-05-18T00:00:00"/>
    <n v="0.18831000000000001"/>
    <n v="70880"/>
    <x v="1"/>
    <n v="98463.553"/>
    <s v="Overdue"/>
    <d v="2024-06-01T00:00:00"/>
    <s v="Fixed"/>
    <d v="2024-03-25T00:00:00"/>
    <s v="NO"/>
  </r>
  <r>
    <n v="10881"/>
    <n v="5445"/>
    <x v="1"/>
    <n v="23357.22"/>
    <n v="24"/>
    <x v="3"/>
    <x v="0"/>
    <n v="134956.9"/>
    <x v="1"/>
    <s v="WH-C"/>
    <n v="1135"/>
    <d v="2024-02-10T00:00:00"/>
    <n v="2"/>
    <n v="90881"/>
    <x v="2"/>
    <d v="2024-03-01T00:00:00"/>
    <n v="0.50222"/>
    <n v="70881"/>
    <x v="2"/>
    <n v="101149.50290000001"/>
    <s v="Overdue"/>
    <d v="2024-05-10T00:00:00"/>
    <s v="Variable"/>
    <d v="2024-04-02T00:00:00"/>
    <s v="YES"/>
  </r>
  <r>
    <n v="10882"/>
    <n v="5876"/>
    <x v="0"/>
    <n v="51286.52"/>
    <n v="35"/>
    <x v="3"/>
    <x v="1"/>
    <n v="127825.94"/>
    <x v="1"/>
    <s v="WH-C"/>
    <n v="1422"/>
    <d v="2024-03-10T00:00:00"/>
    <n v="12"/>
    <n v="90882"/>
    <x v="3"/>
    <d v="2024-03-01T00:00:00"/>
    <n v="0.76060000000000005"/>
    <n v="70882"/>
    <x v="0"/>
    <n v="63395.534"/>
    <s v="pending"/>
    <d v="2024-05-10T00:00:00"/>
    <s v="Variable"/>
    <d v="2024-04-02T00:00:00"/>
    <s v="YES"/>
  </r>
  <r>
    <n v="10883"/>
    <n v="6206"/>
    <x v="0"/>
    <n v="44608.53"/>
    <n v="56"/>
    <x v="0"/>
    <x v="0"/>
    <n v="42249.36"/>
    <x v="2"/>
    <s v="WH-A"/>
    <n v="63"/>
    <d v="2024-04-15T00:00:00"/>
    <n v="3"/>
    <n v="90883"/>
    <x v="3"/>
    <d v="2024-04-01T00:00:00"/>
    <n v="0.25590000000000002"/>
    <n v="70883"/>
    <x v="1"/>
    <n v="83948.161699999997"/>
    <s v="pending"/>
    <d v="2024-06-01T00:00:00"/>
    <s v="Fixed"/>
    <d v="2024-03-25T00:00:00"/>
    <s v="YES"/>
  </r>
  <r>
    <n v="10884"/>
    <n v="5167"/>
    <x v="1"/>
    <n v="51662.13"/>
    <n v="30"/>
    <x v="3"/>
    <x v="2"/>
    <n v="122616.91"/>
    <x v="0"/>
    <s v="WH-B"/>
    <n v="213"/>
    <d v="2024-04-15T00:00:00"/>
    <n v="4"/>
    <n v="90884"/>
    <x v="1"/>
    <d v="2024-03-01T00:00:00"/>
    <n v="0.35709999999999997"/>
    <n v="70884"/>
    <x v="1"/>
    <n v="175026.53229999999"/>
    <s v="pending"/>
    <d v="2024-05-10T00:00:00"/>
    <s v="Variable"/>
    <d v="2024-04-02T00:00:00"/>
    <s v="YES"/>
  </r>
  <r>
    <n v="10885"/>
    <n v="5091"/>
    <x v="1"/>
    <n v="63879.97"/>
    <n v="57"/>
    <x v="0"/>
    <x v="0"/>
    <n v="74744.23"/>
    <x v="0"/>
    <s v="WH-A"/>
    <n v="1493"/>
    <d v="2024-03-10T00:00:00"/>
    <n v="6"/>
    <n v="90885"/>
    <x v="1"/>
    <d v="2024-04-01T00:00:00"/>
    <n v="0.87829000000000002"/>
    <n v="70885"/>
    <x v="0"/>
    <n v="154190.57149999999"/>
    <s v="Overdue"/>
    <d v="2024-04-10T00:00:00"/>
    <s v="Variable"/>
    <d v="2024-03-25T00:00:00"/>
    <s v="YES"/>
  </r>
  <r>
    <n v="10886"/>
    <n v="5714"/>
    <x v="1"/>
    <n v="9993.19"/>
    <n v="94"/>
    <x v="1"/>
    <x v="0"/>
    <n v="84932.77"/>
    <x v="2"/>
    <s v="WH-C"/>
    <n v="806"/>
    <d v="2024-04-15T00:00:00"/>
    <n v="6"/>
    <n v="90886"/>
    <x v="2"/>
    <d v="2024-04-01T00:00:00"/>
    <n v="0.89661000000000002"/>
    <n v="70886"/>
    <x v="1"/>
    <n v="165715.62789999999"/>
    <s v="pending"/>
    <d v="2024-04-10T00:00:00"/>
    <s v="Fixed"/>
    <d v="2024-03-25T00:00:00"/>
    <s v="NO"/>
  </r>
  <r>
    <n v="10887"/>
    <n v="6882"/>
    <x v="1"/>
    <n v="51143.07"/>
    <n v="47"/>
    <x v="1"/>
    <x v="2"/>
    <n v="86263.07"/>
    <x v="1"/>
    <s v="WH-B"/>
    <n v="1101"/>
    <d v="2024-02-10T00:00:00"/>
    <n v="7"/>
    <n v="90887"/>
    <x v="0"/>
    <d v="2024-05-18T00:00:00"/>
    <n v="0.14044000000000001"/>
    <n v="70887"/>
    <x v="0"/>
    <n v="203010.91829999999"/>
    <s v="Paid"/>
    <d v="2024-05-10T00:00:00"/>
    <s v="Fixed"/>
    <d v="2024-03-25T00:00:00"/>
    <s v="NO"/>
  </r>
  <r>
    <n v="10888"/>
    <n v="6555"/>
    <x v="1"/>
    <n v="29827.25"/>
    <n v="35"/>
    <x v="0"/>
    <x v="0"/>
    <n v="94262.73"/>
    <x v="2"/>
    <s v="WH-C"/>
    <n v="495"/>
    <d v="2024-04-15T00:00:00"/>
    <n v="5"/>
    <n v="90888"/>
    <x v="0"/>
    <d v="2024-03-01T00:00:00"/>
    <n v="0.25128"/>
    <n v="70888"/>
    <x v="2"/>
    <n v="161539.51991"/>
    <s v="pending"/>
    <d v="2024-06-01T00:00:00"/>
    <s v="Variable"/>
    <d v="2024-03-25T00:00:00"/>
    <s v="YES"/>
  </r>
  <r>
    <n v="10889"/>
    <n v="5039"/>
    <x v="1"/>
    <n v="20912.96"/>
    <n v="19"/>
    <x v="1"/>
    <x v="2"/>
    <n v="50317.66"/>
    <x v="1"/>
    <s v="WH-C"/>
    <n v="1281"/>
    <d v="2024-03-10T00:00:00"/>
    <n v="7"/>
    <n v="90889"/>
    <x v="1"/>
    <d v="2024-03-01T00:00:00"/>
    <n v="0.20571999999999999"/>
    <n v="70889"/>
    <x v="1"/>
    <n v="219016.78760000001"/>
    <s v="Paid"/>
    <d v="2024-05-10T00:00:00"/>
    <s v="Variable"/>
    <d v="2024-03-25T00:00:00"/>
    <s v="YES"/>
  </r>
  <r>
    <n v="10890"/>
    <n v="6150"/>
    <x v="1"/>
    <n v="26801.7"/>
    <n v="8"/>
    <x v="2"/>
    <x v="0"/>
    <n v="62440.69"/>
    <x v="2"/>
    <s v="WH-A"/>
    <n v="765"/>
    <d v="2024-04-15T00:00:00"/>
    <n v="2"/>
    <n v="90890"/>
    <x v="3"/>
    <d v="2024-03-01T00:00:00"/>
    <n v="0.26172000000000001"/>
    <n v="70890"/>
    <x v="1"/>
    <n v="95077.565100000007"/>
    <s v="pending"/>
    <d v="2024-06-01T00:00:00"/>
    <s v="Variable"/>
    <d v="2024-04-02T00:00:00"/>
    <s v="NO"/>
  </r>
  <r>
    <n v="10891"/>
    <n v="6475"/>
    <x v="1"/>
    <n v="74033.2"/>
    <n v="26"/>
    <x v="2"/>
    <x v="2"/>
    <n v="37144.980000000003"/>
    <x v="2"/>
    <s v="WH-A"/>
    <n v="1025"/>
    <d v="2024-02-10T00:00:00"/>
    <n v="1"/>
    <n v="90891"/>
    <x v="2"/>
    <d v="2024-04-01T00:00:00"/>
    <n v="0.97316999999999998"/>
    <n v="70891"/>
    <x v="0"/>
    <n v="185544.19399999999"/>
    <s v="Paid"/>
    <d v="2024-05-10T00:00:00"/>
    <s v="Fixed"/>
    <d v="2024-03-25T00:00:00"/>
    <s v="YES"/>
  </r>
  <r>
    <n v="10892"/>
    <n v="5173"/>
    <x v="1"/>
    <n v="58575.51"/>
    <n v="71"/>
    <x v="1"/>
    <x v="0"/>
    <n v="35284.75"/>
    <x v="2"/>
    <s v="WH-B"/>
    <n v="868"/>
    <d v="2024-02-10T00:00:00"/>
    <n v="12"/>
    <n v="90892"/>
    <x v="3"/>
    <d v="2024-03-01T00:00:00"/>
    <n v="0.59648999999999996"/>
    <n v="70892"/>
    <x v="0"/>
    <n v="158851.2096"/>
    <s v="Paid"/>
    <d v="2024-05-10T00:00:00"/>
    <s v="Variable"/>
    <d v="2024-03-25T00:00:00"/>
    <s v="NO"/>
  </r>
  <r>
    <n v="10893"/>
    <n v="5653"/>
    <x v="0"/>
    <n v="44659.21"/>
    <n v="30"/>
    <x v="0"/>
    <x v="2"/>
    <n v="138050.56"/>
    <x v="0"/>
    <s v="WH-B"/>
    <n v="153"/>
    <d v="2024-03-10T00:00:00"/>
    <n v="10"/>
    <n v="90893"/>
    <x v="3"/>
    <d v="2024-05-18T00:00:00"/>
    <n v="0.52129999999999999"/>
    <n v="70893"/>
    <x v="2"/>
    <n v="161256.15723000001"/>
    <s v="Paid"/>
    <d v="2024-05-10T00:00:00"/>
    <s v="Variable"/>
    <d v="2024-03-25T00:00:00"/>
    <s v="NO"/>
  </r>
  <r>
    <n v="10894"/>
    <n v="5754"/>
    <x v="1"/>
    <n v="97856.09"/>
    <n v="7"/>
    <x v="0"/>
    <x v="1"/>
    <n v="116472.02"/>
    <x v="1"/>
    <s v="WH-B"/>
    <n v="791"/>
    <d v="2024-03-10T00:00:00"/>
    <n v="8"/>
    <n v="90894"/>
    <x v="0"/>
    <d v="2024-05-18T00:00:00"/>
    <n v="0.98602000000000001"/>
    <n v="70894"/>
    <x v="0"/>
    <n v="132141.44263999999"/>
    <s v="Paid"/>
    <d v="2024-04-10T00:00:00"/>
    <s v="Variable"/>
    <d v="2024-03-25T00:00:00"/>
    <s v="NO"/>
  </r>
  <r>
    <n v="10895"/>
    <n v="6244"/>
    <x v="0"/>
    <n v="57398.98"/>
    <n v="67"/>
    <x v="1"/>
    <x v="2"/>
    <n v="114197.25"/>
    <x v="2"/>
    <s v="WH-C"/>
    <n v="475"/>
    <d v="2024-03-10T00:00:00"/>
    <n v="1"/>
    <n v="90895"/>
    <x v="2"/>
    <d v="2024-03-01T00:00:00"/>
    <n v="0.60126000000000002"/>
    <n v="70895"/>
    <x v="0"/>
    <n v="131774.78330000001"/>
    <s v="Paid"/>
    <d v="2024-04-10T00:00:00"/>
    <s v="Fixed"/>
    <d v="2024-03-25T00:00:00"/>
    <s v="NO"/>
  </r>
  <r>
    <n v="10896"/>
    <n v="6662"/>
    <x v="0"/>
    <n v="11671.86"/>
    <n v="65"/>
    <x v="3"/>
    <x v="0"/>
    <n v="110276.28"/>
    <x v="0"/>
    <s v="WH-A"/>
    <n v="1174"/>
    <d v="2024-02-10T00:00:00"/>
    <n v="12"/>
    <n v="90896"/>
    <x v="3"/>
    <d v="2024-04-01T00:00:00"/>
    <n v="0.69501000000000002"/>
    <n v="70896"/>
    <x v="2"/>
    <n v="93481.989310000004"/>
    <s v="pending"/>
    <d v="2024-06-01T00:00:00"/>
    <s v="Fixed"/>
    <d v="2024-04-02T00:00:00"/>
    <s v="NO"/>
  </r>
  <r>
    <n v="10897"/>
    <n v="6082"/>
    <x v="1"/>
    <n v="71976.34"/>
    <n v="36"/>
    <x v="2"/>
    <x v="0"/>
    <n v="171587.76"/>
    <x v="1"/>
    <s v="WH-A"/>
    <n v="688"/>
    <d v="2024-04-15T00:00:00"/>
    <n v="2"/>
    <n v="90897"/>
    <x v="1"/>
    <d v="2024-05-18T00:00:00"/>
    <n v="0.39949000000000001"/>
    <n v="70897"/>
    <x v="1"/>
    <n v="122262.32490000001"/>
    <s v="Overdue"/>
    <d v="2024-05-10T00:00:00"/>
    <s v="Variable"/>
    <d v="2024-03-25T00:00:00"/>
    <s v="NO"/>
  </r>
  <r>
    <n v="10898"/>
    <n v="6684"/>
    <x v="1"/>
    <n v="39883.97"/>
    <n v="25"/>
    <x v="3"/>
    <x v="3"/>
    <n v="89680.84"/>
    <x v="1"/>
    <s v="WH-A"/>
    <n v="899"/>
    <d v="2024-04-15T00:00:00"/>
    <n v="11"/>
    <n v="90898"/>
    <x v="1"/>
    <d v="2024-05-18T00:00:00"/>
    <n v="0.44390000000000002"/>
    <n v="70898"/>
    <x v="1"/>
    <n v="181924.14064999999"/>
    <s v="Overdue"/>
    <d v="2024-04-10T00:00:00"/>
    <s v="Fixed"/>
    <d v="2024-04-02T00:00:00"/>
    <s v="YES"/>
  </r>
  <r>
    <n v="10899"/>
    <n v="5476"/>
    <x v="1"/>
    <n v="70216.19"/>
    <n v="37"/>
    <x v="0"/>
    <x v="2"/>
    <n v="85519.1"/>
    <x v="2"/>
    <s v="WH-B"/>
    <n v="1179"/>
    <d v="2024-03-10T00:00:00"/>
    <n v="12"/>
    <n v="90899"/>
    <x v="0"/>
    <d v="2024-04-01T00:00:00"/>
    <n v="0.63497000000000003"/>
    <n v="70899"/>
    <x v="0"/>
    <n v="191304.51561"/>
    <s v="Overdue"/>
    <d v="2024-05-10T00:00:00"/>
    <s v="Fixed"/>
    <d v="2024-04-02T00:00:00"/>
    <s v="YES"/>
  </r>
  <r>
    <n v="10900"/>
    <n v="5456"/>
    <x v="1"/>
    <n v="80056.160000000003"/>
    <n v="1"/>
    <x v="0"/>
    <x v="1"/>
    <n v="73955.009999999995"/>
    <x v="1"/>
    <s v="WH-A"/>
    <n v="818"/>
    <d v="2024-04-15T00:00:00"/>
    <n v="10"/>
    <n v="90900"/>
    <x v="1"/>
    <d v="2024-05-18T00:00:00"/>
    <n v="0.16281000000000001"/>
    <n v="70900"/>
    <x v="2"/>
    <n v="70247.902199999997"/>
    <s v="Overdue"/>
    <d v="2024-06-01T00:00:00"/>
    <s v="Fixed"/>
    <d v="2024-03-25T00:00:00"/>
    <s v="NO"/>
  </r>
  <r>
    <n v="10901"/>
    <n v="5829"/>
    <x v="0"/>
    <n v="47882.36"/>
    <n v="15"/>
    <x v="3"/>
    <x v="2"/>
    <n v="102504.45"/>
    <x v="1"/>
    <s v="WH-A"/>
    <n v="326"/>
    <d v="2024-04-15T00:00:00"/>
    <n v="6"/>
    <n v="90901"/>
    <x v="1"/>
    <d v="2024-04-01T00:00:00"/>
    <n v="0.33028999999999997"/>
    <n v="70901"/>
    <x v="1"/>
    <n v="173125.3358"/>
    <s v="Overdue"/>
    <d v="2024-04-10T00:00:00"/>
    <s v="Variable"/>
    <d v="2024-04-02T00:00:00"/>
    <s v="YES"/>
  </r>
  <r>
    <n v="10902"/>
    <n v="5895"/>
    <x v="1"/>
    <n v="77569.83"/>
    <n v="37"/>
    <x v="1"/>
    <x v="2"/>
    <n v="155183.42000000001"/>
    <x v="1"/>
    <s v="WH-A"/>
    <n v="1138"/>
    <d v="2024-03-10T00:00:00"/>
    <n v="1"/>
    <n v="90902"/>
    <x v="3"/>
    <d v="2024-05-18T00:00:00"/>
    <n v="0.27712999999999999"/>
    <n v="70902"/>
    <x v="2"/>
    <n v="159947.41222999999"/>
    <s v="Paid"/>
    <d v="2024-06-01T00:00:00"/>
    <s v="Variable"/>
    <d v="2024-03-25T00:00:00"/>
    <s v="YES"/>
  </r>
  <r>
    <n v="10903"/>
    <n v="6385"/>
    <x v="1"/>
    <n v="12267.35"/>
    <n v="13"/>
    <x v="3"/>
    <x v="1"/>
    <n v="96496.35"/>
    <x v="2"/>
    <s v="WH-B"/>
    <n v="949"/>
    <d v="2024-03-10T00:00:00"/>
    <n v="10"/>
    <n v="90903"/>
    <x v="1"/>
    <d v="2024-04-01T00:00:00"/>
    <n v="0.1143"/>
    <n v="70903"/>
    <x v="0"/>
    <n v="103405.23035"/>
    <s v="pending"/>
    <d v="2024-04-10T00:00:00"/>
    <s v="Variable"/>
    <d v="2024-03-25T00:00:00"/>
    <s v="YES"/>
  </r>
  <r>
    <n v="10904"/>
    <n v="6959"/>
    <x v="1"/>
    <n v="47939.98"/>
    <n v="8"/>
    <x v="3"/>
    <x v="2"/>
    <n v="75964.009999999995"/>
    <x v="1"/>
    <s v="WH-A"/>
    <n v="237"/>
    <d v="2024-02-10T00:00:00"/>
    <n v="3"/>
    <n v="90904"/>
    <x v="1"/>
    <d v="2024-05-18T00:00:00"/>
    <n v="0.58321000000000001"/>
    <n v="70904"/>
    <x v="0"/>
    <n v="173093.04440000001"/>
    <s v="Paid"/>
    <d v="2024-05-10T00:00:00"/>
    <s v="Variable"/>
    <d v="2024-03-25T00:00:00"/>
    <s v="NO"/>
  </r>
  <r>
    <n v="10905"/>
    <n v="6025"/>
    <x v="1"/>
    <n v="79060.72"/>
    <n v="5"/>
    <x v="2"/>
    <x v="1"/>
    <n v="21638.03"/>
    <x v="0"/>
    <s v="WH-B"/>
    <n v="1390"/>
    <d v="2024-02-10T00:00:00"/>
    <n v="7"/>
    <n v="90905"/>
    <x v="3"/>
    <d v="2024-03-01T00:00:00"/>
    <n v="0.60494999999999999"/>
    <n v="70905"/>
    <x v="2"/>
    <n v="195096.38370000001"/>
    <s v="pending"/>
    <d v="2024-06-01T00:00:00"/>
    <s v="Variable"/>
    <d v="2024-04-02T00:00:00"/>
    <s v="YES"/>
  </r>
  <r>
    <n v="10906"/>
    <n v="5387"/>
    <x v="0"/>
    <n v="8538.32"/>
    <n v="60"/>
    <x v="2"/>
    <x v="1"/>
    <n v="51369.88"/>
    <x v="0"/>
    <s v="WH-A"/>
    <n v="1211"/>
    <d v="2024-02-10T00:00:00"/>
    <n v="12"/>
    <n v="90906"/>
    <x v="0"/>
    <d v="2024-05-18T00:00:00"/>
    <n v="0.44555"/>
    <n v="70906"/>
    <x v="1"/>
    <n v="141768.33882"/>
    <s v="pending"/>
    <d v="2024-04-10T00:00:00"/>
    <s v="Variable"/>
    <d v="2024-03-25T00:00:00"/>
    <s v="YES"/>
  </r>
  <r>
    <n v="10907"/>
    <n v="6997"/>
    <x v="1"/>
    <n v="16059.62"/>
    <n v="73"/>
    <x v="3"/>
    <x v="2"/>
    <n v="32722.39"/>
    <x v="0"/>
    <s v="WH-A"/>
    <n v="1416"/>
    <d v="2024-02-10T00:00:00"/>
    <n v="8"/>
    <n v="90907"/>
    <x v="0"/>
    <d v="2024-05-18T00:00:00"/>
    <n v="0.34184999999999999"/>
    <n v="70907"/>
    <x v="0"/>
    <n v="183287.64670000001"/>
    <s v="pending"/>
    <d v="2024-04-10T00:00:00"/>
    <s v="Fixed"/>
    <d v="2024-03-25T00:00:00"/>
    <s v="YES"/>
  </r>
  <r>
    <n v="10908"/>
    <n v="5348"/>
    <x v="1"/>
    <n v="44308.51"/>
    <n v="1"/>
    <x v="3"/>
    <x v="2"/>
    <n v="104002.15"/>
    <x v="0"/>
    <s v="WH-A"/>
    <n v="154"/>
    <d v="2024-04-15T00:00:00"/>
    <n v="4"/>
    <n v="90908"/>
    <x v="2"/>
    <d v="2024-03-01T00:00:00"/>
    <n v="0.68684999999999996"/>
    <n v="70908"/>
    <x v="0"/>
    <n v="160716.14932999999"/>
    <s v="pending"/>
    <d v="2024-05-10T00:00:00"/>
    <s v="Fixed"/>
    <d v="2024-04-02T00:00:00"/>
    <s v="YES"/>
  </r>
  <r>
    <n v="10909"/>
    <n v="5190"/>
    <x v="0"/>
    <n v="22936.07"/>
    <n v="36"/>
    <x v="0"/>
    <x v="0"/>
    <n v="28535.62"/>
    <x v="1"/>
    <s v="WH-B"/>
    <n v="595"/>
    <d v="2024-04-15T00:00:00"/>
    <n v="12"/>
    <n v="90909"/>
    <x v="1"/>
    <d v="2024-03-01T00:00:00"/>
    <n v="0.22119"/>
    <n v="70909"/>
    <x v="0"/>
    <n v="77717.067540000004"/>
    <s v="Overdue"/>
    <d v="2024-06-01T00:00:00"/>
    <s v="Variable"/>
    <d v="2024-03-25T00:00:00"/>
    <s v="YES"/>
  </r>
  <r>
    <n v="10910"/>
    <n v="5505"/>
    <x v="1"/>
    <n v="14879.85"/>
    <n v="35"/>
    <x v="2"/>
    <x v="0"/>
    <n v="81947.56"/>
    <x v="0"/>
    <s v="WH-B"/>
    <n v="429"/>
    <d v="2024-02-10T00:00:00"/>
    <n v="3"/>
    <n v="90910"/>
    <x v="3"/>
    <d v="2024-03-01T00:00:00"/>
    <n v="0.56674999999999998"/>
    <n v="70910"/>
    <x v="0"/>
    <n v="181647.63021"/>
    <s v="pending"/>
    <d v="2024-06-01T00:00:00"/>
    <s v="Fixed"/>
    <d v="2024-04-02T00:00:00"/>
    <s v="YES"/>
  </r>
  <r>
    <n v="10911"/>
    <n v="6215"/>
    <x v="1"/>
    <n v="62629.84"/>
    <n v="66"/>
    <x v="2"/>
    <x v="3"/>
    <n v="117264"/>
    <x v="1"/>
    <s v="WH-A"/>
    <n v="159"/>
    <d v="2024-02-10T00:00:00"/>
    <n v="1"/>
    <n v="90911"/>
    <x v="2"/>
    <d v="2024-03-01T00:00:00"/>
    <n v="0.79127000000000003"/>
    <n v="70911"/>
    <x v="2"/>
    <n v="161339.19886999999"/>
    <s v="pending"/>
    <d v="2024-06-01T00:00:00"/>
    <s v="Fixed"/>
    <d v="2024-04-02T00:00:00"/>
    <s v="YES"/>
  </r>
  <r>
    <n v="10912"/>
    <n v="6532"/>
    <x v="1"/>
    <n v="79510.45"/>
    <n v="63"/>
    <x v="0"/>
    <x v="3"/>
    <n v="77390.509999999995"/>
    <x v="2"/>
    <s v="WH-C"/>
    <n v="594"/>
    <d v="2024-03-10T00:00:00"/>
    <n v="12"/>
    <n v="90912"/>
    <x v="0"/>
    <d v="2024-04-01T00:00:00"/>
    <n v="0.24787000000000001"/>
    <n v="70912"/>
    <x v="2"/>
    <n v="175447.59698"/>
    <s v="Overdue"/>
    <d v="2024-05-10T00:00:00"/>
    <s v="Variable"/>
    <d v="2024-04-02T00:00:00"/>
    <s v="YES"/>
  </r>
  <r>
    <n v="10913"/>
    <n v="6393"/>
    <x v="0"/>
    <n v="55309.8"/>
    <n v="23"/>
    <x v="1"/>
    <x v="2"/>
    <n v="47109.85"/>
    <x v="1"/>
    <s v="WH-B"/>
    <n v="403"/>
    <d v="2024-04-15T00:00:00"/>
    <n v="9"/>
    <n v="90913"/>
    <x v="0"/>
    <d v="2024-04-01T00:00:00"/>
    <n v="0.77793000000000001"/>
    <n v="70913"/>
    <x v="2"/>
    <n v="191348.67658"/>
    <s v="Paid"/>
    <d v="2024-04-10T00:00:00"/>
    <s v="Fixed"/>
    <d v="2024-04-02T00:00:00"/>
    <s v="YES"/>
  </r>
  <r>
    <n v="10914"/>
    <n v="6433"/>
    <x v="1"/>
    <n v="93038.34"/>
    <n v="9"/>
    <x v="2"/>
    <x v="1"/>
    <n v="135681.97"/>
    <x v="0"/>
    <s v="WH-B"/>
    <n v="792"/>
    <d v="2024-04-15T00:00:00"/>
    <n v="10"/>
    <n v="90914"/>
    <x v="3"/>
    <d v="2024-05-18T00:00:00"/>
    <n v="0.78471999999999997"/>
    <n v="70914"/>
    <x v="2"/>
    <n v="89233.334600000002"/>
    <s v="Paid"/>
    <d v="2024-04-10T00:00:00"/>
    <s v="Fixed"/>
    <d v="2024-03-25T00:00:00"/>
    <s v="NO"/>
  </r>
  <r>
    <n v="10915"/>
    <n v="5824"/>
    <x v="1"/>
    <n v="81095.14"/>
    <n v="34"/>
    <x v="2"/>
    <x v="3"/>
    <n v="37089.879999999997"/>
    <x v="1"/>
    <s v="WH-A"/>
    <n v="366"/>
    <d v="2024-02-10T00:00:00"/>
    <n v="6"/>
    <n v="90915"/>
    <x v="2"/>
    <d v="2024-05-18T00:00:00"/>
    <n v="0.15393000000000001"/>
    <n v="70915"/>
    <x v="1"/>
    <n v="127570.3702"/>
    <s v="Paid"/>
    <d v="2024-06-01T00:00:00"/>
    <s v="Variable"/>
    <d v="2024-03-25T00:00:00"/>
    <s v="YES"/>
  </r>
  <r>
    <n v="10916"/>
    <n v="5929"/>
    <x v="1"/>
    <n v="76547.92"/>
    <n v="46"/>
    <x v="1"/>
    <x v="2"/>
    <n v="134595.92000000001"/>
    <x v="0"/>
    <s v="WH-C"/>
    <n v="1339"/>
    <d v="2024-04-15T00:00:00"/>
    <n v="6"/>
    <n v="90916"/>
    <x v="2"/>
    <d v="2024-05-18T00:00:00"/>
    <n v="0.11691"/>
    <n v="70916"/>
    <x v="2"/>
    <n v="149492.26509"/>
    <s v="Paid"/>
    <d v="2024-04-10T00:00:00"/>
    <s v="Variable"/>
    <d v="2024-03-25T00:00:00"/>
    <s v="YES"/>
  </r>
  <r>
    <n v="10917"/>
    <n v="5934"/>
    <x v="0"/>
    <n v="11878.65"/>
    <n v="78"/>
    <x v="2"/>
    <x v="3"/>
    <n v="10835.9"/>
    <x v="2"/>
    <s v="WH-A"/>
    <n v="1138"/>
    <d v="2024-03-10T00:00:00"/>
    <n v="9"/>
    <n v="90917"/>
    <x v="3"/>
    <d v="2024-04-01T00:00:00"/>
    <n v="0.97653999999999996"/>
    <n v="70917"/>
    <x v="2"/>
    <n v="191585.18090000001"/>
    <s v="pending"/>
    <d v="2024-06-01T00:00:00"/>
    <s v="Variable"/>
    <d v="2024-04-02T00:00:00"/>
    <s v="YES"/>
  </r>
  <r>
    <n v="10918"/>
    <n v="6141"/>
    <x v="1"/>
    <n v="71868.19"/>
    <n v="4"/>
    <x v="2"/>
    <x v="1"/>
    <n v="13513.67"/>
    <x v="1"/>
    <s v="WH-B"/>
    <n v="382"/>
    <d v="2024-03-10T00:00:00"/>
    <n v="1"/>
    <n v="90918"/>
    <x v="3"/>
    <d v="2024-05-18T00:00:00"/>
    <n v="0.27404000000000001"/>
    <n v="70918"/>
    <x v="0"/>
    <n v="192860.33264000001"/>
    <s v="Overdue"/>
    <d v="2024-05-10T00:00:00"/>
    <s v="Fixed"/>
    <d v="2024-03-25T00:00:00"/>
    <s v="YES"/>
  </r>
  <r>
    <n v="10919"/>
    <n v="5134"/>
    <x v="1"/>
    <n v="81842.45"/>
    <n v="30"/>
    <x v="1"/>
    <x v="2"/>
    <n v="76139.320000000007"/>
    <x v="2"/>
    <s v="WH-B"/>
    <n v="1206"/>
    <d v="2024-04-15T00:00:00"/>
    <n v="6"/>
    <n v="90919"/>
    <x v="2"/>
    <d v="2024-05-18T00:00:00"/>
    <n v="0.83992999999999995"/>
    <n v="70919"/>
    <x v="1"/>
    <n v="76481.323489999995"/>
    <s v="Overdue"/>
    <d v="2024-05-10T00:00:00"/>
    <s v="Variable"/>
    <d v="2024-04-02T00:00:00"/>
    <s v="YES"/>
  </r>
  <r>
    <n v="10920"/>
    <n v="5058"/>
    <x v="0"/>
    <n v="22076.6"/>
    <n v="95"/>
    <x v="1"/>
    <x v="1"/>
    <n v="86764.08"/>
    <x v="2"/>
    <s v="WH-A"/>
    <n v="641"/>
    <d v="2024-02-10T00:00:00"/>
    <n v="12"/>
    <n v="90920"/>
    <x v="0"/>
    <d v="2024-04-01T00:00:00"/>
    <n v="0.60567000000000004"/>
    <n v="70920"/>
    <x v="0"/>
    <n v="94384.706489999997"/>
    <s v="Paid"/>
    <d v="2024-05-10T00:00:00"/>
    <s v="Variable"/>
    <d v="2024-03-25T00:00:00"/>
    <s v="YES"/>
  </r>
  <r>
    <n v="10921"/>
    <n v="6580"/>
    <x v="1"/>
    <n v="55417.69"/>
    <n v="75"/>
    <x v="3"/>
    <x v="2"/>
    <n v="51306.12"/>
    <x v="2"/>
    <s v="WH-A"/>
    <n v="832"/>
    <d v="2024-04-15T00:00:00"/>
    <n v="5"/>
    <n v="90921"/>
    <x v="1"/>
    <d v="2024-05-18T00:00:00"/>
    <n v="0.33801999999999999"/>
    <n v="70921"/>
    <x v="1"/>
    <n v="192178.52121000001"/>
    <s v="Overdue"/>
    <d v="2024-06-01T00:00:00"/>
    <s v="Variable"/>
    <d v="2024-04-02T00:00:00"/>
    <s v="NO"/>
  </r>
  <r>
    <n v="10922"/>
    <n v="5685"/>
    <x v="1"/>
    <n v="61661.94"/>
    <n v="99"/>
    <x v="0"/>
    <x v="3"/>
    <n v="86925.14"/>
    <x v="1"/>
    <s v="WH-C"/>
    <n v="589"/>
    <d v="2024-03-10T00:00:00"/>
    <n v="13"/>
    <n v="90922"/>
    <x v="0"/>
    <d v="2024-04-01T00:00:00"/>
    <n v="0.21697"/>
    <n v="70922"/>
    <x v="1"/>
    <n v="126172.2282"/>
    <s v="pending"/>
    <d v="2024-04-10T00:00:00"/>
    <s v="Fixed"/>
    <d v="2024-03-25T00:00:00"/>
    <s v="YES"/>
  </r>
  <r>
    <n v="10923"/>
    <n v="5672"/>
    <x v="1"/>
    <n v="23533.35"/>
    <n v="72"/>
    <x v="0"/>
    <x v="0"/>
    <n v="105353.96"/>
    <x v="0"/>
    <s v="WH-C"/>
    <n v="784"/>
    <d v="2024-02-10T00:00:00"/>
    <n v="11"/>
    <n v="90923"/>
    <x v="3"/>
    <d v="2024-04-01T00:00:00"/>
    <n v="0.54701"/>
    <n v="70923"/>
    <x v="1"/>
    <n v="153056.32819999999"/>
    <s v="Paid"/>
    <d v="2024-05-10T00:00:00"/>
    <s v="Variable"/>
    <d v="2024-03-25T00:00:00"/>
    <s v="YES"/>
  </r>
  <r>
    <n v="10924"/>
    <n v="5173"/>
    <x v="1"/>
    <n v="49726.559999999998"/>
    <n v="3"/>
    <x v="1"/>
    <x v="3"/>
    <n v="160650.04999999999"/>
    <x v="2"/>
    <s v="WH-B"/>
    <n v="670"/>
    <d v="2024-04-15T00:00:00"/>
    <n v="6"/>
    <n v="90924"/>
    <x v="2"/>
    <d v="2024-03-01T00:00:00"/>
    <n v="0.46661999999999998"/>
    <n v="70924"/>
    <x v="1"/>
    <n v="151713.88070000001"/>
    <s v="pending"/>
    <d v="2024-06-01T00:00:00"/>
    <s v="Variable"/>
    <d v="2024-03-25T00:00:00"/>
    <s v="NO"/>
  </r>
  <r>
    <n v="10925"/>
    <n v="6853"/>
    <x v="1"/>
    <n v="57879.26"/>
    <n v="14"/>
    <x v="1"/>
    <x v="3"/>
    <n v="35808.53"/>
    <x v="1"/>
    <s v="WH-C"/>
    <n v="668"/>
    <d v="2024-02-10T00:00:00"/>
    <n v="14"/>
    <n v="90925"/>
    <x v="2"/>
    <d v="2024-03-01T00:00:00"/>
    <n v="0.72899999999999998"/>
    <n v="70925"/>
    <x v="0"/>
    <n v="56257.318379999997"/>
    <s v="pending"/>
    <d v="2024-06-01T00:00:00"/>
    <s v="Variable"/>
    <d v="2024-04-02T00:00:00"/>
    <s v="NO"/>
  </r>
  <r>
    <n v="10926"/>
    <n v="5815"/>
    <x v="1"/>
    <n v="40442.82"/>
    <n v="60"/>
    <x v="2"/>
    <x v="0"/>
    <n v="65141.22"/>
    <x v="1"/>
    <s v="WH-C"/>
    <n v="1442"/>
    <d v="2024-02-10T00:00:00"/>
    <n v="11"/>
    <n v="90926"/>
    <x v="1"/>
    <d v="2024-04-01T00:00:00"/>
    <n v="0.91374999999999995"/>
    <n v="70926"/>
    <x v="1"/>
    <n v="212573.06649999999"/>
    <s v="pending"/>
    <d v="2024-05-10T00:00:00"/>
    <s v="Variable"/>
    <d v="2024-04-02T00:00:00"/>
    <s v="YES"/>
  </r>
  <r>
    <n v="10927"/>
    <n v="6173"/>
    <x v="1"/>
    <n v="41198.35"/>
    <n v="77"/>
    <x v="3"/>
    <x v="0"/>
    <n v="119011.21"/>
    <x v="1"/>
    <s v="WH-B"/>
    <n v="958"/>
    <d v="2024-03-10T00:00:00"/>
    <n v="8"/>
    <n v="90927"/>
    <x v="2"/>
    <d v="2024-04-01T00:00:00"/>
    <n v="0.82472000000000001"/>
    <n v="70927"/>
    <x v="1"/>
    <n v="74854.786699999997"/>
    <s v="pending"/>
    <d v="2024-05-10T00:00:00"/>
    <s v="Variable"/>
    <d v="2024-03-25T00:00:00"/>
    <s v="YES"/>
  </r>
  <r>
    <n v="10928"/>
    <n v="5080"/>
    <x v="1"/>
    <n v="64109.49"/>
    <n v="45"/>
    <x v="3"/>
    <x v="2"/>
    <n v="141169.67000000001"/>
    <x v="1"/>
    <s v="WH-B"/>
    <n v="1041"/>
    <d v="2024-02-10T00:00:00"/>
    <n v="5"/>
    <n v="90928"/>
    <x v="1"/>
    <d v="2024-03-01T00:00:00"/>
    <n v="0.34700999999999999"/>
    <n v="70928"/>
    <x v="0"/>
    <n v="99538.631609999997"/>
    <s v="pending"/>
    <d v="2024-05-10T00:00:00"/>
    <s v="Variable"/>
    <d v="2024-04-02T00:00:00"/>
    <s v="YES"/>
  </r>
  <r>
    <n v="10929"/>
    <n v="5886"/>
    <x v="1"/>
    <n v="35515.15"/>
    <n v="96"/>
    <x v="1"/>
    <x v="2"/>
    <n v="55551.32"/>
    <x v="1"/>
    <s v="WH-B"/>
    <n v="148"/>
    <d v="2024-04-15T00:00:00"/>
    <n v="2"/>
    <n v="90929"/>
    <x v="0"/>
    <d v="2024-05-18T00:00:00"/>
    <n v="0.89104000000000005"/>
    <n v="70929"/>
    <x v="1"/>
    <n v="115547.52819"/>
    <s v="Paid"/>
    <d v="2024-04-10T00:00:00"/>
    <s v="Fixed"/>
    <d v="2024-03-25T00:00:00"/>
    <s v="NO"/>
  </r>
  <r>
    <n v="10930"/>
    <n v="6237"/>
    <x v="1"/>
    <n v="12401.32"/>
    <n v="34"/>
    <x v="2"/>
    <x v="1"/>
    <n v="20014.07"/>
    <x v="0"/>
    <s v="WH-B"/>
    <n v="366"/>
    <d v="2024-02-10T00:00:00"/>
    <n v="12"/>
    <n v="90930"/>
    <x v="0"/>
    <d v="2024-05-18T00:00:00"/>
    <n v="0.85004999999999997"/>
    <n v="70930"/>
    <x v="1"/>
    <n v="115531.2582"/>
    <s v="pending"/>
    <d v="2024-04-10T00:00:00"/>
    <s v="Variable"/>
    <d v="2024-03-25T00:00:00"/>
    <s v="YES"/>
  </r>
  <r>
    <n v="10931"/>
    <n v="5203"/>
    <x v="1"/>
    <n v="8874.3799999999992"/>
    <n v="45"/>
    <x v="2"/>
    <x v="1"/>
    <n v="96514.08"/>
    <x v="2"/>
    <s v="WH-A"/>
    <n v="172"/>
    <d v="2024-02-10T00:00:00"/>
    <n v="12"/>
    <n v="90931"/>
    <x v="2"/>
    <d v="2024-05-18T00:00:00"/>
    <n v="0.93622000000000005"/>
    <n v="70931"/>
    <x v="1"/>
    <n v="64079.489909999997"/>
    <s v="Paid"/>
    <d v="2024-06-01T00:00:00"/>
    <s v="Variable"/>
    <d v="2024-03-25T00:00:00"/>
    <s v="YES"/>
  </r>
  <r>
    <n v="10932"/>
    <n v="5764"/>
    <x v="1"/>
    <n v="59859.360000000001"/>
    <n v="61"/>
    <x v="0"/>
    <x v="3"/>
    <n v="102782.9"/>
    <x v="0"/>
    <s v="WH-B"/>
    <n v="1393"/>
    <d v="2024-04-15T00:00:00"/>
    <n v="2"/>
    <n v="90932"/>
    <x v="2"/>
    <d v="2024-04-01T00:00:00"/>
    <n v="0.51278999999999997"/>
    <n v="70932"/>
    <x v="1"/>
    <n v="129676.7997"/>
    <s v="Overdue"/>
    <d v="2024-05-10T00:00:00"/>
    <s v="Fixed"/>
    <d v="2024-03-25T00:00:00"/>
    <s v="YES"/>
  </r>
  <r>
    <n v="10933"/>
    <n v="6253"/>
    <x v="1"/>
    <n v="77601.710000000006"/>
    <n v="83"/>
    <x v="0"/>
    <x v="0"/>
    <n v="55981.1"/>
    <x v="1"/>
    <s v="WH-B"/>
    <n v="848"/>
    <d v="2024-03-10T00:00:00"/>
    <n v="10"/>
    <n v="90933"/>
    <x v="3"/>
    <d v="2024-03-01T00:00:00"/>
    <n v="0.79171999999999998"/>
    <n v="70933"/>
    <x v="0"/>
    <n v="192378.20809999999"/>
    <s v="pending"/>
    <d v="2024-05-10T00:00:00"/>
    <s v="Fixed"/>
    <d v="2024-04-02T00:00:00"/>
    <s v="YES"/>
  </r>
  <r>
    <n v="10934"/>
    <n v="6700"/>
    <x v="0"/>
    <n v="55724.55"/>
    <n v="16"/>
    <x v="2"/>
    <x v="1"/>
    <n v="105366.63"/>
    <x v="2"/>
    <s v="WH-B"/>
    <n v="506"/>
    <d v="2024-03-10T00:00:00"/>
    <n v="5"/>
    <n v="90934"/>
    <x v="3"/>
    <d v="2024-05-18T00:00:00"/>
    <n v="0.63249"/>
    <n v="70934"/>
    <x v="1"/>
    <n v="82446.79466"/>
    <s v="pending"/>
    <d v="2024-04-10T00:00:00"/>
    <s v="Fixed"/>
    <d v="2024-04-02T00:00:00"/>
    <s v="NO"/>
  </r>
  <r>
    <n v="10935"/>
    <n v="6251"/>
    <x v="1"/>
    <n v="39246.25"/>
    <n v="66"/>
    <x v="0"/>
    <x v="3"/>
    <n v="65484.34"/>
    <x v="1"/>
    <s v="WH-C"/>
    <n v="571"/>
    <d v="2024-04-15T00:00:00"/>
    <n v="3"/>
    <n v="90935"/>
    <x v="2"/>
    <d v="2024-03-01T00:00:00"/>
    <n v="0.37945000000000001"/>
    <n v="70935"/>
    <x v="1"/>
    <n v="67642.389930000005"/>
    <s v="Overdue"/>
    <d v="2024-05-10T00:00:00"/>
    <s v="Fixed"/>
    <d v="2024-04-02T00:00:00"/>
    <s v="YES"/>
  </r>
  <r>
    <n v="10936"/>
    <n v="6683"/>
    <x v="1"/>
    <n v="57561.07"/>
    <n v="40"/>
    <x v="1"/>
    <x v="0"/>
    <n v="145309.74"/>
    <x v="1"/>
    <s v="WH-B"/>
    <n v="569"/>
    <d v="2024-04-15T00:00:00"/>
    <n v="10"/>
    <n v="90936"/>
    <x v="2"/>
    <d v="2024-03-01T00:00:00"/>
    <n v="0.99499000000000004"/>
    <n v="70936"/>
    <x v="1"/>
    <n v="70489.274099999995"/>
    <s v="Paid"/>
    <d v="2024-06-01T00:00:00"/>
    <s v="Variable"/>
    <d v="2024-03-25T00:00:00"/>
    <s v="NO"/>
  </r>
  <r>
    <n v="10937"/>
    <n v="6556"/>
    <x v="1"/>
    <n v="27879.09"/>
    <n v="17"/>
    <x v="2"/>
    <x v="2"/>
    <n v="84331.91"/>
    <x v="2"/>
    <s v="WH-A"/>
    <n v="966"/>
    <d v="2024-03-10T00:00:00"/>
    <n v="3"/>
    <n v="90937"/>
    <x v="0"/>
    <d v="2024-04-01T00:00:00"/>
    <n v="0.13447999999999999"/>
    <n v="70937"/>
    <x v="1"/>
    <n v="158643.20882999999"/>
    <s v="pending"/>
    <d v="2024-05-10T00:00:00"/>
    <s v="Variable"/>
    <d v="2024-03-25T00:00:00"/>
    <s v="YES"/>
  </r>
  <r>
    <n v="10938"/>
    <n v="6465"/>
    <x v="0"/>
    <n v="24558.04"/>
    <n v="34"/>
    <x v="0"/>
    <x v="3"/>
    <n v="25215"/>
    <x v="1"/>
    <s v="WH-A"/>
    <n v="766"/>
    <d v="2024-02-10T00:00:00"/>
    <n v="8"/>
    <n v="90938"/>
    <x v="2"/>
    <d v="2024-05-18T00:00:00"/>
    <n v="0.24604999999999999"/>
    <n v="70938"/>
    <x v="0"/>
    <n v="103004.22352"/>
    <s v="Overdue"/>
    <d v="2024-04-10T00:00:00"/>
    <s v="Fixed"/>
    <d v="2024-03-25T00:00:00"/>
    <s v="YES"/>
  </r>
  <r>
    <n v="10939"/>
    <n v="6426"/>
    <x v="0"/>
    <n v="97138.16"/>
    <n v="16"/>
    <x v="3"/>
    <x v="2"/>
    <n v="25994.83"/>
    <x v="1"/>
    <s v="WH-B"/>
    <n v="364"/>
    <d v="2024-04-15T00:00:00"/>
    <n v="7"/>
    <n v="90939"/>
    <x v="3"/>
    <d v="2024-03-01T00:00:00"/>
    <n v="0.90329000000000004"/>
    <n v="70939"/>
    <x v="1"/>
    <n v="174927.0379"/>
    <s v="Overdue"/>
    <d v="2024-06-01T00:00:00"/>
    <s v="Variable"/>
    <d v="2024-03-25T00:00:00"/>
    <s v="YES"/>
  </r>
  <r>
    <n v="10940"/>
    <n v="5047"/>
    <x v="1"/>
    <n v="24207.21"/>
    <n v="60"/>
    <x v="2"/>
    <x v="1"/>
    <n v="116101.51"/>
    <x v="0"/>
    <s v="WH-A"/>
    <n v="758"/>
    <d v="2024-02-10T00:00:00"/>
    <n v="1"/>
    <n v="90940"/>
    <x v="0"/>
    <d v="2024-04-01T00:00:00"/>
    <n v="0.15451000000000001"/>
    <n v="70940"/>
    <x v="1"/>
    <n v="184921.02069999999"/>
    <s v="pending"/>
    <d v="2024-06-01T00:00:00"/>
    <s v="Variable"/>
    <d v="2024-03-25T00:00:00"/>
    <s v="YES"/>
  </r>
  <r>
    <n v="10941"/>
    <n v="6257"/>
    <x v="1"/>
    <n v="57810.28"/>
    <n v="66"/>
    <x v="2"/>
    <x v="1"/>
    <n v="31394.240000000002"/>
    <x v="1"/>
    <s v="WH-C"/>
    <n v="759"/>
    <d v="2024-04-15T00:00:00"/>
    <n v="12"/>
    <n v="90941"/>
    <x v="1"/>
    <d v="2024-04-01T00:00:00"/>
    <n v="0.89814000000000005"/>
    <n v="70941"/>
    <x v="1"/>
    <n v="89552.769799999995"/>
    <s v="Paid"/>
    <d v="2024-05-10T00:00:00"/>
    <s v="Variable"/>
    <d v="2024-04-02T00:00:00"/>
    <s v="YES"/>
  </r>
  <r>
    <n v="10942"/>
    <n v="6329"/>
    <x v="1"/>
    <n v="81795.47"/>
    <n v="66"/>
    <x v="3"/>
    <x v="0"/>
    <n v="35806.199999999997"/>
    <x v="1"/>
    <s v="WH-B"/>
    <n v="1093"/>
    <d v="2024-03-10T00:00:00"/>
    <n v="13"/>
    <n v="90942"/>
    <x v="3"/>
    <d v="2024-04-01T00:00:00"/>
    <n v="0.74370000000000003"/>
    <n v="70942"/>
    <x v="0"/>
    <n v="135773.17933000001"/>
    <s v="Paid"/>
    <d v="2024-06-01T00:00:00"/>
    <s v="Fixed"/>
    <d v="2024-03-25T00:00:00"/>
    <s v="NO"/>
  </r>
  <r>
    <n v="10943"/>
    <n v="6550"/>
    <x v="0"/>
    <n v="40500.99"/>
    <n v="90"/>
    <x v="1"/>
    <x v="3"/>
    <n v="108235.16"/>
    <x v="2"/>
    <s v="WH-A"/>
    <n v="609"/>
    <d v="2024-02-10T00:00:00"/>
    <n v="12"/>
    <n v="90943"/>
    <x v="3"/>
    <d v="2024-05-18T00:00:00"/>
    <n v="0.13302"/>
    <n v="70943"/>
    <x v="2"/>
    <n v="191141.13939999999"/>
    <s v="pending"/>
    <d v="2024-05-10T00:00:00"/>
    <s v="Variable"/>
    <d v="2024-04-02T00:00:00"/>
    <s v="YES"/>
  </r>
  <r>
    <n v="10944"/>
    <n v="6167"/>
    <x v="1"/>
    <n v="24279.78"/>
    <n v="13"/>
    <x v="3"/>
    <x v="2"/>
    <n v="139994.29999999999"/>
    <x v="1"/>
    <s v="WH-A"/>
    <n v="1018"/>
    <d v="2024-02-10T00:00:00"/>
    <n v="5"/>
    <n v="90944"/>
    <x v="0"/>
    <d v="2024-05-18T00:00:00"/>
    <n v="0.48638999999999999"/>
    <n v="70944"/>
    <x v="1"/>
    <n v="51217.433550000002"/>
    <s v="Overdue"/>
    <d v="2024-05-10T00:00:00"/>
    <s v="Variable"/>
    <d v="2024-04-02T00:00:00"/>
    <s v="NO"/>
  </r>
  <r>
    <n v="10945"/>
    <n v="6439"/>
    <x v="0"/>
    <n v="71691.81"/>
    <n v="56"/>
    <x v="2"/>
    <x v="0"/>
    <n v="81263.23"/>
    <x v="1"/>
    <s v="WH-B"/>
    <n v="1203"/>
    <d v="2024-04-15T00:00:00"/>
    <n v="9"/>
    <n v="90945"/>
    <x v="1"/>
    <d v="2024-04-01T00:00:00"/>
    <n v="0.77902000000000005"/>
    <n v="70945"/>
    <x v="1"/>
    <n v="57633.506139999998"/>
    <s v="pending"/>
    <d v="2024-04-10T00:00:00"/>
    <s v="Variable"/>
    <d v="2024-03-25T00:00:00"/>
    <s v="YES"/>
  </r>
  <r>
    <n v="10946"/>
    <n v="6537"/>
    <x v="1"/>
    <n v="41466"/>
    <n v="31"/>
    <x v="1"/>
    <x v="1"/>
    <n v="146274.23000000001"/>
    <x v="0"/>
    <s v="WH-A"/>
    <n v="1366"/>
    <d v="2024-02-10T00:00:00"/>
    <n v="4"/>
    <n v="90946"/>
    <x v="3"/>
    <d v="2024-05-18T00:00:00"/>
    <n v="0.62478999999999996"/>
    <n v="70946"/>
    <x v="1"/>
    <n v="66823.178700000004"/>
    <s v="Paid"/>
    <d v="2024-06-01T00:00:00"/>
    <s v="Variable"/>
    <d v="2024-03-25T00:00:00"/>
    <s v="NO"/>
  </r>
  <r>
    <n v="10947"/>
    <n v="6397"/>
    <x v="1"/>
    <n v="42546.32"/>
    <n v="34"/>
    <x v="0"/>
    <x v="1"/>
    <n v="129879.12"/>
    <x v="0"/>
    <s v="WH-B"/>
    <n v="1205"/>
    <d v="2024-04-15T00:00:00"/>
    <n v="1"/>
    <n v="90947"/>
    <x v="2"/>
    <d v="2024-05-18T00:00:00"/>
    <n v="0.94228000000000001"/>
    <n v="70947"/>
    <x v="0"/>
    <n v="140943.4197"/>
    <s v="Overdue"/>
    <d v="2024-05-10T00:00:00"/>
    <s v="Variable"/>
    <d v="2024-03-25T00:00:00"/>
    <s v="YES"/>
  </r>
  <r>
    <n v="10948"/>
    <n v="6590"/>
    <x v="1"/>
    <n v="59327.91"/>
    <n v="39"/>
    <x v="0"/>
    <x v="3"/>
    <n v="34942.93"/>
    <x v="2"/>
    <s v="WH-A"/>
    <n v="405"/>
    <d v="2024-03-10T00:00:00"/>
    <n v="8"/>
    <n v="90948"/>
    <x v="3"/>
    <d v="2024-03-01T00:00:00"/>
    <n v="0.88088"/>
    <n v="70948"/>
    <x v="2"/>
    <n v="171561.87317000001"/>
    <s v="pending"/>
    <d v="2024-05-10T00:00:00"/>
    <s v="Variable"/>
    <d v="2024-04-02T00:00:00"/>
    <s v="NO"/>
  </r>
  <r>
    <n v="10949"/>
    <n v="6910"/>
    <x v="1"/>
    <n v="44467.09"/>
    <n v="67"/>
    <x v="0"/>
    <x v="2"/>
    <n v="146452.71"/>
    <x v="0"/>
    <s v="WH-C"/>
    <n v="1127"/>
    <d v="2024-02-10T00:00:00"/>
    <n v="5"/>
    <n v="90949"/>
    <x v="0"/>
    <d v="2024-04-01T00:00:00"/>
    <n v="0.39938000000000001"/>
    <n v="70949"/>
    <x v="1"/>
    <n v="129863.52546999999"/>
    <s v="Overdue"/>
    <d v="2024-05-10T00:00:00"/>
    <s v="Variable"/>
    <d v="2024-03-25T00:00:00"/>
    <s v="NO"/>
  </r>
  <r>
    <n v="10950"/>
    <n v="6283"/>
    <x v="1"/>
    <n v="49716.9"/>
    <n v="8"/>
    <x v="2"/>
    <x v="3"/>
    <n v="149534.89000000001"/>
    <x v="1"/>
    <s v="WH-A"/>
    <n v="939"/>
    <d v="2024-04-15T00:00:00"/>
    <n v="2"/>
    <n v="90950"/>
    <x v="0"/>
    <d v="2024-04-01T00:00:00"/>
    <n v="0.17616000000000001"/>
    <n v="70950"/>
    <x v="2"/>
    <n v="140456.34362999999"/>
    <s v="Paid"/>
    <d v="2024-06-01T00:00:00"/>
    <s v="Fixed"/>
    <d v="2024-04-02T00:00:00"/>
    <s v="NO"/>
  </r>
  <r>
    <n v="10951"/>
    <n v="5656"/>
    <x v="1"/>
    <n v="49285.7"/>
    <n v="87"/>
    <x v="3"/>
    <x v="2"/>
    <n v="41932.97"/>
    <x v="1"/>
    <s v="WH-A"/>
    <n v="842"/>
    <d v="2024-02-10T00:00:00"/>
    <n v="12"/>
    <n v="90951"/>
    <x v="0"/>
    <d v="2024-05-18T00:00:00"/>
    <n v="0.94982999999999995"/>
    <n v="70951"/>
    <x v="0"/>
    <n v="120744.9774"/>
    <s v="Paid"/>
    <d v="2024-06-01T00:00:00"/>
    <s v="Variable"/>
    <d v="2024-04-02T00:00:00"/>
    <s v="YES"/>
  </r>
  <r>
    <n v="10952"/>
    <n v="5471"/>
    <x v="1"/>
    <n v="47976.21"/>
    <n v="78"/>
    <x v="1"/>
    <x v="2"/>
    <n v="86417.74"/>
    <x v="0"/>
    <s v="WH-B"/>
    <n v="1460"/>
    <d v="2024-04-15T00:00:00"/>
    <n v="1"/>
    <n v="90952"/>
    <x v="3"/>
    <d v="2024-04-01T00:00:00"/>
    <n v="0.56555999999999995"/>
    <n v="70952"/>
    <x v="0"/>
    <n v="117657.57709999999"/>
    <s v="Paid"/>
    <d v="2024-06-01T00:00:00"/>
    <s v="Variable"/>
    <d v="2024-04-02T00:00:00"/>
    <s v="NO"/>
  </r>
  <r>
    <n v="10953"/>
    <n v="6977"/>
    <x v="0"/>
    <n v="32350.42"/>
    <n v="55"/>
    <x v="0"/>
    <x v="3"/>
    <n v="127559.71"/>
    <x v="1"/>
    <s v="WH-A"/>
    <n v="314"/>
    <d v="2024-04-15T00:00:00"/>
    <n v="14"/>
    <n v="90953"/>
    <x v="1"/>
    <d v="2024-04-01T00:00:00"/>
    <n v="0.16696"/>
    <n v="70953"/>
    <x v="0"/>
    <n v="164193.03002000001"/>
    <s v="pending"/>
    <d v="2024-05-10T00:00:00"/>
    <s v="Fixed"/>
    <d v="2024-04-02T00:00:00"/>
    <s v="YES"/>
  </r>
  <r>
    <n v="10954"/>
    <n v="5971"/>
    <x v="0"/>
    <n v="36864.71"/>
    <n v="27"/>
    <x v="1"/>
    <x v="0"/>
    <n v="15772.87"/>
    <x v="1"/>
    <s v="WH-B"/>
    <n v="1031"/>
    <d v="2024-04-15T00:00:00"/>
    <n v="12"/>
    <n v="90954"/>
    <x v="2"/>
    <d v="2024-04-01T00:00:00"/>
    <n v="0.83492"/>
    <n v="70954"/>
    <x v="1"/>
    <n v="72712.259569999995"/>
    <s v="Overdue"/>
    <d v="2024-06-01T00:00:00"/>
    <s v="Variable"/>
    <d v="2024-03-25T00:00:00"/>
    <s v="YES"/>
  </r>
  <r>
    <n v="10955"/>
    <n v="6036"/>
    <x v="1"/>
    <n v="73418"/>
    <n v="93"/>
    <x v="2"/>
    <x v="3"/>
    <n v="156591.22"/>
    <x v="2"/>
    <s v="WH-C"/>
    <n v="1288"/>
    <d v="2024-03-10T00:00:00"/>
    <n v="12"/>
    <n v="90955"/>
    <x v="0"/>
    <d v="2024-05-18T00:00:00"/>
    <n v="0.88166"/>
    <n v="70955"/>
    <x v="0"/>
    <n v="98715.064799999993"/>
    <s v="pending"/>
    <d v="2024-05-10T00:00:00"/>
    <s v="Variable"/>
    <d v="2024-03-25T00:00:00"/>
    <s v="YES"/>
  </r>
  <r>
    <n v="10956"/>
    <n v="6354"/>
    <x v="0"/>
    <n v="77497.58"/>
    <n v="53"/>
    <x v="0"/>
    <x v="3"/>
    <n v="25655.93"/>
    <x v="0"/>
    <s v="WH-B"/>
    <n v="851"/>
    <d v="2024-02-10T00:00:00"/>
    <n v="12"/>
    <n v="90956"/>
    <x v="1"/>
    <d v="2024-05-18T00:00:00"/>
    <n v="0.67547999999999997"/>
    <n v="70956"/>
    <x v="1"/>
    <n v="72664.411850000004"/>
    <s v="pending"/>
    <d v="2024-06-01T00:00:00"/>
    <s v="Fixed"/>
    <d v="2024-03-25T00:00:00"/>
    <s v="YES"/>
  </r>
  <r>
    <n v="10957"/>
    <n v="5736"/>
    <x v="1"/>
    <n v="72872.87"/>
    <n v="39"/>
    <x v="2"/>
    <x v="1"/>
    <n v="136052.10999999999"/>
    <x v="1"/>
    <s v="WH-B"/>
    <n v="92"/>
    <d v="2024-03-10T00:00:00"/>
    <n v="3"/>
    <n v="90957"/>
    <x v="2"/>
    <d v="2024-05-18T00:00:00"/>
    <n v="0.50275999999999998"/>
    <n v="70957"/>
    <x v="1"/>
    <n v="100049.51625"/>
    <s v="pending"/>
    <d v="2024-06-01T00:00:00"/>
    <s v="Fixed"/>
    <d v="2024-03-25T00:00:00"/>
    <s v="NO"/>
  </r>
  <r>
    <n v="10958"/>
    <n v="5784"/>
    <x v="1"/>
    <n v="20554.169999999998"/>
    <n v="65"/>
    <x v="3"/>
    <x v="1"/>
    <n v="112662.56"/>
    <x v="0"/>
    <s v="WH-A"/>
    <n v="911"/>
    <d v="2024-04-15T00:00:00"/>
    <n v="9"/>
    <n v="90958"/>
    <x v="0"/>
    <d v="2024-03-01T00:00:00"/>
    <n v="0.69596000000000002"/>
    <n v="70958"/>
    <x v="1"/>
    <n v="134061.66154"/>
    <s v="pending"/>
    <d v="2024-05-10T00:00:00"/>
    <s v="Variable"/>
    <d v="2024-03-25T00:00:00"/>
    <s v="YES"/>
  </r>
  <r>
    <n v="10959"/>
    <n v="5968"/>
    <x v="1"/>
    <n v="72765.070000000007"/>
    <n v="17"/>
    <x v="2"/>
    <x v="3"/>
    <n v="37278.480000000003"/>
    <x v="2"/>
    <s v="WH-C"/>
    <n v="1351"/>
    <d v="2024-04-15T00:00:00"/>
    <n v="1"/>
    <n v="90959"/>
    <x v="2"/>
    <d v="2024-04-01T00:00:00"/>
    <n v="0.73602000000000001"/>
    <n v="70959"/>
    <x v="1"/>
    <n v="70058.5769"/>
    <s v="Overdue"/>
    <d v="2024-06-01T00:00:00"/>
    <s v="Variable"/>
    <d v="2024-04-02T00:00:00"/>
    <s v="NO"/>
  </r>
  <r>
    <n v="10960"/>
    <n v="5358"/>
    <x v="1"/>
    <n v="59465.59"/>
    <n v="30"/>
    <x v="2"/>
    <x v="3"/>
    <n v="66980.039999999994"/>
    <x v="0"/>
    <s v="WH-B"/>
    <n v="1203"/>
    <d v="2024-03-10T00:00:00"/>
    <n v="4"/>
    <n v="90960"/>
    <x v="2"/>
    <d v="2024-03-01T00:00:00"/>
    <n v="0.90373000000000003"/>
    <n v="70960"/>
    <x v="1"/>
    <n v="148680.16759999999"/>
    <s v="Overdue"/>
    <d v="2024-05-10T00:00:00"/>
    <s v="Variable"/>
    <d v="2024-04-02T00:00:00"/>
    <s v="NO"/>
  </r>
  <r>
    <n v="10961"/>
    <n v="5972"/>
    <x v="1"/>
    <n v="48578.01"/>
    <n v="53"/>
    <x v="3"/>
    <x v="1"/>
    <n v="67375.960000000006"/>
    <x v="1"/>
    <s v="WH-A"/>
    <n v="399"/>
    <d v="2024-03-10T00:00:00"/>
    <n v="8"/>
    <n v="90961"/>
    <x v="1"/>
    <d v="2024-05-18T00:00:00"/>
    <n v="0.96028000000000002"/>
    <n v="70961"/>
    <x v="1"/>
    <n v="53174.030359999997"/>
    <s v="pending"/>
    <d v="2024-06-01T00:00:00"/>
    <s v="Variable"/>
    <d v="2024-03-25T00:00:00"/>
    <s v="YES"/>
  </r>
  <r>
    <n v="10962"/>
    <n v="6432"/>
    <x v="1"/>
    <n v="34519.97"/>
    <n v="13"/>
    <x v="1"/>
    <x v="2"/>
    <n v="151264.35"/>
    <x v="0"/>
    <s v="WH-A"/>
    <n v="1179"/>
    <d v="2024-02-10T00:00:00"/>
    <n v="8"/>
    <n v="90962"/>
    <x v="2"/>
    <d v="2024-03-01T00:00:00"/>
    <n v="0.56289"/>
    <n v="70962"/>
    <x v="2"/>
    <n v="182772.15841"/>
    <s v="pending"/>
    <d v="2024-06-01T00:00:00"/>
    <s v="Variable"/>
    <d v="2024-03-25T00:00:00"/>
    <s v="YES"/>
  </r>
  <r>
    <n v="10963"/>
    <n v="5668"/>
    <x v="0"/>
    <n v="71160.44"/>
    <n v="21"/>
    <x v="3"/>
    <x v="3"/>
    <n v="107480.95"/>
    <x v="1"/>
    <s v="WH-B"/>
    <n v="961"/>
    <d v="2024-04-15T00:00:00"/>
    <n v="10"/>
    <n v="90963"/>
    <x v="0"/>
    <d v="2024-04-01T00:00:00"/>
    <n v="0.81864999999999999"/>
    <n v="70963"/>
    <x v="1"/>
    <n v="73425.905249999996"/>
    <s v="Paid"/>
    <d v="2024-06-01T00:00:00"/>
    <s v="Variable"/>
    <d v="2024-03-25T00:00:00"/>
    <s v="YES"/>
  </r>
  <r>
    <n v="10964"/>
    <n v="5373"/>
    <x v="0"/>
    <n v="31967.22"/>
    <n v="19"/>
    <x v="3"/>
    <x v="0"/>
    <n v="23062.28"/>
    <x v="1"/>
    <s v="WH-A"/>
    <n v="50"/>
    <d v="2024-03-10T00:00:00"/>
    <n v="12"/>
    <n v="90964"/>
    <x v="1"/>
    <d v="2024-04-01T00:00:00"/>
    <n v="0.96806000000000003"/>
    <n v="70964"/>
    <x v="1"/>
    <n v="207831.1464"/>
    <s v="Paid"/>
    <d v="2024-06-01T00:00:00"/>
    <s v="Variable"/>
    <d v="2024-03-25T00:00:00"/>
    <s v="YES"/>
  </r>
  <r>
    <n v="10965"/>
    <n v="6032"/>
    <x v="1"/>
    <n v="51773.42"/>
    <n v="53"/>
    <x v="2"/>
    <x v="0"/>
    <n v="101067.66"/>
    <x v="1"/>
    <s v="WH-B"/>
    <n v="633"/>
    <d v="2024-04-15T00:00:00"/>
    <n v="11"/>
    <n v="90965"/>
    <x v="3"/>
    <d v="2024-05-18T00:00:00"/>
    <n v="0.23612"/>
    <n v="70965"/>
    <x v="0"/>
    <n v="121428.978"/>
    <s v="Overdue"/>
    <d v="2024-04-10T00:00:00"/>
    <s v="Variable"/>
    <d v="2024-04-02T00:00:00"/>
    <s v="YES"/>
  </r>
  <r>
    <n v="10966"/>
    <n v="6146"/>
    <x v="1"/>
    <n v="78180.36"/>
    <n v="19"/>
    <x v="1"/>
    <x v="0"/>
    <n v="22018.5"/>
    <x v="2"/>
    <s v="WH-B"/>
    <n v="481"/>
    <d v="2024-04-15T00:00:00"/>
    <n v="13"/>
    <n v="90966"/>
    <x v="3"/>
    <d v="2024-05-18T00:00:00"/>
    <n v="0.11644"/>
    <n v="70966"/>
    <x v="0"/>
    <n v="146213.375"/>
    <s v="Paid"/>
    <d v="2024-05-10T00:00:00"/>
    <s v="Variable"/>
    <d v="2024-03-25T00:00:00"/>
    <s v="YES"/>
  </r>
  <r>
    <n v="10967"/>
    <n v="6372"/>
    <x v="0"/>
    <n v="26850.61"/>
    <n v="57"/>
    <x v="0"/>
    <x v="3"/>
    <n v="76936.36"/>
    <x v="0"/>
    <s v="WH-B"/>
    <n v="1379"/>
    <d v="2024-02-10T00:00:00"/>
    <n v="11"/>
    <n v="90967"/>
    <x v="1"/>
    <d v="2024-03-01T00:00:00"/>
    <n v="0.88207000000000002"/>
    <n v="70967"/>
    <x v="1"/>
    <n v="107373.1358"/>
    <s v="Overdue"/>
    <d v="2024-04-10T00:00:00"/>
    <s v="Variable"/>
    <d v="2024-03-25T00:00:00"/>
    <s v="NO"/>
  </r>
  <r>
    <n v="10968"/>
    <n v="5676"/>
    <x v="1"/>
    <n v="53864.3"/>
    <n v="25"/>
    <x v="3"/>
    <x v="2"/>
    <n v="135264.69"/>
    <x v="2"/>
    <s v="WH-C"/>
    <n v="102"/>
    <d v="2024-02-10T00:00:00"/>
    <n v="8"/>
    <n v="90968"/>
    <x v="3"/>
    <d v="2024-05-18T00:00:00"/>
    <n v="0.27575"/>
    <n v="70968"/>
    <x v="0"/>
    <n v="85824.719599999997"/>
    <s v="Overdue"/>
    <d v="2024-06-01T00:00:00"/>
    <s v="Fixed"/>
    <d v="2024-03-25T00:00:00"/>
    <s v="YES"/>
  </r>
  <r>
    <n v="10969"/>
    <n v="5090"/>
    <x v="0"/>
    <n v="23550.54"/>
    <n v="86"/>
    <x v="1"/>
    <x v="2"/>
    <n v="48127.88"/>
    <x v="0"/>
    <s v="WH-B"/>
    <n v="989"/>
    <d v="2024-02-10T00:00:00"/>
    <n v="10"/>
    <n v="90969"/>
    <x v="2"/>
    <d v="2024-03-01T00:00:00"/>
    <n v="0.13822999999999999"/>
    <n v="70969"/>
    <x v="1"/>
    <n v="181744.79689999999"/>
    <s v="Overdue"/>
    <d v="2024-06-01T00:00:00"/>
    <s v="Fixed"/>
    <d v="2024-03-25T00:00:00"/>
    <s v="YES"/>
  </r>
  <r>
    <n v="10970"/>
    <n v="6672"/>
    <x v="1"/>
    <n v="45581.35"/>
    <n v="31"/>
    <x v="3"/>
    <x v="1"/>
    <n v="131812.26"/>
    <x v="2"/>
    <s v="WH-A"/>
    <n v="569"/>
    <d v="2024-03-10T00:00:00"/>
    <n v="8"/>
    <n v="90970"/>
    <x v="0"/>
    <d v="2024-04-01T00:00:00"/>
    <n v="0.24409"/>
    <n v="70970"/>
    <x v="0"/>
    <n v="131726.72057"/>
    <s v="Paid"/>
    <d v="2024-05-10T00:00:00"/>
    <s v="Variable"/>
    <d v="2024-03-25T00:00:00"/>
    <s v="YES"/>
  </r>
  <r>
    <n v="10971"/>
    <n v="5698"/>
    <x v="1"/>
    <n v="89876.61"/>
    <n v="81"/>
    <x v="3"/>
    <x v="3"/>
    <n v="141164.92000000001"/>
    <x v="1"/>
    <s v="WH-C"/>
    <n v="1403"/>
    <d v="2024-04-15T00:00:00"/>
    <n v="4"/>
    <n v="90971"/>
    <x v="2"/>
    <d v="2024-04-01T00:00:00"/>
    <n v="0.44569999999999999"/>
    <n v="70971"/>
    <x v="1"/>
    <n v="190053.80596999999"/>
    <s v="Paid"/>
    <d v="2024-05-10T00:00:00"/>
    <s v="Variable"/>
    <d v="2024-03-25T00:00:00"/>
    <s v="NO"/>
  </r>
  <r>
    <n v="10972"/>
    <n v="6340"/>
    <x v="0"/>
    <n v="77900.75"/>
    <n v="55"/>
    <x v="3"/>
    <x v="2"/>
    <n v="33127.050000000003"/>
    <x v="1"/>
    <s v="WH-A"/>
    <n v="1398"/>
    <d v="2024-03-10T00:00:00"/>
    <n v="8"/>
    <n v="90972"/>
    <x v="1"/>
    <d v="2024-04-01T00:00:00"/>
    <n v="0.29733999999999999"/>
    <n v="70972"/>
    <x v="0"/>
    <n v="150518.01452"/>
    <s v="Overdue"/>
    <d v="2024-05-10T00:00:00"/>
    <s v="Variable"/>
    <d v="2024-04-02T00:00:00"/>
    <s v="NO"/>
  </r>
  <r>
    <n v="10973"/>
    <n v="6202"/>
    <x v="1"/>
    <n v="29189.47"/>
    <n v="23"/>
    <x v="3"/>
    <x v="3"/>
    <n v="36511.15"/>
    <x v="1"/>
    <s v="WH-C"/>
    <n v="1187"/>
    <d v="2024-03-10T00:00:00"/>
    <n v="9"/>
    <n v="90973"/>
    <x v="0"/>
    <d v="2024-04-01T00:00:00"/>
    <n v="0.37473000000000001"/>
    <n v="70973"/>
    <x v="0"/>
    <n v="144043.326"/>
    <s v="Overdue"/>
    <d v="2024-05-10T00:00:00"/>
    <s v="Fixed"/>
    <d v="2024-03-25T00:00:00"/>
    <s v="YES"/>
  </r>
  <r>
    <n v="10974"/>
    <n v="5540"/>
    <x v="1"/>
    <n v="52258.6"/>
    <n v="32"/>
    <x v="2"/>
    <x v="1"/>
    <n v="91209.36"/>
    <x v="2"/>
    <s v="WH-C"/>
    <n v="196"/>
    <d v="2024-02-10T00:00:00"/>
    <n v="7"/>
    <n v="90974"/>
    <x v="1"/>
    <d v="2024-04-01T00:00:00"/>
    <n v="0.97775999999999996"/>
    <n v="70974"/>
    <x v="1"/>
    <n v="96709.381580000001"/>
    <s v="pending"/>
    <d v="2024-06-01T00:00:00"/>
    <s v="Variable"/>
    <d v="2024-03-25T00:00:00"/>
    <s v="YES"/>
  </r>
  <r>
    <n v="10975"/>
    <n v="5732"/>
    <x v="1"/>
    <n v="66859.22"/>
    <n v="62"/>
    <x v="1"/>
    <x v="1"/>
    <n v="39752.79"/>
    <x v="1"/>
    <s v="WH-C"/>
    <n v="1239"/>
    <d v="2024-04-15T00:00:00"/>
    <n v="14"/>
    <n v="90975"/>
    <x v="1"/>
    <d v="2024-03-01T00:00:00"/>
    <n v="0.73395999999999995"/>
    <n v="70975"/>
    <x v="1"/>
    <n v="129997.38327999999"/>
    <s v="Overdue"/>
    <d v="2024-05-10T00:00:00"/>
    <s v="Variable"/>
    <d v="2024-03-25T00:00:00"/>
    <s v="YES"/>
  </r>
  <r>
    <n v="10976"/>
    <n v="5869"/>
    <x v="1"/>
    <n v="54694.31"/>
    <n v="74"/>
    <x v="1"/>
    <x v="1"/>
    <n v="14734.68"/>
    <x v="1"/>
    <s v="WH-C"/>
    <n v="1452"/>
    <d v="2024-04-15T00:00:00"/>
    <n v="12"/>
    <n v="90976"/>
    <x v="1"/>
    <d v="2024-04-01T00:00:00"/>
    <n v="0.74097000000000002"/>
    <n v="70976"/>
    <x v="0"/>
    <n v="102176.1256"/>
    <s v="Overdue"/>
    <d v="2024-04-10T00:00:00"/>
    <s v="Variable"/>
    <d v="2024-04-02T00:00:00"/>
    <s v="YES"/>
  </r>
  <r>
    <n v="10977"/>
    <n v="5041"/>
    <x v="1"/>
    <n v="19449.13"/>
    <n v="10"/>
    <x v="1"/>
    <x v="0"/>
    <n v="78026"/>
    <x v="0"/>
    <s v="WH-A"/>
    <n v="1212"/>
    <d v="2024-02-10T00:00:00"/>
    <n v="2"/>
    <n v="90977"/>
    <x v="2"/>
    <d v="2024-03-01T00:00:00"/>
    <n v="0.18522"/>
    <n v="70977"/>
    <x v="0"/>
    <n v="76284.857999999993"/>
    <s v="pending"/>
    <d v="2024-05-10T00:00:00"/>
    <s v="Variable"/>
    <d v="2024-03-25T00:00:00"/>
    <s v="YES"/>
  </r>
  <r>
    <n v="10978"/>
    <n v="5740"/>
    <x v="1"/>
    <n v="44685.13"/>
    <n v="72"/>
    <x v="3"/>
    <x v="3"/>
    <n v="95784.72"/>
    <x v="2"/>
    <s v="WH-B"/>
    <n v="678"/>
    <d v="2024-04-15T00:00:00"/>
    <n v="9"/>
    <n v="90978"/>
    <x v="0"/>
    <d v="2024-04-01T00:00:00"/>
    <n v="0.75888999999999995"/>
    <n v="70978"/>
    <x v="1"/>
    <n v="147398.80809999999"/>
    <s v="Overdue"/>
    <d v="2024-05-10T00:00:00"/>
    <s v="Variable"/>
    <d v="2024-03-25T00:00:00"/>
    <s v="YES"/>
  </r>
  <r>
    <n v="10979"/>
    <n v="6728"/>
    <x v="1"/>
    <n v="38175.42"/>
    <n v="54"/>
    <x v="2"/>
    <x v="1"/>
    <n v="141010.91"/>
    <x v="1"/>
    <s v="WH-A"/>
    <n v="348"/>
    <d v="2024-02-10T00:00:00"/>
    <n v="11"/>
    <n v="90979"/>
    <x v="0"/>
    <d v="2024-03-01T00:00:00"/>
    <n v="0.76541000000000003"/>
    <n v="70979"/>
    <x v="1"/>
    <n v="216423.48319999999"/>
    <s v="Overdue"/>
    <d v="2024-04-10T00:00:00"/>
    <s v="Fixed"/>
    <d v="2024-03-25T00:00:00"/>
    <s v="NO"/>
  </r>
  <r>
    <n v="10980"/>
    <n v="6947"/>
    <x v="0"/>
    <n v="79715.73"/>
    <n v="52"/>
    <x v="3"/>
    <x v="3"/>
    <n v="84273.93"/>
    <x v="1"/>
    <s v="WH-B"/>
    <n v="1349"/>
    <d v="2024-03-10T00:00:00"/>
    <n v="8"/>
    <n v="90980"/>
    <x v="0"/>
    <d v="2024-03-01T00:00:00"/>
    <n v="0.69377"/>
    <n v="70980"/>
    <x v="1"/>
    <n v="95907.145199999999"/>
    <s v="Overdue"/>
    <d v="2024-04-10T00:00:00"/>
    <s v="Variable"/>
    <d v="2024-03-25T00:00:00"/>
    <s v="NO"/>
  </r>
  <r>
    <n v="10981"/>
    <n v="5502"/>
    <x v="1"/>
    <n v="64416.98"/>
    <n v="20"/>
    <x v="3"/>
    <x v="0"/>
    <n v="168469.02"/>
    <x v="2"/>
    <s v="WH-A"/>
    <n v="838"/>
    <d v="2024-03-10T00:00:00"/>
    <n v="13"/>
    <n v="90981"/>
    <x v="2"/>
    <d v="2024-03-01T00:00:00"/>
    <n v="0.30558999999999997"/>
    <n v="70981"/>
    <x v="2"/>
    <n v="186408.77679999999"/>
    <s v="pending"/>
    <d v="2024-04-10T00:00:00"/>
    <s v="Variable"/>
    <d v="2024-03-25T00:00:00"/>
    <s v="NO"/>
  </r>
  <r>
    <n v="10982"/>
    <n v="5959"/>
    <x v="1"/>
    <n v="88546.03"/>
    <n v="32"/>
    <x v="1"/>
    <x v="0"/>
    <n v="142805.54999999999"/>
    <x v="2"/>
    <s v="WH-C"/>
    <n v="899"/>
    <d v="2024-02-10T00:00:00"/>
    <n v="5"/>
    <n v="90982"/>
    <x v="3"/>
    <d v="2024-05-18T00:00:00"/>
    <n v="0.48072999999999999"/>
    <n v="70982"/>
    <x v="1"/>
    <n v="84930.944770000002"/>
    <s v="Paid"/>
    <d v="2024-04-10T00:00:00"/>
    <s v="Variable"/>
    <d v="2024-03-25T00:00:00"/>
    <s v="YES"/>
  </r>
  <r>
    <n v="10983"/>
    <n v="6169"/>
    <x v="1"/>
    <n v="35657.99"/>
    <n v="14"/>
    <x v="3"/>
    <x v="1"/>
    <n v="128457.28"/>
    <x v="0"/>
    <s v="WH-C"/>
    <n v="227"/>
    <d v="2024-03-10T00:00:00"/>
    <n v="12"/>
    <n v="90983"/>
    <x v="2"/>
    <d v="2024-03-01T00:00:00"/>
    <n v="0.86165000000000003"/>
    <n v="70983"/>
    <x v="1"/>
    <n v="190093.80760999999"/>
    <s v="Overdue"/>
    <d v="2024-05-10T00:00:00"/>
    <s v="Variable"/>
    <d v="2024-03-25T00:00:00"/>
    <s v="YES"/>
  </r>
  <r>
    <n v="10984"/>
    <n v="6225"/>
    <x v="1"/>
    <n v="66370.28"/>
    <n v="50"/>
    <x v="0"/>
    <x v="1"/>
    <n v="90995.44"/>
    <x v="0"/>
    <s v="WH-B"/>
    <n v="891"/>
    <d v="2024-03-10T00:00:00"/>
    <n v="3"/>
    <n v="90984"/>
    <x v="2"/>
    <d v="2024-03-01T00:00:00"/>
    <n v="0.70318000000000003"/>
    <n v="70984"/>
    <x v="0"/>
    <n v="96038.708799999993"/>
    <s v="pending"/>
    <d v="2024-04-10T00:00:00"/>
    <s v="Variable"/>
    <d v="2024-03-25T00:00:00"/>
    <s v="YES"/>
  </r>
  <r>
    <n v="10985"/>
    <n v="5929"/>
    <x v="1"/>
    <n v="45727.01"/>
    <n v="28"/>
    <x v="3"/>
    <x v="2"/>
    <n v="122896.15"/>
    <x v="1"/>
    <s v="WH-B"/>
    <n v="1427"/>
    <d v="2024-02-10T00:00:00"/>
    <n v="7"/>
    <n v="90985"/>
    <x v="1"/>
    <d v="2024-04-01T00:00:00"/>
    <n v="0.75949"/>
    <n v="70985"/>
    <x v="0"/>
    <n v="132295.0612"/>
    <s v="Overdue"/>
    <d v="2024-06-01T00:00:00"/>
    <s v="Variable"/>
    <d v="2024-04-02T00:00:00"/>
    <s v="YES"/>
  </r>
  <r>
    <n v="10986"/>
    <n v="6748"/>
    <x v="1"/>
    <n v="88547.42"/>
    <n v="53"/>
    <x v="0"/>
    <x v="3"/>
    <n v="123569.63"/>
    <x v="1"/>
    <s v="WH-A"/>
    <n v="1227"/>
    <d v="2024-03-10T00:00:00"/>
    <n v="14"/>
    <n v="90986"/>
    <x v="0"/>
    <d v="2024-03-01T00:00:00"/>
    <n v="0.62863999999999998"/>
    <n v="70986"/>
    <x v="2"/>
    <n v="160911.19883000001"/>
    <s v="pending"/>
    <d v="2024-05-10T00:00:00"/>
    <s v="Fixed"/>
    <d v="2024-04-02T00:00:00"/>
    <s v="YES"/>
  </r>
  <r>
    <n v="10987"/>
    <n v="5461"/>
    <x v="0"/>
    <n v="20336.57"/>
    <n v="24"/>
    <x v="3"/>
    <x v="1"/>
    <n v="132032.65"/>
    <x v="2"/>
    <s v="WH-B"/>
    <n v="1274"/>
    <d v="2024-04-15T00:00:00"/>
    <n v="14"/>
    <n v="90987"/>
    <x v="0"/>
    <d v="2024-03-01T00:00:00"/>
    <n v="0.50463000000000002"/>
    <n v="70987"/>
    <x v="0"/>
    <n v="88322.939440000002"/>
    <s v="Overdue"/>
    <d v="2024-06-01T00:00:00"/>
    <s v="Fixed"/>
    <d v="2024-03-25T00:00:00"/>
    <s v="NO"/>
  </r>
  <r>
    <n v="10988"/>
    <n v="5732"/>
    <x v="1"/>
    <n v="78633.56"/>
    <n v="79"/>
    <x v="2"/>
    <x v="2"/>
    <n v="105536.71"/>
    <x v="1"/>
    <s v="WH-A"/>
    <n v="927"/>
    <d v="2024-03-10T00:00:00"/>
    <n v="2"/>
    <n v="90988"/>
    <x v="3"/>
    <d v="2024-05-18T00:00:00"/>
    <n v="0.78315000000000001"/>
    <n v="70988"/>
    <x v="0"/>
    <n v="141406.58168"/>
    <s v="pending"/>
    <d v="2024-05-10T00:00:00"/>
    <s v="Variable"/>
    <d v="2024-03-25T00:00:00"/>
    <s v="NO"/>
  </r>
  <r>
    <n v="10989"/>
    <n v="5752"/>
    <x v="1"/>
    <n v="93953.56"/>
    <n v="22"/>
    <x v="2"/>
    <x v="3"/>
    <n v="15805.3"/>
    <x v="1"/>
    <s v="WH-B"/>
    <n v="1188"/>
    <d v="2024-02-10T00:00:00"/>
    <n v="13"/>
    <n v="90989"/>
    <x v="3"/>
    <d v="2024-04-01T00:00:00"/>
    <n v="0.16113"/>
    <n v="70989"/>
    <x v="1"/>
    <n v="133459.41190000001"/>
    <s v="Paid"/>
    <d v="2024-05-10T00:00:00"/>
    <s v="Fixed"/>
    <d v="2024-04-02T00:00:00"/>
    <s v="YES"/>
  </r>
  <r>
    <n v="10990"/>
    <n v="5925"/>
    <x v="0"/>
    <n v="82001.42"/>
    <n v="30"/>
    <x v="1"/>
    <x v="1"/>
    <n v="101331.12"/>
    <x v="2"/>
    <s v="WH-B"/>
    <n v="808"/>
    <d v="2024-04-15T00:00:00"/>
    <n v="3"/>
    <n v="90990"/>
    <x v="1"/>
    <d v="2024-05-18T00:00:00"/>
    <n v="0.70584000000000002"/>
    <n v="70990"/>
    <x v="0"/>
    <n v="66872.709400000007"/>
    <s v="Paid"/>
    <d v="2024-06-01T00:00:00"/>
    <s v="Variable"/>
    <d v="2024-03-25T00:00:00"/>
    <s v="NO"/>
  </r>
  <r>
    <n v="10991"/>
    <n v="5909"/>
    <x v="1"/>
    <n v="43539.37"/>
    <n v="63"/>
    <x v="3"/>
    <x v="2"/>
    <n v="78168.5"/>
    <x v="1"/>
    <s v="WH-B"/>
    <n v="1141"/>
    <d v="2024-04-15T00:00:00"/>
    <n v="12"/>
    <n v="90991"/>
    <x v="0"/>
    <d v="2024-05-18T00:00:00"/>
    <n v="0.99748000000000003"/>
    <n v="70991"/>
    <x v="1"/>
    <n v="100143.87923999999"/>
    <s v="Paid"/>
    <d v="2024-04-10T00:00:00"/>
    <s v="Fixed"/>
    <d v="2024-03-25T00:00:00"/>
    <s v="NO"/>
  </r>
  <r>
    <n v="10992"/>
    <n v="6582"/>
    <x v="1"/>
    <n v="34111.33"/>
    <n v="4"/>
    <x v="0"/>
    <x v="2"/>
    <n v="118063.84"/>
    <x v="1"/>
    <s v="WH-C"/>
    <n v="494"/>
    <d v="2024-03-10T00:00:00"/>
    <n v="9"/>
    <n v="90992"/>
    <x v="3"/>
    <d v="2024-05-18T00:00:00"/>
    <n v="0.80217000000000005"/>
    <n v="70992"/>
    <x v="2"/>
    <n v="91939.096139999994"/>
    <s v="Overdue"/>
    <d v="2024-04-10T00:00:00"/>
    <s v="Fixed"/>
    <d v="2024-04-02T00:00:00"/>
    <s v="YES"/>
  </r>
  <r>
    <n v="10993"/>
    <n v="6571"/>
    <x v="1"/>
    <n v="67005.56"/>
    <n v="77"/>
    <x v="0"/>
    <x v="3"/>
    <n v="140229.57"/>
    <x v="1"/>
    <s v="WH-C"/>
    <n v="1399"/>
    <d v="2024-04-15T00:00:00"/>
    <n v="4"/>
    <n v="90993"/>
    <x v="3"/>
    <d v="2024-03-01T00:00:00"/>
    <n v="0.36151"/>
    <n v="70993"/>
    <x v="1"/>
    <n v="90741.423429999995"/>
    <s v="pending"/>
    <d v="2024-06-01T00:00:00"/>
    <s v="Variable"/>
    <d v="2024-04-02T00:00:00"/>
    <s v="YES"/>
  </r>
  <r>
    <n v="10994"/>
    <n v="6277"/>
    <x v="1"/>
    <n v="71401.850000000006"/>
    <n v="59"/>
    <x v="3"/>
    <x v="2"/>
    <n v="78832.56"/>
    <x v="0"/>
    <s v="WH-A"/>
    <n v="757"/>
    <d v="2024-02-10T00:00:00"/>
    <n v="4"/>
    <n v="90994"/>
    <x v="0"/>
    <d v="2024-05-18T00:00:00"/>
    <n v="0.35004000000000002"/>
    <n v="70994"/>
    <x v="1"/>
    <n v="105265.68932"/>
    <s v="Overdue"/>
    <d v="2024-04-10T00:00:00"/>
    <s v="Variable"/>
    <d v="2024-03-25T00:00:00"/>
    <s v="YES"/>
  </r>
  <r>
    <n v="10995"/>
    <n v="5390"/>
    <x v="1"/>
    <n v="53982.91"/>
    <n v="87"/>
    <x v="0"/>
    <x v="3"/>
    <n v="26171.57"/>
    <x v="2"/>
    <s v="WH-B"/>
    <n v="651"/>
    <d v="2024-04-15T00:00:00"/>
    <n v="3"/>
    <n v="90995"/>
    <x v="2"/>
    <d v="2024-05-18T00:00:00"/>
    <n v="0.70050000000000001"/>
    <n v="70995"/>
    <x v="1"/>
    <n v="60987.270729999997"/>
    <s v="Overdue"/>
    <d v="2024-05-10T00:00:00"/>
    <s v="Variable"/>
    <d v="2024-04-02T00:00:00"/>
    <s v="YES"/>
  </r>
  <r>
    <n v="10996"/>
    <n v="6618"/>
    <x v="1"/>
    <n v="85316.1"/>
    <n v="8"/>
    <x v="2"/>
    <x v="3"/>
    <n v="138893.15"/>
    <x v="1"/>
    <s v="WH-A"/>
    <n v="1432"/>
    <d v="2024-03-10T00:00:00"/>
    <n v="5"/>
    <n v="90996"/>
    <x v="3"/>
    <d v="2024-04-01T00:00:00"/>
    <n v="0.90627000000000002"/>
    <n v="70996"/>
    <x v="2"/>
    <n v="89524.750100000005"/>
    <s v="pending"/>
    <d v="2024-05-10T00:00:00"/>
    <s v="Variable"/>
    <d v="2024-03-25T00:00:00"/>
    <s v="YES"/>
  </r>
  <r>
    <n v="10997"/>
    <n v="5883"/>
    <x v="0"/>
    <n v="75333.100000000006"/>
    <n v="82"/>
    <x v="0"/>
    <x v="3"/>
    <n v="120587"/>
    <x v="0"/>
    <s v="WH-B"/>
    <n v="194"/>
    <d v="2024-03-10T00:00:00"/>
    <n v="3"/>
    <n v="90997"/>
    <x v="0"/>
    <d v="2024-04-01T00:00:00"/>
    <n v="0.62014999999999998"/>
    <n v="70997"/>
    <x v="0"/>
    <n v="174864.60837"/>
    <s v="Overdue"/>
    <d v="2024-05-10T00:00:00"/>
    <s v="Variable"/>
    <d v="2024-04-02T00:00:00"/>
    <s v="YES"/>
  </r>
  <r>
    <n v="10998"/>
    <n v="5256"/>
    <x v="1"/>
    <n v="75133.36"/>
    <n v="12"/>
    <x v="1"/>
    <x v="0"/>
    <n v="41413.58"/>
    <x v="0"/>
    <s v="WH-C"/>
    <n v="324"/>
    <d v="2024-04-15T00:00:00"/>
    <n v="9"/>
    <n v="90998"/>
    <x v="3"/>
    <d v="2024-04-01T00:00:00"/>
    <n v="0.57465999999999995"/>
    <n v="70998"/>
    <x v="1"/>
    <n v="155040.66641000001"/>
    <s v="pending"/>
    <d v="2024-04-10T00:00:00"/>
    <s v="Variable"/>
    <d v="2024-03-25T00:00:00"/>
    <s v="NO"/>
  </r>
  <r>
    <n v="10999"/>
    <n v="5709"/>
    <x v="1"/>
    <n v="98104.49"/>
    <n v="31"/>
    <x v="2"/>
    <x v="2"/>
    <n v="105679.55"/>
    <x v="0"/>
    <s v="WH-C"/>
    <n v="558"/>
    <d v="2024-02-10T00:00:00"/>
    <n v="3"/>
    <n v="90999"/>
    <x v="1"/>
    <d v="2024-04-01T00:00:00"/>
    <n v="0.24435000000000001"/>
    <n v="70999"/>
    <x v="1"/>
    <n v="212026.51360000001"/>
    <s v="pending"/>
    <d v="2024-04-10T00:00:00"/>
    <s v="Variable"/>
    <d v="2024-03-25T00:00:00"/>
    <s v="YES"/>
  </r>
  <r>
    <n v="11000"/>
    <n v="6839"/>
    <x v="0"/>
    <n v="80441.990000000005"/>
    <n v="78"/>
    <x v="2"/>
    <x v="3"/>
    <n v="158745.09"/>
    <x v="1"/>
    <s v="WH-B"/>
    <n v="1252"/>
    <d v="2024-02-10T00:00:00"/>
    <n v="2"/>
    <n v="91000"/>
    <x v="3"/>
    <d v="2024-05-18T00:00:00"/>
    <n v="0.74390999999999996"/>
    <n v="71000"/>
    <x v="1"/>
    <n v="183309.28081"/>
    <s v="Paid"/>
    <d v="2024-06-01T00:00:00"/>
    <s v="Variable"/>
    <d v="2024-04-02T00:00:00"/>
    <s v="YES"/>
  </r>
  <r>
    <n v="11001"/>
    <n v="6945"/>
    <x v="0"/>
    <n v="91179.94"/>
    <n v="34"/>
    <x v="2"/>
    <x v="1"/>
    <n v="116422.8"/>
    <x v="1"/>
    <s v="WH-B"/>
    <n v="802"/>
    <d v="2024-03-10T00:00:00"/>
    <n v="12"/>
    <n v="91001"/>
    <x v="0"/>
    <d v="2024-04-01T00:00:00"/>
    <n v="0.73207"/>
    <n v="71001"/>
    <x v="1"/>
    <n v="87095.651800000007"/>
    <s v="Paid"/>
    <d v="2024-05-10T00:00:00"/>
    <s v="Fixed"/>
    <d v="2024-04-02T00:00:00"/>
    <s v="YES"/>
  </r>
  <r>
    <n v="11002"/>
    <n v="5450"/>
    <x v="1"/>
    <n v="44621.05"/>
    <n v="82"/>
    <x v="3"/>
    <x v="0"/>
    <n v="176172.08"/>
    <x v="0"/>
    <s v="WH-C"/>
    <n v="526"/>
    <d v="2024-03-10T00:00:00"/>
    <n v="5"/>
    <n v="91002"/>
    <x v="3"/>
    <d v="2024-03-01T00:00:00"/>
    <n v="0.97026000000000001"/>
    <n v="71002"/>
    <x v="1"/>
    <n v="99537.844299999997"/>
    <s v="Paid"/>
    <d v="2024-06-01T00:00:00"/>
    <s v="Variable"/>
    <d v="2024-03-25T00:00:00"/>
    <s v="YES"/>
  </r>
  <r>
    <n v="11003"/>
    <n v="5010"/>
    <x v="1"/>
    <n v="62666.49"/>
    <n v="98"/>
    <x v="3"/>
    <x v="0"/>
    <n v="32489.87"/>
    <x v="1"/>
    <s v="WH-C"/>
    <n v="1487"/>
    <d v="2024-02-10T00:00:00"/>
    <n v="6"/>
    <n v="91003"/>
    <x v="1"/>
    <d v="2024-05-18T00:00:00"/>
    <n v="0.37017"/>
    <n v="71003"/>
    <x v="0"/>
    <n v="102698.68025"/>
    <s v="pending"/>
    <d v="2024-04-10T00:00:00"/>
    <s v="Fixed"/>
    <d v="2024-03-25T00:00:00"/>
    <s v="YES"/>
  </r>
  <r>
    <n v="11004"/>
    <n v="5824"/>
    <x v="1"/>
    <n v="70244.94"/>
    <n v="75"/>
    <x v="2"/>
    <x v="2"/>
    <n v="149602.93"/>
    <x v="1"/>
    <s v="WH-A"/>
    <n v="1226"/>
    <d v="2024-04-15T00:00:00"/>
    <n v="1"/>
    <n v="91004"/>
    <x v="1"/>
    <d v="2024-04-01T00:00:00"/>
    <n v="0.78080000000000005"/>
    <n v="71004"/>
    <x v="2"/>
    <n v="109466.1721"/>
    <s v="Paid"/>
    <d v="2024-06-01T00:00:00"/>
    <s v="Variable"/>
    <d v="2024-04-02T00:00:00"/>
    <s v="YES"/>
  </r>
  <r>
    <n v="11005"/>
    <n v="5798"/>
    <x v="1"/>
    <n v="51489.26"/>
    <n v="76"/>
    <x v="3"/>
    <x v="3"/>
    <n v="79841.86"/>
    <x v="1"/>
    <s v="WH-C"/>
    <n v="1177"/>
    <d v="2024-04-15T00:00:00"/>
    <n v="14"/>
    <n v="91005"/>
    <x v="3"/>
    <d v="2024-05-18T00:00:00"/>
    <n v="0.49065999999999999"/>
    <n v="71005"/>
    <x v="0"/>
    <n v="119173.04196"/>
    <s v="pending"/>
    <d v="2024-04-10T00:00:00"/>
    <s v="Variable"/>
    <d v="2024-03-25T00:00:00"/>
    <s v="YES"/>
  </r>
  <r>
    <n v="11006"/>
    <n v="6266"/>
    <x v="1"/>
    <n v="43719.4"/>
    <n v="49"/>
    <x v="0"/>
    <x v="2"/>
    <n v="25348.22"/>
    <x v="1"/>
    <s v="WH-B"/>
    <n v="1148"/>
    <d v="2024-04-15T00:00:00"/>
    <n v="12"/>
    <n v="91006"/>
    <x v="3"/>
    <d v="2024-04-01T00:00:00"/>
    <n v="0.60263"/>
    <n v="71006"/>
    <x v="1"/>
    <n v="97302.090249999994"/>
    <s v="Overdue"/>
    <d v="2024-05-10T00:00:00"/>
    <s v="Variable"/>
    <d v="2024-03-25T00:00:00"/>
    <s v="YES"/>
  </r>
  <r>
    <n v="11007"/>
    <n v="6275"/>
    <x v="1"/>
    <n v="48229.52"/>
    <n v="79"/>
    <x v="3"/>
    <x v="0"/>
    <n v="15399.39"/>
    <x v="1"/>
    <s v="WH-A"/>
    <n v="1201"/>
    <d v="2024-04-15T00:00:00"/>
    <n v="11"/>
    <n v="91007"/>
    <x v="1"/>
    <d v="2024-05-18T00:00:00"/>
    <n v="0.83481000000000005"/>
    <n v="71007"/>
    <x v="1"/>
    <n v="152509.11869999999"/>
    <s v="Paid"/>
    <d v="2024-05-10T00:00:00"/>
    <s v="Fixed"/>
    <d v="2024-03-25T00:00:00"/>
    <s v="YES"/>
  </r>
  <r>
    <n v="11008"/>
    <n v="5877"/>
    <x v="1"/>
    <n v="77992.34"/>
    <n v="57"/>
    <x v="3"/>
    <x v="3"/>
    <n v="87473.32"/>
    <x v="0"/>
    <s v="WH-B"/>
    <n v="715"/>
    <d v="2024-02-10T00:00:00"/>
    <n v="6"/>
    <n v="91008"/>
    <x v="1"/>
    <d v="2024-04-01T00:00:00"/>
    <n v="0.29980000000000001"/>
    <n v="71008"/>
    <x v="1"/>
    <n v="192747.99064"/>
    <s v="pending"/>
    <d v="2024-04-10T00:00:00"/>
    <s v="Variable"/>
    <d v="2024-03-25T00:00:00"/>
    <s v="NO"/>
  </r>
  <r>
    <n v="11009"/>
    <n v="6029"/>
    <x v="0"/>
    <n v="94503.24"/>
    <n v="95"/>
    <x v="2"/>
    <x v="1"/>
    <n v="100625.89"/>
    <x v="1"/>
    <s v="WH-A"/>
    <n v="617"/>
    <d v="2024-03-10T00:00:00"/>
    <n v="10"/>
    <n v="91009"/>
    <x v="2"/>
    <d v="2024-03-01T00:00:00"/>
    <n v="0.40858"/>
    <n v="71009"/>
    <x v="2"/>
    <n v="74561.075670000006"/>
    <s v="pending"/>
    <d v="2024-04-10T00:00:00"/>
    <s v="Variable"/>
    <d v="2024-03-25T00:00:00"/>
    <s v="YES"/>
  </r>
  <r>
    <n v="11010"/>
    <n v="6143"/>
    <x v="1"/>
    <n v="88799.38"/>
    <n v="93"/>
    <x v="1"/>
    <x v="3"/>
    <n v="116097.43"/>
    <x v="1"/>
    <s v="WH-B"/>
    <n v="1418"/>
    <d v="2024-03-10T00:00:00"/>
    <n v="3"/>
    <n v="91010"/>
    <x v="2"/>
    <d v="2024-04-01T00:00:00"/>
    <n v="0.79598000000000002"/>
    <n v="71010"/>
    <x v="0"/>
    <n v="63577.585079999997"/>
    <s v="pending"/>
    <d v="2024-04-10T00:00:00"/>
    <s v="Fixed"/>
    <d v="2024-03-25T00:00:00"/>
    <s v="YES"/>
  </r>
  <r>
    <n v="11011"/>
    <n v="6016"/>
    <x v="1"/>
    <n v="31130.38"/>
    <n v="26"/>
    <x v="1"/>
    <x v="0"/>
    <n v="74012.179999999993"/>
    <x v="1"/>
    <s v="WH-C"/>
    <n v="580"/>
    <d v="2024-04-15T00:00:00"/>
    <n v="4"/>
    <n v="91011"/>
    <x v="1"/>
    <d v="2024-05-18T00:00:00"/>
    <n v="0.61341000000000001"/>
    <n v="71011"/>
    <x v="0"/>
    <n v="193704.924"/>
    <s v="pending"/>
    <d v="2024-05-10T00:00:00"/>
    <s v="Variable"/>
    <d v="2024-03-25T00:00:00"/>
    <s v="NO"/>
  </r>
  <r>
    <n v="11012"/>
    <n v="6825"/>
    <x v="1"/>
    <n v="29358.17"/>
    <n v="18"/>
    <x v="1"/>
    <x v="1"/>
    <n v="74474.41"/>
    <x v="2"/>
    <s v="WH-B"/>
    <n v="208"/>
    <d v="2024-02-10T00:00:00"/>
    <n v="6"/>
    <n v="91012"/>
    <x v="3"/>
    <d v="2024-05-18T00:00:00"/>
    <n v="0.18318000000000001"/>
    <n v="71012"/>
    <x v="0"/>
    <n v="55472.669560000002"/>
    <s v="Paid"/>
    <d v="2024-04-10T00:00:00"/>
    <s v="Variable"/>
    <d v="2024-03-25T00:00:00"/>
    <s v="YES"/>
  </r>
  <r>
    <n v="11013"/>
    <n v="5374"/>
    <x v="1"/>
    <n v="70622.7"/>
    <n v="96"/>
    <x v="0"/>
    <x v="3"/>
    <n v="23703.759999999998"/>
    <x v="0"/>
    <s v="WH-A"/>
    <n v="1499"/>
    <d v="2024-02-10T00:00:00"/>
    <n v="8"/>
    <n v="91013"/>
    <x v="0"/>
    <d v="2024-03-01T00:00:00"/>
    <n v="0.48716999999999999"/>
    <n v="71013"/>
    <x v="1"/>
    <n v="166240.34247"/>
    <s v="Paid"/>
    <d v="2024-05-10T00:00:00"/>
    <s v="Variable"/>
    <d v="2024-03-25T00:00:00"/>
    <s v="YES"/>
  </r>
  <r>
    <n v="11014"/>
    <n v="6089"/>
    <x v="0"/>
    <n v="55332.3"/>
    <n v="86"/>
    <x v="3"/>
    <x v="1"/>
    <n v="17459.41"/>
    <x v="2"/>
    <s v="WH-B"/>
    <n v="730"/>
    <d v="2024-04-15T00:00:00"/>
    <n v="9"/>
    <n v="91014"/>
    <x v="3"/>
    <d v="2024-05-18T00:00:00"/>
    <n v="0.62797000000000003"/>
    <n v="71014"/>
    <x v="2"/>
    <n v="86459.206510000004"/>
    <s v="Paid"/>
    <d v="2024-06-01T00:00:00"/>
    <s v="Variable"/>
    <d v="2024-03-25T00:00:00"/>
    <s v="NO"/>
  </r>
  <r>
    <n v="11015"/>
    <n v="5146"/>
    <x v="1"/>
    <n v="22775.95"/>
    <n v="38"/>
    <x v="1"/>
    <x v="1"/>
    <n v="51222.78"/>
    <x v="1"/>
    <s v="WH-A"/>
    <n v="72"/>
    <d v="2024-04-15T00:00:00"/>
    <n v="6"/>
    <n v="91015"/>
    <x v="3"/>
    <d v="2024-03-01T00:00:00"/>
    <n v="0.91857"/>
    <n v="71015"/>
    <x v="1"/>
    <n v="198389.86309999999"/>
    <s v="pending"/>
    <d v="2024-05-10T00:00:00"/>
    <s v="Variable"/>
    <d v="2024-03-25T00:00:00"/>
    <s v="NO"/>
  </r>
  <r>
    <n v="11016"/>
    <n v="5224"/>
    <x v="1"/>
    <n v="68747.89"/>
    <n v="81"/>
    <x v="2"/>
    <x v="0"/>
    <n v="146589.17000000001"/>
    <x v="2"/>
    <s v="WH-B"/>
    <n v="1120"/>
    <d v="2024-04-15T00:00:00"/>
    <n v="7"/>
    <n v="91016"/>
    <x v="2"/>
    <d v="2024-05-18T00:00:00"/>
    <n v="0.26963999999999999"/>
    <n v="71016"/>
    <x v="0"/>
    <n v="109647.35965"/>
    <s v="Overdue"/>
    <d v="2024-06-01T00:00:00"/>
    <s v="Variable"/>
    <d v="2024-03-25T00:00:00"/>
    <s v="NO"/>
  </r>
  <r>
    <n v="11017"/>
    <n v="6263"/>
    <x v="1"/>
    <n v="89199.94"/>
    <n v="87"/>
    <x v="1"/>
    <x v="1"/>
    <n v="21335.58"/>
    <x v="2"/>
    <s v="WH-C"/>
    <n v="574"/>
    <d v="2024-03-10T00:00:00"/>
    <n v="14"/>
    <n v="91017"/>
    <x v="2"/>
    <d v="2024-05-18T00:00:00"/>
    <n v="0.82535999999999998"/>
    <n v="71017"/>
    <x v="1"/>
    <n v="91686.639200000005"/>
    <s v="pending"/>
    <d v="2024-05-10T00:00:00"/>
    <s v="Variable"/>
    <d v="2024-04-02T00:00:00"/>
    <s v="YES"/>
  </r>
  <r>
    <n v="11018"/>
    <n v="5177"/>
    <x v="1"/>
    <n v="88382.17"/>
    <n v="88"/>
    <x v="1"/>
    <x v="2"/>
    <n v="137889.57999999999"/>
    <x v="2"/>
    <s v="WH-C"/>
    <n v="778"/>
    <d v="2024-04-15T00:00:00"/>
    <n v="5"/>
    <n v="91018"/>
    <x v="2"/>
    <d v="2024-03-01T00:00:00"/>
    <n v="0.21756"/>
    <n v="71018"/>
    <x v="1"/>
    <n v="123161.36786"/>
    <s v="Overdue"/>
    <d v="2024-05-10T00:00:00"/>
    <s v="Variable"/>
    <d v="2024-03-25T00:00:00"/>
    <s v="NO"/>
  </r>
  <r>
    <n v="11019"/>
    <n v="6803"/>
    <x v="1"/>
    <n v="75732.289999999994"/>
    <n v="50"/>
    <x v="3"/>
    <x v="0"/>
    <n v="44096.43"/>
    <x v="0"/>
    <s v="WH-B"/>
    <n v="193"/>
    <d v="2024-03-10T00:00:00"/>
    <n v="14"/>
    <n v="91019"/>
    <x v="1"/>
    <d v="2024-05-18T00:00:00"/>
    <n v="0.31801000000000001"/>
    <n v="71019"/>
    <x v="2"/>
    <n v="79087.107839999997"/>
    <s v="Paid"/>
    <d v="2024-04-10T00:00:00"/>
    <s v="Variable"/>
    <d v="2024-04-02T00:00:00"/>
    <s v="NO"/>
  </r>
  <r>
    <n v="11020"/>
    <n v="5853"/>
    <x v="1"/>
    <n v="19452.64"/>
    <n v="8"/>
    <x v="3"/>
    <x v="2"/>
    <n v="63209.49"/>
    <x v="1"/>
    <s v="WH-B"/>
    <n v="717"/>
    <d v="2024-02-10T00:00:00"/>
    <n v="12"/>
    <n v="91020"/>
    <x v="1"/>
    <d v="2024-05-18T00:00:00"/>
    <n v="0.31901000000000002"/>
    <n v="71020"/>
    <x v="0"/>
    <n v="186640.57089999999"/>
    <s v="pending"/>
    <d v="2024-05-10T00:00:00"/>
    <s v="Variable"/>
    <d v="2024-03-25T00:00:00"/>
    <s v="NO"/>
  </r>
  <r>
    <n v="11021"/>
    <n v="6306"/>
    <x v="1"/>
    <n v="11555.78"/>
    <n v="41"/>
    <x v="3"/>
    <x v="1"/>
    <n v="52673.03"/>
    <x v="2"/>
    <s v="WH-B"/>
    <n v="1492"/>
    <d v="2024-02-10T00:00:00"/>
    <n v="9"/>
    <n v="91021"/>
    <x v="3"/>
    <d v="2024-03-01T00:00:00"/>
    <n v="0.88973000000000002"/>
    <n v="71021"/>
    <x v="1"/>
    <n v="119480.9466"/>
    <s v="pending"/>
    <d v="2024-04-10T00:00:00"/>
    <s v="Fixed"/>
    <d v="2024-03-25T00:00:00"/>
    <s v="NO"/>
  </r>
  <r>
    <n v="11022"/>
    <n v="5063"/>
    <x v="1"/>
    <n v="9277.74"/>
    <n v="6"/>
    <x v="0"/>
    <x v="2"/>
    <n v="121344.48"/>
    <x v="0"/>
    <s v="WH-A"/>
    <n v="730"/>
    <d v="2024-03-10T00:00:00"/>
    <n v="4"/>
    <n v="91022"/>
    <x v="3"/>
    <d v="2024-04-01T00:00:00"/>
    <n v="0.27911999999999998"/>
    <n v="71022"/>
    <x v="1"/>
    <n v="149921.07149999999"/>
    <s v="Paid"/>
    <d v="2024-04-10T00:00:00"/>
    <s v="Variable"/>
    <d v="2024-03-25T00:00:00"/>
    <s v="YES"/>
  </r>
  <r>
    <n v="11023"/>
    <n v="6241"/>
    <x v="1"/>
    <n v="60554.44"/>
    <n v="69"/>
    <x v="0"/>
    <x v="3"/>
    <n v="60470.75"/>
    <x v="1"/>
    <s v="WH-B"/>
    <n v="1022"/>
    <d v="2024-03-10T00:00:00"/>
    <n v="10"/>
    <n v="91023"/>
    <x v="0"/>
    <d v="2024-03-01T00:00:00"/>
    <n v="0.80825999999999998"/>
    <n v="71023"/>
    <x v="1"/>
    <n v="68313.824900000007"/>
    <s v="pending"/>
    <d v="2024-04-10T00:00:00"/>
    <s v="Variable"/>
    <d v="2024-03-25T00:00:00"/>
    <s v="YES"/>
  </r>
  <r>
    <n v="11024"/>
    <n v="6878"/>
    <x v="1"/>
    <n v="76880.100000000006"/>
    <n v="44"/>
    <x v="1"/>
    <x v="1"/>
    <n v="132190.91"/>
    <x v="1"/>
    <s v="WH-B"/>
    <n v="848"/>
    <d v="2024-03-10T00:00:00"/>
    <n v="11"/>
    <n v="91024"/>
    <x v="3"/>
    <d v="2024-05-18T00:00:00"/>
    <n v="0.51563000000000003"/>
    <n v="71024"/>
    <x v="1"/>
    <n v="158279.47229999999"/>
    <s v="Overdue"/>
    <d v="2024-05-10T00:00:00"/>
    <s v="Fixed"/>
    <d v="2024-03-25T00:00:00"/>
    <s v="YES"/>
  </r>
  <r>
    <n v="11025"/>
    <n v="5827"/>
    <x v="1"/>
    <n v="28247.54"/>
    <n v="64"/>
    <x v="3"/>
    <x v="3"/>
    <n v="128783.64"/>
    <x v="2"/>
    <s v="WH-A"/>
    <n v="134"/>
    <d v="2024-03-10T00:00:00"/>
    <n v="6"/>
    <n v="91025"/>
    <x v="3"/>
    <d v="2024-04-01T00:00:00"/>
    <n v="0.99917999999999996"/>
    <n v="71025"/>
    <x v="2"/>
    <n v="100050.91581000001"/>
    <s v="Overdue"/>
    <d v="2024-04-10T00:00:00"/>
    <s v="Variable"/>
    <d v="2024-03-25T00:00:00"/>
    <s v="NO"/>
  </r>
  <r>
    <n v="11026"/>
    <n v="5795"/>
    <x v="1"/>
    <n v="44905.93"/>
    <n v="29"/>
    <x v="1"/>
    <x v="2"/>
    <n v="115372.21"/>
    <x v="1"/>
    <s v="WH-C"/>
    <n v="465"/>
    <d v="2024-04-15T00:00:00"/>
    <n v="5"/>
    <n v="91026"/>
    <x v="2"/>
    <d v="2024-04-01T00:00:00"/>
    <n v="0.85518000000000005"/>
    <n v="71026"/>
    <x v="1"/>
    <n v="64351.107900000003"/>
    <s v="Overdue"/>
    <d v="2024-06-01T00:00:00"/>
    <s v="Fixed"/>
    <d v="2024-04-02T00:00:00"/>
    <s v="YES"/>
  </r>
  <r>
    <n v="11027"/>
    <n v="5689"/>
    <x v="1"/>
    <n v="98019.63"/>
    <n v="28"/>
    <x v="2"/>
    <x v="3"/>
    <n v="21028.65"/>
    <x v="2"/>
    <s v="WH-B"/>
    <n v="743"/>
    <d v="2024-02-10T00:00:00"/>
    <n v="1"/>
    <n v="91027"/>
    <x v="2"/>
    <d v="2024-04-01T00:00:00"/>
    <n v="0.76573000000000002"/>
    <n v="71027"/>
    <x v="2"/>
    <n v="134341.35"/>
    <s v="pending"/>
    <d v="2024-06-01T00:00:00"/>
    <s v="Variable"/>
    <d v="2024-04-02T00:00:00"/>
    <s v="NO"/>
  </r>
  <r>
    <n v="11028"/>
    <n v="6485"/>
    <x v="0"/>
    <n v="22515.96"/>
    <n v="11"/>
    <x v="2"/>
    <x v="1"/>
    <n v="148284.76"/>
    <x v="1"/>
    <s v="WH-B"/>
    <n v="531"/>
    <d v="2024-04-15T00:00:00"/>
    <n v="5"/>
    <n v="91028"/>
    <x v="2"/>
    <d v="2024-03-01T00:00:00"/>
    <n v="0.88365000000000005"/>
    <n v="71028"/>
    <x v="0"/>
    <n v="193490.81341999999"/>
    <s v="pending"/>
    <d v="2024-05-10T00:00:00"/>
    <s v="Variable"/>
    <d v="2024-03-25T00:00:00"/>
    <s v="YES"/>
  </r>
  <r>
    <n v="11029"/>
    <n v="6953"/>
    <x v="1"/>
    <n v="77444.56"/>
    <n v="65"/>
    <x v="3"/>
    <x v="3"/>
    <n v="21256.9"/>
    <x v="1"/>
    <s v="WH-C"/>
    <n v="505"/>
    <d v="2024-03-10T00:00:00"/>
    <n v="13"/>
    <n v="91029"/>
    <x v="2"/>
    <d v="2024-04-01T00:00:00"/>
    <n v="0.67062999999999995"/>
    <n v="71029"/>
    <x v="1"/>
    <n v="89161.936960000006"/>
    <s v="Overdue"/>
    <d v="2024-04-10T00:00:00"/>
    <s v="Variable"/>
    <d v="2024-03-25T00:00:00"/>
    <s v="YES"/>
  </r>
  <r>
    <n v="11030"/>
    <n v="6634"/>
    <x v="1"/>
    <n v="23097.06"/>
    <n v="19"/>
    <x v="3"/>
    <x v="2"/>
    <n v="44604.65"/>
    <x v="0"/>
    <s v="WH-C"/>
    <n v="876"/>
    <d v="2024-04-15T00:00:00"/>
    <n v="5"/>
    <n v="91030"/>
    <x v="2"/>
    <d v="2024-04-01T00:00:00"/>
    <n v="0.85929"/>
    <n v="71030"/>
    <x v="2"/>
    <n v="120764.82014"/>
    <s v="pending"/>
    <d v="2024-06-01T00:00:00"/>
    <s v="Fixed"/>
    <d v="2024-03-25T00:00:00"/>
    <s v="YES"/>
  </r>
  <r>
    <n v="11031"/>
    <n v="5105"/>
    <x v="1"/>
    <n v="49408.99"/>
    <n v="9"/>
    <x v="2"/>
    <x v="2"/>
    <n v="147469.5"/>
    <x v="1"/>
    <s v="WH-A"/>
    <n v="346"/>
    <d v="2024-04-15T00:00:00"/>
    <n v="14"/>
    <n v="91031"/>
    <x v="0"/>
    <d v="2024-04-01T00:00:00"/>
    <n v="0.33500999999999997"/>
    <n v="71031"/>
    <x v="2"/>
    <n v="150255.25109999999"/>
    <s v="Overdue"/>
    <d v="2024-05-10T00:00:00"/>
    <s v="Variable"/>
    <d v="2024-04-02T00:00:00"/>
    <s v="NO"/>
  </r>
  <r>
    <n v="11032"/>
    <n v="6123"/>
    <x v="1"/>
    <n v="25916.54"/>
    <n v="27"/>
    <x v="3"/>
    <x v="2"/>
    <n v="36361.550000000003"/>
    <x v="0"/>
    <s v="WH-B"/>
    <n v="1185"/>
    <d v="2024-02-10T00:00:00"/>
    <n v="9"/>
    <n v="91032"/>
    <x v="0"/>
    <d v="2024-05-18T00:00:00"/>
    <n v="0.18793000000000001"/>
    <n v="71032"/>
    <x v="0"/>
    <n v="147398.05030999999"/>
    <s v="Paid"/>
    <d v="2024-05-10T00:00:00"/>
    <s v="Variable"/>
    <d v="2024-04-02T00:00:00"/>
    <s v="NO"/>
  </r>
  <r>
    <n v="11033"/>
    <n v="5511"/>
    <x v="1"/>
    <n v="59720.49"/>
    <n v="34"/>
    <x v="0"/>
    <x v="1"/>
    <n v="56067.19"/>
    <x v="1"/>
    <s v="WH-B"/>
    <n v="1303"/>
    <d v="2024-04-15T00:00:00"/>
    <n v="1"/>
    <n v="91033"/>
    <x v="0"/>
    <d v="2024-03-01T00:00:00"/>
    <n v="0.65434000000000003"/>
    <n v="71033"/>
    <x v="1"/>
    <n v="166897.4455"/>
    <s v="Overdue"/>
    <d v="2024-05-10T00:00:00"/>
    <s v="Variable"/>
    <d v="2024-03-25T00:00:00"/>
    <s v="YES"/>
  </r>
  <r>
    <n v="11034"/>
    <n v="5385"/>
    <x v="0"/>
    <n v="16517.919999999998"/>
    <n v="44"/>
    <x v="0"/>
    <x v="2"/>
    <n v="124275.36"/>
    <x v="0"/>
    <s v="WH-A"/>
    <n v="1169"/>
    <d v="2024-02-10T00:00:00"/>
    <n v="5"/>
    <n v="91034"/>
    <x v="2"/>
    <d v="2024-03-01T00:00:00"/>
    <n v="0.49121999999999999"/>
    <n v="71034"/>
    <x v="2"/>
    <n v="132438.66970999999"/>
    <s v="Paid"/>
    <d v="2024-05-10T00:00:00"/>
    <s v="Variable"/>
    <d v="2024-04-02T00:00:00"/>
    <s v="YES"/>
  </r>
  <r>
    <n v="11035"/>
    <n v="5405"/>
    <x v="1"/>
    <n v="90563.29"/>
    <n v="68"/>
    <x v="3"/>
    <x v="1"/>
    <n v="60599.18"/>
    <x v="1"/>
    <s v="WH-C"/>
    <n v="999"/>
    <d v="2024-03-10T00:00:00"/>
    <n v="7"/>
    <n v="91035"/>
    <x v="1"/>
    <d v="2024-05-18T00:00:00"/>
    <n v="0.48380000000000001"/>
    <n v="71035"/>
    <x v="1"/>
    <n v="67637.393800000005"/>
    <s v="Paid"/>
    <d v="2024-05-10T00:00:00"/>
    <s v="Variable"/>
    <d v="2024-04-02T00:00:00"/>
    <s v="YES"/>
  </r>
  <r>
    <n v="11036"/>
    <n v="5823"/>
    <x v="0"/>
    <n v="24840.25"/>
    <n v="82"/>
    <x v="2"/>
    <x v="3"/>
    <n v="96742.09"/>
    <x v="1"/>
    <s v="WH-A"/>
    <n v="729"/>
    <d v="2024-04-15T00:00:00"/>
    <n v="11"/>
    <n v="91036"/>
    <x v="2"/>
    <d v="2024-04-01T00:00:00"/>
    <n v="0.57406999999999997"/>
    <n v="71036"/>
    <x v="1"/>
    <n v="198565.2384"/>
    <s v="Paid"/>
    <d v="2024-04-10T00:00:00"/>
    <s v="Variable"/>
    <d v="2024-03-25T00:00:00"/>
    <s v="YES"/>
  </r>
  <r>
    <n v="11037"/>
    <n v="5518"/>
    <x v="1"/>
    <n v="82301.919999999998"/>
    <n v="15"/>
    <x v="1"/>
    <x v="2"/>
    <n v="74404"/>
    <x v="1"/>
    <s v="WH-C"/>
    <n v="427"/>
    <d v="2024-03-10T00:00:00"/>
    <n v="6"/>
    <n v="91037"/>
    <x v="2"/>
    <d v="2024-05-18T00:00:00"/>
    <n v="0.42524000000000001"/>
    <n v="71037"/>
    <x v="1"/>
    <n v="116200.22682"/>
    <s v="Overdue"/>
    <d v="2024-04-10T00:00:00"/>
    <s v="Variable"/>
    <d v="2024-04-02T00:00:00"/>
    <s v="YES"/>
  </r>
  <r>
    <n v="11038"/>
    <n v="5476"/>
    <x v="1"/>
    <n v="89953.76"/>
    <n v="51"/>
    <x v="3"/>
    <x v="3"/>
    <n v="135533.60999999999"/>
    <x v="1"/>
    <s v="WH-A"/>
    <n v="1229"/>
    <d v="2024-02-10T00:00:00"/>
    <n v="6"/>
    <n v="91038"/>
    <x v="0"/>
    <d v="2024-05-18T00:00:00"/>
    <n v="0.66344999999999998"/>
    <n v="71038"/>
    <x v="1"/>
    <n v="138002.82225"/>
    <s v="Overdue"/>
    <d v="2024-04-10T00:00:00"/>
    <s v="Variable"/>
    <d v="2024-03-25T00:00:00"/>
    <s v="YES"/>
  </r>
  <r>
    <n v="11039"/>
    <n v="5709"/>
    <x v="1"/>
    <n v="53567.33"/>
    <n v="13"/>
    <x v="3"/>
    <x v="0"/>
    <n v="93013.78"/>
    <x v="1"/>
    <s v="WH-C"/>
    <n v="470"/>
    <d v="2024-03-10T00:00:00"/>
    <n v="12"/>
    <n v="91039"/>
    <x v="2"/>
    <d v="2024-04-01T00:00:00"/>
    <n v="0.12751000000000001"/>
    <n v="71039"/>
    <x v="2"/>
    <n v="130413.49976000001"/>
    <s v="pending"/>
    <d v="2024-04-10T00:00:00"/>
    <s v="Variable"/>
    <d v="2024-04-02T00:00:00"/>
    <s v="YES"/>
  </r>
  <r>
    <n v="11040"/>
    <n v="6887"/>
    <x v="1"/>
    <n v="13744.71"/>
    <n v="83"/>
    <x v="1"/>
    <x v="3"/>
    <n v="133059.76"/>
    <x v="2"/>
    <s v="WH-A"/>
    <n v="154"/>
    <d v="2024-03-10T00:00:00"/>
    <n v="7"/>
    <n v="91040"/>
    <x v="0"/>
    <d v="2024-04-01T00:00:00"/>
    <n v="0.97289999999999999"/>
    <n v="71040"/>
    <x v="1"/>
    <n v="218808.516"/>
    <s v="pending"/>
    <d v="2024-05-10T00:00:00"/>
    <s v="Fixed"/>
    <d v="2024-03-25T00:00:00"/>
    <s v="NO"/>
  </r>
  <r>
    <n v="11041"/>
    <n v="6669"/>
    <x v="1"/>
    <n v="16153.37"/>
    <n v="49"/>
    <x v="3"/>
    <x v="0"/>
    <n v="32132.18"/>
    <x v="1"/>
    <s v="WH-C"/>
    <n v="379"/>
    <d v="2024-02-10T00:00:00"/>
    <n v="6"/>
    <n v="91041"/>
    <x v="2"/>
    <d v="2024-03-01T00:00:00"/>
    <n v="0.93223999999999996"/>
    <n v="71041"/>
    <x v="2"/>
    <n v="74048.006510000007"/>
    <s v="Paid"/>
    <d v="2024-05-10T00:00:00"/>
    <s v="Variable"/>
    <d v="2024-03-25T00:00:00"/>
    <s v="YES"/>
  </r>
  <r>
    <n v="11042"/>
    <n v="6894"/>
    <x v="0"/>
    <n v="34398.839999999997"/>
    <n v="70"/>
    <x v="1"/>
    <x v="3"/>
    <n v="124642.9"/>
    <x v="0"/>
    <s v="WH-C"/>
    <n v="488"/>
    <d v="2024-03-10T00:00:00"/>
    <n v="5"/>
    <n v="91042"/>
    <x v="3"/>
    <d v="2024-04-01T00:00:00"/>
    <n v="0.94174000000000002"/>
    <n v="71042"/>
    <x v="1"/>
    <n v="131488.06719999999"/>
    <s v="Overdue"/>
    <d v="2024-06-01T00:00:00"/>
    <s v="Fixed"/>
    <d v="2024-03-25T00:00:00"/>
    <s v="YES"/>
  </r>
  <r>
    <n v="11043"/>
    <n v="5771"/>
    <x v="0"/>
    <n v="46861.29"/>
    <n v="56"/>
    <x v="2"/>
    <x v="1"/>
    <n v="55824.39"/>
    <x v="0"/>
    <s v="WH-C"/>
    <n v="1205"/>
    <d v="2024-03-10T00:00:00"/>
    <n v="10"/>
    <n v="91043"/>
    <x v="1"/>
    <d v="2024-05-18T00:00:00"/>
    <n v="0.42849999999999999"/>
    <n v="71043"/>
    <x v="1"/>
    <n v="192018.85578000001"/>
    <s v="pending"/>
    <d v="2024-06-01T00:00:00"/>
    <s v="Fixed"/>
    <d v="2024-03-25T00:00:00"/>
    <s v="YES"/>
  </r>
  <r>
    <n v="11044"/>
    <n v="6461"/>
    <x v="1"/>
    <n v="49719.11"/>
    <n v="76"/>
    <x v="0"/>
    <x v="3"/>
    <n v="130726.97"/>
    <x v="0"/>
    <s v="WH-C"/>
    <n v="431"/>
    <d v="2024-03-10T00:00:00"/>
    <n v="5"/>
    <n v="91044"/>
    <x v="1"/>
    <d v="2024-05-18T00:00:00"/>
    <n v="0.57869999999999999"/>
    <n v="71044"/>
    <x v="1"/>
    <n v="136127.57920000001"/>
    <s v="pending"/>
    <d v="2024-04-10T00:00:00"/>
    <s v="Variable"/>
    <d v="2024-04-02T00:00:00"/>
    <s v="NO"/>
  </r>
  <r>
    <n v="11045"/>
    <n v="6047"/>
    <x v="1"/>
    <n v="97985.89"/>
    <n v="51"/>
    <x v="2"/>
    <x v="1"/>
    <n v="87097.919999999998"/>
    <x v="1"/>
    <s v="WH-C"/>
    <n v="187"/>
    <d v="2024-04-15T00:00:00"/>
    <n v="9"/>
    <n v="91045"/>
    <x v="0"/>
    <d v="2024-04-01T00:00:00"/>
    <n v="0.95872000000000002"/>
    <n v="71045"/>
    <x v="2"/>
    <n v="151500.53649999999"/>
    <s v="pending"/>
    <d v="2024-05-10T00:00:00"/>
    <s v="Variable"/>
    <d v="2024-03-25T00:00:00"/>
    <s v="YES"/>
  </r>
  <r>
    <n v="11046"/>
    <n v="5997"/>
    <x v="1"/>
    <n v="41833.85"/>
    <n v="37"/>
    <x v="0"/>
    <x v="1"/>
    <n v="120174.79"/>
    <x v="2"/>
    <s v="WH-B"/>
    <n v="992"/>
    <d v="2024-03-10T00:00:00"/>
    <n v="14"/>
    <n v="91046"/>
    <x v="3"/>
    <d v="2024-03-01T00:00:00"/>
    <n v="0.91210999999999998"/>
    <n v="71046"/>
    <x v="0"/>
    <n v="195296.77437999999"/>
    <s v="Overdue"/>
    <d v="2024-06-01T00:00:00"/>
    <s v="Variable"/>
    <d v="2024-03-25T00:00:00"/>
    <s v="YES"/>
  </r>
  <r>
    <n v="11047"/>
    <n v="6589"/>
    <x v="1"/>
    <n v="46707.95"/>
    <n v="17"/>
    <x v="1"/>
    <x v="2"/>
    <n v="26730.94"/>
    <x v="1"/>
    <s v="WH-C"/>
    <n v="892"/>
    <d v="2024-02-10T00:00:00"/>
    <n v="8"/>
    <n v="91047"/>
    <x v="1"/>
    <d v="2024-05-18T00:00:00"/>
    <n v="0.81122000000000005"/>
    <n v="71047"/>
    <x v="1"/>
    <n v="137367.44659000001"/>
    <s v="pending"/>
    <d v="2024-06-01T00:00:00"/>
    <s v="Fixed"/>
    <d v="2024-03-25T00:00:00"/>
    <s v="YES"/>
  </r>
  <r>
    <n v="11048"/>
    <n v="5677"/>
    <x v="0"/>
    <n v="51778.93"/>
    <n v="58"/>
    <x v="0"/>
    <x v="1"/>
    <n v="13398.24"/>
    <x v="2"/>
    <s v="WH-B"/>
    <n v="319"/>
    <d v="2024-04-15T00:00:00"/>
    <n v="14"/>
    <n v="91048"/>
    <x v="0"/>
    <d v="2024-04-01T00:00:00"/>
    <n v="0.46660000000000001"/>
    <n v="71048"/>
    <x v="1"/>
    <n v="193475.63836000001"/>
    <s v="Paid"/>
    <d v="2024-06-01T00:00:00"/>
    <s v="Fixed"/>
    <d v="2024-03-25T00:00:00"/>
    <s v="NO"/>
  </r>
  <r>
    <n v="11049"/>
    <n v="5714"/>
    <x v="1"/>
    <n v="53603.21"/>
    <n v="87"/>
    <x v="2"/>
    <x v="0"/>
    <n v="69000.63"/>
    <x v="2"/>
    <s v="WH-C"/>
    <n v="445"/>
    <d v="2024-04-15T00:00:00"/>
    <n v="12"/>
    <n v="91049"/>
    <x v="2"/>
    <d v="2024-03-01T00:00:00"/>
    <n v="0.60790999999999995"/>
    <n v="71049"/>
    <x v="0"/>
    <n v="129747.76"/>
    <s v="Overdue"/>
    <d v="2024-06-01T00:00:00"/>
    <s v="Variable"/>
    <d v="2024-04-02T00:00:00"/>
    <s v="YES"/>
  </r>
  <r>
    <n v="11050"/>
    <n v="6482"/>
    <x v="1"/>
    <n v="59779.18"/>
    <n v="90"/>
    <x v="0"/>
    <x v="2"/>
    <n v="151814.32999999999"/>
    <x v="0"/>
    <s v="WH-B"/>
    <n v="962"/>
    <d v="2024-02-10T00:00:00"/>
    <n v="10"/>
    <n v="91050"/>
    <x v="2"/>
    <d v="2024-03-01T00:00:00"/>
    <n v="0.81362000000000001"/>
    <n v="71050"/>
    <x v="1"/>
    <n v="93735.427119999993"/>
    <s v="pending"/>
    <d v="2024-04-10T00:00:00"/>
    <s v="Fixed"/>
    <d v="2024-04-02T00:00:00"/>
    <s v="NO"/>
  </r>
  <r>
    <n v="11051"/>
    <n v="5083"/>
    <x v="1"/>
    <n v="51809.23"/>
    <n v="29"/>
    <x v="1"/>
    <x v="2"/>
    <n v="139477.22"/>
    <x v="0"/>
    <s v="WH-B"/>
    <n v="513"/>
    <d v="2024-03-10T00:00:00"/>
    <n v="14"/>
    <n v="91051"/>
    <x v="3"/>
    <d v="2024-05-18T00:00:00"/>
    <n v="0.34571000000000002"/>
    <n v="71051"/>
    <x v="2"/>
    <n v="164357.08739999999"/>
    <s v="pending"/>
    <d v="2024-05-10T00:00:00"/>
    <s v="Variable"/>
    <d v="2024-04-02T00:00:00"/>
    <s v="NO"/>
  </r>
  <r>
    <n v="11052"/>
    <n v="6169"/>
    <x v="0"/>
    <n v="87322.22"/>
    <n v="33"/>
    <x v="0"/>
    <x v="3"/>
    <n v="87700.84"/>
    <x v="0"/>
    <s v="WH-A"/>
    <n v="499"/>
    <d v="2024-04-15T00:00:00"/>
    <n v="4"/>
    <n v="91052"/>
    <x v="1"/>
    <d v="2024-05-18T00:00:00"/>
    <n v="0.66379999999999995"/>
    <n v="71052"/>
    <x v="2"/>
    <n v="78763.296359999993"/>
    <s v="Overdue"/>
    <d v="2024-04-10T00:00:00"/>
    <s v="Variable"/>
    <d v="2024-04-02T00:00:00"/>
    <s v="YES"/>
  </r>
  <r>
    <n v="11053"/>
    <n v="6109"/>
    <x v="1"/>
    <n v="43628.3"/>
    <n v="60"/>
    <x v="3"/>
    <x v="1"/>
    <n v="85860.07"/>
    <x v="1"/>
    <s v="WH-C"/>
    <n v="1404"/>
    <d v="2024-04-15T00:00:00"/>
    <n v="4"/>
    <n v="91053"/>
    <x v="2"/>
    <d v="2024-03-01T00:00:00"/>
    <n v="0.84514"/>
    <n v="71053"/>
    <x v="2"/>
    <n v="121186.7332"/>
    <s v="pending"/>
    <d v="2024-06-01T00:00:00"/>
    <s v="Variable"/>
    <d v="2024-03-25T00:00:00"/>
    <s v="YES"/>
  </r>
  <r>
    <n v="11054"/>
    <n v="6102"/>
    <x v="1"/>
    <n v="87871.02"/>
    <n v="91"/>
    <x v="2"/>
    <x v="1"/>
    <n v="134017.74"/>
    <x v="2"/>
    <s v="WH-A"/>
    <n v="1326"/>
    <d v="2024-04-15T00:00:00"/>
    <n v="10"/>
    <n v="91054"/>
    <x v="0"/>
    <d v="2024-03-01T00:00:00"/>
    <n v="0.73670999999999998"/>
    <n v="71054"/>
    <x v="1"/>
    <n v="168689.55519000001"/>
    <s v="pending"/>
    <d v="2024-06-01T00:00:00"/>
    <s v="Fixed"/>
    <d v="2024-04-02T00:00:00"/>
    <s v="NO"/>
  </r>
  <r>
    <n v="11055"/>
    <n v="5457"/>
    <x v="1"/>
    <n v="20485.240000000002"/>
    <n v="89"/>
    <x v="3"/>
    <x v="0"/>
    <n v="163858.82999999999"/>
    <x v="2"/>
    <s v="WH-A"/>
    <n v="1358"/>
    <d v="2024-03-10T00:00:00"/>
    <n v="5"/>
    <n v="91055"/>
    <x v="2"/>
    <d v="2024-03-01T00:00:00"/>
    <n v="0.53152999999999995"/>
    <n v="71055"/>
    <x v="2"/>
    <n v="103860.8625"/>
    <s v="Paid"/>
    <d v="2024-05-10T00:00:00"/>
    <s v="Variable"/>
    <d v="2024-04-02T00:00:00"/>
    <s v="YES"/>
  </r>
  <r>
    <n v="11056"/>
    <n v="6902"/>
    <x v="1"/>
    <n v="79059.47"/>
    <n v="55"/>
    <x v="1"/>
    <x v="3"/>
    <n v="140411.76"/>
    <x v="1"/>
    <s v="WH-C"/>
    <n v="1347"/>
    <d v="2024-04-15T00:00:00"/>
    <n v="13"/>
    <n v="91056"/>
    <x v="2"/>
    <d v="2024-04-01T00:00:00"/>
    <n v="0.62614999999999998"/>
    <n v="71056"/>
    <x v="1"/>
    <n v="134728.36799999999"/>
    <s v="Overdue"/>
    <d v="2024-05-10T00:00:00"/>
    <s v="Fixed"/>
    <d v="2024-03-25T00:00:00"/>
    <s v="YES"/>
  </r>
  <r>
    <n v="11057"/>
    <n v="5001"/>
    <x v="1"/>
    <n v="99463.76"/>
    <n v="10"/>
    <x v="0"/>
    <x v="3"/>
    <n v="50648.34"/>
    <x v="1"/>
    <s v="WH-A"/>
    <n v="69"/>
    <d v="2024-02-10T00:00:00"/>
    <n v="13"/>
    <n v="91057"/>
    <x v="1"/>
    <d v="2024-05-18T00:00:00"/>
    <n v="0.98980999999999997"/>
    <n v="71057"/>
    <x v="1"/>
    <n v="168734.88378999999"/>
    <s v="pending"/>
    <d v="2024-04-10T00:00:00"/>
    <s v="Variable"/>
    <d v="2024-04-02T00:00:00"/>
    <s v="YES"/>
  </r>
  <r>
    <n v="11058"/>
    <n v="5051"/>
    <x v="1"/>
    <n v="82010.34"/>
    <n v="47"/>
    <x v="3"/>
    <x v="2"/>
    <n v="22597.05"/>
    <x v="1"/>
    <s v="WH-C"/>
    <n v="288"/>
    <d v="2024-03-10T00:00:00"/>
    <n v="3"/>
    <n v="91058"/>
    <x v="1"/>
    <d v="2024-03-01T00:00:00"/>
    <n v="0.64178999999999997"/>
    <n v="71058"/>
    <x v="1"/>
    <n v="196469.78326"/>
    <s v="Overdue"/>
    <d v="2024-05-10T00:00:00"/>
    <s v="Variable"/>
    <d v="2024-03-25T00:00:00"/>
    <s v="YES"/>
  </r>
  <r>
    <n v="11059"/>
    <n v="5685"/>
    <x v="1"/>
    <n v="21261.4"/>
    <n v="23"/>
    <x v="3"/>
    <x v="2"/>
    <n v="64252.480000000003"/>
    <x v="2"/>
    <s v="WH-A"/>
    <n v="1343"/>
    <d v="2024-02-10T00:00:00"/>
    <n v="8"/>
    <n v="91059"/>
    <x v="0"/>
    <d v="2024-05-18T00:00:00"/>
    <n v="0.80706"/>
    <n v="71059"/>
    <x v="1"/>
    <n v="153430.9148"/>
    <s v="Overdue"/>
    <d v="2024-04-10T00:00:00"/>
    <s v="Variable"/>
    <d v="2024-03-25T00:00:00"/>
    <s v="YES"/>
  </r>
  <r>
    <n v="11060"/>
    <n v="5717"/>
    <x v="1"/>
    <n v="69903.259999999995"/>
    <n v="85"/>
    <x v="0"/>
    <x v="2"/>
    <n v="141908.76"/>
    <x v="2"/>
    <s v="WH-C"/>
    <n v="467"/>
    <d v="2024-02-10T00:00:00"/>
    <n v="7"/>
    <n v="91060"/>
    <x v="3"/>
    <d v="2024-05-18T00:00:00"/>
    <n v="0.75394000000000005"/>
    <n v="71060"/>
    <x v="1"/>
    <n v="163442.14783"/>
    <s v="Paid"/>
    <d v="2024-04-10T00:00:00"/>
    <s v="Variable"/>
    <d v="2024-04-02T00:00:00"/>
    <s v="YES"/>
  </r>
  <r>
    <n v="11061"/>
    <n v="6796"/>
    <x v="0"/>
    <n v="24708.48"/>
    <n v="21"/>
    <x v="0"/>
    <x v="0"/>
    <n v="36958.959999999999"/>
    <x v="0"/>
    <s v="WH-C"/>
    <n v="1383"/>
    <d v="2024-04-15T00:00:00"/>
    <n v="5"/>
    <n v="91061"/>
    <x v="3"/>
    <d v="2024-05-18T00:00:00"/>
    <n v="0.73133999999999999"/>
    <n v="71061"/>
    <x v="0"/>
    <n v="188325.64968999999"/>
    <s v="Paid"/>
    <d v="2024-06-01T00:00:00"/>
    <s v="Variable"/>
    <d v="2024-03-25T00:00:00"/>
    <s v="YES"/>
  </r>
  <r>
    <n v="11062"/>
    <n v="6470"/>
    <x v="1"/>
    <n v="76118.070000000007"/>
    <n v="13"/>
    <x v="2"/>
    <x v="0"/>
    <n v="16504.79"/>
    <x v="0"/>
    <s v="WH-C"/>
    <n v="1104"/>
    <d v="2024-04-15T00:00:00"/>
    <n v="10"/>
    <n v="91062"/>
    <x v="2"/>
    <d v="2024-03-01T00:00:00"/>
    <n v="0.74473"/>
    <n v="71062"/>
    <x v="2"/>
    <n v="115329.80435000001"/>
    <s v="Overdue"/>
    <d v="2024-04-10T00:00:00"/>
    <s v="Fixed"/>
    <d v="2024-04-02T00:00:00"/>
    <s v="NO"/>
  </r>
  <r>
    <n v="11063"/>
    <n v="5449"/>
    <x v="0"/>
    <n v="34524.620000000003"/>
    <n v="33"/>
    <x v="3"/>
    <x v="2"/>
    <n v="77608.78"/>
    <x v="2"/>
    <s v="WH-B"/>
    <n v="1177"/>
    <d v="2024-04-15T00:00:00"/>
    <n v="3"/>
    <n v="91063"/>
    <x v="0"/>
    <d v="2024-04-01T00:00:00"/>
    <n v="0.50897000000000003"/>
    <n v="71063"/>
    <x v="1"/>
    <n v="177491.54873000001"/>
    <s v="Paid"/>
    <d v="2024-06-01T00:00:00"/>
    <s v="Variable"/>
    <d v="2024-03-25T00:00:00"/>
    <s v="YES"/>
  </r>
  <r>
    <n v="11064"/>
    <n v="5881"/>
    <x v="1"/>
    <n v="14532.88"/>
    <n v="24"/>
    <x v="3"/>
    <x v="3"/>
    <n v="124231.09"/>
    <x v="0"/>
    <s v="WH-A"/>
    <n v="235"/>
    <d v="2024-02-10T00:00:00"/>
    <n v="5"/>
    <n v="91064"/>
    <x v="3"/>
    <d v="2024-03-01T00:00:00"/>
    <n v="0.52673999999999999"/>
    <n v="71064"/>
    <x v="1"/>
    <n v="169430.51983999999"/>
    <s v="Paid"/>
    <d v="2024-04-10T00:00:00"/>
    <s v="Variable"/>
    <d v="2024-04-02T00:00:00"/>
    <s v="YES"/>
  </r>
  <r>
    <n v="11065"/>
    <n v="5488"/>
    <x v="1"/>
    <n v="41314.480000000003"/>
    <n v="11"/>
    <x v="1"/>
    <x v="0"/>
    <n v="114690.3"/>
    <x v="1"/>
    <s v="WH-B"/>
    <n v="1201"/>
    <d v="2024-03-10T00:00:00"/>
    <n v="3"/>
    <n v="91065"/>
    <x v="3"/>
    <d v="2024-05-18T00:00:00"/>
    <n v="0.52107999999999999"/>
    <n v="71065"/>
    <x v="0"/>
    <n v="111157.73555"/>
    <s v="pending"/>
    <d v="2024-04-10T00:00:00"/>
    <s v="Fixed"/>
    <d v="2024-03-25T00:00:00"/>
    <s v="YES"/>
  </r>
  <r>
    <n v="11066"/>
    <n v="6824"/>
    <x v="1"/>
    <n v="22671.71"/>
    <n v="17"/>
    <x v="2"/>
    <x v="3"/>
    <n v="102810.93"/>
    <x v="1"/>
    <s v="WH-A"/>
    <n v="1283"/>
    <d v="2024-04-15T00:00:00"/>
    <n v="10"/>
    <n v="91066"/>
    <x v="2"/>
    <d v="2024-03-01T00:00:00"/>
    <n v="0.12992999999999999"/>
    <n v="71066"/>
    <x v="1"/>
    <n v="204847.96780000001"/>
    <s v="Paid"/>
    <d v="2024-05-10T00:00:00"/>
    <s v="Variable"/>
    <d v="2024-03-25T00:00:00"/>
    <s v="YES"/>
  </r>
  <r>
    <n v="11067"/>
    <n v="5034"/>
    <x v="1"/>
    <n v="52984.160000000003"/>
    <n v="68"/>
    <x v="1"/>
    <x v="3"/>
    <n v="32414.51"/>
    <x v="0"/>
    <s v="WH-A"/>
    <n v="1487"/>
    <d v="2024-04-15T00:00:00"/>
    <n v="5"/>
    <n v="91067"/>
    <x v="0"/>
    <d v="2024-03-01T00:00:00"/>
    <n v="0.31696000000000002"/>
    <n v="71067"/>
    <x v="1"/>
    <n v="182168.20379999999"/>
    <s v="Paid"/>
    <d v="2024-05-10T00:00:00"/>
    <s v="Variable"/>
    <d v="2024-03-25T00:00:00"/>
    <s v="YES"/>
  </r>
  <r>
    <n v="11068"/>
    <n v="6372"/>
    <x v="1"/>
    <n v="56911.13"/>
    <n v="47"/>
    <x v="3"/>
    <x v="1"/>
    <n v="176266.61"/>
    <x v="2"/>
    <s v="WH-A"/>
    <n v="1354"/>
    <d v="2024-02-10T00:00:00"/>
    <n v="1"/>
    <n v="91068"/>
    <x v="3"/>
    <d v="2024-05-18T00:00:00"/>
    <n v="0.23910999999999999"/>
    <n v="71068"/>
    <x v="0"/>
    <n v="206849.58059999999"/>
    <s v="pending"/>
    <d v="2024-06-01T00:00:00"/>
    <s v="Variable"/>
    <d v="2024-03-25T00:00:00"/>
    <s v="NO"/>
  </r>
  <r>
    <n v="11069"/>
    <n v="5095"/>
    <x v="1"/>
    <n v="56427.75"/>
    <n v="25"/>
    <x v="1"/>
    <x v="2"/>
    <n v="120049.75"/>
    <x v="0"/>
    <s v="WH-B"/>
    <n v="302"/>
    <d v="2024-03-10T00:00:00"/>
    <n v="6"/>
    <n v="91069"/>
    <x v="1"/>
    <d v="2024-05-18T00:00:00"/>
    <n v="0.89780000000000004"/>
    <n v="71069"/>
    <x v="2"/>
    <n v="157187.54926999999"/>
    <s v="pending"/>
    <d v="2024-05-10T00:00:00"/>
    <s v="Variable"/>
    <d v="2024-03-25T00:00:00"/>
    <s v="YES"/>
  </r>
  <r>
    <n v="11070"/>
    <n v="6096"/>
    <x v="1"/>
    <n v="21050.959999999999"/>
    <n v="94"/>
    <x v="3"/>
    <x v="1"/>
    <n v="19711.21"/>
    <x v="0"/>
    <s v="WH-A"/>
    <n v="68"/>
    <d v="2024-02-10T00:00:00"/>
    <n v="10"/>
    <n v="91070"/>
    <x v="1"/>
    <d v="2024-03-01T00:00:00"/>
    <n v="0.34747"/>
    <n v="71070"/>
    <x v="1"/>
    <n v="51729.650500000003"/>
    <s v="Overdue"/>
    <d v="2024-04-10T00:00:00"/>
    <s v="Variable"/>
    <d v="2024-04-02T00:00:00"/>
    <s v="YES"/>
  </r>
  <r>
    <n v="11071"/>
    <n v="6575"/>
    <x v="1"/>
    <n v="12160.34"/>
    <n v="73"/>
    <x v="3"/>
    <x v="2"/>
    <n v="101033.72"/>
    <x v="0"/>
    <s v="WH-B"/>
    <n v="761"/>
    <d v="2024-04-15T00:00:00"/>
    <n v="4"/>
    <n v="91071"/>
    <x v="2"/>
    <d v="2024-03-01T00:00:00"/>
    <n v="0.22459999999999999"/>
    <n v="71071"/>
    <x v="1"/>
    <n v="159846.5834"/>
    <s v="Paid"/>
    <d v="2024-06-01T00:00:00"/>
    <s v="Variable"/>
    <d v="2024-03-25T00:00:00"/>
    <s v="NO"/>
  </r>
  <r>
    <n v="11072"/>
    <n v="5154"/>
    <x v="0"/>
    <n v="74121.13"/>
    <n v="21"/>
    <x v="1"/>
    <x v="2"/>
    <n v="145697.5"/>
    <x v="1"/>
    <s v="WH-C"/>
    <n v="1209"/>
    <d v="2024-02-10T00:00:00"/>
    <n v="4"/>
    <n v="91072"/>
    <x v="2"/>
    <d v="2024-03-01T00:00:00"/>
    <n v="0.20779"/>
    <n v="71072"/>
    <x v="2"/>
    <n v="152280.94149999999"/>
    <s v="pending"/>
    <d v="2024-06-01T00:00:00"/>
    <s v="Fixed"/>
    <d v="2024-03-25T00:00:00"/>
    <s v="YES"/>
  </r>
  <r>
    <n v="11073"/>
    <n v="5250"/>
    <x v="1"/>
    <n v="72309"/>
    <n v="84"/>
    <x v="1"/>
    <x v="3"/>
    <n v="33410.18"/>
    <x v="1"/>
    <s v="WH-A"/>
    <n v="272"/>
    <d v="2024-04-15T00:00:00"/>
    <n v="8"/>
    <n v="91073"/>
    <x v="2"/>
    <d v="2024-03-01T00:00:00"/>
    <n v="0.72999000000000003"/>
    <n v="71073"/>
    <x v="2"/>
    <n v="174996.53409999999"/>
    <s v="Paid"/>
    <d v="2024-06-01T00:00:00"/>
    <s v="Fixed"/>
    <d v="2024-03-25T00:00:00"/>
    <s v="YES"/>
  </r>
  <r>
    <n v="11074"/>
    <n v="5674"/>
    <x v="1"/>
    <n v="72376.009999999995"/>
    <n v="83"/>
    <x v="0"/>
    <x v="2"/>
    <n v="100779.33"/>
    <x v="2"/>
    <s v="WH-A"/>
    <n v="52"/>
    <d v="2024-03-10T00:00:00"/>
    <n v="2"/>
    <n v="91074"/>
    <x v="2"/>
    <d v="2024-04-01T00:00:00"/>
    <n v="0.10546999999999999"/>
    <n v="71074"/>
    <x v="0"/>
    <n v="196736.223"/>
    <s v="Overdue"/>
    <d v="2024-04-10T00:00:00"/>
    <s v="Variable"/>
    <d v="2024-03-25T00:00:00"/>
    <s v="YES"/>
  </r>
  <r>
    <n v="11075"/>
    <n v="5438"/>
    <x v="1"/>
    <n v="38911.160000000003"/>
    <n v="83"/>
    <x v="0"/>
    <x v="3"/>
    <n v="25042.31"/>
    <x v="1"/>
    <s v="WH-C"/>
    <n v="1309"/>
    <d v="2024-02-10T00:00:00"/>
    <n v="4"/>
    <n v="91075"/>
    <x v="3"/>
    <d v="2024-03-01T00:00:00"/>
    <n v="0.52417000000000002"/>
    <n v="71075"/>
    <x v="0"/>
    <n v="177086.85237000001"/>
    <s v="Paid"/>
    <d v="2024-05-10T00:00:00"/>
    <s v="Variable"/>
    <d v="2024-03-25T00:00:00"/>
    <s v="YES"/>
  </r>
  <r>
    <n v="11076"/>
    <n v="5118"/>
    <x v="1"/>
    <n v="97667.44"/>
    <n v="12"/>
    <x v="0"/>
    <x v="3"/>
    <n v="164400.51"/>
    <x v="2"/>
    <s v="WH-C"/>
    <n v="903"/>
    <d v="2024-04-15T00:00:00"/>
    <n v="2"/>
    <n v="91076"/>
    <x v="0"/>
    <d v="2024-04-01T00:00:00"/>
    <n v="0.20698"/>
    <n v="71076"/>
    <x v="0"/>
    <n v="152072.74987999999"/>
    <s v="Paid"/>
    <d v="2024-06-01T00:00:00"/>
    <s v="Variable"/>
    <d v="2024-03-25T00:00:00"/>
    <s v="YES"/>
  </r>
  <r>
    <n v="11077"/>
    <n v="5771"/>
    <x v="0"/>
    <n v="23859.57"/>
    <n v="37"/>
    <x v="3"/>
    <x v="2"/>
    <n v="41947.47"/>
    <x v="2"/>
    <s v="WH-A"/>
    <n v="277"/>
    <d v="2024-04-15T00:00:00"/>
    <n v="1"/>
    <n v="91077"/>
    <x v="2"/>
    <d v="2024-05-18T00:00:00"/>
    <n v="0.86470000000000002"/>
    <n v="71077"/>
    <x v="1"/>
    <n v="59873.792379999999"/>
    <s v="Paid"/>
    <d v="2024-04-10T00:00:00"/>
    <s v="Variable"/>
    <d v="2024-03-25T00:00:00"/>
    <s v="YES"/>
  </r>
  <r>
    <n v="11078"/>
    <n v="6915"/>
    <x v="1"/>
    <n v="54552.89"/>
    <n v="42"/>
    <x v="1"/>
    <x v="3"/>
    <n v="145105.4"/>
    <x v="2"/>
    <s v="WH-C"/>
    <n v="962"/>
    <d v="2024-04-15T00:00:00"/>
    <n v="10"/>
    <n v="91078"/>
    <x v="2"/>
    <d v="2024-04-01T00:00:00"/>
    <n v="0.96260999999999997"/>
    <n v="71078"/>
    <x v="0"/>
    <n v="62674.019350000002"/>
    <s v="pending"/>
    <d v="2024-05-10T00:00:00"/>
    <s v="Variable"/>
    <d v="2024-03-25T00:00:00"/>
    <s v="NO"/>
  </r>
  <r>
    <n v="11079"/>
    <n v="6330"/>
    <x v="1"/>
    <n v="56380.44"/>
    <n v="17"/>
    <x v="2"/>
    <x v="3"/>
    <n v="74937.279999999999"/>
    <x v="1"/>
    <s v="WH-B"/>
    <n v="548"/>
    <d v="2024-04-15T00:00:00"/>
    <n v="13"/>
    <n v="91079"/>
    <x v="3"/>
    <d v="2024-05-18T00:00:00"/>
    <n v="0.96287999999999996"/>
    <n v="71079"/>
    <x v="1"/>
    <n v="177952.16930000001"/>
    <s v="pending"/>
    <d v="2024-05-10T00:00:00"/>
    <s v="Fixed"/>
    <d v="2024-04-02T00:00:00"/>
    <s v="YES"/>
  </r>
  <r>
    <n v="11080"/>
    <n v="5268"/>
    <x v="0"/>
    <n v="24985.439999999999"/>
    <n v="48"/>
    <x v="3"/>
    <x v="3"/>
    <n v="97323.76"/>
    <x v="1"/>
    <s v="WH-B"/>
    <n v="570"/>
    <d v="2024-02-10T00:00:00"/>
    <n v="13"/>
    <n v="91080"/>
    <x v="2"/>
    <d v="2024-04-01T00:00:00"/>
    <n v="0.49776999999999999"/>
    <n v="71080"/>
    <x v="1"/>
    <n v="92304.724400000006"/>
    <s v="Overdue"/>
    <d v="2024-06-01T00:00:00"/>
    <s v="Fixed"/>
    <d v="2024-03-25T00:00:00"/>
    <s v="NO"/>
  </r>
  <r>
    <n v="11081"/>
    <n v="6985"/>
    <x v="1"/>
    <n v="40793.85"/>
    <n v="28"/>
    <x v="2"/>
    <x v="0"/>
    <n v="50823.040000000001"/>
    <x v="2"/>
    <s v="WH-A"/>
    <n v="751"/>
    <d v="2024-04-15T00:00:00"/>
    <n v="3"/>
    <n v="91081"/>
    <x v="2"/>
    <d v="2024-05-18T00:00:00"/>
    <n v="0.68006"/>
    <n v="71081"/>
    <x v="2"/>
    <n v="196837.34426000001"/>
    <s v="Paid"/>
    <d v="2024-04-10T00:00:00"/>
    <s v="Variable"/>
    <d v="2024-04-02T00:00:00"/>
    <s v="YES"/>
  </r>
  <r>
    <n v="11082"/>
    <n v="6078"/>
    <x v="1"/>
    <n v="49791.45"/>
    <n v="41"/>
    <x v="1"/>
    <x v="3"/>
    <n v="40108.81"/>
    <x v="1"/>
    <s v="WH-B"/>
    <n v="966"/>
    <d v="2024-02-10T00:00:00"/>
    <n v="12"/>
    <n v="91082"/>
    <x v="0"/>
    <d v="2024-03-01T00:00:00"/>
    <n v="0.63973000000000002"/>
    <n v="71082"/>
    <x v="2"/>
    <n v="176251.34419999999"/>
    <s v="Overdue"/>
    <d v="2024-05-10T00:00:00"/>
    <s v="Variable"/>
    <d v="2024-04-02T00:00:00"/>
    <s v="YES"/>
  </r>
  <r>
    <n v="11083"/>
    <n v="5236"/>
    <x v="1"/>
    <n v="18280.72"/>
    <n v="99"/>
    <x v="3"/>
    <x v="0"/>
    <n v="147852.93"/>
    <x v="1"/>
    <s v="WH-B"/>
    <n v="1212"/>
    <d v="2024-04-15T00:00:00"/>
    <n v="8"/>
    <n v="91083"/>
    <x v="1"/>
    <d v="2024-04-01T00:00:00"/>
    <n v="0.41504000000000002"/>
    <n v="71083"/>
    <x v="1"/>
    <n v="168344.41248"/>
    <s v="Overdue"/>
    <d v="2024-04-10T00:00:00"/>
    <s v="Variable"/>
    <d v="2024-04-02T00:00:00"/>
    <s v="NO"/>
  </r>
  <r>
    <n v="11084"/>
    <n v="5389"/>
    <x v="0"/>
    <n v="16018.43"/>
    <n v="47"/>
    <x v="2"/>
    <x v="0"/>
    <n v="41928.71"/>
    <x v="0"/>
    <s v="WH-A"/>
    <n v="1349"/>
    <d v="2024-02-10T00:00:00"/>
    <n v="6"/>
    <n v="91084"/>
    <x v="2"/>
    <d v="2024-04-01T00:00:00"/>
    <n v="0.49965999999999999"/>
    <n v="71084"/>
    <x v="0"/>
    <n v="140609.1796"/>
    <s v="pending"/>
    <d v="2024-05-10T00:00:00"/>
    <s v="Fixed"/>
    <d v="2024-03-25T00:00:00"/>
    <s v="YES"/>
  </r>
  <r>
    <n v="11085"/>
    <n v="5990"/>
    <x v="1"/>
    <n v="65786.66"/>
    <n v="18"/>
    <x v="2"/>
    <x v="3"/>
    <n v="131165.10999999999"/>
    <x v="1"/>
    <s v="WH-C"/>
    <n v="340"/>
    <d v="2024-02-10T00:00:00"/>
    <n v="12"/>
    <n v="91085"/>
    <x v="3"/>
    <d v="2024-05-18T00:00:00"/>
    <n v="0.15789"/>
    <n v="71085"/>
    <x v="1"/>
    <n v="170318.46419999999"/>
    <s v="Paid"/>
    <d v="2024-06-01T00:00:00"/>
    <s v="Variable"/>
    <d v="2024-03-25T00:00:00"/>
    <s v="YES"/>
  </r>
  <r>
    <n v="11086"/>
    <n v="6758"/>
    <x v="1"/>
    <n v="43309.1"/>
    <n v="78"/>
    <x v="0"/>
    <x v="3"/>
    <n v="93530.83"/>
    <x v="1"/>
    <s v="WH-A"/>
    <n v="1126"/>
    <d v="2024-04-15T00:00:00"/>
    <n v="7"/>
    <n v="91086"/>
    <x v="0"/>
    <d v="2024-05-18T00:00:00"/>
    <n v="0.81613000000000002"/>
    <n v="71086"/>
    <x v="1"/>
    <n v="200488.6684"/>
    <s v="Paid"/>
    <d v="2024-06-01T00:00:00"/>
    <s v="Variable"/>
    <d v="2024-03-25T00:00:00"/>
    <s v="YES"/>
  </r>
  <r>
    <n v="11087"/>
    <n v="5763"/>
    <x v="1"/>
    <n v="24384.29"/>
    <n v="99"/>
    <x v="0"/>
    <x v="0"/>
    <n v="57108.74"/>
    <x v="0"/>
    <s v="WH-B"/>
    <n v="1183"/>
    <d v="2024-04-15T00:00:00"/>
    <n v="2"/>
    <n v="91087"/>
    <x v="3"/>
    <d v="2024-04-01T00:00:00"/>
    <n v="0.31672"/>
    <n v="71087"/>
    <x v="1"/>
    <n v="98382.247300000003"/>
    <s v="Overdue"/>
    <d v="2024-05-10T00:00:00"/>
    <s v="Variable"/>
    <d v="2024-04-02T00:00:00"/>
    <s v="YES"/>
  </r>
  <r>
    <n v="11088"/>
    <n v="6849"/>
    <x v="1"/>
    <n v="40084.449999999997"/>
    <n v="71"/>
    <x v="0"/>
    <x v="0"/>
    <n v="11253.84"/>
    <x v="0"/>
    <s v="WH-A"/>
    <n v="764"/>
    <d v="2024-04-15T00:00:00"/>
    <n v="6"/>
    <n v="91088"/>
    <x v="0"/>
    <d v="2024-05-18T00:00:00"/>
    <n v="0.51446999999999998"/>
    <n v="71088"/>
    <x v="2"/>
    <n v="111969.93459999999"/>
    <s v="Paid"/>
    <d v="2024-04-10T00:00:00"/>
    <s v="Variable"/>
    <d v="2024-04-02T00:00:00"/>
    <s v="NO"/>
  </r>
  <r>
    <n v="11089"/>
    <n v="5401"/>
    <x v="1"/>
    <n v="49059.93"/>
    <n v="13"/>
    <x v="3"/>
    <x v="3"/>
    <n v="26320.35"/>
    <x v="1"/>
    <s v="WH-A"/>
    <n v="997"/>
    <d v="2024-04-15T00:00:00"/>
    <n v="14"/>
    <n v="91089"/>
    <x v="0"/>
    <d v="2024-03-01T00:00:00"/>
    <n v="0.53256000000000003"/>
    <n v="71089"/>
    <x v="0"/>
    <n v="182021.54985000001"/>
    <s v="pending"/>
    <d v="2024-05-10T00:00:00"/>
    <s v="Variable"/>
    <d v="2024-04-02T00:00:00"/>
    <s v="NO"/>
  </r>
  <r>
    <n v="11090"/>
    <n v="5624"/>
    <x v="1"/>
    <n v="45090.89"/>
    <n v="82"/>
    <x v="1"/>
    <x v="3"/>
    <n v="112843.14"/>
    <x v="2"/>
    <s v="WH-B"/>
    <n v="697"/>
    <d v="2024-03-10T00:00:00"/>
    <n v="8"/>
    <n v="91090"/>
    <x v="2"/>
    <d v="2024-04-01T00:00:00"/>
    <n v="0.60463999999999996"/>
    <n v="71090"/>
    <x v="1"/>
    <n v="114600.20934"/>
    <s v="Overdue"/>
    <d v="2024-04-10T00:00:00"/>
    <s v="Fixed"/>
    <d v="2024-03-25T00:00:00"/>
    <s v="YES"/>
  </r>
  <r>
    <n v="11091"/>
    <n v="5767"/>
    <x v="1"/>
    <n v="19584"/>
    <n v="13"/>
    <x v="1"/>
    <x v="2"/>
    <n v="102841.22"/>
    <x v="1"/>
    <s v="WH-B"/>
    <n v="1077"/>
    <d v="2024-04-15T00:00:00"/>
    <n v="8"/>
    <n v="91091"/>
    <x v="2"/>
    <d v="2024-03-01T00:00:00"/>
    <n v="0.83609"/>
    <n v="71091"/>
    <x v="1"/>
    <n v="82109.132800000007"/>
    <s v="Overdue"/>
    <d v="2024-05-10T00:00:00"/>
    <s v="Variable"/>
    <d v="2024-04-02T00:00:00"/>
    <s v="NO"/>
  </r>
  <r>
    <n v="11092"/>
    <n v="6327"/>
    <x v="1"/>
    <n v="9261.7800000000007"/>
    <n v="31"/>
    <x v="0"/>
    <x v="0"/>
    <n v="44334.96"/>
    <x v="2"/>
    <s v="WH-A"/>
    <n v="733"/>
    <d v="2024-04-15T00:00:00"/>
    <n v="4"/>
    <n v="91092"/>
    <x v="2"/>
    <d v="2024-04-01T00:00:00"/>
    <n v="0.72269000000000005"/>
    <n v="71092"/>
    <x v="1"/>
    <n v="84221.442800000004"/>
    <s v="pending"/>
    <d v="2024-06-01T00:00:00"/>
    <s v="Variable"/>
    <d v="2024-03-25T00:00:00"/>
    <s v="YES"/>
  </r>
  <r>
    <n v="11093"/>
    <n v="5919"/>
    <x v="1"/>
    <n v="12008.27"/>
    <n v="2"/>
    <x v="0"/>
    <x v="0"/>
    <n v="32232.45"/>
    <x v="2"/>
    <s v="WH-B"/>
    <n v="919"/>
    <d v="2024-04-15T00:00:00"/>
    <n v="6"/>
    <n v="91093"/>
    <x v="1"/>
    <d v="2024-03-01T00:00:00"/>
    <n v="0.69676000000000005"/>
    <n v="71093"/>
    <x v="1"/>
    <n v="172768.83631000001"/>
    <s v="pending"/>
    <d v="2024-04-10T00:00:00"/>
    <s v="Variable"/>
    <d v="2024-03-25T00:00:00"/>
    <s v="NO"/>
  </r>
  <r>
    <n v="11094"/>
    <n v="6231"/>
    <x v="1"/>
    <n v="15561.24"/>
    <n v="16"/>
    <x v="0"/>
    <x v="2"/>
    <n v="62657.64"/>
    <x v="0"/>
    <s v="WH-B"/>
    <n v="1120"/>
    <d v="2024-02-10T00:00:00"/>
    <n v="14"/>
    <n v="91094"/>
    <x v="1"/>
    <d v="2024-04-01T00:00:00"/>
    <n v="0.57406999999999997"/>
    <n v="71094"/>
    <x v="1"/>
    <n v="112478.67166000001"/>
    <s v="pending"/>
    <d v="2024-06-01T00:00:00"/>
    <s v="Variable"/>
    <d v="2024-03-25T00:00:00"/>
    <s v="NO"/>
  </r>
  <r>
    <n v="11095"/>
    <n v="6253"/>
    <x v="1"/>
    <n v="28701.31"/>
    <n v="9"/>
    <x v="2"/>
    <x v="0"/>
    <n v="118436.3"/>
    <x v="2"/>
    <s v="WH-B"/>
    <n v="143"/>
    <d v="2024-04-15T00:00:00"/>
    <n v="5"/>
    <n v="91095"/>
    <x v="3"/>
    <d v="2024-05-18T00:00:00"/>
    <n v="0.18636"/>
    <n v="71095"/>
    <x v="1"/>
    <n v="86920.045150000005"/>
    <s v="pending"/>
    <d v="2024-04-10T00:00:00"/>
    <s v="Fixed"/>
    <d v="2024-04-02T00:00:00"/>
    <s v="YES"/>
  </r>
  <r>
    <n v="11096"/>
    <n v="5853"/>
    <x v="1"/>
    <n v="19246.23"/>
    <n v="73"/>
    <x v="0"/>
    <x v="1"/>
    <n v="32216.65"/>
    <x v="1"/>
    <s v="WH-B"/>
    <n v="989"/>
    <d v="2024-02-10T00:00:00"/>
    <n v="9"/>
    <n v="91096"/>
    <x v="2"/>
    <d v="2024-04-01T00:00:00"/>
    <n v="0.46181"/>
    <n v="71096"/>
    <x v="1"/>
    <n v="68577.248999999996"/>
    <s v="pending"/>
    <d v="2024-05-10T00:00:00"/>
    <s v="Variable"/>
    <d v="2024-04-02T00:00:00"/>
    <s v="YES"/>
  </r>
  <r>
    <n v="11097"/>
    <n v="6934"/>
    <x v="0"/>
    <n v="10277.15"/>
    <n v="38"/>
    <x v="2"/>
    <x v="0"/>
    <n v="103918.77"/>
    <x v="0"/>
    <s v="WH-B"/>
    <n v="609"/>
    <d v="2024-02-10T00:00:00"/>
    <n v="8"/>
    <n v="91097"/>
    <x v="1"/>
    <d v="2024-03-01T00:00:00"/>
    <n v="0.96158999999999994"/>
    <n v="71097"/>
    <x v="1"/>
    <n v="140594.07699999999"/>
    <s v="pending"/>
    <d v="2024-06-01T00:00:00"/>
    <s v="Variable"/>
    <d v="2024-04-02T00:00:00"/>
    <s v="YES"/>
  </r>
  <r>
    <n v="11098"/>
    <n v="5578"/>
    <x v="0"/>
    <n v="46060.51"/>
    <n v="75"/>
    <x v="1"/>
    <x v="2"/>
    <n v="14024.89"/>
    <x v="2"/>
    <s v="WH-B"/>
    <n v="262"/>
    <d v="2024-02-10T00:00:00"/>
    <n v="2"/>
    <n v="91098"/>
    <x v="2"/>
    <d v="2024-04-01T00:00:00"/>
    <n v="0.99599000000000004"/>
    <n v="71098"/>
    <x v="1"/>
    <n v="92766.613599999997"/>
    <s v="Overdue"/>
    <d v="2024-06-01T00:00:00"/>
    <s v="Fixed"/>
    <d v="2024-03-25T00:00:00"/>
    <s v="YES"/>
  </r>
  <r>
    <n v="11099"/>
    <n v="5075"/>
    <x v="0"/>
    <n v="84195.78"/>
    <n v="54"/>
    <x v="3"/>
    <x v="1"/>
    <n v="149305.81"/>
    <x v="0"/>
    <s v="WH-C"/>
    <n v="485"/>
    <d v="2024-02-10T00:00:00"/>
    <n v="12"/>
    <n v="91099"/>
    <x v="1"/>
    <d v="2024-03-01T00:00:00"/>
    <n v="0.75744999999999996"/>
    <n v="71099"/>
    <x v="1"/>
    <n v="62661.490949999999"/>
    <s v="Paid"/>
    <d v="2024-04-10T00:00:00"/>
    <s v="Variable"/>
    <d v="2024-04-02T00:00:00"/>
    <s v="YES"/>
  </r>
  <r>
    <n v="11100"/>
    <n v="5435"/>
    <x v="1"/>
    <n v="20171.7"/>
    <n v="56"/>
    <x v="3"/>
    <x v="3"/>
    <n v="159376.25"/>
    <x v="1"/>
    <s v="WH-A"/>
    <n v="901"/>
    <d v="2024-03-10T00:00:00"/>
    <n v="13"/>
    <n v="91100"/>
    <x v="1"/>
    <d v="2024-03-01T00:00:00"/>
    <n v="0.30475999999999998"/>
    <n v="71100"/>
    <x v="1"/>
    <n v="112849.58379999999"/>
    <s v="Paid"/>
    <d v="2024-04-10T00:00:00"/>
    <s v="Variable"/>
    <d v="2024-03-25T00:00:00"/>
    <s v="YES"/>
  </r>
  <r>
    <n v="11101"/>
    <n v="5103"/>
    <x v="1"/>
    <n v="70622.399999999994"/>
    <n v="86"/>
    <x v="3"/>
    <x v="2"/>
    <n v="146605.35"/>
    <x v="1"/>
    <s v="WH-B"/>
    <n v="557"/>
    <d v="2024-04-15T00:00:00"/>
    <n v="7"/>
    <n v="91101"/>
    <x v="0"/>
    <d v="2024-03-01T00:00:00"/>
    <n v="0.19170000000000001"/>
    <n v="71101"/>
    <x v="0"/>
    <n v="126445.70496"/>
    <s v="Overdue"/>
    <d v="2024-04-10T00:00:00"/>
    <s v="Variable"/>
    <d v="2024-04-02T00:00:00"/>
    <s v="NO"/>
  </r>
  <r>
    <n v="11102"/>
    <n v="6446"/>
    <x v="1"/>
    <n v="41676.18"/>
    <n v="97"/>
    <x v="3"/>
    <x v="2"/>
    <n v="37616.43"/>
    <x v="2"/>
    <s v="WH-A"/>
    <n v="885"/>
    <d v="2024-02-10T00:00:00"/>
    <n v="7"/>
    <n v="91102"/>
    <x v="2"/>
    <d v="2024-05-18T00:00:00"/>
    <n v="0.47328999999999999"/>
    <n v="71102"/>
    <x v="1"/>
    <n v="159202.9883"/>
    <s v="Paid"/>
    <d v="2024-06-01T00:00:00"/>
    <s v="Variable"/>
    <d v="2024-03-25T00:00:00"/>
    <s v="YES"/>
  </r>
  <r>
    <n v="11103"/>
    <n v="6728"/>
    <x v="1"/>
    <n v="19394.39"/>
    <n v="87"/>
    <x v="2"/>
    <x v="3"/>
    <n v="77001.78"/>
    <x v="0"/>
    <s v="WH-C"/>
    <n v="700"/>
    <d v="2024-04-15T00:00:00"/>
    <n v="11"/>
    <n v="91103"/>
    <x v="2"/>
    <d v="2024-04-01T00:00:00"/>
    <n v="0.87090999999999996"/>
    <n v="71103"/>
    <x v="1"/>
    <n v="162846.39019999999"/>
    <s v="Paid"/>
    <d v="2024-05-10T00:00:00"/>
    <s v="Fixed"/>
    <d v="2024-03-25T00:00:00"/>
    <s v="NO"/>
  </r>
  <r>
    <n v="11104"/>
    <n v="5764"/>
    <x v="1"/>
    <n v="57409.120000000003"/>
    <n v="45"/>
    <x v="2"/>
    <x v="2"/>
    <n v="81075.009999999995"/>
    <x v="2"/>
    <s v="WH-B"/>
    <n v="254"/>
    <d v="2024-02-10T00:00:00"/>
    <n v="14"/>
    <n v="91104"/>
    <x v="1"/>
    <d v="2024-03-01T00:00:00"/>
    <n v="0.74968000000000001"/>
    <n v="71104"/>
    <x v="1"/>
    <n v="83887.508300000001"/>
    <s v="Overdue"/>
    <d v="2024-04-10T00:00:00"/>
    <s v="Variable"/>
    <d v="2024-03-25T00:00:00"/>
    <s v="YES"/>
  </r>
  <r>
    <n v="11105"/>
    <n v="5738"/>
    <x v="1"/>
    <n v="67959.789999999994"/>
    <n v="34"/>
    <x v="0"/>
    <x v="0"/>
    <n v="119740.34"/>
    <x v="2"/>
    <s v="WH-A"/>
    <n v="430"/>
    <d v="2024-03-10T00:00:00"/>
    <n v="14"/>
    <n v="91105"/>
    <x v="2"/>
    <d v="2024-05-18T00:00:00"/>
    <n v="0.89549999999999996"/>
    <n v="71105"/>
    <x v="0"/>
    <n v="100680.8067"/>
    <s v="Paid"/>
    <d v="2024-05-10T00:00:00"/>
    <s v="Variable"/>
    <d v="2024-03-25T00:00:00"/>
    <s v="YES"/>
  </r>
  <r>
    <n v="11106"/>
    <n v="5806"/>
    <x v="1"/>
    <n v="79411.67"/>
    <n v="9"/>
    <x v="2"/>
    <x v="3"/>
    <n v="30145.16"/>
    <x v="0"/>
    <s v="WH-B"/>
    <n v="1146"/>
    <d v="2024-02-10T00:00:00"/>
    <n v="12"/>
    <n v="91106"/>
    <x v="1"/>
    <d v="2024-03-01T00:00:00"/>
    <n v="0.6542"/>
    <n v="71106"/>
    <x v="2"/>
    <n v="146934.64589000001"/>
    <s v="Paid"/>
    <d v="2024-04-10T00:00:00"/>
    <s v="Variable"/>
    <d v="2024-04-02T00:00:00"/>
    <s v="NO"/>
  </r>
  <r>
    <n v="11107"/>
    <n v="6330"/>
    <x v="1"/>
    <n v="11423.93"/>
    <n v="88"/>
    <x v="0"/>
    <x v="2"/>
    <n v="122046.61"/>
    <x v="2"/>
    <s v="WH-B"/>
    <n v="1149"/>
    <d v="2024-04-15T00:00:00"/>
    <n v="1"/>
    <n v="91107"/>
    <x v="2"/>
    <d v="2024-04-01T00:00:00"/>
    <n v="0.21729999999999999"/>
    <n v="71107"/>
    <x v="0"/>
    <n v="190694.84187999999"/>
    <s v="Overdue"/>
    <d v="2024-05-10T00:00:00"/>
    <s v="Fixed"/>
    <d v="2024-03-25T00:00:00"/>
    <s v="NO"/>
  </r>
  <r>
    <n v="11108"/>
    <n v="5098"/>
    <x v="0"/>
    <n v="70489.67"/>
    <n v="8"/>
    <x v="0"/>
    <x v="3"/>
    <n v="59817.05"/>
    <x v="1"/>
    <s v="WH-B"/>
    <n v="126"/>
    <d v="2024-04-15T00:00:00"/>
    <n v="1"/>
    <n v="91108"/>
    <x v="0"/>
    <d v="2024-05-18T00:00:00"/>
    <n v="0.20332"/>
    <n v="71108"/>
    <x v="0"/>
    <n v="180085.17997"/>
    <s v="Paid"/>
    <d v="2024-04-10T00:00:00"/>
    <s v="Variable"/>
    <d v="2024-03-25T00:00:00"/>
    <s v="NO"/>
  </r>
  <r>
    <n v="11109"/>
    <n v="6874"/>
    <x v="1"/>
    <n v="72771.520000000004"/>
    <n v="7"/>
    <x v="3"/>
    <x v="3"/>
    <n v="42179.1"/>
    <x v="0"/>
    <s v="WH-B"/>
    <n v="865"/>
    <d v="2024-03-10T00:00:00"/>
    <n v="12"/>
    <n v="91109"/>
    <x v="2"/>
    <d v="2024-03-01T00:00:00"/>
    <n v="0.14319999999999999"/>
    <n v="71109"/>
    <x v="1"/>
    <n v="132269.85939999999"/>
    <s v="pending"/>
    <d v="2024-05-10T00:00:00"/>
    <s v="Variable"/>
    <d v="2024-03-25T00:00:00"/>
    <s v="YES"/>
  </r>
  <r>
    <n v="11110"/>
    <n v="5798"/>
    <x v="1"/>
    <n v="59045.98"/>
    <n v="36"/>
    <x v="2"/>
    <x v="3"/>
    <n v="30833.93"/>
    <x v="0"/>
    <s v="WH-B"/>
    <n v="817"/>
    <d v="2024-04-15T00:00:00"/>
    <n v="4"/>
    <n v="91110"/>
    <x v="0"/>
    <d v="2024-03-01T00:00:00"/>
    <n v="0.61036999999999997"/>
    <n v="71110"/>
    <x v="1"/>
    <n v="217071.79519999999"/>
    <s v="Overdue"/>
    <d v="2024-06-01T00:00:00"/>
    <s v="Fixed"/>
    <d v="2024-04-02T00:00:00"/>
    <s v="NO"/>
  </r>
  <r>
    <n v="11111"/>
    <n v="6359"/>
    <x v="0"/>
    <n v="26543.73"/>
    <n v="18"/>
    <x v="2"/>
    <x v="1"/>
    <n v="14516.25"/>
    <x v="0"/>
    <s v="WH-B"/>
    <n v="459"/>
    <d v="2024-04-15T00:00:00"/>
    <n v="5"/>
    <n v="91111"/>
    <x v="3"/>
    <d v="2024-03-01T00:00:00"/>
    <n v="0.31859999999999999"/>
    <n v="71111"/>
    <x v="1"/>
    <n v="177683.92480000001"/>
    <s v="Paid"/>
    <d v="2024-04-10T00:00:00"/>
    <s v="Fixed"/>
    <d v="2024-03-25T00:00:00"/>
    <s v="NO"/>
  </r>
  <r>
    <n v="11112"/>
    <n v="5859"/>
    <x v="1"/>
    <n v="69082.64"/>
    <n v="3"/>
    <x v="0"/>
    <x v="2"/>
    <n v="21018.76"/>
    <x v="0"/>
    <s v="WH-B"/>
    <n v="155"/>
    <d v="2024-02-10T00:00:00"/>
    <n v="4"/>
    <n v="91112"/>
    <x v="2"/>
    <d v="2024-04-01T00:00:00"/>
    <n v="0.76095000000000002"/>
    <n v="71112"/>
    <x v="2"/>
    <n v="171924.94951999999"/>
    <s v="Paid"/>
    <d v="2024-04-10T00:00:00"/>
    <s v="Variable"/>
    <d v="2024-04-02T00:00:00"/>
    <s v="NO"/>
  </r>
  <r>
    <n v="11113"/>
    <n v="5435"/>
    <x v="1"/>
    <n v="68570.289999999994"/>
    <n v="28"/>
    <x v="0"/>
    <x v="1"/>
    <n v="62093.85"/>
    <x v="2"/>
    <s v="WH-C"/>
    <n v="600"/>
    <d v="2024-04-15T00:00:00"/>
    <n v="7"/>
    <n v="91113"/>
    <x v="2"/>
    <d v="2024-05-18T00:00:00"/>
    <n v="0.71762000000000004"/>
    <n v="71113"/>
    <x v="2"/>
    <n v="171550.32759999999"/>
    <s v="pending"/>
    <d v="2024-06-01T00:00:00"/>
    <s v="Variable"/>
    <d v="2024-03-25T00:00:00"/>
    <s v="YES"/>
  </r>
  <r>
    <n v="11114"/>
    <n v="5447"/>
    <x v="1"/>
    <n v="73828.19"/>
    <n v="70"/>
    <x v="1"/>
    <x v="2"/>
    <n v="28168.57"/>
    <x v="2"/>
    <s v="WH-C"/>
    <n v="875"/>
    <d v="2024-02-10T00:00:00"/>
    <n v="3"/>
    <n v="91114"/>
    <x v="2"/>
    <d v="2024-05-18T00:00:00"/>
    <n v="0.38629999999999998"/>
    <n v="71114"/>
    <x v="2"/>
    <n v="198650.88380000001"/>
    <s v="Overdue"/>
    <d v="2024-04-10T00:00:00"/>
    <s v="Variable"/>
    <d v="2024-03-25T00:00:00"/>
    <s v="NO"/>
  </r>
  <r>
    <n v="11115"/>
    <n v="6332"/>
    <x v="1"/>
    <n v="11994.43"/>
    <n v="44"/>
    <x v="1"/>
    <x v="0"/>
    <n v="78519"/>
    <x v="1"/>
    <s v="WH-B"/>
    <n v="1348"/>
    <d v="2024-03-10T00:00:00"/>
    <n v="7"/>
    <n v="91115"/>
    <x v="0"/>
    <d v="2024-05-18T00:00:00"/>
    <n v="0.25912000000000002"/>
    <n v="71115"/>
    <x v="2"/>
    <n v="63649.097520000003"/>
    <s v="Overdue"/>
    <d v="2024-04-10T00:00:00"/>
    <s v="Variable"/>
    <d v="2024-03-25T00:00:00"/>
    <s v="NO"/>
  </r>
  <r>
    <n v="11116"/>
    <n v="5249"/>
    <x v="0"/>
    <n v="56360.66"/>
    <n v="21"/>
    <x v="0"/>
    <x v="0"/>
    <n v="30890.97"/>
    <x v="1"/>
    <s v="WH-B"/>
    <n v="137"/>
    <d v="2024-04-15T00:00:00"/>
    <n v="13"/>
    <n v="91116"/>
    <x v="2"/>
    <d v="2024-03-01T00:00:00"/>
    <n v="0.19216"/>
    <n v="71116"/>
    <x v="0"/>
    <n v="84309.150389999995"/>
    <s v="Paid"/>
    <d v="2024-06-01T00:00:00"/>
    <s v="Variable"/>
    <d v="2024-03-25T00:00:00"/>
    <s v="NO"/>
  </r>
  <r>
    <n v="11117"/>
    <n v="5166"/>
    <x v="1"/>
    <n v="17929.54"/>
    <n v="28"/>
    <x v="1"/>
    <x v="0"/>
    <n v="29905.84"/>
    <x v="1"/>
    <s v="WH-C"/>
    <n v="930"/>
    <d v="2024-02-10T00:00:00"/>
    <n v="8"/>
    <n v="91117"/>
    <x v="2"/>
    <d v="2024-05-18T00:00:00"/>
    <n v="0.76358000000000004"/>
    <n v="71117"/>
    <x v="0"/>
    <n v="66002.879249999998"/>
    <s v="pending"/>
    <d v="2024-06-01T00:00:00"/>
    <s v="Variable"/>
    <d v="2024-03-25T00:00:00"/>
    <s v="YES"/>
  </r>
  <r>
    <n v="11118"/>
    <n v="6505"/>
    <x v="1"/>
    <n v="16899.990000000002"/>
    <n v="54"/>
    <x v="1"/>
    <x v="2"/>
    <n v="100502.74"/>
    <x v="1"/>
    <s v="WH-C"/>
    <n v="1150"/>
    <d v="2024-04-15T00:00:00"/>
    <n v="6"/>
    <n v="91118"/>
    <x v="1"/>
    <d v="2024-03-01T00:00:00"/>
    <n v="0.50539999999999996"/>
    <n v="71118"/>
    <x v="1"/>
    <n v="139756.74742999999"/>
    <s v="pending"/>
    <d v="2024-05-10T00:00:00"/>
    <s v="Fixed"/>
    <d v="2024-04-02T00:00:00"/>
    <s v="YES"/>
  </r>
  <r>
    <n v="11119"/>
    <n v="5984"/>
    <x v="1"/>
    <n v="90154.34"/>
    <n v="54"/>
    <x v="0"/>
    <x v="3"/>
    <n v="30549.88"/>
    <x v="1"/>
    <s v="WH-C"/>
    <n v="1150"/>
    <d v="2024-02-10T00:00:00"/>
    <n v="6"/>
    <n v="91119"/>
    <x v="3"/>
    <d v="2024-04-01T00:00:00"/>
    <n v="0.39118000000000003"/>
    <n v="71119"/>
    <x v="0"/>
    <n v="128046.74227"/>
    <s v="pending"/>
    <d v="2024-06-01T00:00:00"/>
    <s v="Fixed"/>
    <d v="2024-03-25T00:00:00"/>
    <s v="NO"/>
  </r>
  <r>
    <n v="11120"/>
    <n v="6359"/>
    <x v="0"/>
    <n v="26229.37"/>
    <n v="65"/>
    <x v="0"/>
    <x v="3"/>
    <n v="49948.77"/>
    <x v="1"/>
    <s v="WH-B"/>
    <n v="589"/>
    <d v="2024-03-10T00:00:00"/>
    <n v="8"/>
    <n v="91120"/>
    <x v="0"/>
    <d v="2024-05-18T00:00:00"/>
    <n v="0.87099000000000004"/>
    <n v="71120"/>
    <x v="1"/>
    <n v="172585.57581000001"/>
    <s v="pending"/>
    <d v="2024-06-01T00:00:00"/>
    <s v="Fixed"/>
    <d v="2024-04-02T00:00:00"/>
    <s v="NO"/>
  </r>
  <r>
    <n v="11121"/>
    <n v="6020"/>
    <x v="1"/>
    <n v="12091.63"/>
    <n v="21"/>
    <x v="2"/>
    <x v="1"/>
    <n v="38446.74"/>
    <x v="2"/>
    <s v="WH-A"/>
    <n v="294"/>
    <d v="2024-02-10T00:00:00"/>
    <n v="8"/>
    <n v="91121"/>
    <x v="1"/>
    <d v="2024-03-01T00:00:00"/>
    <n v="0.63424999999999998"/>
    <n v="71121"/>
    <x v="1"/>
    <n v="167048.44860999999"/>
    <s v="pending"/>
    <d v="2024-04-10T00:00:00"/>
    <s v="Fixed"/>
    <d v="2024-04-02T00:00:00"/>
    <s v="NO"/>
  </r>
  <r>
    <n v="11122"/>
    <n v="5542"/>
    <x v="1"/>
    <n v="55303.49"/>
    <n v="99"/>
    <x v="0"/>
    <x v="1"/>
    <n v="106174.71"/>
    <x v="0"/>
    <s v="WH-A"/>
    <n v="627"/>
    <d v="2024-04-15T00:00:00"/>
    <n v="7"/>
    <n v="91122"/>
    <x v="0"/>
    <d v="2024-05-18T00:00:00"/>
    <n v="0.56620000000000004"/>
    <n v="71122"/>
    <x v="1"/>
    <n v="91121.882500000007"/>
    <s v="pending"/>
    <d v="2024-06-01T00:00:00"/>
    <s v="Variable"/>
    <d v="2024-03-25T00:00:00"/>
    <s v="NO"/>
  </r>
  <r>
    <n v="11123"/>
    <n v="5759"/>
    <x v="1"/>
    <n v="69390.38"/>
    <n v="13"/>
    <x v="0"/>
    <x v="0"/>
    <n v="75922.05"/>
    <x v="0"/>
    <s v="WH-A"/>
    <n v="1455"/>
    <d v="2024-02-10T00:00:00"/>
    <n v="6"/>
    <n v="91123"/>
    <x v="1"/>
    <d v="2024-05-18T00:00:00"/>
    <n v="0.76903999999999995"/>
    <n v="71123"/>
    <x v="1"/>
    <n v="175645.01396000001"/>
    <s v="Overdue"/>
    <d v="2024-04-10T00:00:00"/>
    <s v="Fixed"/>
    <d v="2024-03-25T00:00:00"/>
    <s v="YES"/>
  </r>
  <r>
    <n v="11124"/>
    <n v="6130"/>
    <x v="0"/>
    <n v="82533.25"/>
    <n v="57"/>
    <x v="3"/>
    <x v="1"/>
    <n v="20244.7"/>
    <x v="2"/>
    <s v="WH-A"/>
    <n v="1031"/>
    <d v="2024-04-15T00:00:00"/>
    <n v="6"/>
    <n v="91124"/>
    <x v="3"/>
    <d v="2024-04-01T00:00:00"/>
    <n v="0.83401999999999998"/>
    <n v="71124"/>
    <x v="1"/>
    <n v="159687.6764"/>
    <s v="Paid"/>
    <d v="2024-06-01T00:00:00"/>
    <s v="Variable"/>
    <d v="2024-03-25T00:00:00"/>
    <s v="NO"/>
  </r>
  <r>
    <n v="11125"/>
    <n v="6587"/>
    <x v="1"/>
    <n v="64553.21"/>
    <n v="49"/>
    <x v="2"/>
    <x v="2"/>
    <n v="177610.65"/>
    <x v="0"/>
    <s v="WH-B"/>
    <n v="766"/>
    <d v="2024-03-10T00:00:00"/>
    <n v="10"/>
    <n v="91125"/>
    <x v="1"/>
    <d v="2024-05-18T00:00:00"/>
    <n v="0.71747000000000005"/>
    <n v="71125"/>
    <x v="1"/>
    <n v="146287.33348999999"/>
    <s v="Paid"/>
    <d v="2024-06-01T00:00:00"/>
    <s v="Variable"/>
    <d v="2024-03-25T00:00:00"/>
    <s v="YES"/>
  </r>
  <r>
    <n v="11126"/>
    <n v="5081"/>
    <x v="1"/>
    <n v="57830.3"/>
    <n v="54"/>
    <x v="2"/>
    <x v="2"/>
    <n v="161027.63"/>
    <x v="0"/>
    <s v="WH-A"/>
    <n v="191"/>
    <d v="2024-02-10T00:00:00"/>
    <n v="11"/>
    <n v="91126"/>
    <x v="0"/>
    <d v="2024-04-01T00:00:00"/>
    <n v="0.49601000000000001"/>
    <n v="71126"/>
    <x v="0"/>
    <n v="98495.719500000007"/>
    <s v="pending"/>
    <d v="2024-05-10T00:00:00"/>
    <s v="Variable"/>
    <d v="2024-03-25T00:00:00"/>
    <s v="YES"/>
  </r>
  <r>
    <n v="11127"/>
    <n v="5133"/>
    <x v="1"/>
    <n v="91604.36"/>
    <n v="10"/>
    <x v="2"/>
    <x v="1"/>
    <n v="89737.26"/>
    <x v="1"/>
    <s v="WH-C"/>
    <n v="942"/>
    <d v="2024-04-15T00:00:00"/>
    <n v="13"/>
    <n v="91127"/>
    <x v="2"/>
    <d v="2024-05-18T00:00:00"/>
    <n v="0.44136999999999998"/>
    <n v="71127"/>
    <x v="0"/>
    <n v="95045.164499999999"/>
    <s v="Overdue"/>
    <d v="2024-06-01T00:00:00"/>
    <s v="Variable"/>
    <d v="2024-04-02T00:00:00"/>
    <s v="YES"/>
  </r>
  <r>
    <n v="11128"/>
    <n v="5797"/>
    <x v="0"/>
    <n v="15654.95"/>
    <n v="53"/>
    <x v="3"/>
    <x v="1"/>
    <n v="65979.91"/>
    <x v="2"/>
    <s v="WH-C"/>
    <n v="1441"/>
    <d v="2024-04-15T00:00:00"/>
    <n v="13"/>
    <n v="91128"/>
    <x v="2"/>
    <d v="2024-05-18T00:00:00"/>
    <n v="0.79449999999999998"/>
    <n v="71128"/>
    <x v="0"/>
    <n v="172375.2591"/>
    <s v="Overdue"/>
    <d v="2024-06-01T00:00:00"/>
    <s v="Variable"/>
    <d v="2024-03-25T00:00:00"/>
    <s v="YES"/>
  </r>
  <r>
    <n v="11129"/>
    <n v="5900"/>
    <x v="1"/>
    <n v="68777.210000000006"/>
    <n v="44"/>
    <x v="0"/>
    <x v="1"/>
    <n v="161429.74"/>
    <x v="1"/>
    <s v="WH-A"/>
    <n v="1157"/>
    <d v="2024-04-15T00:00:00"/>
    <n v="6"/>
    <n v="91129"/>
    <x v="3"/>
    <d v="2024-05-18T00:00:00"/>
    <n v="0.56611999999999996"/>
    <n v="71129"/>
    <x v="0"/>
    <n v="161740.82819"/>
    <s v="pending"/>
    <d v="2024-04-10T00:00:00"/>
    <s v="Variable"/>
    <d v="2024-03-25T00:00:00"/>
    <s v="YES"/>
  </r>
  <r>
    <n v="11130"/>
    <n v="5138"/>
    <x v="1"/>
    <n v="80773.539999999994"/>
    <n v="47"/>
    <x v="2"/>
    <x v="1"/>
    <n v="173374.8"/>
    <x v="1"/>
    <s v="WH-C"/>
    <n v="1216"/>
    <d v="2024-02-10T00:00:00"/>
    <n v="8"/>
    <n v="91130"/>
    <x v="0"/>
    <d v="2024-05-18T00:00:00"/>
    <n v="0.73394999999999999"/>
    <n v="71130"/>
    <x v="1"/>
    <n v="136357.2255"/>
    <s v="Paid"/>
    <d v="2024-04-10T00:00:00"/>
    <s v="Variable"/>
    <d v="2024-03-25T00:00:00"/>
    <s v="YES"/>
  </r>
  <r>
    <n v="11131"/>
    <n v="5184"/>
    <x v="0"/>
    <n v="50885.34"/>
    <n v="53"/>
    <x v="2"/>
    <x v="0"/>
    <n v="43444.62"/>
    <x v="0"/>
    <s v="WH-B"/>
    <n v="401"/>
    <d v="2024-02-10T00:00:00"/>
    <n v="1"/>
    <n v="91131"/>
    <x v="0"/>
    <d v="2024-05-18T00:00:00"/>
    <n v="0.90136000000000005"/>
    <n v="71131"/>
    <x v="2"/>
    <n v="65992.811799999996"/>
    <s v="pending"/>
    <d v="2024-05-10T00:00:00"/>
    <s v="Variable"/>
    <d v="2024-03-25T00:00:00"/>
    <s v="YES"/>
  </r>
  <r>
    <n v="11132"/>
    <n v="6425"/>
    <x v="1"/>
    <n v="66853.73"/>
    <n v="74"/>
    <x v="1"/>
    <x v="0"/>
    <n v="43363.59"/>
    <x v="0"/>
    <s v="WH-A"/>
    <n v="594"/>
    <d v="2024-02-10T00:00:00"/>
    <n v="5"/>
    <n v="91132"/>
    <x v="0"/>
    <d v="2024-05-18T00:00:00"/>
    <n v="0.92430000000000001"/>
    <n v="71132"/>
    <x v="2"/>
    <n v="61541.729019999999"/>
    <s v="Overdue"/>
    <d v="2024-06-01T00:00:00"/>
    <s v="Variable"/>
    <d v="2024-03-25T00:00:00"/>
    <s v="NO"/>
  </r>
  <r>
    <n v="11133"/>
    <n v="6354"/>
    <x v="1"/>
    <n v="61855.57"/>
    <n v="46"/>
    <x v="2"/>
    <x v="1"/>
    <n v="42541.96"/>
    <x v="2"/>
    <s v="WH-A"/>
    <n v="962"/>
    <d v="2024-03-10T00:00:00"/>
    <n v="3"/>
    <n v="91133"/>
    <x v="3"/>
    <d v="2024-04-01T00:00:00"/>
    <n v="0.34993999999999997"/>
    <n v="71133"/>
    <x v="1"/>
    <n v="97473.962899999999"/>
    <s v="pending"/>
    <d v="2024-04-10T00:00:00"/>
    <s v="Fixed"/>
    <d v="2024-03-25T00:00:00"/>
    <s v="YES"/>
  </r>
  <r>
    <n v="11134"/>
    <n v="5785"/>
    <x v="1"/>
    <n v="32378.58"/>
    <n v="13"/>
    <x v="0"/>
    <x v="2"/>
    <n v="148461.04"/>
    <x v="0"/>
    <s v="WH-B"/>
    <n v="201"/>
    <d v="2024-04-15T00:00:00"/>
    <n v="12"/>
    <n v="91134"/>
    <x v="2"/>
    <d v="2024-04-01T00:00:00"/>
    <n v="0.26910000000000001"/>
    <n v="71134"/>
    <x v="1"/>
    <n v="126025.6079"/>
    <s v="Paid"/>
    <d v="2024-06-01T00:00:00"/>
    <s v="Variable"/>
    <d v="2024-04-02T00:00:00"/>
    <s v="NO"/>
  </r>
  <r>
    <n v="11135"/>
    <n v="6532"/>
    <x v="1"/>
    <n v="73511.990000000005"/>
    <n v="37"/>
    <x v="0"/>
    <x v="0"/>
    <n v="35360.54"/>
    <x v="0"/>
    <s v="WH-C"/>
    <n v="1231"/>
    <d v="2024-04-15T00:00:00"/>
    <n v="8"/>
    <n v="91135"/>
    <x v="1"/>
    <d v="2024-03-01T00:00:00"/>
    <n v="0.33516000000000001"/>
    <n v="71135"/>
    <x v="0"/>
    <n v="87020.816290000002"/>
    <s v="Paid"/>
    <d v="2024-05-10T00:00:00"/>
    <s v="Variable"/>
    <d v="2024-04-02T00:00:00"/>
    <s v="YES"/>
  </r>
  <r>
    <n v="11136"/>
    <n v="6876"/>
    <x v="1"/>
    <n v="81204.67"/>
    <n v="24"/>
    <x v="1"/>
    <x v="2"/>
    <n v="57327.91"/>
    <x v="2"/>
    <s v="WH-B"/>
    <n v="702"/>
    <d v="2024-03-10T00:00:00"/>
    <n v="11"/>
    <n v="91136"/>
    <x v="3"/>
    <d v="2024-05-18T00:00:00"/>
    <n v="0.77622999999999998"/>
    <n v="71136"/>
    <x v="0"/>
    <n v="219971.15659999999"/>
    <s v="Overdue"/>
    <d v="2024-04-10T00:00:00"/>
    <s v="Fixed"/>
    <d v="2024-03-25T00:00:00"/>
    <s v="YES"/>
  </r>
  <r>
    <n v="11137"/>
    <n v="5984"/>
    <x v="1"/>
    <n v="29496.41"/>
    <n v="2"/>
    <x v="2"/>
    <x v="3"/>
    <n v="15892.6"/>
    <x v="0"/>
    <s v="WH-B"/>
    <n v="1007"/>
    <d v="2024-03-10T00:00:00"/>
    <n v="6"/>
    <n v="91137"/>
    <x v="1"/>
    <d v="2024-04-01T00:00:00"/>
    <n v="0.43304999999999999"/>
    <n v="71137"/>
    <x v="2"/>
    <n v="149003.85694"/>
    <s v="pending"/>
    <d v="2024-04-10T00:00:00"/>
    <s v="Variable"/>
    <d v="2024-03-25T00:00:00"/>
    <s v="YES"/>
  </r>
  <r>
    <n v="11138"/>
    <n v="5069"/>
    <x v="1"/>
    <n v="14139.2"/>
    <n v="86"/>
    <x v="2"/>
    <x v="2"/>
    <n v="17514.77"/>
    <x v="1"/>
    <s v="WH-C"/>
    <n v="812"/>
    <d v="2024-02-10T00:00:00"/>
    <n v="14"/>
    <n v="91138"/>
    <x v="2"/>
    <d v="2024-05-18T00:00:00"/>
    <n v="0.25605"/>
    <n v="71138"/>
    <x v="2"/>
    <n v="166585.44922000001"/>
    <s v="pending"/>
    <d v="2024-05-10T00:00:00"/>
    <s v="Fixed"/>
    <d v="2024-04-02T00:00:00"/>
    <s v="YES"/>
  </r>
  <r>
    <n v="11139"/>
    <n v="5546"/>
    <x v="1"/>
    <n v="23474.15"/>
    <n v="81"/>
    <x v="2"/>
    <x v="1"/>
    <n v="141098.64000000001"/>
    <x v="2"/>
    <s v="WH-B"/>
    <n v="1376"/>
    <d v="2024-02-10T00:00:00"/>
    <n v="2"/>
    <n v="91139"/>
    <x v="3"/>
    <d v="2024-05-18T00:00:00"/>
    <n v="0.18855"/>
    <n v="71139"/>
    <x v="0"/>
    <n v="193519.17835999999"/>
    <s v="Overdue"/>
    <d v="2024-06-01T00:00:00"/>
    <s v="Variable"/>
    <d v="2024-03-25T00:00:00"/>
    <s v="NO"/>
  </r>
  <r>
    <n v="11140"/>
    <n v="6798"/>
    <x v="1"/>
    <n v="9190.1299999999992"/>
    <n v="14"/>
    <x v="3"/>
    <x v="3"/>
    <n v="147613.67000000001"/>
    <x v="0"/>
    <s v="WH-C"/>
    <n v="673"/>
    <d v="2024-02-10T00:00:00"/>
    <n v="13"/>
    <n v="91140"/>
    <x v="2"/>
    <d v="2024-04-01T00:00:00"/>
    <n v="0.39457999999999999"/>
    <n v="71140"/>
    <x v="1"/>
    <n v="78521.8174"/>
    <s v="pending"/>
    <d v="2024-04-10T00:00:00"/>
    <s v="Fixed"/>
    <d v="2024-03-25T00:00:00"/>
    <s v="YES"/>
  </r>
  <r>
    <n v="11141"/>
    <n v="5053"/>
    <x v="1"/>
    <n v="54361.79"/>
    <n v="10"/>
    <x v="2"/>
    <x v="0"/>
    <n v="107785.27"/>
    <x v="1"/>
    <s v="WH-C"/>
    <n v="705"/>
    <d v="2024-02-10T00:00:00"/>
    <n v="7"/>
    <n v="91141"/>
    <x v="1"/>
    <d v="2024-05-18T00:00:00"/>
    <n v="0.22252"/>
    <n v="71141"/>
    <x v="1"/>
    <n v="153382.1728"/>
    <s v="Overdue"/>
    <d v="2024-04-10T00:00:00"/>
    <s v="Fixed"/>
    <d v="2024-03-25T00:00:00"/>
    <s v="YES"/>
  </r>
  <r>
    <n v="11142"/>
    <n v="6474"/>
    <x v="1"/>
    <n v="50413.7"/>
    <n v="35"/>
    <x v="0"/>
    <x v="0"/>
    <n v="123923.2"/>
    <x v="2"/>
    <s v="WH-B"/>
    <n v="499"/>
    <d v="2024-02-10T00:00:00"/>
    <n v="7"/>
    <n v="91142"/>
    <x v="0"/>
    <d v="2024-04-01T00:00:00"/>
    <n v="0.24074000000000001"/>
    <n v="71142"/>
    <x v="1"/>
    <n v="74661.733800000002"/>
    <s v="pending"/>
    <d v="2024-05-10T00:00:00"/>
    <s v="Variable"/>
    <d v="2024-03-25T00:00:00"/>
    <s v="YES"/>
  </r>
  <r>
    <n v="11143"/>
    <n v="5205"/>
    <x v="1"/>
    <n v="33017.589999999997"/>
    <n v="25"/>
    <x v="0"/>
    <x v="3"/>
    <n v="61761.41"/>
    <x v="2"/>
    <s v="WH-C"/>
    <n v="770"/>
    <d v="2024-02-10T00:00:00"/>
    <n v="13"/>
    <n v="91143"/>
    <x v="0"/>
    <d v="2024-04-01T00:00:00"/>
    <n v="0.71550000000000002"/>
    <n v="71143"/>
    <x v="2"/>
    <n v="158707.00769999999"/>
    <s v="Paid"/>
    <d v="2024-05-10T00:00:00"/>
    <s v="Variable"/>
    <d v="2024-03-25T00:00:00"/>
    <s v="YES"/>
  </r>
  <r>
    <n v="11144"/>
    <n v="5126"/>
    <x v="1"/>
    <n v="44479.77"/>
    <n v="3"/>
    <x v="3"/>
    <x v="2"/>
    <n v="102014.93"/>
    <x v="1"/>
    <s v="WH-B"/>
    <n v="1297"/>
    <d v="2024-03-10T00:00:00"/>
    <n v="5"/>
    <n v="91144"/>
    <x v="1"/>
    <d v="2024-03-01T00:00:00"/>
    <n v="0.11776"/>
    <n v="71144"/>
    <x v="2"/>
    <n v="97232.297479999994"/>
    <s v="Overdue"/>
    <d v="2024-05-10T00:00:00"/>
    <s v="Variable"/>
    <d v="2024-03-25T00:00:00"/>
    <s v="YES"/>
  </r>
  <r>
    <n v="11145"/>
    <n v="6771"/>
    <x v="1"/>
    <n v="9354.32"/>
    <n v="17"/>
    <x v="3"/>
    <x v="0"/>
    <n v="99837.29"/>
    <x v="0"/>
    <s v="WH-C"/>
    <n v="92"/>
    <d v="2024-03-10T00:00:00"/>
    <n v="8"/>
    <n v="91145"/>
    <x v="0"/>
    <d v="2024-03-01T00:00:00"/>
    <n v="0.20580000000000001"/>
    <n v="71145"/>
    <x v="2"/>
    <n v="146579.7887"/>
    <s v="pending"/>
    <d v="2024-06-01T00:00:00"/>
    <s v="Variable"/>
    <d v="2024-03-25T00:00:00"/>
    <s v="NO"/>
  </r>
  <r>
    <n v="11146"/>
    <n v="5043"/>
    <x v="0"/>
    <n v="11681.38"/>
    <n v="12"/>
    <x v="2"/>
    <x v="1"/>
    <n v="37523.410000000003"/>
    <x v="0"/>
    <s v="WH-A"/>
    <n v="313"/>
    <d v="2024-03-10T00:00:00"/>
    <n v="14"/>
    <n v="91146"/>
    <x v="1"/>
    <d v="2024-03-01T00:00:00"/>
    <n v="0.85992999999999997"/>
    <n v="71146"/>
    <x v="1"/>
    <n v="71604.530979999996"/>
    <s v="pending"/>
    <d v="2024-06-01T00:00:00"/>
    <s v="Fixed"/>
    <d v="2024-03-25T00:00:00"/>
    <s v="YES"/>
  </r>
  <r>
    <n v="11147"/>
    <n v="6776"/>
    <x v="1"/>
    <n v="47144.35"/>
    <n v="54"/>
    <x v="1"/>
    <x v="3"/>
    <n v="51218.99"/>
    <x v="2"/>
    <s v="WH-C"/>
    <n v="1076"/>
    <d v="2024-04-15T00:00:00"/>
    <n v="5"/>
    <n v="91147"/>
    <x v="3"/>
    <d v="2024-03-01T00:00:00"/>
    <n v="0.86041999999999996"/>
    <n v="71147"/>
    <x v="1"/>
    <n v="65053.290200000003"/>
    <s v="pending"/>
    <d v="2024-06-01T00:00:00"/>
    <s v="Variable"/>
    <d v="2024-04-02T00:00:00"/>
    <s v="YES"/>
  </r>
  <r>
    <n v="11148"/>
    <n v="6995"/>
    <x v="1"/>
    <n v="83915.12"/>
    <n v="24"/>
    <x v="3"/>
    <x v="1"/>
    <n v="114429.15"/>
    <x v="2"/>
    <s v="WH-C"/>
    <n v="1341"/>
    <d v="2024-04-15T00:00:00"/>
    <n v="1"/>
    <n v="91148"/>
    <x v="3"/>
    <d v="2024-05-18T00:00:00"/>
    <n v="0.39632000000000001"/>
    <n v="71148"/>
    <x v="0"/>
    <n v="98934.830849999998"/>
    <s v="Overdue"/>
    <d v="2024-05-10T00:00:00"/>
    <s v="Variable"/>
    <d v="2024-03-25T00:00:00"/>
    <s v="NO"/>
  </r>
  <r>
    <n v="11149"/>
    <n v="6907"/>
    <x v="1"/>
    <n v="48928.57"/>
    <n v="29"/>
    <x v="3"/>
    <x v="3"/>
    <n v="95554.48"/>
    <x v="0"/>
    <s v="WH-B"/>
    <n v="645"/>
    <d v="2024-02-10T00:00:00"/>
    <n v="9"/>
    <n v="91149"/>
    <x v="3"/>
    <d v="2024-05-18T00:00:00"/>
    <n v="0.17916000000000001"/>
    <n v="71149"/>
    <x v="1"/>
    <n v="96592.19"/>
    <s v="Paid"/>
    <d v="2024-04-10T00:00:00"/>
    <s v="Variable"/>
    <d v="2024-03-25T00:00:00"/>
    <s v="YES"/>
  </r>
  <r>
    <n v="11150"/>
    <n v="5111"/>
    <x v="1"/>
    <n v="58232.2"/>
    <n v="43"/>
    <x v="2"/>
    <x v="0"/>
    <n v="69868.52"/>
    <x v="0"/>
    <s v="WH-C"/>
    <n v="1089"/>
    <d v="2024-03-10T00:00:00"/>
    <n v="4"/>
    <n v="91150"/>
    <x v="0"/>
    <d v="2024-03-01T00:00:00"/>
    <n v="0.73446999999999996"/>
    <n v="71150"/>
    <x v="2"/>
    <n v="183125.38556"/>
    <s v="pending"/>
    <d v="2024-06-01T00:00:00"/>
    <s v="Variable"/>
    <d v="2024-04-02T00:00:00"/>
    <s v="YES"/>
  </r>
  <r>
    <n v="11151"/>
    <n v="5761"/>
    <x v="1"/>
    <n v="60638.89"/>
    <n v="25"/>
    <x v="2"/>
    <x v="2"/>
    <n v="52038.91"/>
    <x v="1"/>
    <s v="WH-A"/>
    <n v="1407"/>
    <d v="2024-04-15T00:00:00"/>
    <n v="13"/>
    <n v="91151"/>
    <x v="2"/>
    <d v="2024-04-01T00:00:00"/>
    <n v="0.42412"/>
    <n v="71151"/>
    <x v="0"/>
    <n v="115447.90375"/>
    <s v="Overdue"/>
    <d v="2024-05-10T00:00:00"/>
    <s v="Fixed"/>
    <d v="2024-03-25T00:00:00"/>
    <s v="YES"/>
  </r>
  <r>
    <n v="11152"/>
    <n v="6687"/>
    <x v="1"/>
    <n v="88619.89"/>
    <n v="60"/>
    <x v="3"/>
    <x v="3"/>
    <n v="157936.07999999999"/>
    <x v="2"/>
    <s v="WH-A"/>
    <n v="1132"/>
    <d v="2024-04-15T00:00:00"/>
    <n v="2"/>
    <n v="91152"/>
    <x v="0"/>
    <d v="2024-04-01T00:00:00"/>
    <n v="0.14091999999999999"/>
    <n v="71152"/>
    <x v="1"/>
    <n v="141105.81633999999"/>
    <s v="pending"/>
    <d v="2024-06-01T00:00:00"/>
    <s v="Variable"/>
    <d v="2024-03-25T00:00:00"/>
    <s v="YES"/>
  </r>
  <r>
    <n v="11153"/>
    <n v="6207"/>
    <x v="0"/>
    <n v="21531.71"/>
    <n v="90"/>
    <x v="1"/>
    <x v="3"/>
    <n v="55211.77"/>
    <x v="2"/>
    <s v="WH-C"/>
    <n v="1062"/>
    <d v="2024-03-10T00:00:00"/>
    <n v="4"/>
    <n v="91153"/>
    <x v="0"/>
    <d v="2024-04-01T00:00:00"/>
    <n v="0.24204000000000001"/>
    <n v="71153"/>
    <x v="0"/>
    <n v="80975.673290000006"/>
    <s v="Paid"/>
    <d v="2024-04-10T00:00:00"/>
    <s v="Variable"/>
    <d v="2024-03-25T00:00:00"/>
    <s v="NO"/>
  </r>
  <r>
    <n v="11154"/>
    <n v="5848"/>
    <x v="1"/>
    <n v="45278.33"/>
    <n v="65"/>
    <x v="3"/>
    <x v="1"/>
    <n v="81306.45"/>
    <x v="1"/>
    <s v="WH-C"/>
    <n v="226"/>
    <d v="2024-04-15T00:00:00"/>
    <n v="14"/>
    <n v="91154"/>
    <x v="2"/>
    <d v="2024-04-01T00:00:00"/>
    <n v="0.22348999999999999"/>
    <n v="71154"/>
    <x v="1"/>
    <n v="136354.12271"/>
    <s v="Paid"/>
    <d v="2024-04-10T00:00:00"/>
    <s v="Variable"/>
    <d v="2024-03-25T00:00:00"/>
    <s v="NO"/>
  </r>
  <r>
    <n v="11155"/>
    <n v="5095"/>
    <x v="1"/>
    <n v="41070.089999999997"/>
    <n v="84"/>
    <x v="2"/>
    <x v="0"/>
    <n v="103666.68"/>
    <x v="1"/>
    <s v="WH-A"/>
    <n v="112"/>
    <d v="2024-04-15T00:00:00"/>
    <n v="13"/>
    <n v="91155"/>
    <x v="2"/>
    <d v="2024-05-18T00:00:00"/>
    <n v="0.63019999999999998"/>
    <n v="71155"/>
    <x v="1"/>
    <n v="162550.97260000001"/>
    <s v="Paid"/>
    <d v="2024-05-10T00:00:00"/>
    <s v="Variable"/>
    <d v="2024-03-25T00:00:00"/>
    <s v="YES"/>
  </r>
  <r>
    <n v="11156"/>
    <n v="6995"/>
    <x v="1"/>
    <n v="83302.97"/>
    <n v="28"/>
    <x v="2"/>
    <x v="1"/>
    <n v="27814.47"/>
    <x v="0"/>
    <s v="WH-B"/>
    <n v="1007"/>
    <d v="2024-03-10T00:00:00"/>
    <n v="9"/>
    <n v="91156"/>
    <x v="2"/>
    <d v="2024-04-01T00:00:00"/>
    <n v="0.90830999999999995"/>
    <n v="71156"/>
    <x v="1"/>
    <n v="147728.09169999999"/>
    <s v="Overdue"/>
    <d v="2024-04-10T00:00:00"/>
    <s v="Fixed"/>
    <d v="2024-03-25T00:00:00"/>
    <s v="NO"/>
  </r>
  <r>
    <n v="11157"/>
    <n v="6398"/>
    <x v="1"/>
    <n v="70184.850000000006"/>
    <n v="16"/>
    <x v="3"/>
    <x v="0"/>
    <n v="66619.070000000007"/>
    <x v="1"/>
    <s v="WH-A"/>
    <n v="1052"/>
    <d v="2024-04-15T00:00:00"/>
    <n v="2"/>
    <n v="91157"/>
    <x v="2"/>
    <d v="2024-04-01T00:00:00"/>
    <n v="0.81376000000000004"/>
    <n v="71157"/>
    <x v="0"/>
    <n v="149825.66527"/>
    <s v="pending"/>
    <d v="2024-05-10T00:00:00"/>
    <s v="Variable"/>
    <d v="2024-03-25T00:00:00"/>
    <s v="YES"/>
  </r>
  <r>
    <n v="11158"/>
    <n v="6936"/>
    <x v="1"/>
    <n v="22179.83"/>
    <n v="47"/>
    <x v="1"/>
    <x v="1"/>
    <n v="55981.63"/>
    <x v="0"/>
    <s v="WH-A"/>
    <n v="610"/>
    <d v="2024-03-10T00:00:00"/>
    <n v="4"/>
    <n v="91158"/>
    <x v="0"/>
    <d v="2024-03-01T00:00:00"/>
    <n v="0.59186000000000005"/>
    <n v="71158"/>
    <x v="1"/>
    <n v="163652.32250000001"/>
    <s v="Overdue"/>
    <d v="2024-05-10T00:00:00"/>
    <s v="Variable"/>
    <d v="2024-03-25T00:00:00"/>
    <s v="YES"/>
  </r>
  <r>
    <n v="11159"/>
    <n v="6544"/>
    <x v="0"/>
    <n v="70517.41"/>
    <n v="81"/>
    <x v="3"/>
    <x v="3"/>
    <n v="128925.83"/>
    <x v="0"/>
    <s v="WH-C"/>
    <n v="1380"/>
    <d v="2024-04-15T00:00:00"/>
    <n v="2"/>
    <n v="91159"/>
    <x v="1"/>
    <d v="2024-04-01T00:00:00"/>
    <n v="0.47993999999999998"/>
    <n v="71159"/>
    <x v="1"/>
    <n v="58587.715660000002"/>
    <s v="pending"/>
    <d v="2024-05-10T00:00:00"/>
    <s v="Fixed"/>
    <d v="2024-04-02T00:00:00"/>
    <s v="NO"/>
  </r>
  <r>
    <n v="11160"/>
    <n v="5900"/>
    <x v="1"/>
    <n v="24123.7"/>
    <n v="92"/>
    <x v="3"/>
    <x v="1"/>
    <n v="152059.12"/>
    <x v="1"/>
    <s v="WH-C"/>
    <n v="1319"/>
    <d v="2024-03-10T00:00:00"/>
    <n v="5"/>
    <n v="91160"/>
    <x v="3"/>
    <d v="2024-05-18T00:00:00"/>
    <n v="0.65681"/>
    <n v="71160"/>
    <x v="2"/>
    <n v="197017.6679"/>
    <s v="Overdue"/>
    <d v="2024-05-10T00:00:00"/>
    <s v="Variable"/>
    <d v="2024-03-25T00:00:00"/>
    <s v="YES"/>
  </r>
  <r>
    <n v="11161"/>
    <n v="5360"/>
    <x v="1"/>
    <n v="82904.179999999993"/>
    <n v="58"/>
    <x v="2"/>
    <x v="2"/>
    <n v="86219.1"/>
    <x v="2"/>
    <s v="WH-A"/>
    <n v="1362"/>
    <d v="2024-04-15T00:00:00"/>
    <n v="3"/>
    <n v="91161"/>
    <x v="1"/>
    <d v="2024-04-01T00:00:00"/>
    <n v="0.49942999999999999"/>
    <n v="71161"/>
    <x v="1"/>
    <n v="162513.08358999999"/>
    <s v="pending"/>
    <d v="2024-04-10T00:00:00"/>
    <s v="Variable"/>
    <d v="2024-04-02T00:00:00"/>
    <s v="YES"/>
  </r>
  <r>
    <n v="11162"/>
    <n v="5900"/>
    <x v="1"/>
    <n v="72892.87"/>
    <n v="76"/>
    <x v="1"/>
    <x v="0"/>
    <n v="83154.67"/>
    <x v="0"/>
    <s v="WH-B"/>
    <n v="1004"/>
    <d v="2024-04-15T00:00:00"/>
    <n v="10"/>
    <n v="91162"/>
    <x v="0"/>
    <d v="2024-04-01T00:00:00"/>
    <n v="0.32149"/>
    <n v="71162"/>
    <x v="1"/>
    <n v="174268.80746000001"/>
    <s v="Overdue"/>
    <d v="2024-04-10T00:00:00"/>
    <s v="Fixed"/>
    <d v="2024-04-02T00:00:00"/>
    <s v="YES"/>
  </r>
  <r>
    <n v="11163"/>
    <n v="6720"/>
    <x v="1"/>
    <n v="56655.57"/>
    <n v="27"/>
    <x v="0"/>
    <x v="0"/>
    <n v="80696.02"/>
    <x v="1"/>
    <s v="WH-A"/>
    <n v="1405"/>
    <d v="2024-03-10T00:00:00"/>
    <n v="2"/>
    <n v="91163"/>
    <x v="2"/>
    <d v="2024-05-18T00:00:00"/>
    <n v="0.71128000000000002"/>
    <n v="71163"/>
    <x v="0"/>
    <n v="152663.9197"/>
    <s v="pending"/>
    <d v="2024-04-10T00:00:00"/>
    <s v="Fixed"/>
    <d v="2024-03-25T00:00:00"/>
    <s v="NO"/>
  </r>
  <r>
    <n v="11164"/>
    <n v="5281"/>
    <x v="1"/>
    <n v="87070.720000000001"/>
    <n v="53"/>
    <x v="1"/>
    <x v="3"/>
    <n v="170687.51"/>
    <x v="1"/>
    <s v="WH-A"/>
    <n v="899"/>
    <d v="2024-04-15T00:00:00"/>
    <n v="14"/>
    <n v="91164"/>
    <x v="3"/>
    <d v="2024-03-01T00:00:00"/>
    <n v="0.88592000000000004"/>
    <n v="71164"/>
    <x v="1"/>
    <n v="126614.1219"/>
    <s v="Overdue"/>
    <d v="2024-04-10T00:00:00"/>
    <s v="Variable"/>
    <d v="2024-04-02T00:00:00"/>
    <s v="YES"/>
  </r>
  <r>
    <n v="11165"/>
    <n v="6219"/>
    <x v="1"/>
    <n v="66291.399999999994"/>
    <n v="42"/>
    <x v="3"/>
    <x v="0"/>
    <n v="26412.92"/>
    <x v="1"/>
    <s v="WH-B"/>
    <n v="1328"/>
    <d v="2024-03-10T00:00:00"/>
    <n v="9"/>
    <n v="91165"/>
    <x v="3"/>
    <d v="2024-05-18T00:00:00"/>
    <n v="0.43558000000000002"/>
    <n v="71165"/>
    <x v="0"/>
    <n v="212036.7934"/>
    <s v="Paid"/>
    <d v="2024-05-10T00:00:00"/>
    <s v="Fixed"/>
    <d v="2024-04-02T00:00:00"/>
    <s v="NO"/>
  </r>
  <r>
    <n v="11166"/>
    <n v="6888"/>
    <x v="1"/>
    <n v="34498.76"/>
    <n v="59"/>
    <x v="3"/>
    <x v="2"/>
    <n v="150937.29"/>
    <x v="1"/>
    <s v="WH-A"/>
    <n v="653"/>
    <d v="2024-03-10T00:00:00"/>
    <n v="5"/>
    <n v="91166"/>
    <x v="1"/>
    <d v="2024-03-01T00:00:00"/>
    <n v="0.85738000000000003"/>
    <n v="71166"/>
    <x v="1"/>
    <n v="170365.97068"/>
    <s v="Overdue"/>
    <d v="2024-05-10T00:00:00"/>
    <s v="Fixed"/>
    <d v="2024-03-25T00:00:00"/>
    <s v="NO"/>
  </r>
  <r>
    <n v="11167"/>
    <n v="6219"/>
    <x v="1"/>
    <n v="50334.25"/>
    <n v="47"/>
    <x v="3"/>
    <x v="1"/>
    <n v="20410.259999999998"/>
    <x v="0"/>
    <s v="WH-A"/>
    <n v="655"/>
    <d v="2024-04-15T00:00:00"/>
    <n v="10"/>
    <n v="91167"/>
    <x v="0"/>
    <d v="2024-04-01T00:00:00"/>
    <n v="0.48797000000000001"/>
    <n v="71167"/>
    <x v="1"/>
    <n v="72038.778510000004"/>
    <s v="Paid"/>
    <d v="2024-04-10T00:00:00"/>
    <s v="Variable"/>
    <d v="2024-03-25T00:00:00"/>
    <s v="NO"/>
  </r>
  <r>
    <n v="11168"/>
    <n v="5667"/>
    <x v="1"/>
    <n v="40448.61"/>
    <n v="94"/>
    <x v="1"/>
    <x v="3"/>
    <n v="119216.48"/>
    <x v="1"/>
    <s v="WH-C"/>
    <n v="879"/>
    <d v="2024-02-10T00:00:00"/>
    <n v="5"/>
    <n v="91168"/>
    <x v="0"/>
    <d v="2024-03-01T00:00:00"/>
    <n v="0.4612"/>
    <n v="71168"/>
    <x v="1"/>
    <n v="82202.126000000004"/>
    <s v="Paid"/>
    <d v="2024-06-01T00:00:00"/>
    <s v="Fixed"/>
    <d v="2024-03-25T00:00:00"/>
    <s v="NO"/>
  </r>
  <r>
    <n v="11169"/>
    <n v="5093"/>
    <x v="1"/>
    <n v="17141.41"/>
    <n v="34"/>
    <x v="2"/>
    <x v="2"/>
    <n v="76458.14"/>
    <x v="1"/>
    <s v="WH-B"/>
    <n v="1272"/>
    <d v="2024-04-15T00:00:00"/>
    <n v="1"/>
    <n v="91169"/>
    <x v="0"/>
    <d v="2024-03-01T00:00:00"/>
    <n v="0.12548999999999999"/>
    <n v="71169"/>
    <x v="2"/>
    <n v="140176.37409999999"/>
    <s v="pending"/>
    <d v="2024-06-01T00:00:00"/>
    <s v="Variable"/>
    <d v="2024-04-02T00:00:00"/>
    <s v="NO"/>
  </r>
  <r>
    <n v="11170"/>
    <n v="5672"/>
    <x v="1"/>
    <n v="45737.04"/>
    <n v="37"/>
    <x v="3"/>
    <x v="0"/>
    <n v="125210.46"/>
    <x v="1"/>
    <s v="WH-C"/>
    <n v="1344"/>
    <d v="2024-02-10T00:00:00"/>
    <n v="6"/>
    <n v="91170"/>
    <x v="3"/>
    <d v="2024-03-01T00:00:00"/>
    <n v="0.72575000000000001"/>
    <n v="71170"/>
    <x v="1"/>
    <n v="217424.69959999999"/>
    <s v="Paid"/>
    <d v="2024-06-01T00:00:00"/>
    <s v="Variable"/>
    <d v="2024-04-02T00:00:00"/>
    <s v="YES"/>
  </r>
  <r>
    <n v="11171"/>
    <n v="6970"/>
    <x v="1"/>
    <n v="24043.360000000001"/>
    <n v="6"/>
    <x v="3"/>
    <x v="0"/>
    <n v="17547.82"/>
    <x v="1"/>
    <s v="WH-C"/>
    <n v="795"/>
    <d v="2024-02-10T00:00:00"/>
    <n v="13"/>
    <n v="91171"/>
    <x v="1"/>
    <d v="2024-04-01T00:00:00"/>
    <n v="0.82674999999999998"/>
    <n v="71171"/>
    <x v="2"/>
    <n v="199034.64081000001"/>
    <s v="Paid"/>
    <d v="2024-04-10T00:00:00"/>
    <s v="Variable"/>
    <d v="2024-03-25T00:00:00"/>
    <s v="YES"/>
  </r>
  <r>
    <n v="11172"/>
    <n v="5061"/>
    <x v="0"/>
    <n v="68711.89"/>
    <n v="7"/>
    <x v="1"/>
    <x v="2"/>
    <n v="159662.65"/>
    <x v="1"/>
    <s v="WH-B"/>
    <n v="607"/>
    <d v="2024-04-15T00:00:00"/>
    <n v="7"/>
    <n v="91172"/>
    <x v="3"/>
    <d v="2024-03-01T00:00:00"/>
    <n v="0.69720000000000004"/>
    <n v="71172"/>
    <x v="2"/>
    <n v="115051.35305999999"/>
    <s v="pending"/>
    <d v="2024-05-10T00:00:00"/>
    <s v="Variable"/>
    <d v="2024-04-02T00:00:00"/>
    <s v="YES"/>
  </r>
  <r>
    <n v="11173"/>
    <n v="5634"/>
    <x v="1"/>
    <n v="41970.52"/>
    <n v="96"/>
    <x v="0"/>
    <x v="1"/>
    <n v="98881.600000000006"/>
    <x v="0"/>
    <s v="WH-B"/>
    <n v="113"/>
    <d v="2024-02-10T00:00:00"/>
    <n v="1"/>
    <n v="91173"/>
    <x v="3"/>
    <d v="2024-03-01T00:00:00"/>
    <n v="0.23622000000000001"/>
    <n v="71173"/>
    <x v="1"/>
    <n v="142228.1826"/>
    <s v="Overdue"/>
    <d v="2024-05-10T00:00:00"/>
    <s v="Fixed"/>
    <d v="2024-03-25T00:00:00"/>
    <s v="YES"/>
  </r>
  <r>
    <n v="11174"/>
    <n v="6075"/>
    <x v="1"/>
    <n v="22629.54"/>
    <n v="96"/>
    <x v="0"/>
    <x v="1"/>
    <n v="78828.350000000006"/>
    <x v="1"/>
    <s v="WH-A"/>
    <n v="1303"/>
    <d v="2024-03-10T00:00:00"/>
    <n v="9"/>
    <n v="91174"/>
    <x v="2"/>
    <d v="2024-04-01T00:00:00"/>
    <n v="0.19295999999999999"/>
    <n v="71174"/>
    <x v="1"/>
    <n v="113046.1491"/>
    <s v="Overdue"/>
    <d v="2024-06-01T00:00:00"/>
    <s v="Fixed"/>
    <d v="2024-03-25T00:00:00"/>
    <s v="YES"/>
  </r>
  <r>
    <n v="11175"/>
    <n v="6427"/>
    <x v="1"/>
    <n v="33592.33"/>
    <n v="25"/>
    <x v="2"/>
    <x v="3"/>
    <n v="117640.24"/>
    <x v="2"/>
    <s v="WH-C"/>
    <n v="991"/>
    <d v="2024-03-10T00:00:00"/>
    <n v="8"/>
    <n v="91175"/>
    <x v="1"/>
    <d v="2024-05-18T00:00:00"/>
    <n v="0.61556999999999995"/>
    <n v="71175"/>
    <x v="2"/>
    <n v="129151.2059"/>
    <s v="Paid"/>
    <d v="2024-06-01T00:00:00"/>
    <s v="Variable"/>
    <d v="2024-04-02T00:00:00"/>
    <s v="YES"/>
  </r>
  <r>
    <n v="11176"/>
    <n v="6813"/>
    <x v="0"/>
    <n v="65675.14"/>
    <n v="33"/>
    <x v="2"/>
    <x v="0"/>
    <n v="47531.18"/>
    <x v="1"/>
    <s v="WH-B"/>
    <n v="298"/>
    <d v="2024-02-10T00:00:00"/>
    <n v="12"/>
    <n v="91176"/>
    <x v="2"/>
    <d v="2024-05-18T00:00:00"/>
    <n v="0.46135999999999999"/>
    <n v="71176"/>
    <x v="1"/>
    <n v="173357.06813"/>
    <s v="Overdue"/>
    <d v="2024-05-10T00:00:00"/>
    <s v="Fixed"/>
    <d v="2024-03-25T00:00:00"/>
    <s v="YES"/>
  </r>
  <r>
    <n v="11177"/>
    <n v="6029"/>
    <x v="1"/>
    <n v="87839.54"/>
    <n v="55"/>
    <x v="3"/>
    <x v="2"/>
    <n v="11808.93"/>
    <x v="1"/>
    <s v="WH-C"/>
    <n v="1319"/>
    <d v="2024-03-10T00:00:00"/>
    <n v="14"/>
    <n v="91177"/>
    <x v="0"/>
    <d v="2024-05-18T00:00:00"/>
    <n v="0.48619000000000001"/>
    <n v="71177"/>
    <x v="0"/>
    <n v="178095.64170000001"/>
    <s v="Paid"/>
    <d v="2024-06-01T00:00:00"/>
    <s v="Variable"/>
    <d v="2024-03-25T00:00:00"/>
    <s v="NO"/>
  </r>
  <r>
    <n v="11178"/>
    <n v="6490"/>
    <x v="1"/>
    <n v="29861.81"/>
    <n v="58"/>
    <x v="1"/>
    <x v="1"/>
    <n v="46596.800000000003"/>
    <x v="1"/>
    <s v="WH-C"/>
    <n v="989"/>
    <d v="2024-04-15T00:00:00"/>
    <n v="14"/>
    <n v="91178"/>
    <x v="3"/>
    <d v="2024-04-01T00:00:00"/>
    <n v="0.97101999999999999"/>
    <n v="71178"/>
    <x v="2"/>
    <n v="57056.525860000002"/>
    <s v="Overdue"/>
    <d v="2024-06-01T00:00:00"/>
    <s v="Variable"/>
    <d v="2024-03-25T00:00:00"/>
    <s v="NO"/>
  </r>
  <r>
    <n v="11179"/>
    <n v="5604"/>
    <x v="1"/>
    <n v="78202.48"/>
    <n v="7"/>
    <x v="3"/>
    <x v="3"/>
    <n v="103171.75"/>
    <x v="1"/>
    <s v="WH-B"/>
    <n v="206"/>
    <d v="2024-03-10T00:00:00"/>
    <n v="8"/>
    <n v="91179"/>
    <x v="1"/>
    <d v="2024-04-01T00:00:00"/>
    <n v="0.75153000000000003"/>
    <n v="71179"/>
    <x v="1"/>
    <n v="87492.399879999997"/>
    <s v="Overdue"/>
    <d v="2024-05-10T00:00:00"/>
    <s v="Variable"/>
    <d v="2024-03-25T00:00:00"/>
    <s v="YES"/>
  </r>
  <r>
    <n v="11180"/>
    <n v="5682"/>
    <x v="1"/>
    <n v="73957.679999999993"/>
    <n v="57"/>
    <x v="2"/>
    <x v="0"/>
    <n v="92360.93"/>
    <x v="1"/>
    <s v="WH-A"/>
    <n v="784"/>
    <d v="2024-02-10T00:00:00"/>
    <n v="7"/>
    <n v="91180"/>
    <x v="0"/>
    <d v="2024-05-18T00:00:00"/>
    <n v="0.47060999999999997"/>
    <n v="71180"/>
    <x v="1"/>
    <n v="119371.9662"/>
    <s v="Overdue"/>
    <d v="2024-06-01T00:00:00"/>
    <s v="Variable"/>
    <d v="2024-04-02T00:00:00"/>
    <s v="NO"/>
  </r>
  <r>
    <n v="11181"/>
    <n v="6853"/>
    <x v="1"/>
    <n v="78179.63"/>
    <n v="12"/>
    <x v="1"/>
    <x v="0"/>
    <n v="118912.11"/>
    <x v="1"/>
    <s v="WH-C"/>
    <n v="1034"/>
    <d v="2024-04-15T00:00:00"/>
    <n v="5"/>
    <n v="91181"/>
    <x v="1"/>
    <d v="2024-03-01T00:00:00"/>
    <n v="0.11719"/>
    <n v="71181"/>
    <x v="2"/>
    <n v="104566.1142"/>
    <s v="Paid"/>
    <d v="2024-06-01T00:00:00"/>
    <s v="Fixed"/>
    <d v="2024-03-25T00:00:00"/>
    <s v="YES"/>
  </r>
  <r>
    <n v="11182"/>
    <n v="5534"/>
    <x v="0"/>
    <n v="80885.8"/>
    <n v="16"/>
    <x v="1"/>
    <x v="3"/>
    <n v="28625.15"/>
    <x v="1"/>
    <s v="WH-B"/>
    <n v="1161"/>
    <d v="2024-03-10T00:00:00"/>
    <n v="3"/>
    <n v="91182"/>
    <x v="3"/>
    <d v="2024-05-18T00:00:00"/>
    <n v="0.13069"/>
    <n v="71182"/>
    <x v="1"/>
    <n v="109286.0128"/>
    <s v="pending"/>
    <d v="2024-04-10T00:00:00"/>
    <s v="Fixed"/>
    <d v="2024-03-25T00:00:00"/>
    <s v="NO"/>
  </r>
  <r>
    <n v="11183"/>
    <n v="6429"/>
    <x v="0"/>
    <n v="81112.33"/>
    <n v="80"/>
    <x v="2"/>
    <x v="3"/>
    <n v="61442.09"/>
    <x v="1"/>
    <s v="WH-A"/>
    <n v="1386"/>
    <d v="2024-04-15T00:00:00"/>
    <n v="12"/>
    <n v="91183"/>
    <x v="1"/>
    <d v="2024-04-01T00:00:00"/>
    <n v="0.71631999999999996"/>
    <n v="71183"/>
    <x v="0"/>
    <n v="205492.35370000001"/>
    <s v="Overdue"/>
    <d v="2024-06-01T00:00:00"/>
    <s v="Variable"/>
    <d v="2024-04-02T00:00:00"/>
    <s v="NO"/>
  </r>
  <r>
    <n v="11184"/>
    <n v="5838"/>
    <x v="1"/>
    <n v="71938.98"/>
    <n v="43"/>
    <x v="0"/>
    <x v="1"/>
    <n v="56367.82"/>
    <x v="2"/>
    <s v="WH-C"/>
    <n v="1139"/>
    <d v="2024-02-10T00:00:00"/>
    <n v="14"/>
    <n v="91184"/>
    <x v="0"/>
    <d v="2024-03-01T00:00:00"/>
    <n v="0.85396000000000005"/>
    <n v="71184"/>
    <x v="0"/>
    <n v="76696.120800000004"/>
    <s v="Overdue"/>
    <d v="2024-04-10T00:00:00"/>
    <s v="Fixed"/>
    <d v="2024-03-25T00:00:00"/>
    <s v="NO"/>
  </r>
  <r>
    <n v="11185"/>
    <n v="6537"/>
    <x v="0"/>
    <n v="36711.39"/>
    <n v="77"/>
    <x v="0"/>
    <x v="2"/>
    <n v="33540.19"/>
    <x v="1"/>
    <s v="WH-B"/>
    <n v="711"/>
    <d v="2024-03-10T00:00:00"/>
    <n v="9"/>
    <n v="91185"/>
    <x v="2"/>
    <d v="2024-03-01T00:00:00"/>
    <n v="0.73692999999999997"/>
    <n v="71185"/>
    <x v="1"/>
    <n v="188083.04430000001"/>
    <s v="Overdue"/>
    <d v="2024-05-10T00:00:00"/>
    <s v="Variable"/>
    <d v="2024-03-25T00:00:00"/>
    <s v="YES"/>
  </r>
  <r>
    <n v="11186"/>
    <n v="5645"/>
    <x v="1"/>
    <n v="69124.649999999994"/>
    <n v="7"/>
    <x v="1"/>
    <x v="0"/>
    <n v="148294.42000000001"/>
    <x v="2"/>
    <s v="WH-C"/>
    <n v="1093"/>
    <d v="2024-04-15T00:00:00"/>
    <n v="14"/>
    <n v="91186"/>
    <x v="3"/>
    <d v="2024-04-01T00:00:00"/>
    <n v="0.46529999999999999"/>
    <n v="71186"/>
    <x v="1"/>
    <n v="187808.3757"/>
    <s v="Paid"/>
    <d v="2024-04-10T00:00:00"/>
    <s v="Fixed"/>
    <d v="2024-03-25T00:00:00"/>
    <s v="NO"/>
  </r>
  <r>
    <n v="11187"/>
    <n v="5233"/>
    <x v="1"/>
    <n v="9091.14"/>
    <n v="51"/>
    <x v="3"/>
    <x v="2"/>
    <n v="109650.82"/>
    <x v="1"/>
    <s v="WH-B"/>
    <n v="82"/>
    <d v="2024-04-15T00:00:00"/>
    <n v="7"/>
    <n v="91187"/>
    <x v="2"/>
    <d v="2024-03-01T00:00:00"/>
    <n v="0.12801999999999999"/>
    <n v="71187"/>
    <x v="1"/>
    <n v="120527.88920000001"/>
    <s v="pending"/>
    <d v="2024-05-10T00:00:00"/>
    <s v="Variable"/>
    <d v="2024-03-25T00:00:00"/>
    <s v="NO"/>
  </r>
  <r>
    <n v="11188"/>
    <n v="5524"/>
    <x v="1"/>
    <n v="62825.72"/>
    <n v="73"/>
    <x v="0"/>
    <x v="0"/>
    <n v="55928.95"/>
    <x v="0"/>
    <s v="WH-B"/>
    <n v="607"/>
    <d v="2024-03-10T00:00:00"/>
    <n v="11"/>
    <n v="91188"/>
    <x v="3"/>
    <d v="2024-05-18T00:00:00"/>
    <n v="0.97065999999999997"/>
    <n v="71188"/>
    <x v="1"/>
    <n v="67430.343389999995"/>
    <s v="Paid"/>
    <d v="2024-04-10T00:00:00"/>
    <s v="Variable"/>
    <d v="2024-03-25T00:00:00"/>
    <s v="NO"/>
  </r>
  <r>
    <n v="11189"/>
    <n v="5346"/>
    <x v="1"/>
    <n v="77168.31"/>
    <n v="32"/>
    <x v="3"/>
    <x v="0"/>
    <n v="113176.65"/>
    <x v="1"/>
    <s v="WH-C"/>
    <n v="122"/>
    <d v="2024-04-15T00:00:00"/>
    <n v="10"/>
    <n v="91189"/>
    <x v="0"/>
    <d v="2024-04-01T00:00:00"/>
    <n v="0.98770000000000002"/>
    <n v="71189"/>
    <x v="1"/>
    <n v="61641.452649999999"/>
    <s v="Overdue"/>
    <d v="2024-04-10T00:00:00"/>
    <s v="Variable"/>
    <d v="2024-03-25T00:00:00"/>
    <s v="YES"/>
  </r>
  <r>
    <n v="11190"/>
    <n v="6070"/>
    <x v="0"/>
    <n v="38692.94"/>
    <n v="75"/>
    <x v="0"/>
    <x v="2"/>
    <n v="113168.79"/>
    <x v="1"/>
    <s v="WH-C"/>
    <n v="874"/>
    <d v="2024-04-15T00:00:00"/>
    <n v="10"/>
    <n v="91190"/>
    <x v="3"/>
    <d v="2024-04-01T00:00:00"/>
    <n v="0.59443000000000001"/>
    <n v="71190"/>
    <x v="2"/>
    <n v="168347.78964999999"/>
    <s v="Paid"/>
    <d v="2024-04-10T00:00:00"/>
    <s v="Variable"/>
    <d v="2024-04-02T00:00:00"/>
    <s v="YES"/>
  </r>
  <r>
    <n v="11191"/>
    <n v="5546"/>
    <x v="1"/>
    <n v="58454.53"/>
    <n v="8"/>
    <x v="0"/>
    <x v="3"/>
    <n v="59604.800000000003"/>
    <x v="1"/>
    <s v="WH-B"/>
    <n v="1416"/>
    <d v="2024-02-10T00:00:00"/>
    <n v="8"/>
    <n v="91191"/>
    <x v="2"/>
    <d v="2024-04-01T00:00:00"/>
    <n v="0.1636"/>
    <n v="71191"/>
    <x v="0"/>
    <n v="141162.44320000001"/>
    <s v="Overdue"/>
    <d v="2024-06-01T00:00:00"/>
    <s v="Variable"/>
    <d v="2024-03-25T00:00:00"/>
    <s v="NO"/>
  </r>
  <r>
    <n v="11192"/>
    <n v="6969"/>
    <x v="1"/>
    <n v="44418.67"/>
    <n v="97"/>
    <x v="3"/>
    <x v="1"/>
    <n v="44880.959999999999"/>
    <x v="2"/>
    <s v="WH-A"/>
    <n v="1206"/>
    <d v="2024-02-10T00:00:00"/>
    <n v="14"/>
    <n v="91192"/>
    <x v="3"/>
    <d v="2024-04-01T00:00:00"/>
    <n v="0.58687999999999996"/>
    <n v="71192"/>
    <x v="2"/>
    <n v="195841.63370000001"/>
    <s v="Overdue"/>
    <d v="2024-06-01T00:00:00"/>
    <s v="Fixed"/>
    <d v="2024-03-25T00:00:00"/>
    <s v="YES"/>
  </r>
  <r>
    <n v="11193"/>
    <n v="6102"/>
    <x v="1"/>
    <n v="88116.08"/>
    <n v="87"/>
    <x v="2"/>
    <x v="0"/>
    <n v="127971.32"/>
    <x v="0"/>
    <s v="WH-C"/>
    <n v="1128"/>
    <d v="2024-02-10T00:00:00"/>
    <n v="6"/>
    <n v="91193"/>
    <x v="0"/>
    <d v="2024-03-01T00:00:00"/>
    <n v="0.90310000000000001"/>
    <n v="71193"/>
    <x v="1"/>
    <n v="55079.308080000003"/>
    <s v="Paid"/>
    <d v="2024-06-01T00:00:00"/>
    <s v="Fixed"/>
    <d v="2024-03-25T00:00:00"/>
    <s v="YES"/>
  </r>
  <r>
    <n v="11194"/>
    <n v="6754"/>
    <x v="0"/>
    <n v="66729.13"/>
    <n v="89"/>
    <x v="0"/>
    <x v="3"/>
    <n v="178711.76"/>
    <x v="2"/>
    <s v="WH-B"/>
    <n v="110"/>
    <d v="2024-02-10T00:00:00"/>
    <n v="12"/>
    <n v="91194"/>
    <x v="3"/>
    <d v="2024-04-01T00:00:00"/>
    <n v="0.71199000000000001"/>
    <n v="71194"/>
    <x v="0"/>
    <n v="151324.25617000001"/>
    <s v="Overdue"/>
    <d v="2024-06-01T00:00:00"/>
    <s v="Variable"/>
    <d v="2024-03-25T00:00:00"/>
    <s v="YES"/>
  </r>
  <r>
    <n v="11195"/>
    <n v="6837"/>
    <x v="1"/>
    <n v="12040.58"/>
    <n v="72"/>
    <x v="0"/>
    <x v="0"/>
    <n v="71194.66"/>
    <x v="0"/>
    <s v="WH-B"/>
    <n v="321"/>
    <d v="2024-02-10T00:00:00"/>
    <n v="14"/>
    <n v="91195"/>
    <x v="2"/>
    <d v="2024-04-01T00:00:00"/>
    <n v="0.74799000000000004"/>
    <n v="71195"/>
    <x v="0"/>
    <n v="108224.9806"/>
    <s v="Overdue"/>
    <d v="2024-06-01T00:00:00"/>
    <s v="Fixed"/>
    <d v="2024-03-25T00:00:00"/>
    <s v="YES"/>
  </r>
  <r>
    <n v="11196"/>
    <n v="6947"/>
    <x v="1"/>
    <n v="51703.73"/>
    <n v="45"/>
    <x v="3"/>
    <x v="1"/>
    <n v="173109.2"/>
    <x v="1"/>
    <s v="WH-A"/>
    <n v="295"/>
    <d v="2024-02-10T00:00:00"/>
    <n v="11"/>
    <n v="91196"/>
    <x v="0"/>
    <d v="2024-03-01T00:00:00"/>
    <n v="0.17646999999999999"/>
    <n v="71196"/>
    <x v="2"/>
    <n v="210241.79639999999"/>
    <s v="pending"/>
    <d v="2024-04-10T00:00:00"/>
    <s v="Variable"/>
    <d v="2024-03-25T00:00:00"/>
    <s v="YES"/>
  </r>
  <r>
    <n v="11197"/>
    <n v="6097"/>
    <x v="0"/>
    <n v="74545.5"/>
    <n v="86"/>
    <x v="2"/>
    <x v="0"/>
    <n v="39828.31"/>
    <x v="1"/>
    <s v="WH-A"/>
    <n v="1249"/>
    <d v="2024-03-10T00:00:00"/>
    <n v="14"/>
    <n v="91197"/>
    <x v="2"/>
    <d v="2024-04-01T00:00:00"/>
    <n v="0.19586000000000001"/>
    <n v="71197"/>
    <x v="1"/>
    <n v="211796.9405"/>
    <s v="Paid"/>
    <d v="2024-06-01T00:00:00"/>
    <s v="Fixed"/>
    <d v="2024-03-25T00:00:00"/>
    <s v="NO"/>
  </r>
  <r>
    <n v="11198"/>
    <n v="5794"/>
    <x v="1"/>
    <n v="11304.9"/>
    <n v="59"/>
    <x v="0"/>
    <x v="1"/>
    <n v="132058.63"/>
    <x v="1"/>
    <s v="WH-A"/>
    <n v="677"/>
    <d v="2024-02-10T00:00:00"/>
    <n v="5"/>
    <n v="91198"/>
    <x v="3"/>
    <d v="2024-03-01T00:00:00"/>
    <n v="0.21461"/>
    <n v="71198"/>
    <x v="0"/>
    <n v="79511.068700000003"/>
    <s v="Paid"/>
    <d v="2024-05-10T00:00:00"/>
    <s v="Variable"/>
    <d v="2024-03-25T00:00:00"/>
    <s v="YES"/>
  </r>
  <r>
    <n v="11199"/>
    <n v="5249"/>
    <x v="0"/>
    <n v="39667.61"/>
    <n v="4"/>
    <x v="0"/>
    <x v="1"/>
    <n v="151723.96"/>
    <x v="2"/>
    <s v="WH-C"/>
    <n v="1390"/>
    <d v="2024-04-15T00:00:00"/>
    <n v="8"/>
    <n v="91199"/>
    <x v="1"/>
    <d v="2024-03-01T00:00:00"/>
    <n v="0.91393999999999997"/>
    <n v="71199"/>
    <x v="1"/>
    <n v="125001.9442"/>
    <s v="Overdue"/>
    <d v="2024-04-10T00:00:00"/>
    <s v="Variable"/>
    <d v="2024-04-02T00:00:00"/>
    <s v="YES"/>
  </r>
  <r>
    <n v="11200"/>
    <n v="5047"/>
    <x v="1"/>
    <n v="61808.57"/>
    <n v="67"/>
    <x v="2"/>
    <x v="0"/>
    <n v="170234"/>
    <x v="1"/>
    <s v="WH-B"/>
    <n v="754"/>
    <d v="2024-03-10T00:00:00"/>
    <n v="3"/>
    <n v="91200"/>
    <x v="2"/>
    <d v="2024-04-01T00:00:00"/>
    <n v="0.57325999999999999"/>
    <n v="71200"/>
    <x v="2"/>
    <n v="122103.08727"/>
    <s v="Overdue"/>
    <d v="2024-04-10T00:00:00"/>
    <s v="Variable"/>
    <d v="2024-03-25T00:00:00"/>
    <s v="YES"/>
  </r>
  <r>
    <n v="11201"/>
    <n v="6145"/>
    <x v="1"/>
    <n v="19327.73"/>
    <n v="29"/>
    <x v="0"/>
    <x v="0"/>
    <n v="112264.11"/>
    <x v="2"/>
    <s v="WH-B"/>
    <n v="711"/>
    <d v="2024-04-15T00:00:00"/>
    <n v="12"/>
    <n v="91201"/>
    <x v="3"/>
    <d v="2024-05-18T00:00:00"/>
    <n v="0.81242000000000003"/>
    <n v="71201"/>
    <x v="2"/>
    <n v="162027.64653999999"/>
    <s v="Paid"/>
    <d v="2024-05-10T00:00:00"/>
    <s v="Fixed"/>
    <d v="2024-04-02T00:00:00"/>
    <s v="YES"/>
  </r>
  <r>
    <n v="11202"/>
    <n v="5214"/>
    <x v="1"/>
    <n v="70950"/>
    <n v="29"/>
    <x v="2"/>
    <x v="1"/>
    <n v="169427.04"/>
    <x v="2"/>
    <s v="WH-B"/>
    <n v="1204"/>
    <d v="2024-02-10T00:00:00"/>
    <n v="13"/>
    <n v="91202"/>
    <x v="1"/>
    <d v="2024-04-01T00:00:00"/>
    <n v="0.20376"/>
    <n v="71202"/>
    <x v="1"/>
    <n v="63262.880870000001"/>
    <s v="Paid"/>
    <d v="2024-06-01T00:00:00"/>
    <s v="Variable"/>
    <d v="2024-03-25T00:00:00"/>
    <s v="NO"/>
  </r>
  <r>
    <n v="11203"/>
    <n v="5239"/>
    <x v="1"/>
    <n v="87953.16"/>
    <n v="98"/>
    <x v="2"/>
    <x v="3"/>
    <n v="120320.48"/>
    <x v="0"/>
    <s v="WH-A"/>
    <n v="1175"/>
    <d v="2024-02-10T00:00:00"/>
    <n v="13"/>
    <n v="91203"/>
    <x v="1"/>
    <d v="2024-05-18T00:00:00"/>
    <n v="0.93488000000000004"/>
    <n v="71203"/>
    <x v="2"/>
    <n v="151796.125"/>
    <s v="Paid"/>
    <d v="2024-05-10T00:00:00"/>
    <s v="Variable"/>
    <d v="2024-03-25T00:00:00"/>
    <s v="YES"/>
  </r>
  <r>
    <n v="11204"/>
    <n v="6080"/>
    <x v="1"/>
    <n v="65647.47"/>
    <n v="98"/>
    <x v="3"/>
    <x v="2"/>
    <n v="107337.24"/>
    <x v="2"/>
    <s v="WH-B"/>
    <n v="359"/>
    <d v="2024-04-15T00:00:00"/>
    <n v="7"/>
    <n v="91204"/>
    <x v="0"/>
    <d v="2024-03-01T00:00:00"/>
    <n v="0.83903000000000005"/>
    <n v="71204"/>
    <x v="0"/>
    <n v="189655.17720000001"/>
    <s v="Overdue"/>
    <d v="2024-04-10T00:00:00"/>
    <s v="Variable"/>
    <d v="2024-04-02T00:00:00"/>
    <s v="YES"/>
  </r>
  <r>
    <n v="11205"/>
    <n v="5350"/>
    <x v="0"/>
    <n v="69201.009999999995"/>
    <n v="28"/>
    <x v="1"/>
    <x v="1"/>
    <n v="125380.06"/>
    <x v="0"/>
    <s v="WH-C"/>
    <n v="1365"/>
    <d v="2024-04-15T00:00:00"/>
    <n v="2"/>
    <n v="91205"/>
    <x v="1"/>
    <d v="2024-05-18T00:00:00"/>
    <n v="0.30229"/>
    <n v="71205"/>
    <x v="2"/>
    <n v="209281.291"/>
    <s v="pending"/>
    <d v="2024-04-10T00:00:00"/>
    <s v="Variable"/>
    <d v="2024-04-02T00:00:00"/>
    <s v="YES"/>
  </r>
  <r>
    <n v="11206"/>
    <n v="5107"/>
    <x v="1"/>
    <n v="28235.17"/>
    <n v="77"/>
    <x v="2"/>
    <x v="0"/>
    <n v="36279.5"/>
    <x v="1"/>
    <s v="WH-A"/>
    <n v="544"/>
    <d v="2024-04-15T00:00:00"/>
    <n v="3"/>
    <n v="91206"/>
    <x v="2"/>
    <d v="2024-04-01T00:00:00"/>
    <n v="0.88675999999999999"/>
    <n v="71206"/>
    <x v="2"/>
    <n v="103289.7481"/>
    <s v="pending"/>
    <d v="2024-04-10T00:00:00"/>
    <s v="Fixed"/>
    <d v="2024-03-25T00:00:00"/>
    <s v="YES"/>
  </r>
  <r>
    <n v="11207"/>
    <n v="5831"/>
    <x v="1"/>
    <n v="9643.32"/>
    <n v="79"/>
    <x v="3"/>
    <x v="0"/>
    <n v="65689.22"/>
    <x v="2"/>
    <s v="WH-A"/>
    <n v="1434"/>
    <d v="2024-03-10T00:00:00"/>
    <n v="13"/>
    <n v="91207"/>
    <x v="2"/>
    <d v="2024-04-01T00:00:00"/>
    <n v="0.33710000000000001"/>
    <n v="71207"/>
    <x v="0"/>
    <n v="64436.906600000002"/>
    <s v="Overdue"/>
    <d v="2024-05-10T00:00:00"/>
    <s v="Fixed"/>
    <d v="2024-03-25T00:00:00"/>
    <s v="NO"/>
  </r>
  <r>
    <n v="11208"/>
    <n v="5048"/>
    <x v="1"/>
    <n v="85873.02"/>
    <n v="87"/>
    <x v="1"/>
    <x v="3"/>
    <n v="121122.38"/>
    <x v="2"/>
    <s v="WH-A"/>
    <n v="387"/>
    <d v="2024-02-10T00:00:00"/>
    <n v="12"/>
    <n v="91208"/>
    <x v="1"/>
    <d v="2024-05-18T00:00:00"/>
    <n v="0.28481000000000001"/>
    <n v="71208"/>
    <x v="1"/>
    <n v="97884.908030000006"/>
    <s v="Overdue"/>
    <d v="2024-06-01T00:00:00"/>
    <s v="Fixed"/>
    <d v="2024-04-02T00:00:00"/>
    <s v="YES"/>
  </r>
  <r>
    <n v="11209"/>
    <n v="6597"/>
    <x v="1"/>
    <n v="9989.74"/>
    <n v="44"/>
    <x v="0"/>
    <x v="2"/>
    <n v="114963.88"/>
    <x v="1"/>
    <s v="WH-A"/>
    <n v="628"/>
    <d v="2024-04-15T00:00:00"/>
    <n v="2"/>
    <n v="91209"/>
    <x v="3"/>
    <d v="2024-04-01T00:00:00"/>
    <n v="0.33782000000000001"/>
    <n v="71209"/>
    <x v="2"/>
    <n v="199642.70456000001"/>
    <s v="Overdue"/>
    <d v="2024-04-10T00:00:00"/>
    <s v="Variable"/>
    <d v="2024-03-25T00:00:00"/>
    <s v="NO"/>
  </r>
  <r>
    <n v="11210"/>
    <n v="5337"/>
    <x v="1"/>
    <n v="73032.539999999994"/>
    <n v="90"/>
    <x v="1"/>
    <x v="1"/>
    <n v="32732.6"/>
    <x v="2"/>
    <s v="WH-C"/>
    <n v="59"/>
    <d v="2024-02-10T00:00:00"/>
    <n v="5"/>
    <n v="91210"/>
    <x v="2"/>
    <d v="2024-05-18T00:00:00"/>
    <n v="0.91896"/>
    <n v="71210"/>
    <x v="1"/>
    <n v="175233.28408000001"/>
    <s v="Paid"/>
    <d v="2024-06-01T00:00:00"/>
    <s v="Variable"/>
    <d v="2024-03-25T00:00:00"/>
    <s v="NO"/>
  </r>
  <r>
    <n v="11211"/>
    <n v="6050"/>
    <x v="1"/>
    <n v="37354.65"/>
    <n v="4"/>
    <x v="2"/>
    <x v="1"/>
    <n v="64221.83"/>
    <x v="2"/>
    <s v="WH-B"/>
    <n v="98"/>
    <d v="2024-04-15T00:00:00"/>
    <n v="7"/>
    <n v="91211"/>
    <x v="2"/>
    <d v="2024-03-01T00:00:00"/>
    <n v="0.92403000000000002"/>
    <n v="71211"/>
    <x v="0"/>
    <n v="148001.16630000001"/>
    <s v="Overdue"/>
    <d v="2024-04-10T00:00:00"/>
    <s v="Fixed"/>
    <d v="2024-03-25T00:00:00"/>
    <s v="NO"/>
  </r>
  <r>
    <n v="11212"/>
    <n v="5804"/>
    <x v="1"/>
    <n v="61268.11"/>
    <n v="90"/>
    <x v="2"/>
    <x v="2"/>
    <n v="113402.58"/>
    <x v="1"/>
    <s v="WH-C"/>
    <n v="672"/>
    <d v="2024-02-10T00:00:00"/>
    <n v="11"/>
    <n v="91212"/>
    <x v="0"/>
    <d v="2024-05-18T00:00:00"/>
    <n v="0.39610000000000001"/>
    <n v="71212"/>
    <x v="1"/>
    <n v="86283.019079999998"/>
    <s v="Paid"/>
    <d v="2024-06-01T00:00:00"/>
    <s v="Variable"/>
    <d v="2024-03-25T00:00:00"/>
    <s v="YES"/>
  </r>
  <r>
    <n v="11213"/>
    <n v="6281"/>
    <x v="0"/>
    <n v="29804.57"/>
    <n v="9"/>
    <x v="2"/>
    <x v="1"/>
    <n v="15912.51"/>
    <x v="1"/>
    <s v="WH-B"/>
    <n v="1394"/>
    <d v="2024-03-10T00:00:00"/>
    <n v="10"/>
    <n v="91213"/>
    <x v="3"/>
    <d v="2024-05-18T00:00:00"/>
    <n v="0.73489000000000004"/>
    <n v="71213"/>
    <x v="1"/>
    <n v="152201.73139999999"/>
    <s v="pending"/>
    <d v="2024-05-10T00:00:00"/>
    <s v="Variable"/>
    <d v="2024-03-25T00:00:00"/>
    <s v="YES"/>
  </r>
  <r>
    <n v="11214"/>
    <n v="5008"/>
    <x v="1"/>
    <n v="19304.830000000002"/>
    <n v="5"/>
    <x v="2"/>
    <x v="2"/>
    <n v="101010.94"/>
    <x v="1"/>
    <s v="WH-C"/>
    <n v="780"/>
    <d v="2024-02-10T00:00:00"/>
    <n v="11"/>
    <n v="91214"/>
    <x v="1"/>
    <d v="2024-05-18T00:00:00"/>
    <n v="0.70816999999999997"/>
    <n v="71214"/>
    <x v="1"/>
    <n v="152247.1655"/>
    <s v="Overdue"/>
    <d v="2024-04-10T00:00:00"/>
    <s v="Variable"/>
    <d v="2024-03-25T00:00:00"/>
    <s v="NO"/>
  </r>
  <r>
    <n v="11215"/>
    <n v="5625"/>
    <x v="1"/>
    <n v="16900.32"/>
    <n v="56"/>
    <x v="2"/>
    <x v="0"/>
    <n v="11345.95"/>
    <x v="2"/>
    <s v="WH-A"/>
    <n v="844"/>
    <d v="2024-04-15T00:00:00"/>
    <n v="11"/>
    <n v="91215"/>
    <x v="3"/>
    <d v="2024-05-18T00:00:00"/>
    <n v="0.82591000000000003"/>
    <n v="71215"/>
    <x v="1"/>
    <n v="204768.03219999999"/>
    <s v="Overdue"/>
    <d v="2024-04-10T00:00:00"/>
    <s v="Variable"/>
    <d v="2024-04-02T00:00:00"/>
    <s v="NO"/>
  </r>
  <r>
    <n v="11216"/>
    <n v="6891"/>
    <x v="1"/>
    <n v="89250.19"/>
    <n v="96"/>
    <x v="3"/>
    <x v="2"/>
    <n v="110484.82"/>
    <x v="1"/>
    <s v="WH-A"/>
    <n v="1020"/>
    <d v="2024-02-10T00:00:00"/>
    <n v="11"/>
    <n v="91216"/>
    <x v="0"/>
    <d v="2024-03-01T00:00:00"/>
    <n v="0.36686000000000002"/>
    <n v="71216"/>
    <x v="2"/>
    <n v="175299.6096"/>
    <s v="Paid"/>
    <d v="2024-04-10T00:00:00"/>
    <s v="Fixed"/>
    <d v="2024-03-25T00:00:00"/>
    <s v="YES"/>
  </r>
  <r>
    <n v="11217"/>
    <n v="6277"/>
    <x v="1"/>
    <n v="75150.48"/>
    <n v="84"/>
    <x v="2"/>
    <x v="1"/>
    <n v="72726.850000000006"/>
    <x v="1"/>
    <s v="WH-C"/>
    <n v="182"/>
    <d v="2024-03-10T00:00:00"/>
    <n v="10"/>
    <n v="91217"/>
    <x v="0"/>
    <d v="2024-03-01T00:00:00"/>
    <n v="0.55911999999999995"/>
    <n v="71217"/>
    <x v="1"/>
    <n v="162833.95980000001"/>
    <s v="Paid"/>
    <d v="2024-05-10T00:00:00"/>
    <s v="Variable"/>
    <d v="2024-04-02T00:00:00"/>
    <s v="YES"/>
  </r>
  <r>
    <n v="11218"/>
    <n v="6716"/>
    <x v="0"/>
    <n v="26284.43"/>
    <n v="50"/>
    <x v="3"/>
    <x v="2"/>
    <n v="53985.440000000002"/>
    <x v="1"/>
    <s v="WH-C"/>
    <n v="132"/>
    <d v="2024-03-10T00:00:00"/>
    <n v="13"/>
    <n v="91218"/>
    <x v="3"/>
    <d v="2024-03-01T00:00:00"/>
    <n v="0.70091000000000003"/>
    <n v="71218"/>
    <x v="1"/>
    <n v="196785.71220000001"/>
    <s v="Paid"/>
    <d v="2024-05-10T00:00:00"/>
    <s v="Variable"/>
    <d v="2024-03-25T00:00:00"/>
    <s v="YES"/>
  </r>
  <r>
    <n v="11219"/>
    <n v="5719"/>
    <x v="1"/>
    <n v="47367.7"/>
    <n v="75"/>
    <x v="0"/>
    <x v="3"/>
    <n v="140871.37"/>
    <x v="0"/>
    <s v="WH-B"/>
    <n v="106"/>
    <d v="2024-02-10T00:00:00"/>
    <n v="14"/>
    <n v="91219"/>
    <x v="0"/>
    <d v="2024-05-18T00:00:00"/>
    <n v="0.12363"/>
    <n v="71219"/>
    <x v="1"/>
    <n v="117882.898"/>
    <s v="pending"/>
    <d v="2024-06-01T00:00:00"/>
    <s v="Variable"/>
    <d v="2024-04-02T00:00:00"/>
    <s v="YES"/>
  </r>
  <r>
    <n v="11220"/>
    <n v="5303"/>
    <x v="1"/>
    <n v="57163.6"/>
    <n v="15"/>
    <x v="2"/>
    <x v="0"/>
    <n v="38787.29"/>
    <x v="1"/>
    <s v="WH-C"/>
    <n v="425"/>
    <d v="2024-04-15T00:00:00"/>
    <n v="1"/>
    <n v="91220"/>
    <x v="0"/>
    <d v="2024-03-01T00:00:00"/>
    <n v="0.43906000000000001"/>
    <n v="71220"/>
    <x v="1"/>
    <n v="97009.641879999996"/>
    <s v="pending"/>
    <d v="2024-05-10T00:00:00"/>
    <s v="Fixed"/>
    <d v="2024-04-02T00:00:00"/>
    <s v="YES"/>
  </r>
  <r>
    <n v="11221"/>
    <n v="5639"/>
    <x v="1"/>
    <n v="59897.64"/>
    <n v="32"/>
    <x v="2"/>
    <x v="0"/>
    <n v="127768.66"/>
    <x v="0"/>
    <s v="WH-C"/>
    <n v="398"/>
    <d v="2024-03-10T00:00:00"/>
    <n v="13"/>
    <n v="91221"/>
    <x v="0"/>
    <d v="2024-04-01T00:00:00"/>
    <n v="0.72629999999999995"/>
    <n v="71221"/>
    <x v="1"/>
    <n v="106184.93550000001"/>
    <s v="Overdue"/>
    <d v="2024-04-10T00:00:00"/>
    <s v="Variable"/>
    <d v="2024-04-02T00:00:00"/>
    <s v="NO"/>
  </r>
  <r>
    <n v="11222"/>
    <n v="5056"/>
    <x v="1"/>
    <n v="19042.86"/>
    <n v="28"/>
    <x v="1"/>
    <x v="2"/>
    <n v="44168.9"/>
    <x v="2"/>
    <s v="WH-B"/>
    <n v="320"/>
    <d v="2024-03-10T00:00:00"/>
    <n v="10"/>
    <n v="91222"/>
    <x v="3"/>
    <d v="2024-03-01T00:00:00"/>
    <n v="0.32734000000000002"/>
    <n v="71222"/>
    <x v="1"/>
    <n v="117523.02095999999"/>
    <s v="Overdue"/>
    <d v="2024-06-01T00:00:00"/>
    <s v="Variable"/>
    <d v="2024-03-25T00:00:00"/>
    <s v="NO"/>
  </r>
  <r>
    <n v="11223"/>
    <n v="5726"/>
    <x v="1"/>
    <n v="70376.17"/>
    <n v="22"/>
    <x v="0"/>
    <x v="1"/>
    <n v="16541.259999999998"/>
    <x v="1"/>
    <s v="WH-B"/>
    <n v="160"/>
    <d v="2024-02-10T00:00:00"/>
    <n v="9"/>
    <n v="91223"/>
    <x v="0"/>
    <d v="2024-05-18T00:00:00"/>
    <n v="0.96192999999999995"/>
    <n v="71223"/>
    <x v="0"/>
    <n v="80809.046100000007"/>
    <s v="Paid"/>
    <d v="2024-05-10T00:00:00"/>
    <s v="Variable"/>
    <d v="2024-04-02T00:00:00"/>
    <s v="YES"/>
  </r>
  <r>
    <n v="11224"/>
    <n v="5526"/>
    <x v="1"/>
    <n v="60229.23"/>
    <n v="17"/>
    <x v="2"/>
    <x v="3"/>
    <n v="160080.04999999999"/>
    <x v="2"/>
    <s v="WH-B"/>
    <n v="918"/>
    <d v="2024-03-10T00:00:00"/>
    <n v="1"/>
    <n v="91224"/>
    <x v="1"/>
    <d v="2024-04-01T00:00:00"/>
    <n v="0.12715000000000001"/>
    <n v="71224"/>
    <x v="1"/>
    <n v="116743.73869"/>
    <s v="pending"/>
    <d v="2024-06-01T00:00:00"/>
    <s v="Variable"/>
    <d v="2024-04-02T00:00:00"/>
    <s v="YES"/>
  </r>
  <r>
    <n v="11225"/>
    <n v="5474"/>
    <x v="1"/>
    <n v="22230.99"/>
    <n v="59"/>
    <x v="2"/>
    <x v="0"/>
    <n v="138317.88"/>
    <x v="2"/>
    <s v="WH-C"/>
    <n v="936"/>
    <d v="2024-03-10T00:00:00"/>
    <n v="1"/>
    <n v="91225"/>
    <x v="1"/>
    <d v="2024-05-18T00:00:00"/>
    <n v="0.96228000000000002"/>
    <n v="71225"/>
    <x v="0"/>
    <n v="157439.80132999999"/>
    <s v="Overdue"/>
    <d v="2024-06-01T00:00:00"/>
    <s v="Variable"/>
    <d v="2024-04-02T00:00:00"/>
    <s v="YES"/>
  </r>
  <r>
    <n v="11226"/>
    <n v="5028"/>
    <x v="1"/>
    <n v="48438.39"/>
    <n v="90"/>
    <x v="0"/>
    <x v="0"/>
    <n v="139950.88"/>
    <x v="1"/>
    <s v="WH-B"/>
    <n v="125"/>
    <d v="2024-04-15T00:00:00"/>
    <n v="14"/>
    <n v="91226"/>
    <x v="2"/>
    <d v="2024-04-01T00:00:00"/>
    <n v="0.29509000000000002"/>
    <n v="71226"/>
    <x v="1"/>
    <n v="199934.3309"/>
    <s v="Paid"/>
    <d v="2024-06-01T00:00:00"/>
    <s v="Variable"/>
    <d v="2024-04-02T00:00:00"/>
    <s v="YES"/>
  </r>
  <r>
    <n v="11227"/>
    <n v="5078"/>
    <x v="0"/>
    <n v="77794.009999999995"/>
    <n v="71"/>
    <x v="3"/>
    <x v="1"/>
    <n v="148831.72"/>
    <x v="2"/>
    <s v="WH-A"/>
    <n v="1231"/>
    <d v="2024-04-15T00:00:00"/>
    <n v="12"/>
    <n v="91227"/>
    <x v="1"/>
    <d v="2024-05-18T00:00:00"/>
    <n v="0.14394000000000001"/>
    <n v="71227"/>
    <x v="0"/>
    <n v="172392.2139"/>
    <s v="Paid"/>
    <d v="2024-04-10T00:00:00"/>
    <s v="Variable"/>
    <d v="2024-04-02T00:00:00"/>
    <s v="NO"/>
  </r>
  <r>
    <n v="11228"/>
    <n v="6240"/>
    <x v="1"/>
    <n v="58899.91"/>
    <n v="57"/>
    <x v="2"/>
    <x v="1"/>
    <n v="51195.42"/>
    <x v="1"/>
    <s v="WH-A"/>
    <n v="378"/>
    <d v="2024-04-15T00:00:00"/>
    <n v="10"/>
    <n v="91228"/>
    <x v="2"/>
    <d v="2024-05-18T00:00:00"/>
    <n v="0.36323"/>
    <n v="71228"/>
    <x v="1"/>
    <n v="189388.98564999999"/>
    <s v="pending"/>
    <d v="2024-04-10T00:00:00"/>
    <s v="Variable"/>
    <d v="2024-04-02T00:00:00"/>
    <s v="NO"/>
  </r>
  <r>
    <n v="11229"/>
    <n v="6410"/>
    <x v="1"/>
    <n v="80990.850000000006"/>
    <n v="26"/>
    <x v="1"/>
    <x v="3"/>
    <n v="106426.03"/>
    <x v="0"/>
    <s v="WH-A"/>
    <n v="171"/>
    <d v="2024-02-10T00:00:00"/>
    <n v="8"/>
    <n v="91229"/>
    <x v="3"/>
    <d v="2024-04-01T00:00:00"/>
    <n v="0.80764999999999998"/>
    <n v="71229"/>
    <x v="0"/>
    <n v="201056.51250000001"/>
    <s v="pending"/>
    <d v="2024-05-10T00:00:00"/>
    <s v="Variable"/>
    <d v="2024-04-02T00:00:00"/>
    <s v="YES"/>
  </r>
  <r>
    <n v="11230"/>
    <n v="5365"/>
    <x v="0"/>
    <n v="57450.7"/>
    <n v="25"/>
    <x v="2"/>
    <x v="2"/>
    <n v="118563.06"/>
    <x v="2"/>
    <s v="WH-C"/>
    <n v="90"/>
    <d v="2024-03-10T00:00:00"/>
    <n v="6"/>
    <n v="91230"/>
    <x v="0"/>
    <d v="2024-03-01T00:00:00"/>
    <n v="0.7772"/>
    <n v="71230"/>
    <x v="1"/>
    <n v="133476.37810999999"/>
    <s v="Overdue"/>
    <d v="2024-04-10T00:00:00"/>
    <s v="Variable"/>
    <d v="2024-03-25T00:00:00"/>
    <s v="NO"/>
  </r>
  <r>
    <n v="11231"/>
    <n v="5666"/>
    <x v="1"/>
    <n v="34274.14"/>
    <n v="10"/>
    <x v="1"/>
    <x v="1"/>
    <n v="143216.97"/>
    <x v="1"/>
    <s v="WH-A"/>
    <n v="1240"/>
    <d v="2024-02-10T00:00:00"/>
    <n v="6"/>
    <n v="91231"/>
    <x v="1"/>
    <d v="2024-04-01T00:00:00"/>
    <n v="0.28795999999999999"/>
    <n v="71231"/>
    <x v="1"/>
    <n v="161734.14859999999"/>
    <s v="Overdue"/>
    <d v="2024-06-01T00:00:00"/>
    <s v="Variable"/>
    <d v="2024-04-02T00:00:00"/>
    <s v="YES"/>
  </r>
  <r>
    <n v="11232"/>
    <n v="5526"/>
    <x v="1"/>
    <n v="84983.41"/>
    <n v="45"/>
    <x v="1"/>
    <x v="2"/>
    <n v="79708.3"/>
    <x v="1"/>
    <s v="WH-C"/>
    <n v="971"/>
    <d v="2024-03-10T00:00:00"/>
    <n v="12"/>
    <n v="91232"/>
    <x v="2"/>
    <d v="2024-04-01T00:00:00"/>
    <n v="0.27711000000000002"/>
    <n v="71232"/>
    <x v="1"/>
    <n v="106895.73205000001"/>
    <s v="Paid"/>
    <d v="2024-06-01T00:00:00"/>
    <s v="Variable"/>
    <d v="2024-04-02T00:00:00"/>
    <s v="NO"/>
  </r>
  <r>
    <n v="11233"/>
    <n v="5699"/>
    <x v="1"/>
    <n v="71072.160000000003"/>
    <n v="83"/>
    <x v="2"/>
    <x v="3"/>
    <n v="121898.34"/>
    <x v="2"/>
    <s v="WH-C"/>
    <n v="691"/>
    <d v="2024-03-10T00:00:00"/>
    <n v="9"/>
    <n v="91233"/>
    <x v="3"/>
    <d v="2024-04-01T00:00:00"/>
    <n v="0.67832000000000003"/>
    <n v="71233"/>
    <x v="2"/>
    <n v="76819.390650000001"/>
    <s v="Paid"/>
    <d v="2024-04-10T00:00:00"/>
    <s v="Variable"/>
    <d v="2024-03-25T00:00:00"/>
    <s v="YES"/>
  </r>
  <r>
    <n v="11234"/>
    <n v="6336"/>
    <x v="1"/>
    <n v="57830.26"/>
    <n v="11"/>
    <x v="2"/>
    <x v="2"/>
    <n v="79237.11"/>
    <x v="0"/>
    <s v="WH-A"/>
    <n v="1096"/>
    <d v="2024-03-10T00:00:00"/>
    <n v="4"/>
    <n v="91234"/>
    <x v="2"/>
    <d v="2024-04-01T00:00:00"/>
    <n v="0.51227"/>
    <n v="71234"/>
    <x v="2"/>
    <n v="87121.655400000003"/>
    <s v="Paid"/>
    <d v="2024-06-01T00:00:00"/>
    <s v="Fixed"/>
    <d v="2024-03-25T00:00:00"/>
    <s v="YES"/>
  </r>
  <r>
    <n v="11235"/>
    <n v="5883"/>
    <x v="0"/>
    <n v="45977.71"/>
    <n v="77"/>
    <x v="1"/>
    <x v="0"/>
    <n v="48978.83"/>
    <x v="1"/>
    <s v="WH-B"/>
    <n v="328"/>
    <d v="2024-04-15T00:00:00"/>
    <n v="8"/>
    <n v="91235"/>
    <x v="0"/>
    <d v="2024-04-01T00:00:00"/>
    <n v="0.81306"/>
    <n v="71235"/>
    <x v="1"/>
    <n v="92578.498099999997"/>
    <s v="Overdue"/>
    <d v="2024-04-10T00:00:00"/>
    <s v="Fixed"/>
    <d v="2024-04-02T00:00:00"/>
    <s v="YES"/>
  </r>
  <r>
    <n v="11236"/>
    <n v="6031"/>
    <x v="1"/>
    <n v="40464.49"/>
    <n v="53"/>
    <x v="0"/>
    <x v="2"/>
    <n v="132165.28"/>
    <x v="2"/>
    <s v="WH-C"/>
    <n v="812"/>
    <d v="2024-02-10T00:00:00"/>
    <n v="4"/>
    <n v="91236"/>
    <x v="1"/>
    <d v="2024-05-18T00:00:00"/>
    <n v="0.12171999999999999"/>
    <n v="71236"/>
    <x v="1"/>
    <n v="93558.641199999998"/>
    <s v="pending"/>
    <d v="2024-06-01T00:00:00"/>
    <s v="Fixed"/>
    <d v="2024-03-25T00:00:00"/>
    <s v="YES"/>
  </r>
  <r>
    <n v="11237"/>
    <n v="6027"/>
    <x v="0"/>
    <n v="45440.02"/>
    <n v="72"/>
    <x v="0"/>
    <x v="3"/>
    <n v="81571.22"/>
    <x v="2"/>
    <s v="WH-A"/>
    <n v="518"/>
    <d v="2024-02-10T00:00:00"/>
    <n v="14"/>
    <n v="91237"/>
    <x v="3"/>
    <d v="2024-05-18T00:00:00"/>
    <n v="0.64937"/>
    <n v="71237"/>
    <x v="2"/>
    <n v="86601.803400000004"/>
    <s v="Overdue"/>
    <d v="2024-05-10T00:00:00"/>
    <s v="Fixed"/>
    <d v="2024-04-02T00:00:00"/>
    <s v="NO"/>
  </r>
  <r>
    <n v="11238"/>
    <n v="6647"/>
    <x v="1"/>
    <n v="25219.35"/>
    <n v="68"/>
    <x v="2"/>
    <x v="3"/>
    <n v="24310.66"/>
    <x v="2"/>
    <s v="WH-C"/>
    <n v="1473"/>
    <d v="2024-03-10T00:00:00"/>
    <n v="2"/>
    <n v="91238"/>
    <x v="2"/>
    <d v="2024-03-01T00:00:00"/>
    <n v="0.75760000000000005"/>
    <n v="71238"/>
    <x v="2"/>
    <n v="88379.04"/>
    <s v="pending"/>
    <d v="2024-05-10T00:00:00"/>
    <s v="Variable"/>
    <d v="2024-04-02T00:00:00"/>
    <s v="YES"/>
  </r>
  <r>
    <n v="11239"/>
    <n v="5919"/>
    <x v="1"/>
    <n v="49398.99"/>
    <n v="95"/>
    <x v="3"/>
    <x v="3"/>
    <n v="130896.95"/>
    <x v="0"/>
    <s v="WH-B"/>
    <n v="58"/>
    <d v="2024-02-10T00:00:00"/>
    <n v="11"/>
    <n v="91239"/>
    <x v="3"/>
    <d v="2024-03-01T00:00:00"/>
    <n v="0.99404999999999999"/>
    <n v="71239"/>
    <x v="1"/>
    <n v="167470.40377"/>
    <s v="Overdue"/>
    <d v="2024-04-10T00:00:00"/>
    <s v="Fixed"/>
    <d v="2024-04-02T00:00:00"/>
    <s v="YES"/>
  </r>
  <r>
    <n v="11240"/>
    <n v="5750"/>
    <x v="1"/>
    <n v="8520.91"/>
    <n v="28"/>
    <x v="0"/>
    <x v="2"/>
    <n v="54942.97"/>
    <x v="1"/>
    <s v="WH-B"/>
    <n v="62"/>
    <d v="2024-04-15T00:00:00"/>
    <n v="8"/>
    <n v="91240"/>
    <x v="2"/>
    <d v="2024-04-01T00:00:00"/>
    <n v="0.71089999999999998"/>
    <n v="71240"/>
    <x v="1"/>
    <n v="98942.970390000002"/>
    <s v="Overdue"/>
    <d v="2024-04-10T00:00:00"/>
    <s v="Variable"/>
    <d v="2024-04-02T00:00:00"/>
    <s v="NO"/>
  </r>
  <r>
    <n v="11241"/>
    <n v="5363"/>
    <x v="0"/>
    <n v="45188.12"/>
    <n v="75"/>
    <x v="2"/>
    <x v="0"/>
    <n v="115750.94"/>
    <x v="1"/>
    <s v="WH-A"/>
    <n v="973"/>
    <d v="2024-02-10T00:00:00"/>
    <n v="12"/>
    <n v="91241"/>
    <x v="2"/>
    <d v="2024-03-01T00:00:00"/>
    <n v="0.30865999999999999"/>
    <n v="71241"/>
    <x v="2"/>
    <n v="123327.0384"/>
    <s v="pending"/>
    <d v="2024-04-10T00:00:00"/>
    <s v="Fixed"/>
    <d v="2024-04-02T00:00:00"/>
    <s v="YES"/>
  </r>
  <r>
    <n v="11242"/>
    <n v="6775"/>
    <x v="0"/>
    <n v="46079.839999999997"/>
    <n v="65"/>
    <x v="0"/>
    <x v="1"/>
    <n v="50023.69"/>
    <x v="1"/>
    <s v="WH-C"/>
    <n v="972"/>
    <d v="2024-03-10T00:00:00"/>
    <n v="7"/>
    <n v="91242"/>
    <x v="0"/>
    <d v="2024-03-01T00:00:00"/>
    <n v="0.19736999999999999"/>
    <n v="71242"/>
    <x v="2"/>
    <n v="144474.00743999999"/>
    <s v="Overdue"/>
    <d v="2024-04-10T00:00:00"/>
    <s v="Variable"/>
    <d v="2024-03-25T00:00:00"/>
    <s v="NO"/>
  </r>
  <r>
    <n v="11243"/>
    <n v="6532"/>
    <x v="0"/>
    <n v="9131.34"/>
    <n v="49"/>
    <x v="3"/>
    <x v="0"/>
    <n v="91668.71"/>
    <x v="1"/>
    <s v="WH-C"/>
    <n v="1125"/>
    <d v="2024-04-15T00:00:00"/>
    <n v="4"/>
    <n v="91243"/>
    <x v="0"/>
    <d v="2024-04-01T00:00:00"/>
    <n v="0.67683000000000004"/>
    <n v="71243"/>
    <x v="0"/>
    <n v="113143.76313000001"/>
    <s v="Overdue"/>
    <d v="2024-04-10T00:00:00"/>
    <s v="Fixed"/>
    <d v="2024-04-02T00:00:00"/>
    <s v="YES"/>
  </r>
  <r>
    <n v="11244"/>
    <n v="6298"/>
    <x v="1"/>
    <n v="25811.99"/>
    <n v="47"/>
    <x v="2"/>
    <x v="2"/>
    <n v="33327.019999999997"/>
    <x v="1"/>
    <s v="WH-C"/>
    <n v="1282"/>
    <d v="2024-04-15T00:00:00"/>
    <n v="9"/>
    <n v="91244"/>
    <x v="2"/>
    <d v="2024-05-18T00:00:00"/>
    <n v="0.57086000000000003"/>
    <n v="71244"/>
    <x v="0"/>
    <n v="113020.82832"/>
    <s v="Paid"/>
    <d v="2024-06-01T00:00:00"/>
    <s v="Variable"/>
    <d v="2024-03-25T00:00:00"/>
    <s v="NO"/>
  </r>
  <r>
    <n v="11245"/>
    <n v="6530"/>
    <x v="1"/>
    <n v="20102.61"/>
    <n v="52"/>
    <x v="3"/>
    <x v="2"/>
    <n v="106813.71"/>
    <x v="1"/>
    <s v="WH-C"/>
    <n v="1475"/>
    <d v="2024-03-10T00:00:00"/>
    <n v="9"/>
    <n v="91245"/>
    <x v="1"/>
    <d v="2024-05-18T00:00:00"/>
    <n v="0.90922999999999998"/>
    <n v="71245"/>
    <x v="1"/>
    <n v="196073.89543"/>
    <s v="pending"/>
    <d v="2024-05-10T00:00:00"/>
    <s v="Fixed"/>
    <d v="2024-04-02T00:00:00"/>
    <s v="NO"/>
  </r>
  <r>
    <n v="11246"/>
    <n v="5806"/>
    <x v="0"/>
    <n v="9568.93"/>
    <n v="88"/>
    <x v="2"/>
    <x v="1"/>
    <n v="67980.14"/>
    <x v="0"/>
    <s v="WH-A"/>
    <n v="1264"/>
    <d v="2024-02-10T00:00:00"/>
    <n v="8"/>
    <n v="91246"/>
    <x v="3"/>
    <d v="2024-03-01T00:00:00"/>
    <n v="0.75395000000000001"/>
    <n v="71246"/>
    <x v="2"/>
    <n v="189632.09529999999"/>
    <s v="pending"/>
    <d v="2024-06-01T00:00:00"/>
    <s v="Fixed"/>
    <d v="2024-03-25T00:00:00"/>
    <s v="YES"/>
  </r>
  <r>
    <n v="11247"/>
    <n v="5739"/>
    <x v="0"/>
    <n v="61136.81"/>
    <n v="54"/>
    <x v="3"/>
    <x v="2"/>
    <n v="69952.95"/>
    <x v="1"/>
    <s v="WH-B"/>
    <n v="1124"/>
    <d v="2024-03-10T00:00:00"/>
    <n v="14"/>
    <n v="91247"/>
    <x v="3"/>
    <d v="2024-05-18T00:00:00"/>
    <n v="0.55876999999999999"/>
    <n v="71247"/>
    <x v="1"/>
    <n v="53222.299290000003"/>
    <s v="Paid"/>
    <d v="2024-05-10T00:00:00"/>
    <s v="Fixed"/>
    <d v="2024-03-25T00:00:00"/>
    <s v="NO"/>
  </r>
  <r>
    <n v="11248"/>
    <n v="6907"/>
    <x v="1"/>
    <n v="85539.18"/>
    <n v="60"/>
    <x v="0"/>
    <x v="3"/>
    <n v="20518.73"/>
    <x v="2"/>
    <s v="WH-A"/>
    <n v="1466"/>
    <d v="2024-02-10T00:00:00"/>
    <n v="1"/>
    <n v="91248"/>
    <x v="0"/>
    <d v="2024-05-18T00:00:00"/>
    <n v="0.46322999999999998"/>
    <n v="71248"/>
    <x v="1"/>
    <n v="157141.73323000001"/>
    <s v="pending"/>
    <d v="2024-06-01T00:00:00"/>
    <s v="Variable"/>
    <d v="2024-04-02T00:00:00"/>
    <s v="YES"/>
  </r>
  <r>
    <n v="11249"/>
    <n v="6039"/>
    <x v="1"/>
    <n v="52989.03"/>
    <n v="57"/>
    <x v="0"/>
    <x v="3"/>
    <n v="139731.57"/>
    <x v="0"/>
    <s v="WH-C"/>
    <n v="702"/>
    <d v="2024-02-10T00:00:00"/>
    <n v="7"/>
    <n v="91249"/>
    <x v="1"/>
    <d v="2024-03-01T00:00:00"/>
    <n v="0.46394000000000002"/>
    <n v="71249"/>
    <x v="2"/>
    <n v="85404.810500000007"/>
    <s v="Paid"/>
    <d v="2024-06-01T00:00:00"/>
    <s v="Variable"/>
    <d v="2024-03-25T00:00:00"/>
    <s v="NO"/>
  </r>
  <r>
    <n v="11250"/>
    <n v="6216"/>
    <x v="0"/>
    <n v="63232.38"/>
    <n v="47"/>
    <x v="3"/>
    <x v="3"/>
    <n v="131810.41"/>
    <x v="2"/>
    <s v="WH-C"/>
    <n v="670"/>
    <d v="2024-04-15T00:00:00"/>
    <n v="5"/>
    <n v="91250"/>
    <x v="2"/>
    <d v="2024-04-01T00:00:00"/>
    <n v="0.30367"/>
    <n v="71250"/>
    <x v="1"/>
    <n v="140670.53969999999"/>
    <s v="pending"/>
    <d v="2024-06-01T00:00:00"/>
    <s v="Variable"/>
    <d v="2024-03-25T00:00:00"/>
    <s v="YES"/>
  </r>
  <r>
    <n v="11251"/>
    <n v="6655"/>
    <x v="1"/>
    <n v="16822.740000000002"/>
    <n v="31"/>
    <x v="3"/>
    <x v="3"/>
    <n v="38229.9"/>
    <x v="1"/>
    <s v="WH-B"/>
    <n v="1373"/>
    <d v="2024-03-10T00:00:00"/>
    <n v="7"/>
    <n v="91251"/>
    <x v="0"/>
    <d v="2024-03-01T00:00:00"/>
    <n v="0.11559"/>
    <n v="71251"/>
    <x v="1"/>
    <n v="94267.046489999993"/>
    <s v="pending"/>
    <d v="2024-04-10T00:00:00"/>
    <s v="Variable"/>
    <d v="2024-03-25T00:00:00"/>
    <s v="NO"/>
  </r>
  <r>
    <n v="11252"/>
    <n v="5485"/>
    <x v="0"/>
    <n v="69750.61"/>
    <n v="46"/>
    <x v="3"/>
    <x v="3"/>
    <n v="140870.67000000001"/>
    <x v="0"/>
    <s v="WH-C"/>
    <n v="245"/>
    <d v="2024-04-15T00:00:00"/>
    <n v="12"/>
    <n v="91252"/>
    <x v="2"/>
    <d v="2024-03-01T00:00:00"/>
    <n v="0.61741999999999997"/>
    <n v="71252"/>
    <x v="2"/>
    <n v="51370.930209999999"/>
    <s v="pending"/>
    <d v="2024-05-10T00:00:00"/>
    <s v="Fixed"/>
    <d v="2024-04-02T00:00:00"/>
    <s v="YES"/>
  </r>
  <r>
    <n v="11253"/>
    <n v="5028"/>
    <x v="0"/>
    <n v="18071.689999999999"/>
    <n v="26"/>
    <x v="2"/>
    <x v="2"/>
    <n v="67034.009999999995"/>
    <x v="1"/>
    <s v="WH-A"/>
    <n v="466"/>
    <d v="2024-03-10T00:00:00"/>
    <n v="9"/>
    <n v="91253"/>
    <x v="2"/>
    <d v="2024-03-01T00:00:00"/>
    <n v="0.29116999999999998"/>
    <n v="71253"/>
    <x v="2"/>
    <n v="56673.46056"/>
    <s v="pending"/>
    <d v="2024-04-10T00:00:00"/>
    <s v="Fixed"/>
    <d v="2024-03-25T00:00:00"/>
    <s v="NO"/>
  </r>
  <r>
    <n v="11254"/>
    <n v="5714"/>
    <x v="1"/>
    <n v="97414.94"/>
    <n v="5"/>
    <x v="0"/>
    <x v="1"/>
    <n v="128225.24"/>
    <x v="0"/>
    <s v="WH-A"/>
    <n v="713"/>
    <d v="2024-03-10T00:00:00"/>
    <n v="2"/>
    <n v="91254"/>
    <x v="0"/>
    <d v="2024-04-01T00:00:00"/>
    <n v="0.28749000000000002"/>
    <n v="71254"/>
    <x v="1"/>
    <n v="190187.63089999999"/>
    <s v="Paid"/>
    <d v="2024-04-10T00:00:00"/>
    <s v="Fixed"/>
    <d v="2024-03-25T00:00:00"/>
    <s v="NO"/>
  </r>
  <r>
    <n v="11255"/>
    <n v="6063"/>
    <x v="1"/>
    <n v="36048.9"/>
    <n v="84"/>
    <x v="2"/>
    <x v="1"/>
    <n v="67530.61"/>
    <x v="2"/>
    <s v="WH-B"/>
    <n v="1493"/>
    <d v="2024-04-15T00:00:00"/>
    <n v="13"/>
    <n v="91255"/>
    <x v="1"/>
    <d v="2024-04-01T00:00:00"/>
    <n v="0.21284"/>
    <n v="71255"/>
    <x v="2"/>
    <n v="119317.37654"/>
    <s v="Paid"/>
    <d v="2024-06-01T00:00:00"/>
    <s v="Variable"/>
    <d v="2024-04-02T00:00:00"/>
    <s v="YES"/>
  </r>
  <r>
    <n v="11256"/>
    <n v="6977"/>
    <x v="0"/>
    <n v="98754.880000000005"/>
    <n v="52"/>
    <x v="0"/>
    <x v="3"/>
    <n v="11020.13"/>
    <x v="1"/>
    <s v="WH-A"/>
    <n v="1429"/>
    <d v="2024-03-10T00:00:00"/>
    <n v="14"/>
    <n v="91256"/>
    <x v="3"/>
    <d v="2024-04-01T00:00:00"/>
    <n v="0.27063999999999999"/>
    <n v="71256"/>
    <x v="1"/>
    <n v="177370.66560000001"/>
    <s v="pending"/>
    <d v="2024-05-10T00:00:00"/>
    <s v="Variable"/>
    <d v="2024-03-25T00:00:00"/>
    <s v="YES"/>
  </r>
  <r>
    <n v="11257"/>
    <n v="6297"/>
    <x v="0"/>
    <n v="80166.990000000005"/>
    <n v="75"/>
    <x v="1"/>
    <x v="2"/>
    <n v="40903.019999999997"/>
    <x v="0"/>
    <s v="WH-A"/>
    <n v="197"/>
    <d v="2024-03-10T00:00:00"/>
    <n v="11"/>
    <n v="91257"/>
    <x v="0"/>
    <d v="2024-04-01T00:00:00"/>
    <n v="0.12861"/>
    <n v="71257"/>
    <x v="0"/>
    <n v="64310.647149999997"/>
    <s v="Overdue"/>
    <d v="2024-05-10T00:00:00"/>
    <s v="Variable"/>
    <d v="2024-04-02T00:00:00"/>
    <s v="YES"/>
  </r>
  <r>
    <n v="11258"/>
    <n v="6255"/>
    <x v="0"/>
    <n v="66729.3"/>
    <n v="54"/>
    <x v="2"/>
    <x v="0"/>
    <n v="133185.85"/>
    <x v="0"/>
    <s v="WH-A"/>
    <n v="1050"/>
    <d v="2024-02-10T00:00:00"/>
    <n v="4"/>
    <n v="91258"/>
    <x v="1"/>
    <d v="2024-03-01T00:00:00"/>
    <n v="0.70681000000000005"/>
    <n v="71258"/>
    <x v="1"/>
    <n v="197907.93470000001"/>
    <s v="Paid"/>
    <d v="2024-05-10T00:00:00"/>
    <s v="Variable"/>
    <d v="2024-03-25T00:00:00"/>
    <s v="NO"/>
  </r>
  <r>
    <n v="11259"/>
    <n v="5086"/>
    <x v="1"/>
    <n v="30067.52"/>
    <n v="33"/>
    <x v="0"/>
    <x v="0"/>
    <n v="16998.79"/>
    <x v="0"/>
    <s v="WH-A"/>
    <n v="1438"/>
    <d v="2024-03-10T00:00:00"/>
    <n v="4"/>
    <n v="91259"/>
    <x v="2"/>
    <d v="2024-05-18T00:00:00"/>
    <n v="0.46126"/>
    <n v="71259"/>
    <x v="2"/>
    <n v="176673.09270000001"/>
    <s v="pending"/>
    <d v="2024-05-10T00:00:00"/>
    <s v="Variable"/>
    <d v="2024-03-25T00:00:00"/>
    <s v="YES"/>
  </r>
  <r>
    <n v="11260"/>
    <n v="6498"/>
    <x v="0"/>
    <n v="18848.919999999998"/>
    <n v="50"/>
    <x v="0"/>
    <x v="2"/>
    <n v="50450.62"/>
    <x v="0"/>
    <s v="WH-C"/>
    <n v="413"/>
    <d v="2024-03-10T00:00:00"/>
    <n v="2"/>
    <n v="91260"/>
    <x v="0"/>
    <d v="2024-03-01T00:00:00"/>
    <n v="0.60536999999999996"/>
    <n v="71260"/>
    <x v="1"/>
    <n v="53211.188620000001"/>
    <s v="Paid"/>
    <d v="2024-04-10T00:00:00"/>
    <s v="Fixed"/>
    <d v="2024-04-02T00:00:00"/>
    <s v="NO"/>
  </r>
  <r>
    <n v="11261"/>
    <n v="5126"/>
    <x v="0"/>
    <n v="47732.43"/>
    <n v="38"/>
    <x v="2"/>
    <x v="3"/>
    <n v="102278.9"/>
    <x v="1"/>
    <s v="WH-A"/>
    <n v="451"/>
    <d v="2024-04-15T00:00:00"/>
    <n v="3"/>
    <n v="91261"/>
    <x v="3"/>
    <d v="2024-04-01T00:00:00"/>
    <n v="0.67325999999999997"/>
    <n v="71261"/>
    <x v="2"/>
    <n v="110442.82094999999"/>
    <s v="Overdue"/>
    <d v="2024-04-10T00:00:00"/>
    <s v="Fixed"/>
    <d v="2024-04-02T00:00:00"/>
    <s v="NO"/>
  </r>
  <r>
    <n v="11262"/>
    <n v="5812"/>
    <x v="1"/>
    <n v="93389.54"/>
    <n v="27"/>
    <x v="2"/>
    <x v="1"/>
    <n v="38748.980000000003"/>
    <x v="2"/>
    <s v="WH-B"/>
    <n v="655"/>
    <d v="2024-04-15T00:00:00"/>
    <n v="11"/>
    <n v="91262"/>
    <x v="3"/>
    <d v="2024-05-18T00:00:00"/>
    <n v="0.97524"/>
    <n v="71262"/>
    <x v="0"/>
    <n v="66971.009040000004"/>
    <s v="Overdue"/>
    <d v="2024-05-10T00:00:00"/>
    <s v="Fixed"/>
    <d v="2024-03-25T00:00:00"/>
    <s v="YES"/>
  </r>
  <r>
    <n v="11263"/>
    <n v="5537"/>
    <x v="1"/>
    <n v="38967.5"/>
    <n v="98"/>
    <x v="0"/>
    <x v="2"/>
    <n v="154089.10999999999"/>
    <x v="0"/>
    <s v="WH-B"/>
    <n v="278"/>
    <d v="2024-03-10T00:00:00"/>
    <n v="14"/>
    <n v="91263"/>
    <x v="2"/>
    <d v="2024-03-01T00:00:00"/>
    <n v="0.16144"/>
    <n v="71263"/>
    <x v="1"/>
    <n v="128961.0223"/>
    <s v="Overdue"/>
    <d v="2024-04-10T00:00:00"/>
    <s v="Fixed"/>
    <d v="2024-03-25T00:00:00"/>
    <s v="YES"/>
  </r>
  <r>
    <n v="11264"/>
    <n v="5145"/>
    <x v="1"/>
    <n v="77371.28"/>
    <n v="15"/>
    <x v="2"/>
    <x v="0"/>
    <n v="62113.91"/>
    <x v="1"/>
    <s v="WH-A"/>
    <n v="586"/>
    <d v="2024-02-10T00:00:00"/>
    <n v="14"/>
    <n v="91264"/>
    <x v="0"/>
    <d v="2024-05-18T00:00:00"/>
    <n v="0.47613"/>
    <n v="71264"/>
    <x v="2"/>
    <n v="186853.39212"/>
    <s v="pending"/>
    <d v="2024-05-10T00:00:00"/>
    <s v="Variable"/>
    <d v="2024-04-02T00:00:00"/>
    <s v="NO"/>
  </r>
  <r>
    <n v="11265"/>
    <n v="6549"/>
    <x v="1"/>
    <n v="59422.61"/>
    <n v="96"/>
    <x v="3"/>
    <x v="0"/>
    <n v="12262.55"/>
    <x v="2"/>
    <s v="WH-B"/>
    <n v="317"/>
    <d v="2024-02-10T00:00:00"/>
    <n v="13"/>
    <n v="91265"/>
    <x v="3"/>
    <d v="2024-04-01T00:00:00"/>
    <n v="0.32130999999999998"/>
    <n v="71265"/>
    <x v="0"/>
    <n v="177389.37479999999"/>
    <s v="pending"/>
    <d v="2024-04-10T00:00:00"/>
    <s v="Variable"/>
    <d v="2024-03-25T00:00:00"/>
    <s v="YES"/>
  </r>
  <r>
    <n v="11266"/>
    <n v="6236"/>
    <x v="1"/>
    <n v="40462.04"/>
    <n v="61"/>
    <x v="2"/>
    <x v="0"/>
    <n v="71660.45"/>
    <x v="0"/>
    <s v="WH-A"/>
    <n v="1478"/>
    <d v="2024-04-15T00:00:00"/>
    <n v="8"/>
    <n v="91266"/>
    <x v="0"/>
    <d v="2024-05-18T00:00:00"/>
    <n v="0.52903999999999995"/>
    <n v="71266"/>
    <x v="1"/>
    <n v="172434.2113"/>
    <s v="Overdue"/>
    <d v="2024-06-01T00:00:00"/>
    <s v="Variable"/>
    <d v="2024-03-25T00:00:00"/>
    <s v="YES"/>
  </r>
  <r>
    <n v="11267"/>
    <n v="5025"/>
    <x v="1"/>
    <n v="98107.54"/>
    <n v="21"/>
    <x v="2"/>
    <x v="3"/>
    <n v="170730.38"/>
    <x v="2"/>
    <s v="WH-B"/>
    <n v="1084"/>
    <d v="2024-03-10T00:00:00"/>
    <n v="12"/>
    <n v="91267"/>
    <x v="3"/>
    <d v="2024-05-18T00:00:00"/>
    <n v="0.92842999999999998"/>
    <n v="71267"/>
    <x v="2"/>
    <n v="108612.14745"/>
    <s v="Paid"/>
    <d v="2024-06-01T00:00:00"/>
    <s v="Variable"/>
    <d v="2024-03-25T00:00:00"/>
    <s v="NO"/>
  </r>
  <r>
    <n v="11268"/>
    <n v="6604"/>
    <x v="0"/>
    <n v="47646.91"/>
    <n v="46"/>
    <x v="2"/>
    <x v="0"/>
    <n v="52696.89"/>
    <x v="2"/>
    <s v="WH-B"/>
    <n v="1393"/>
    <d v="2024-03-10T00:00:00"/>
    <n v="9"/>
    <n v="91268"/>
    <x v="2"/>
    <d v="2024-04-01T00:00:00"/>
    <n v="0.75158999999999998"/>
    <n v="71268"/>
    <x v="0"/>
    <n v="60098.565649999997"/>
    <s v="Paid"/>
    <d v="2024-05-10T00:00:00"/>
    <s v="Fixed"/>
    <d v="2024-03-25T00:00:00"/>
    <s v="YES"/>
  </r>
  <r>
    <n v="11269"/>
    <n v="6418"/>
    <x v="1"/>
    <n v="15071.4"/>
    <n v="69"/>
    <x v="0"/>
    <x v="2"/>
    <n v="51318.36"/>
    <x v="1"/>
    <s v="WH-A"/>
    <n v="175"/>
    <d v="2024-02-10T00:00:00"/>
    <n v="6"/>
    <n v="91269"/>
    <x v="2"/>
    <d v="2024-05-18T00:00:00"/>
    <n v="0.69574999999999998"/>
    <n v="71269"/>
    <x v="0"/>
    <n v="94850.2886"/>
    <s v="Overdue"/>
    <d v="2024-05-10T00:00:00"/>
    <s v="Variable"/>
    <d v="2024-03-25T00:00:00"/>
    <s v="YES"/>
  </r>
  <r>
    <n v="11270"/>
    <n v="5067"/>
    <x v="0"/>
    <n v="21267.87"/>
    <n v="6"/>
    <x v="3"/>
    <x v="2"/>
    <n v="151152.18"/>
    <x v="2"/>
    <s v="WH-A"/>
    <n v="355"/>
    <d v="2024-02-10T00:00:00"/>
    <n v="10"/>
    <n v="91270"/>
    <x v="0"/>
    <d v="2024-03-01T00:00:00"/>
    <n v="0.49712000000000001"/>
    <n v="71270"/>
    <x v="1"/>
    <n v="98944.666500000007"/>
    <s v="pending"/>
    <d v="2024-04-10T00:00:00"/>
    <s v="Variable"/>
    <d v="2024-04-02T00:00:00"/>
    <s v="YES"/>
  </r>
  <r>
    <n v="11271"/>
    <n v="5233"/>
    <x v="1"/>
    <n v="52861.15"/>
    <n v="38"/>
    <x v="1"/>
    <x v="0"/>
    <n v="153499.59"/>
    <x v="1"/>
    <s v="WH-C"/>
    <n v="1162"/>
    <d v="2024-02-10T00:00:00"/>
    <n v="2"/>
    <n v="91271"/>
    <x v="1"/>
    <d v="2024-05-18T00:00:00"/>
    <n v="0.70399999999999996"/>
    <n v="71271"/>
    <x v="2"/>
    <n v="199839.86661999999"/>
    <s v="Paid"/>
    <d v="2024-05-10T00:00:00"/>
    <s v="Variable"/>
    <d v="2024-04-02T00:00:00"/>
    <s v="YES"/>
  </r>
  <r>
    <n v="11272"/>
    <n v="5109"/>
    <x v="1"/>
    <n v="29382.07"/>
    <n v="62"/>
    <x v="1"/>
    <x v="2"/>
    <n v="135990.07999999999"/>
    <x v="0"/>
    <s v="WH-A"/>
    <n v="1428"/>
    <d v="2024-04-15T00:00:00"/>
    <n v="2"/>
    <n v="91272"/>
    <x v="1"/>
    <d v="2024-03-01T00:00:00"/>
    <n v="0.12914"/>
    <n v="71272"/>
    <x v="1"/>
    <n v="155273.18580000001"/>
    <s v="Paid"/>
    <d v="2024-05-10T00:00:00"/>
    <s v="Variable"/>
    <d v="2024-03-25T00:00:00"/>
    <s v="YES"/>
  </r>
  <r>
    <n v="11273"/>
    <n v="6170"/>
    <x v="1"/>
    <n v="69957.009999999995"/>
    <n v="86"/>
    <x v="3"/>
    <x v="0"/>
    <n v="45754.080000000002"/>
    <x v="2"/>
    <s v="WH-A"/>
    <n v="677"/>
    <d v="2024-03-10T00:00:00"/>
    <n v="7"/>
    <n v="91273"/>
    <x v="2"/>
    <d v="2024-05-18T00:00:00"/>
    <n v="0.62761"/>
    <n v="71273"/>
    <x v="2"/>
    <n v="151356.30716"/>
    <s v="Paid"/>
    <d v="2024-04-10T00:00:00"/>
    <s v="Variable"/>
    <d v="2024-03-25T00:00:00"/>
    <s v="NO"/>
  </r>
  <r>
    <n v="11274"/>
    <n v="5111"/>
    <x v="1"/>
    <n v="17346"/>
    <n v="62"/>
    <x v="3"/>
    <x v="0"/>
    <n v="115847.31"/>
    <x v="2"/>
    <s v="WH-C"/>
    <n v="1425"/>
    <d v="2024-04-15T00:00:00"/>
    <n v="8"/>
    <n v="91274"/>
    <x v="3"/>
    <d v="2024-05-18T00:00:00"/>
    <n v="0.59840000000000004"/>
    <n v="71274"/>
    <x v="0"/>
    <n v="94287.515069999994"/>
    <s v="pending"/>
    <d v="2024-05-10T00:00:00"/>
    <s v="Variable"/>
    <d v="2024-03-25T00:00:00"/>
    <s v="YES"/>
  </r>
  <r>
    <n v="11275"/>
    <n v="5228"/>
    <x v="1"/>
    <n v="84458.96"/>
    <n v="82"/>
    <x v="3"/>
    <x v="1"/>
    <n v="146989.31"/>
    <x v="1"/>
    <s v="WH-A"/>
    <n v="738"/>
    <d v="2024-03-10T00:00:00"/>
    <n v="8"/>
    <n v="91275"/>
    <x v="1"/>
    <d v="2024-04-01T00:00:00"/>
    <n v="0.41198000000000001"/>
    <n v="71275"/>
    <x v="1"/>
    <n v="170607.58601"/>
    <s v="Overdue"/>
    <d v="2024-05-10T00:00:00"/>
    <s v="Fixed"/>
    <d v="2024-03-25T00:00:00"/>
    <s v="NO"/>
  </r>
  <r>
    <n v="11276"/>
    <n v="5111"/>
    <x v="1"/>
    <n v="49961.26"/>
    <n v="78"/>
    <x v="0"/>
    <x v="3"/>
    <n v="100960.73"/>
    <x v="0"/>
    <s v="WH-A"/>
    <n v="1087"/>
    <d v="2024-04-15T00:00:00"/>
    <n v="14"/>
    <n v="91276"/>
    <x v="2"/>
    <d v="2024-04-01T00:00:00"/>
    <n v="0.28136"/>
    <n v="71276"/>
    <x v="0"/>
    <n v="188692.9167"/>
    <s v="pending"/>
    <d v="2024-06-01T00:00:00"/>
    <s v="Fixed"/>
    <d v="2024-03-25T00:00:00"/>
    <s v="YES"/>
  </r>
  <r>
    <n v="11277"/>
    <n v="6494"/>
    <x v="1"/>
    <n v="18546.580000000002"/>
    <n v="74"/>
    <x v="1"/>
    <x v="3"/>
    <n v="141069.68"/>
    <x v="0"/>
    <s v="WH-C"/>
    <n v="1330"/>
    <d v="2024-03-10T00:00:00"/>
    <n v="6"/>
    <n v="91277"/>
    <x v="3"/>
    <d v="2024-03-01T00:00:00"/>
    <n v="0.82679999999999998"/>
    <n v="71277"/>
    <x v="1"/>
    <n v="79277.909799999994"/>
    <s v="Paid"/>
    <d v="2024-06-01T00:00:00"/>
    <s v="Fixed"/>
    <d v="2024-03-25T00:00:00"/>
    <s v="YES"/>
  </r>
  <r>
    <n v="11278"/>
    <n v="5034"/>
    <x v="1"/>
    <n v="95214.56"/>
    <n v="46"/>
    <x v="3"/>
    <x v="1"/>
    <n v="16845.28"/>
    <x v="1"/>
    <s v="WH-A"/>
    <n v="1282"/>
    <d v="2024-02-10T00:00:00"/>
    <n v="10"/>
    <n v="91278"/>
    <x v="3"/>
    <d v="2024-04-01T00:00:00"/>
    <n v="0.14848"/>
    <n v="71278"/>
    <x v="2"/>
    <n v="178061.0386"/>
    <s v="Overdue"/>
    <d v="2024-06-01T00:00:00"/>
    <s v="Variable"/>
    <d v="2024-03-25T00:00:00"/>
    <s v="YES"/>
  </r>
  <r>
    <n v="11279"/>
    <n v="5623"/>
    <x v="0"/>
    <n v="47785.85"/>
    <n v="13"/>
    <x v="0"/>
    <x v="1"/>
    <n v="38744.14"/>
    <x v="1"/>
    <s v="WH-A"/>
    <n v="330"/>
    <d v="2024-02-10T00:00:00"/>
    <n v="8"/>
    <n v="91279"/>
    <x v="1"/>
    <d v="2024-04-01T00:00:00"/>
    <n v="0.16270999999999999"/>
    <n v="71279"/>
    <x v="0"/>
    <n v="121721.7264"/>
    <s v="pending"/>
    <d v="2024-05-10T00:00:00"/>
    <s v="Variable"/>
    <d v="2024-03-25T00:00:00"/>
    <s v="YES"/>
  </r>
  <r>
    <n v="11280"/>
    <n v="6800"/>
    <x v="1"/>
    <n v="86040.81"/>
    <n v="95"/>
    <x v="1"/>
    <x v="3"/>
    <n v="85915.82"/>
    <x v="1"/>
    <s v="WH-C"/>
    <n v="492"/>
    <d v="2024-02-10T00:00:00"/>
    <n v="14"/>
    <n v="91280"/>
    <x v="2"/>
    <d v="2024-04-01T00:00:00"/>
    <n v="0.49647000000000002"/>
    <n v="71280"/>
    <x v="0"/>
    <n v="183103.5239"/>
    <s v="Overdue"/>
    <d v="2024-04-10T00:00:00"/>
    <s v="Fixed"/>
    <d v="2024-04-02T00:00:00"/>
    <s v="YES"/>
  </r>
  <r>
    <n v="11281"/>
    <n v="6960"/>
    <x v="0"/>
    <n v="29573.75"/>
    <n v="94"/>
    <x v="2"/>
    <x v="0"/>
    <n v="33611.06"/>
    <x v="1"/>
    <s v="WH-C"/>
    <n v="886"/>
    <d v="2024-04-15T00:00:00"/>
    <n v="1"/>
    <n v="91281"/>
    <x v="3"/>
    <d v="2024-04-01T00:00:00"/>
    <n v="0.32729999999999998"/>
    <n v="71281"/>
    <x v="2"/>
    <n v="111446.552"/>
    <s v="Paid"/>
    <d v="2024-06-01T00:00:00"/>
    <s v="Fixed"/>
    <d v="2024-04-02T00:00:00"/>
    <s v="YES"/>
  </r>
  <r>
    <n v="11282"/>
    <n v="6393"/>
    <x v="1"/>
    <n v="48893.27"/>
    <n v="3"/>
    <x v="0"/>
    <x v="0"/>
    <n v="44536.75"/>
    <x v="2"/>
    <s v="WH-B"/>
    <n v="438"/>
    <d v="2024-02-10T00:00:00"/>
    <n v="9"/>
    <n v="91282"/>
    <x v="3"/>
    <d v="2024-04-01T00:00:00"/>
    <n v="0.77090999999999998"/>
    <n v="71282"/>
    <x v="1"/>
    <n v="211826.67230000001"/>
    <s v="pending"/>
    <d v="2024-05-10T00:00:00"/>
    <s v="Variable"/>
    <d v="2024-03-25T00:00:00"/>
    <s v="YES"/>
  </r>
  <r>
    <n v="11283"/>
    <n v="5748"/>
    <x v="0"/>
    <n v="64845.62"/>
    <n v="94"/>
    <x v="1"/>
    <x v="3"/>
    <n v="10491.15"/>
    <x v="2"/>
    <s v="WH-A"/>
    <n v="666"/>
    <d v="2024-03-10T00:00:00"/>
    <n v="13"/>
    <n v="91283"/>
    <x v="0"/>
    <d v="2024-03-01T00:00:00"/>
    <n v="0.67076999999999998"/>
    <n v="71283"/>
    <x v="0"/>
    <n v="123946.8609"/>
    <s v="Overdue"/>
    <d v="2024-06-01T00:00:00"/>
    <s v="Variable"/>
    <d v="2024-03-25T00:00:00"/>
    <s v="YES"/>
  </r>
  <r>
    <n v="11284"/>
    <n v="5595"/>
    <x v="1"/>
    <n v="97448.71"/>
    <n v="6"/>
    <x v="0"/>
    <x v="0"/>
    <n v="138811.75"/>
    <x v="2"/>
    <s v="WH-B"/>
    <n v="196"/>
    <d v="2024-04-15T00:00:00"/>
    <n v="12"/>
    <n v="91284"/>
    <x v="0"/>
    <d v="2024-03-01T00:00:00"/>
    <n v="0.79527999999999999"/>
    <n v="71284"/>
    <x v="2"/>
    <n v="197516.29902999999"/>
    <s v="pending"/>
    <d v="2024-04-10T00:00:00"/>
    <s v="Fixed"/>
    <d v="2024-04-02T00:00:00"/>
    <s v="YES"/>
  </r>
  <r>
    <n v="11285"/>
    <n v="6578"/>
    <x v="0"/>
    <n v="59534.68"/>
    <n v="93"/>
    <x v="1"/>
    <x v="1"/>
    <n v="100648.01"/>
    <x v="2"/>
    <s v="WH-B"/>
    <n v="1352"/>
    <d v="2024-03-10T00:00:00"/>
    <n v="1"/>
    <n v="91285"/>
    <x v="1"/>
    <d v="2024-04-01T00:00:00"/>
    <n v="0.39221"/>
    <n v="71285"/>
    <x v="1"/>
    <n v="178425.95199999999"/>
    <s v="Paid"/>
    <d v="2024-04-10T00:00:00"/>
    <s v="Fixed"/>
    <d v="2024-03-25T00:00:00"/>
    <s v="YES"/>
  </r>
  <r>
    <n v="11286"/>
    <n v="5425"/>
    <x v="1"/>
    <n v="54646.34"/>
    <n v="8"/>
    <x v="1"/>
    <x v="0"/>
    <n v="31665.8"/>
    <x v="1"/>
    <s v="WH-C"/>
    <n v="570"/>
    <d v="2024-04-15T00:00:00"/>
    <n v="13"/>
    <n v="91286"/>
    <x v="0"/>
    <d v="2024-04-01T00:00:00"/>
    <n v="0.76646999999999998"/>
    <n v="71286"/>
    <x v="1"/>
    <n v="128603.99588"/>
    <s v="Overdue"/>
    <d v="2024-04-10T00:00:00"/>
    <s v="Variable"/>
    <d v="2024-04-02T00:00:00"/>
    <s v="YES"/>
  </r>
  <r>
    <n v="11287"/>
    <n v="5613"/>
    <x v="1"/>
    <n v="21928.76"/>
    <n v="44"/>
    <x v="2"/>
    <x v="0"/>
    <n v="30874.73"/>
    <x v="0"/>
    <s v="WH-A"/>
    <n v="679"/>
    <d v="2024-03-10T00:00:00"/>
    <n v="3"/>
    <n v="91287"/>
    <x v="2"/>
    <d v="2024-03-01T00:00:00"/>
    <n v="0.87607000000000002"/>
    <n v="71287"/>
    <x v="2"/>
    <n v="61836.050199999998"/>
    <s v="Paid"/>
    <d v="2024-04-10T00:00:00"/>
    <s v="Variable"/>
    <d v="2024-04-02T00:00:00"/>
    <s v="YES"/>
  </r>
  <r>
    <n v="11288"/>
    <n v="6542"/>
    <x v="1"/>
    <n v="13710.94"/>
    <n v="33"/>
    <x v="0"/>
    <x v="2"/>
    <n v="149820"/>
    <x v="2"/>
    <s v="WH-A"/>
    <n v="483"/>
    <d v="2024-03-10T00:00:00"/>
    <n v="12"/>
    <n v="91288"/>
    <x v="1"/>
    <d v="2024-05-18T00:00:00"/>
    <n v="0.41075"/>
    <n v="71288"/>
    <x v="0"/>
    <n v="199784.87406"/>
    <s v="Overdue"/>
    <d v="2024-04-10T00:00:00"/>
    <s v="Variable"/>
    <d v="2024-03-25T00:00:00"/>
    <s v="YES"/>
  </r>
  <r>
    <n v="11289"/>
    <n v="5692"/>
    <x v="1"/>
    <n v="25299.05"/>
    <n v="81"/>
    <x v="3"/>
    <x v="2"/>
    <n v="120989.92"/>
    <x v="0"/>
    <s v="WH-C"/>
    <n v="193"/>
    <d v="2024-04-15T00:00:00"/>
    <n v="9"/>
    <n v="91289"/>
    <x v="1"/>
    <d v="2024-03-01T00:00:00"/>
    <n v="0.40590999999999999"/>
    <n v="71289"/>
    <x v="2"/>
    <n v="165713.20939999999"/>
    <s v="Paid"/>
    <d v="2024-04-10T00:00:00"/>
    <s v="Variable"/>
    <d v="2024-04-02T00:00:00"/>
    <s v="YES"/>
  </r>
  <r>
    <n v="11290"/>
    <n v="6306"/>
    <x v="1"/>
    <n v="24780.46"/>
    <n v="75"/>
    <x v="2"/>
    <x v="2"/>
    <n v="146474.57999999999"/>
    <x v="2"/>
    <s v="WH-B"/>
    <n v="338"/>
    <d v="2024-04-15T00:00:00"/>
    <n v="11"/>
    <n v="91290"/>
    <x v="0"/>
    <d v="2024-05-18T00:00:00"/>
    <n v="0.90995999999999999"/>
    <n v="71290"/>
    <x v="2"/>
    <n v="114976.9636"/>
    <s v="Paid"/>
    <d v="2024-05-10T00:00:00"/>
    <s v="Fixed"/>
    <d v="2024-03-25T00:00:00"/>
    <s v="NO"/>
  </r>
  <r>
    <n v="11291"/>
    <n v="6344"/>
    <x v="1"/>
    <n v="17558.830000000002"/>
    <n v="77"/>
    <x v="2"/>
    <x v="0"/>
    <n v="97295.31"/>
    <x v="1"/>
    <s v="WH-C"/>
    <n v="1459"/>
    <d v="2024-02-10T00:00:00"/>
    <n v="5"/>
    <n v="91291"/>
    <x v="3"/>
    <d v="2024-04-01T00:00:00"/>
    <n v="0.14480999999999999"/>
    <n v="71291"/>
    <x v="0"/>
    <n v="151925.29449999999"/>
    <s v="pending"/>
    <d v="2024-06-01T00:00:00"/>
    <s v="Variable"/>
    <d v="2024-03-25T00:00:00"/>
    <s v="YES"/>
  </r>
  <r>
    <n v="11292"/>
    <n v="6762"/>
    <x v="1"/>
    <n v="60123.91"/>
    <n v="50"/>
    <x v="1"/>
    <x v="3"/>
    <n v="106302.77"/>
    <x v="2"/>
    <s v="WH-A"/>
    <n v="63"/>
    <d v="2024-02-10T00:00:00"/>
    <n v="9"/>
    <n v="91292"/>
    <x v="2"/>
    <d v="2024-04-01T00:00:00"/>
    <n v="0.41516999999999998"/>
    <n v="71292"/>
    <x v="1"/>
    <n v="78637.676999999996"/>
    <s v="Paid"/>
    <d v="2024-04-10T00:00:00"/>
    <s v="Variable"/>
    <d v="2024-04-02T00:00:00"/>
    <s v="YES"/>
  </r>
  <r>
    <n v="11293"/>
    <n v="6467"/>
    <x v="1"/>
    <n v="41321.160000000003"/>
    <n v="11"/>
    <x v="3"/>
    <x v="1"/>
    <n v="58318.86"/>
    <x v="2"/>
    <s v="WH-C"/>
    <n v="306"/>
    <d v="2024-03-10T00:00:00"/>
    <n v="9"/>
    <n v="91293"/>
    <x v="2"/>
    <d v="2024-03-01T00:00:00"/>
    <n v="0.20680999999999999"/>
    <n v="71293"/>
    <x v="1"/>
    <n v="160529.34628"/>
    <s v="pending"/>
    <d v="2024-06-01T00:00:00"/>
    <s v="Fixed"/>
    <d v="2024-03-25T00:00:00"/>
    <s v="YES"/>
  </r>
  <r>
    <n v="11294"/>
    <n v="6976"/>
    <x v="0"/>
    <n v="39287.629999999997"/>
    <n v="95"/>
    <x v="0"/>
    <x v="0"/>
    <n v="117052.61"/>
    <x v="2"/>
    <s v="WH-A"/>
    <n v="1419"/>
    <d v="2024-03-10T00:00:00"/>
    <n v="6"/>
    <n v="91294"/>
    <x v="2"/>
    <d v="2024-04-01T00:00:00"/>
    <n v="0.12608"/>
    <n v="71294"/>
    <x v="1"/>
    <n v="87361.266109999997"/>
    <s v="Paid"/>
    <d v="2024-06-01T00:00:00"/>
    <s v="Fixed"/>
    <d v="2024-04-02T00:00:00"/>
    <s v="YES"/>
  </r>
  <r>
    <n v="11295"/>
    <n v="5315"/>
    <x v="1"/>
    <n v="65188.32"/>
    <n v="28"/>
    <x v="3"/>
    <x v="3"/>
    <n v="174750.76"/>
    <x v="1"/>
    <s v="WH-B"/>
    <n v="1418"/>
    <d v="2024-03-10T00:00:00"/>
    <n v="11"/>
    <n v="91295"/>
    <x v="1"/>
    <d v="2024-05-18T00:00:00"/>
    <n v="0.20158000000000001"/>
    <n v="71295"/>
    <x v="1"/>
    <n v="81396.204400000002"/>
    <s v="Paid"/>
    <d v="2024-05-10T00:00:00"/>
    <s v="Variable"/>
    <d v="2024-03-25T00:00:00"/>
    <s v="YES"/>
  </r>
  <r>
    <n v="11296"/>
    <n v="5877"/>
    <x v="1"/>
    <n v="93387.55"/>
    <n v="70"/>
    <x v="3"/>
    <x v="0"/>
    <n v="124214.03"/>
    <x v="1"/>
    <s v="WH-A"/>
    <n v="1473"/>
    <d v="2024-04-15T00:00:00"/>
    <n v="1"/>
    <n v="91296"/>
    <x v="2"/>
    <d v="2024-05-18T00:00:00"/>
    <n v="0.48812"/>
    <n v="71296"/>
    <x v="2"/>
    <n v="127949.92690000001"/>
    <s v="Paid"/>
    <d v="2024-04-10T00:00:00"/>
    <s v="Fixed"/>
    <d v="2024-04-02T00:00:00"/>
    <s v="NO"/>
  </r>
  <r>
    <n v="11297"/>
    <n v="6990"/>
    <x v="1"/>
    <n v="25810.58"/>
    <n v="41"/>
    <x v="3"/>
    <x v="1"/>
    <n v="25639.87"/>
    <x v="2"/>
    <s v="WH-B"/>
    <n v="1280"/>
    <d v="2024-04-15T00:00:00"/>
    <n v="10"/>
    <n v="91297"/>
    <x v="3"/>
    <d v="2024-03-01T00:00:00"/>
    <n v="0.71826000000000001"/>
    <n v="71297"/>
    <x v="0"/>
    <n v="160843.36859999999"/>
    <s v="Overdue"/>
    <d v="2024-04-10T00:00:00"/>
    <s v="Fixed"/>
    <d v="2024-04-02T00:00:00"/>
    <s v="NO"/>
  </r>
  <r>
    <n v="11298"/>
    <n v="6765"/>
    <x v="1"/>
    <n v="43306.07"/>
    <n v="16"/>
    <x v="3"/>
    <x v="0"/>
    <n v="113073.62"/>
    <x v="2"/>
    <s v="WH-B"/>
    <n v="907"/>
    <d v="2024-02-10T00:00:00"/>
    <n v="7"/>
    <n v="91298"/>
    <x v="3"/>
    <d v="2024-05-18T00:00:00"/>
    <n v="0.36035"/>
    <n v="71298"/>
    <x v="1"/>
    <n v="170955.4369"/>
    <s v="pending"/>
    <d v="2024-05-10T00:00:00"/>
    <s v="Variable"/>
    <d v="2024-03-25T00:00:00"/>
    <s v="NO"/>
  </r>
  <r>
    <n v="11299"/>
    <n v="6401"/>
    <x v="1"/>
    <n v="82557.759999999995"/>
    <n v="68"/>
    <x v="3"/>
    <x v="1"/>
    <n v="85605.66"/>
    <x v="0"/>
    <s v="WH-A"/>
    <n v="992"/>
    <d v="2024-03-10T00:00:00"/>
    <n v="14"/>
    <n v="91299"/>
    <x v="0"/>
    <d v="2024-03-01T00:00:00"/>
    <n v="0.86470999999999998"/>
    <n v="71299"/>
    <x v="1"/>
    <n v="180544.94899999999"/>
    <s v="Overdue"/>
    <d v="2024-05-10T00:00:00"/>
    <s v="Variable"/>
    <d v="2024-04-02T00:00:00"/>
    <s v="YES"/>
  </r>
  <r>
    <n v="11300"/>
    <n v="6313"/>
    <x v="0"/>
    <n v="80005.03"/>
    <n v="99"/>
    <x v="1"/>
    <x v="0"/>
    <n v="133716.35"/>
    <x v="1"/>
    <s v="WH-A"/>
    <n v="1245"/>
    <d v="2024-02-10T00:00:00"/>
    <n v="6"/>
    <n v="91300"/>
    <x v="2"/>
    <d v="2024-03-01T00:00:00"/>
    <n v="0.49385000000000001"/>
    <n v="71300"/>
    <x v="2"/>
    <n v="124563.66108999999"/>
    <s v="pending"/>
    <d v="2024-05-10T00:00:00"/>
    <s v="Fixed"/>
    <d v="2024-04-02T00:00:00"/>
    <s v="NO"/>
  </r>
  <r>
    <n v="11301"/>
    <n v="6461"/>
    <x v="1"/>
    <n v="36208.620000000003"/>
    <n v="48"/>
    <x v="1"/>
    <x v="1"/>
    <n v="98393.09"/>
    <x v="2"/>
    <s v="WH-B"/>
    <n v="513"/>
    <d v="2024-04-15T00:00:00"/>
    <n v="9"/>
    <n v="91301"/>
    <x v="1"/>
    <d v="2024-05-18T00:00:00"/>
    <n v="0.97141"/>
    <n v="71301"/>
    <x v="1"/>
    <n v="117728.01497"/>
    <s v="Paid"/>
    <d v="2024-05-10T00:00:00"/>
    <s v="Variable"/>
    <d v="2024-03-25T00:00:00"/>
    <s v="NO"/>
  </r>
  <r>
    <n v="11302"/>
    <n v="5662"/>
    <x v="1"/>
    <n v="21362.65"/>
    <n v="56"/>
    <x v="2"/>
    <x v="0"/>
    <n v="52066.02"/>
    <x v="0"/>
    <s v="WH-C"/>
    <n v="319"/>
    <d v="2024-04-15T00:00:00"/>
    <n v="7"/>
    <n v="91302"/>
    <x v="0"/>
    <d v="2024-05-18T00:00:00"/>
    <n v="0.95874000000000004"/>
    <n v="71302"/>
    <x v="0"/>
    <n v="118213.66144"/>
    <s v="Overdue"/>
    <d v="2024-05-10T00:00:00"/>
    <s v="Fixed"/>
    <d v="2024-03-25T00:00:00"/>
    <s v="YES"/>
  </r>
  <r>
    <n v="11303"/>
    <n v="5277"/>
    <x v="1"/>
    <n v="73298.990000000005"/>
    <n v="64"/>
    <x v="1"/>
    <x v="1"/>
    <n v="165901.06"/>
    <x v="0"/>
    <s v="WH-A"/>
    <n v="1294"/>
    <d v="2024-04-15T00:00:00"/>
    <n v="14"/>
    <n v="91303"/>
    <x v="3"/>
    <d v="2024-05-18T00:00:00"/>
    <n v="0.79595000000000005"/>
    <n v="71303"/>
    <x v="1"/>
    <n v="91847.023799999995"/>
    <s v="pending"/>
    <d v="2024-06-01T00:00:00"/>
    <s v="Fixed"/>
    <d v="2024-03-25T00:00:00"/>
    <s v="NO"/>
  </r>
  <r>
    <n v="11304"/>
    <n v="6734"/>
    <x v="1"/>
    <n v="30033.94"/>
    <n v="59"/>
    <x v="2"/>
    <x v="2"/>
    <n v="116856.3"/>
    <x v="1"/>
    <s v="WH-B"/>
    <n v="1225"/>
    <d v="2024-02-10T00:00:00"/>
    <n v="12"/>
    <n v="91304"/>
    <x v="2"/>
    <d v="2024-05-18T00:00:00"/>
    <n v="0.93915999999999999"/>
    <n v="71304"/>
    <x v="2"/>
    <n v="94964.66747"/>
    <s v="Paid"/>
    <d v="2024-05-10T00:00:00"/>
    <s v="Fixed"/>
    <d v="2024-03-25T00:00:00"/>
    <s v="YES"/>
  </r>
  <r>
    <n v="11305"/>
    <n v="6606"/>
    <x v="1"/>
    <n v="86707.65"/>
    <n v="90"/>
    <x v="2"/>
    <x v="0"/>
    <n v="95705.66"/>
    <x v="0"/>
    <s v="WH-B"/>
    <n v="672"/>
    <d v="2024-04-15T00:00:00"/>
    <n v="11"/>
    <n v="91305"/>
    <x v="3"/>
    <d v="2024-05-18T00:00:00"/>
    <n v="0.73638999999999999"/>
    <n v="71305"/>
    <x v="0"/>
    <n v="104992.1384"/>
    <s v="pending"/>
    <d v="2024-04-10T00:00:00"/>
    <s v="Fixed"/>
    <d v="2024-04-02T00:00:00"/>
    <s v="YES"/>
  </r>
  <r>
    <n v="11306"/>
    <n v="6527"/>
    <x v="1"/>
    <n v="95667.11"/>
    <n v="62"/>
    <x v="0"/>
    <x v="0"/>
    <n v="95698.62"/>
    <x v="2"/>
    <s v="WH-C"/>
    <n v="1256"/>
    <d v="2024-03-10T00:00:00"/>
    <n v="12"/>
    <n v="91306"/>
    <x v="0"/>
    <d v="2024-05-18T00:00:00"/>
    <n v="0.90602000000000005"/>
    <n v="71306"/>
    <x v="2"/>
    <n v="107506.88159999999"/>
    <s v="pending"/>
    <d v="2024-04-10T00:00:00"/>
    <s v="Variable"/>
    <d v="2024-03-25T00:00:00"/>
    <s v="YES"/>
  </r>
  <r>
    <n v="11307"/>
    <n v="5624"/>
    <x v="1"/>
    <n v="62137.95"/>
    <n v="76"/>
    <x v="3"/>
    <x v="3"/>
    <n v="95839.51"/>
    <x v="1"/>
    <s v="WH-A"/>
    <n v="1472"/>
    <d v="2024-02-10T00:00:00"/>
    <n v="13"/>
    <n v="91307"/>
    <x v="3"/>
    <d v="2024-05-18T00:00:00"/>
    <n v="0.31283"/>
    <n v="71307"/>
    <x v="2"/>
    <n v="167639.15429999999"/>
    <s v="Paid"/>
    <d v="2024-05-10T00:00:00"/>
    <s v="Variable"/>
    <d v="2024-04-02T00:00:00"/>
    <s v="YES"/>
  </r>
  <r>
    <n v="11308"/>
    <n v="5516"/>
    <x v="0"/>
    <n v="68876.7"/>
    <n v="11"/>
    <x v="1"/>
    <x v="3"/>
    <n v="150886.04"/>
    <x v="1"/>
    <s v="WH-B"/>
    <n v="121"/>
    <d v="2024-04-15T00:00:00"/>
    <n v="4"/>
    <n v="91308"/>
    <x v="2"/>
    <d v="2024-04-01T00:00:00"/>
    <n v="0.41088000000000002"/>
    <n v="71308"/>
    <x v="2"/>
    <n v="51242.41906"/>
    <s v="Overdue"/>
    <d v="2024-05-10T00:00:00"/>
    <s v="Variable"/>
    <d v="2024-04-02T00:00:00"/>
    <s v="NO"/>
  </r>
  <r>
    <n v="11309"/>
    <n v="6374"/>
    <x v="1"/>
    <n v="46001.24"/>
    <n v="89"/>
    <x v="0"/>
    <x v="1"/>
    <n v="40931.94"/>
    <x v="2"/>
    <s v="WH-C"/>
    <n v="1491"/>
    <d v="2024-02-10T00:00:00"/>
    <n v="7"/>
    <n v="91309"/>
    <x v="2"/>
    <d v="2024-03-01T00:00:00"/>
    <n v="0.77764"/>
    <n v="71309"/>
    <x v="0"/>
    <n v="50831.831460000001"/>
    <s v="Paid"/>
    <d v="2024-05-10T00:00:00"/>
    <s v="Fixed"/>
    <d v="2024-04-02T00:00:00"/>
    <s v="YES"/>
  </r>
  <r>
    <n v="11310"/>
    <n v="5843"/>
    <x v="0"/>
    <n v="45374.29"/>
    <n v="18"/>
    <x v="1"/>
    <x v="0"/>
    <n v="174348.63"/>
    <x v="1"/>
    <s v="WH-B"/>
    <n v="1356"/>
    <d v="2024-02-10T00:00:00"/>
    <n v="2"/>
    <n v="91310"/>
    <x v="0"/>
    <d v="2024-03-01T00:00:00"/>
    <n v="0.48210999999999998"/>
    <n v="71310"/>
    <x v="1"/>
    <n v="62002.313300000002"/>
    <s v="Overdue"/>
    <d v="2024-05-10T00:00:00"/>
    <s v="Variable"/>
    <d v="2024-03-25T00:00:00"/>
    <s v="YES"/>
  </r>
  <r>
    <n v="11311"/>
    <n v="6470"/>
    <x v="1"/>
    <n v="75680.899999999994"/>
    <n v="19"/>
    <x v="2"/>
    <x v="1"/>
    <n v="17748.29"/>
    <x v="0"/>
    <s v="WH-A"/>
    <n v="123"/>
    <d v="2024-04-15T00:00:00"/>
    <n v="6"/>
    <n v="91311"/>
    <x v="2"/>
    <d v="2024-05-18T00:00:00"/>
    <n v="0.85358999999999996"/>
    <n v="71311"/>
    <x v="2"/>
    <n v="105168.9522"/>
    <s v="pending"/>
    <d v="2024-05-10T00:00:00"/>
    <s v="Fixed"/>
    <d v="2024-03-25T00:00:00"/>
    <s v="YES"/>
  </r>
  <r>
    <n v="11312"/>
    <n v="6854"/>
    <x v="1"/>
    <n v="39120.46"/>
    <n v="87"/>
    <x v="1"/>
    <x v="2"/>
    <n v="127431.72"/>
    <x v="1"/>
    <s v="WH-C"/>
    <n v="404"/>
    <d v="2024-04-15T00:00:00"/>
    <n v="6"/>
    <n v="91312"/>
    <x v="3"/>
    <d v="2024-03-01T00:00:00"/>
    <n v="0.88987000000000005"/>
    <n v="71312"/>
    <x v="1"/>
    <n v="165096.44931"/>
    <s v="pending"/>
    <d v="2024-04-10T00:00:00"/>
    <s v="Variable"/>
    <d v="2024-04-02T00:00:00"/>
    <s v="YES"/>
  </r>
  <r>
    <n v="11313"/>
    <n v="5350"/>
    <x v="0"/>
    <n v="49256.27"/>
    <n v="55"/>
    <x v="3"/>
    <x v="3"/>
    <n v="71251"/>
    <x v="1"/>
    <s v="WH-B"/>
    <n v="546"/>
    <d v="2024-02-10T00:00:00"/>
    <n v="2"/>
    <n v="91313"/>
    <x v="3"/>
    <d v="2024-05-18T00:00:00"/>
    <n v="0.36975999999999998"/>
    <n v="71313"/>
    <x v="1"/>
    <n v="163522.42095"/>
    <s v="pending"/>
    <d v="2024-06-01T00:00:00"/>
    <s v="Variable"/>
    <d v="2024-03-25T00:00:00"/>
    <s v="NO"/>
  </r>
  <r>
    <n v="11314"/>
    <n v="6631"/>
    <x v="0"/>
    <n v="35644.800000000003"/>
    <n v="82"/>
    <x v="2"/>
    <x v="1"/>
    <n v="81910.11"/>
    <x v="2"/>
    <s v="WH-C"/>
    <n v="1401"/>
    <d v="2024-02-10T00:00:00"/>
    <n v="14"/>
    <n v="91314"/>
    <x v="1"/>
    <d v="2024-04-01T00:00:00"/>
    <n v="0.84111000000000002"/>
    <n v="71314"/>
    <x v="1"/>
    <n v="93489.219779999999"/>
    <s v="Overdue"/>
    <d v="2024-05-10T00:00:00"/>
    <s v="Variable"/>
    <d v="2024-03-25T00:00:00"/>
    <s v="YES"/>
  </r>
  <r>
    <n v="11315"/>
    <n v="6688"/>
    <x v="1"/>
    <n v="87376.79"/>
    <n v="26"/>
    <x v="2"/>
    <x v="1"/>
    <n v="148193.31"/>
    <x v="0"/>
    <s v="WH-A"/>
    <n v="1037"/>
    <d v="2024-04-15T00:00:00"/>
    <n v="4"/>
    <n v="91315"/>
    <x v="1"/>
    <d v="2024-03-01T00:00:00"/>
    <n v="0.23884"/>
    <n v="71315"/>
    <x v="1"/>
    <n v="151273.0638"/>
    <s v="Paid"/>
    <d v="2024-05-10T00:00:00"/>
    <s v="Variable"/>
    <d v="2024-03-25T00:00:00"/>
    <s v="YES"/>
  </r>
  <r>
    <n v="11316"/>
    <n v="5823"/>
    <x v="1"/>
    <n v="27302.05"/>
    <n v="6"/>
    <x v="0"/>
    <x v="3"/>
    <n v="96640.67"/>
    <x v="0"/>
    <s v="WH-C"/>
    <n v="629"/>
    <d v="2024-03-10T00:00:00"/>
    <n v="8"/>
    <n v="91316"/>
    <x v="1"/>
    <d v="2024-03-01T00:00:00"/>
    <n v="0.40078000000000003"/>
    <n v="71316"/>
    <x v="1"/>
    <n v="51456.402679999999"/>
    <s v="Overdue"/>
    <d v="2024-05-10T00:00:00"/>
    <s v="Fixed"/>
    <d v="2024-04-02T00:00:00"/>
    <s v="NO"/>
  </r>
  <r>
    <n v="11317"/>
    <n v="6161"/>
    <x v="1"/>
    <n v="69276.02"/>
    <n v="4"/>
    <x v="3"/>
    <x v="0"/>
    <n v="136613.32999999999"/>
    <x v="1"/>
    <s v="WH-A"/>
    <n v="959"/>
    <d v="2024-02-10T00:00:00"/>
    <n v="8"/>
    <n v="91317"/>
    <x v="3"/>
    <d v="2024-04-01T00:00:00"/>
    <n v="0.56616999999999995"/>
    <n v="71317"/>
    <x v="1"/>
    <n v="97983.347500000003"/>
    <s v="pending"/>
    <d v="2024-04-10T00:00:00"/>
    <s v="Fixed"/>
    <d v="2024-04-02T00:00:00"/>
    <s v="YES"/>
  </r>
  <r>
    <n v="11318"/>
    <n v="5759"/>
    <x v="0"/>
    <n v="9590.69"/>
    <n v="29"/>
    <x v="2"/>
    <x v="1"/>
    <n v="91784.42"/>
    <x v="0"/>
    <s v="WH-B"/>
    <n v="422"/>
    <d v="2024-02-10T00:00:00"/>
    <n v="13"/>
    <n v="91318"/>
    <x v="3"/>
    <d v="2024-04-01T00:00:00"/>
    <n v="0.30380000000000001"/>
    <n v="71318"/>
    <x v="1"/>
    <n v="178393.69579999999"/>
    <s v="pending"/>
    <d v="2024-04-10T00:00:00"/>
    <s v="Fixed"/>
    <d v="2024-03-25T00:00:00"/>
    <s v="YES"/>
  </r>
  <r>
    <n v="11319"/>
    <n v="5899"/>
    <x v="1"/>
    <n v="43485.98"/>
    <n v="59"/>
    <x v="3"/>
    <x v="3"/>
    <n v="149390.1"/>
    <x v="0"/>
    <s v="WH-A"/>
    <n v="411"/>
    <d v="2024-03-10T00:00:00"/>
    <n v="8"/>
    <n v="91319"/>
    <x v="0"/>
    <d v="2024-04-01T00:00:00"/>
    <n v="0.62134"/>
    <n v="71319"/>
    <x v="1"/>
    <n v="194609.93859999999"/>
    <s v="Paid"/>
    <d v="2024-06-01T00:00:00"/>
    <s v="Fixed"/>
    <d v="2024-03-25T00:00:00"/>
    <s v="YES"/>
  </r>
  <r>
    <n v="11320"/>
    <n v="5243"/>
    <x v="1"/>
    <n v="52767.55"/>
    <n v="98"/>
    <x v="1"/>
    <x v="0"/>
    <n v="84185.97"/>
    <x v="0"/>
    <s v="WH-B"/>
    <n v="142"/>
    <d v="2024-04-15T00:00:00"/>
    <n v="8"/>
    <n v="91320"/>
    <x v="1"/>
    <d v="2024-03-01T00:00:00"/>
    <n v="0.62082999999999999"/>
    <n v="71320"/>
    <x v="0"/>
    <n v="176658.52541999999"/>
    <s v="Overdue"/>
    <d v="2024-06-01T00:00:00"/>
    <s v="Variable"/>
    <d v="2024-03-25T00:00:00"/>
    <s v="NO"/>
  </r>
  <r>
    <n v="11321"/>
    <n v="5543"/>
    <x v="1"/>
    <n v="50606.93"/>
    <n v="17"/>
    <x v="3"/>
    <x v="2"/>
    <n v="15132.45"/>
    <x v="0"/>
    <s v="WH-B"/>
    <n v="1394"/>
    <d v="2024-04-15T00:00:00"/>
    <n v="1"/>
    <n v="91321"/>
    <x v="3"/>
    <d v="2024-03-01T00:00:00"/>
    <n v="0.28621000000000002"/>
    <n v="71321"/>
    <x v="1"/>
    <n v="149639.6672"/>
    <s v="pending"/>
    <d v="2024-06-01T00:00:00"/>
    <s v="Fixed"/>
    <d v="2024-03-25T00:00:00"/>
    <s v="YES"/>
  </r>
  <r>
    <n v="11322"/>
    <n v="6064"/>
    <x v="0"/>
    <n v="10825.5"/>
    <n v="43"/>
    <x v="2"/>
    <x v="3"/>
    <n v="47573.46"/>
    <x v="2"/>
    <s v="WH-A"/>
    <n v="373"/>
    <d v="2024-03-10T00:00:00"/>
    <n v="2"/>
    <n v="91322"/>
    <x v="0"/>
    <d v="2024-04-01T00:00:00"/>
    <n v="0.81608000000000003"/>
    <n v="71322"/>
    <x v="1"/>
    <n v="205969.16020000001"/>
    <s v="Overdue"/>
    <d v="2024-06-01T00:00:00"/>
    <s v="Fixed"/>
    <d v="2024-04-02T00:00:00"/>
    <s v="YES"/>
  </r>
  <r>
    <n v="11323"/>
    <n v="5229"/>
    <x v="1"/>
    <n v="11213.93"/>
    <n v="80"/>
    <x v="0"/>
    <x v="1"/>
    <n v="100834.39"/>
    <x v="1"/>
    <s v="WH-B"/>
    <n v="433"/>
    <d v="2024-04-15T00:00:00"/>
    <n v="12"/>
    <n v="91323"/>
    <x v="3"/>
    <d v="2024-04-01T00:00:00"/>
    <n v="0.66847999999999996"/>
    <n v="71323"/>
    <x v="0"/>
    <n v="106260.3746"/>
    <s v="Overdue"/>
    <d v="2024-04-10T00:00:00"/>
    <s v="Fixed"/>
    <d v="2024-03-25T00:00:00"/>
    <s v="YES"/>
  </r>
  <r>
    <n v="11324"/>
    <n v="5548"/>
    <x v="0"/>
    <n v="63606.74"/>
    <n v="66"/>
    <x v="2"/>
    <x v="2"/>
    <n v="24018.03"/>
    <x v="2"/>
    <s v="WH-C"/>
    <n v="624"/>
    <d v="2024-04-15T00:00:00"/>
    <n v="4"/>
    <n v="91324"/>
    <x v="0"/>
    <d v="2024-04-01T00:00:00"/>
    <n v="0.38597999999999999"/>
    <n v="71324"/>
    <x v="0"/>
    <n v="169859.2579"/>
    <s v="Paid"/>
    <d v="2024-06-01T00:00:00"/>
    <s v="Fixed"/>
    <d v="2024-03-25T00:00:00"/>
    <s v="YES"/>
  </r>
  <r>
    <n v="11325"/>
    <n v="5920"/>
    <x v="1"/>
    <n v="16884.150000000001"/>
    <n v="34"/>
    <x v="3"/>
    <x v="0"/>
    <n v="162058.44"/>
    <x v="2"/>
    <s v="WH-B"/>
    <n v="785"/>
    <d v="2024-02-10T00:00:00"/>
    <n v="12"/>
    <n v="91325"/>
    <x v="1"/>
    <d v="2024-04-01T00:00:00"/>
    <n v="0.30897000000000002"/>
    <n v="71325"/>
    <x v="0"/>
    <n v="118955.9247"/>
    <s v="Paid"/>
    <d v="2024-05-10T00:00:00"/>
    <s v="Variable"/>
    <d v="2024-03-25T00:00:00"/>
    <s v="YES"/>
  </r>
  <r>
    <n v="11326"/>
    <n v="6247"/>
    <x v="1"/>
    <n v="74042.27"/>
    <n v="8"/>
    <x v="3"/>
    <x v="0"/>
    <n v="118884.38"/>
    <x v="1"/>
    <s v="WH-A"/>
    <n v="786"/>
    <d v="2024-02-10T00:00:00"/>
    <n v="9"/>
    <n v="91326"/>
    <x v="1"/>
    <d v="2024-04-01T00:00:00"/>
    <n v="0.89088000000000001"/>
    <n v="71326"/>
    <x v="1"/>
    <n v="141582.21978000001"/>
    <s v="pending"/>
    <d v="2024-04-10T00:00:00"/>
    <s v="Variable"/>
    <d v="2024-04-02T00:00:00"/>
    <s v="YES"/>
  </r>
  <r>
    <n v="11327"/>
    <n v="5006"/>
    <x v="1"/>
    <n v="72892.100000000006"/>
    <n v="13"/>
    <x v="2"/>
    <x v="3"/>
    <n v="95885.63"/>
    <x v="0"/>
    <s v="WH-C"/>
    <n v="395"/>
    <d v="2024-02-10T00:00:00"/>
    <n v="3"/>
    <n v="91327"/>
    <x v="1"/>
    <d v="2024-05-18T00:00:00"/>
    <n v="0.85216999999999998"/>
    <n v="71327"/>
    <x v="0"/>
    <n v="96097.284700000004"/>
    <s v="Paid"/>
    <d v="2024-04-10T00:00:00"/>
    <s v="Variable"/>
    <d v="2024-03-25T00:00:00"/>
    <s v="NO"/>
  </r>
  <r>
    <n v="11328"/>
    <n v="6346"/>
    <x v="1"/>
    <n v="84059.12"/>
    <n v="8"/>
    <x v="3"/>
    <x v="3"/>
    <n v="102490.68"/>
    <x v="2"/>
    <s v="WH-C"/>
    <n v="1176"/>
    <d v="2024-03-10T00:00:00"/>
    <n v="14"/>
    <n v="91328"/>
    <x v="3"/>
    <d v="2024-04-01T00:00:00"/>
    <n v="0.30678"/>
    <n v="71328"/>
    <x v="1"/>
    <n v="96818.621499999994"/>
    <s v="Overdue"/>
    <d v="2024-04-10T00:00:00"/>
    <s v="Fixed"/>
    <d v="2024-04-02T00:00:00"/>
    <s v="NO"/>
  </r>
  <r>
    <n v="11329"/>
    <n v="5468"/>
    <x v="1"/>
    <n v="16408.34"/>
    <n v="94"/>
    <x v="1"/>
    <x v="3"/>
    <n v="90976.37"/>
    <x v="0"/>
    <s v="WH-B"/>
    <n v="1288"/>
    <d v="2024-04-15T00:00:00"/>
    <n v="6"/>
    <n v="91329"/>
    <x v="3"/>
    <d v="2024-05-18T00:00:00"/>
    <n v="0.13203999999999999"/>
    <n v="71329"/>
    <x v="2"/>
    <n v="147046.77017"/>
    <s v="Paid"/>
    <d v="2024-05-10T00:00:00"/>
    <s v="Fixed"/>
    <d v="2024-03-25T00:00:00"/>
    <s v="YES"/>
  </r>
  <r>
    <n v="11330"/>
    <n v="6756"/>
    <x v="1"/>
    <n v="8539.66"/>
    <n v="96"/>
    <x v="2"/>
    <x v="0"/>
    <n v="32600.57"/>
    <x v="2"/>
    <s v="WH-B"/>
    <n v="1265"/>
    <d v="2024-04-15T00:00:00"/>
    <n v="7"/>
    <n v="91330"/>
    <x v="0"/>
    <d v="2024-03-01T00:00:00"/>
    <n v="0.82408000000000003"/>
    <n v="71330"/>
    <x v="2"/>
    <n v="210499.70809999999"/>
    <s v="Overdue"/>
    <d v="2024-04-10T00:00:00"/>
    <s v="Variable"/>
    <d v="2024-03-25T00:00:00"/>
    <s v="YES"/>
  </r>
  <r>
    <n v="11331"/>
    <n v="5075"/>
    <x v="1"/>
    <n v="66501.19"/>
    <n v="94"/>
    <x v="0"/>
    <x v="2"/>
    <n v="74026.73"/>
    <x v="2"/>
    <s v="WH-A"/>
    <n v="768"/>
    <d v="2024-02-10T00:00:00"/>
    <n v="8"/>
    <n v="91331"/>
    <x v="2"/>
    <d v="2024-03-01T00:00:00"/>
    <n v="0.65395999999999999"/>
    <n v="71331"/>
    <x v="0"/>
    <n v="166216.11460999999"/>
    <s v="pending"/>
    <d v="2024-05-10T00:00:00"/>
    <s v="Variable"/>
    <d v="2024-03-25T00:00:00"/>
    <s v="NO"/>
  </r>
  <r>
    <n v="11332"/>
    <n v="5004"/>
    <x v="1"/>
    <n v="73185.77"/>
    <n v="65"/>
    <x v="2"/>
    <x v="0"/>
    <n v="93723.51"/>
    <x v="1"/>
    <s v="WH-C"/>
    <n v="830"/>
    <d v="2024-02-10T00:00:00"/>
    <n v="13"/>
    <n v="91332"/>
    <x v="2"/>
    <d v="2024-05-18T00:00:00"/>
    <n v="0.19078999999999999"/>
    <n v="71332"/>
    <x v="0"/>
    <n v="182389.29367000001"/>
    <s v="Overdue"/>
    <d v="2024-06-01T00:00:00"/>
    <s v="Variable"/>
    <d v="2024-04-02T00:00:00"/>
    <s v="YES"/>
  </r>
  <r>
    <n v="11333"/>
    <n v="6871"/>
    <x v="1"/>
    <n v="20880.240000000002"/>
    <n v="43"/>
    <x v="1"/>
    <x v="1"/>
    <n v="142388.97"/>
    <x v="1"/>
    <s v="WH-A"/>
    <n v="1069"/>
    <d v="2024-03-10T00:00:00"/>
    <n v="7"/>
    <n v="91333"/>
    <x v="1"/>
    <d v="2024-04-01T00:00:00"/>
    <n v="0.62861999999999996"/>
    <n v="71333"/>
    <x v="2"/>
    <n v="102486.11930999999"/>
    <s v="Paid"/>
    <d v="2024-04-10T00:00:00"/>
    <s v="Variable"/>
    <d v="2024-03-25T00:00:00"/>
    <s v="YES"/>
  </r>
  <r>
    <n v="11334"/>
    <n v="5646"/>
    <x v="1"/>
    <n v="24967.8"/>
    <n v="39"/>
    <x v="1"/>
    <x v="0"/>
    <n v="140308.1"/>
    <x v="1"/>
    <s v="WH-B"/>
    <n v="1267"/>
    <d v="2024-04-15T00:00:00"/>
    <n v="3"/>
    <n v="91334"/>
    <x v="2"/>
    <d v="2024-03-01T00:00:00"/>
    <n v="0.50695999999999997"/>
    <n v="71334"/>
    <x v="1"/>
    <n v="122839.55469999999"/>
    <s v="Paid"/>
    <d v="2024-05-10T00:00:00"/>
    <s v="Variable"/>
    <d v="2024-03-25T00:00:00"/>
    <s v="YES"/>
  </r>
  <r>
    <n v="11335"/>
    <n v="5118"/>
    <x v="0"/>
    <n v="32529.58"/>
    <n v="81"/>
    <x v="1"/>
    <x v="1"/>
    <n v="130777.76"/>
    <x v="2"/>
    <s v="WH-C"/>
    <n v="1453"/>
    <d v="2024-03-10T00:00:00"/>
    <n v="6"/>
    <n v="91335"/>
    <x v="1"/>
    <d v="2024-04-01T00:00:00"/>
    <n v="0.79710000000000003"/>
    <n v="71335"/>
    <x v="1"/>
    <n v="110884.6289"/>
    <s v="pending"/>
    <d v="2024-04-10T00:00:00"/>
    <s v="Variable"/>
    <d v="2024-03-25T00:00:00"/>
    <s v="YES"/>
  </r>
  <r>
    <n v="11336"/>
    <n v="5881"/>
    <x v="0"/>
    <n v="9430.6299999999992"/>
    <n v="59"/>
    <x v="1"/>
    <x v="2"/>
    <n v="86393.17"/>
    <x v="1"/>
    <s v="WH-A"/>
    <n v="1476"/>
    <d v="2024-04-15T00:00:00"/>
    <n v="5"/>
    <n v="91336"/>
    <x v="0"/>
    <d v="2024-04-01T00:00:00"/>
    <n v="0.28817999999999999"/>
    <n v="71336"/>
    <x v="0"/>
    <n v="72860.290200000003"/>
    <s v="Paid"/>
    <d v="2024-06-01T00:00:00"/>
    <s v="Variable"/>
    <d v="2024-04-02T00:00:00"/>
    <s v="YES"/>
  </r>
  <r>
    <n v="11337"/>
    <n v="6630"/>
    <x v="1"/>
    <n v="12700.28"/>
    <n v="84"/>
    <x v="1"/>
    <x v="3"/>
    <n v="169547.48"/>
    <x v="0"/>
    <s v="WH-A"/>
    <n v="713"/>
    <d v="2024-03-10T00:00:00"/>
    <n v="13"/>
    <n v="91337"/>
    <x v="2"/>
    <d v="2024-05-18T00:00:00"/>
    <n v="0.50783999999999996"/>
    <n v="71337"/>
    <x v="0"/>
    <n v="120629.0309"/>
    <s v="pending"/>
    <d v="2024-04-10T00:00:00"/>
    <s v="Variable"/>
    <d v="2024-04-02T00:00:00"/>
    <s v="YES"/>
  </r>
  <r>
    <n v="11338"/>
    <n v="5504"/>
    <x v="1"/>
    <n v="35003.75"/>
    <n v="88"/>
    <x v="0"/>
    <x v="3"/>
    <n v="123422.66"/>
    <x v="0"/>
    <s v="WH-A"/>
    <n v="649"/>
    <d v="2024-02-10T00:00:00"/>
    <n v="12"/>
    <n v="91338"/>
    <x v="2"/>
    <d v="2024-03-01T00:00:00"/>
    <n v="0.24062"/>
    <n v="71338"/>
    <x v="0"/>
    <n v="166049.76860000001"/>
    <s v="pending"/>
    <d v="2024-06-01T00:00:00"/>
    <s v="Variable"/>
    <d v="2024-04-02T00:00:00"/>
    <s v="NO"/>
  </r>
  <r>
    <n v="11339"/>
    <n v="5947"/>
    <x v="1"/>
    <n v="41947.89"/>
    <n v="86"/>
    <x v="3"/>
    <x v="0"/>
    <n v="152332.39000000001"/>
    <x v="2"/>
    <s v="WH-A"/>
    <n v="60"/>
    <d v="2024-03-10T00:00:00"/>
    <n v="10"/>
    <n v="91339"/>
    <x v="1"/>
    <d v="2024-03-01T00:00:00"/>
    <n v="0.96177000000000001"/>
    <n v="71339"/>
    <x v="2"/>
    <n v="168001.92879999999"/>
    <s v="Paid"/>
    <d v="2024-04-10T00:00:00"/>
    <s v="Variable"/>
    <d v="2024-03-25T00:00:00"/>
    <s v="YES"/>
  </r>
  <r>
    <n v="11340"/>
    <n v="5574"/>
    <x v="1"/>
    <n v="33304.36"/>
    <n v="93"/>
    <x v="1"/>
    <x v="3"/>
    <n v="102621.54"/>
    <x v="1"/>
    <s v="WH-A"/>
    <n v="236"/>
    <d v="2024-03-10T00:00:00"/>
    <n v="4"/>
    <n v="91340"/>
    <x v="0"/>
    <d v="2024-05-18T00:00:00"/>
    <n v="0.80086000000000002"/>
    <n v="71340"/>
    <x v="1"/>
    <n v="182242.2605"/>
    <s v="Overdue"/>
    <d v="2024-05-10T00:00:00"/>
    <s v="Fixed"/>
    <d v="2024-03-25T00:00:00"/>
    <s v="YES"/>
  </r>
  <r>
    <n v="11341"/>
    <n v="6465"/>
    <x v="1"/>
    <n v="57056.01"/>
    <n v="86"/>
    <x v="1"/>
    <x v="2"/>
    <n v="89172.02"/>
    <x v="1"/>
    <s v="WH-C"/>
    <n v="775"/>
    <d v="2024-02-10T00:00:00"/>
    <n v="1"/>
    <n v="91341"/>
    <x v="2"/>
    <d v="2024-04-01T00:00:00"/>
    <n v="0.76305000000000001"/>
    <n v="71341"/>
    <x v="0"/>
    <n v="178597.12383999999"/>
    <s v="pending"/>
    <d v="2024-06-01T00:00:00"/>
    <s v="Variable"/>
    <d v="2024-03-25T00:00:00"/>
    <s v="NO"/>
  </r>
  <r>
    <n v="11342"/>
    <n v="5194"/>
    <x v="1"/>
    <n v="90977.39"/>
    <n v="44"/>
    <x v="2"/>
    <x v="3"/>
    <n v="13347.41"/>
    <x v="1"/>
    <s v="WH-A"/>
    <n v="1088"/>
    <d v="2024-04-15T00:00:00"/>
    <n v="14"/>
    <n v="91342"/>
    <x v="2"/>
    <d v="2024-04-01T00:00:00"/>
    <n v="0.72119"/>
    <n v="71342"/>
    <x v="1"/>
    <n v="102759.80925999999"/>
    <s v="Overdue"/>
    <d v="2024-04-10T00:00:00"/>
    <s v="Fixed"/>
    <d v="2024-03-25T00:00:00"/>
    <s v="YES"/>
  </r>
  <r>
    <n v="11343"/>
    <n v="5847"/>
    <x v="1"/>
    <n v="10415.200000000001"/>
    <n v="9"/>
    <x v="0"/>
    <x v="0"/>
    <n v="148307.07"/>
    <x v="0"/>
    <s v="WH-C"/>
    <n v="827"/>
    <d v="2024-04-15T00:00:00"/>
    <n v="13"/>
    <n v="91343"/>
    <x v="2"/>
    <d v="2024-03-01T00:00:00"/>
    <n v="0.48099999999999998"/>
    <n v="71343"/>
    <x v="1"/>
    <n v="143206.57190000001"/>
    <s v="Paid"/>
    <d v="2024-06-01T00:00:00"/>
    <s v="Variable"/>
    <d v="2024-04-02T00:00:00"/>
    <s v="YES"/>
  </r>
  <r>
    <n v="11344"/>
    <n v="5715"/>
    <x v="1"/>
    <n v="26917.64"/>
    <n v="37"/>
    <x v="0"/>
    <x v="2"/>
    <n v="164991.92000000001"/>
    <x v="1"/>
    <s v="WH-A"/>
    <n v="1370"/>
    <d v="2024-02-10T00:00:00"/>
    <n v="7"/>
    <n v="91344"/>
    <x v="0"/>
    <d v="2024-05-18T00:00:00"/>
    <n v="0.93095000000000006"/>
    <n v="71344"/>
    <x v="1"/>
    <n v="159379.62669999999"/>
    <s v="Overdue"/>
    <d v="2024-06-01T00:00:00"/>
    <s v="Fixed"/>
    <d v="2024-04-02T00:00:00"/>
    <s v="YES"/>
  </r>
  <r>
    <n v="11345"/>
    <n v="6416"/>
    <x v="1"/>
    <n v="26884.94"/>
    <n v="74"/>
    <x v="3"/>
    <x v="1"/>
    <n v="100012.46"/>
    <x v="0"/>
    <s v="WH-B"/>
    <n v="460"/>
    <d v="2024-03-10T00:00:00"/>
    <n v="8"/>
    <n v="91345"/>
    <x v="0"/>
    <d v="2024-05-18T00:00:00"/>
    <n v="0.16563"/>
    <n v="71345"/>
    <x v="1"/>
    <n v="74130.216549999997"/>
    <s v="Overdue"/>
    <d v="2024-05-10T00:00:00"/>
    <s v="Variable"/>
    <d v="2024-03-25T00:00:00"/>
    <s v="YES"/>
  </r>
  <r>
    <n v="11346"/>
    <n v="6050"/>
    <x v="1"/>
    <n v="15074.81"/>
    <n v="36"/>
    <x v="0"/>
    <x v="0"/>
    <n v="169467.06"/>
    <x v="1"/>
    <s v="WH-B"/>
    <n v="1005"/>
    <d v="2024-03-10T00:00:00"/>
    <n v="2"/>
    <n v="91346"/>
    <x v="2"/>
    <d v="2024-04-01T00:00:00"/>
    <n v="0.82293000000000005"/>
    <n v="71346"/>
    <x v="2"/>
    <n v="104985.6125"/>
    <s v="Overdue"/>
    <d v="2024-05-10T00:00:00"/>
    <s v="Fixed"/>
    <d v="2024-04-02T00:00:00"/>
    <s v="YES"/>
  </r>
  <r>
    <n v="11347"/>
    <n v="6459"/>
    <x v="1"/>
    <n v="83281.84"/>
    <n v="92"/>
    <x v="2"/>
    <x v="1"/>
    <n v="34966.480000000003"/>
    <x v="1"/>
    <s v="WH-A"/>
    <n v="634"/>
    <d v="2024-03-10T00:00:00"/>
    <n v="7"/>
    <n v="91347"/>
    <x v="1"/>
    <d v="2024-04-01T00:00:00"/>
    <n v="0.29371000000000003"/>
    <n v="71347"/>
    <x v="1"/>
    <n v="93260.201809999999"/>
    <s v="Overdue"/>
    <d v="2024-05-10T00:00:00"/>
    <s v="Variable"/>
    <d v="2024-03-25T00:00:00"/>
    <s v="NO"/>
  </r>
  <r>
    <n v="11348"/>
    <n v="5173"/>
    <x v="1"/>
    <n v="81503.23"/>
    <n v="28"/>
    <x v="2"/>
    <x v="2"/>
    <n v="91814.53"/>
    <x v="2"/>
    <s v="WH-B"/>
    <n v="1125"/>
    <d v="2024-04-15T00:00:00"/>
    <n v="6"/>
    <n v="91348"/>
    <x v="1"/>
    <d v="2024-05-18T00:00:00"/>
    <n v="0.39162999999999998"/>
    <n v="71348"/>
    <x v="1"/>
    <n v="154220.80796000001"/>
    <s v="Paid"/>
    <d v="2024-05-10T00:00:00"/>
    <s v="Fixed"/>
    <d v="2024-03-25T00:00:00"/>
    <s v="YES"/>
  </r>
  <r>
    <n v="11349"/>
    <n v="6324"/>
    <x v="1"/>
    <n v="46139.5"/>
    <n v="42"/>
    <x v="3"/>
    <x v="0"/>
    <n v="178544.52"/>
    <x v="2"/>
    <s v="WH-C"/>
    <n v="1101"/>
    <d v="2024-03-10T00:00:00"/>
    <n v="5"/>
    <n v="91349"/>
    <x v="2"/>
    <d v="2024-03-01T00:00:00"/>
    <n v="0.56749000000000005"/>
    <n v="71349"/>
    <x v="1"/>
    <n v="157368.12173000001"/>
    <s v="Paid"/>
    <d v="2024-06-01T00:00:00"/>
    <s v="Fixed"/>
    <d v="2024-04-02T00:00:00"/>
    <s v="YES"/>
  </r>
  <r>
    <n v="11350"/>
    <n v="6669"/>
    <x v="1"/>
    <n v="56237.760000000002"/>
    <n v="43"/>
    <x v="2"/>
    <x v="0"/>
    <n v="104826.2"/>
    <x v="1"/>
    <s v="WH-A"/>
    <n v="626"/>
    <d v="2024-04-15T00:00:00"/>
    <n v="13"/>
    <n v="91350"/>
    <x v="0"/>
    <d v="2024-04-01T00:00:00"/>
    <n v="0.80439000000000005"/>
    <n v="71350"/>
    <x v="2"/>
    <n v="168576.80700999999"/>
    <s v="Overdue"/>
    <d v="2024-06-01T00:00:00"/>
    <s v="Variable"/>
    <d v="2024-04-02T00:00:00"/>
    <s v="YES"/>
  </r>
  <r>
    <n v="11351"/>
    <n v="5326"/>
    <x v="1"/>
    <n v="34840.58"/>
    <n v="85"/>
    <x v="1"/>
    <x v="2"/>
    <n v="23665.119999999999"/>
    <x v="1"/>
    <s v="WH-C"/>
    <n v="1090"/>
    <d v="2024-03-10T00:00:00"/>
    <n v="4"/>
    <n v="91351"/>
    <x v="2"/>
    <d v="2024-05-18T00:00:00"/>
    <n v="0.85468"/>
    <n v="71351"/>
    <x v="1"/>
    <n v="189576.92159000001"/>
    <s v="Paid"/>
    <d v="2024-04-10T00:00:00"/>
    <s v="Variable"/>
    <d v="2024-03-25T00:00:00"/>
    <s v="NO"/>
  </r>
  <r>
    <n v="11352"/>
    <n v="6434"/>
    <x v="1"/>
    <n v="59340.41"/>
    <n v="88"/>
    <x v="1"/>
    <x v="3"/>
    <n v="110325.62"/>
    <x v="1"/>
    <s v="WH-A"/>
    <n v="1424"/>
    <d v="2024-02-10T00:00:00"/>
    <n v="2"/>
    <n v="91352"/>
    <x v="0"/>
    <d v="2024-05-18T00:00:00"/>
    <n v="0.62536000000000003"/>
    <n v="71352"/>
    <x v="0"/>
    <n v="68135.645730000004"/>
    <s v="Paid"/>
    <d v="2024-04-10T00:00:00"/>
    <s v="Variable"/>
    <d v="2024-03-25T00:00:00"/>
    <s v="YES"/>
  </r>
  <r>
    <n v="11353"/>
    <n v="6142"/>
    <x v="1"/>
    <n v="50567.57"/>
    <n v="42"/>
    <x v="2"/>
    <x v="0"/>
    <n v="63413.4"/>
    <x v="2"/>
    <s v="WH-B"/>
    <n v="1302"/>
    <d v="2024-02-10T00:00:00"/>
    <n v="10"/>
    <n v="91353"/>
    <x v="2"/>
    <d v="2024-05-18T00:00:00"/>
    <n v="0.46272999999999997"/>
    <n v="71353"/>
    <x v="1"/>
    <n v="122944.7864"/>
    <s v="pending"/>
    <d v="2024-04-10T00:00:00"/>
    <s v="Variable"/>
    <d v="2024-04-02T00:00:00"/>
    <s v="YES"/>
  </r>
  <r>
    <n v="11354"/>
    <n v="5836"/>
    <x v="0"/>
    <n v="41563.279999999999"/>
    <n v="66"/>
    <x v="3"/>
    <x v="0"/>
    <n v="169975.78"/>
    <x v="0"/>
    <s v="WH-C"/>
    <n v="1038"/>
    <d v="2024-04-15T00:00:00"/>
    <n v="6"/>
    <n v="91354"/>
    <x v="0"/>
    <d v="2024-03-01T00:00:00"/>
    <n v="0.95184999999999997"/>
    <n v="71354"/>
    <x v="1"/>
    <n v="141401.35560000001"/>
    <s v="Paid"/>
    <d v="2024-05-10T00:00:00"/>
    <s v="Variable"/>
    <d v="2024-04-02T00:00:00"/>
    <s v="NO"/>
  </r>
  <r>
    <n v="11355"/>
    <n v="6811"/>
    <x v="1"/>
    <n v="74331.429999999993"/>
    <n v="55"/>
    <x v="0"/>
    <x v="1"/>
    <n v="122740.62"/>
    <x v="1"/>
    <s v="WH-B"/>
    <n v="1283"/>
    <d v="2024-04-15T00:00:00"/>
    <n v="5"/>
    <n v="91355"/>
    <x v="3"/>
    <d v="2024-04-01T00:00:00"/>
    <n v="0.32186999999999999"/>
    <n v="71355"/>
    <x v="1"/>
    <n v="65878.363400000002"/>
    <s v="Overdue"/>
    <d v="2024-06-01T00:00:00"/>
    <s v="Variable"/>
    <d v="2024-03-25T00:00:00"/>
    <s v="YES"/>
  </r>
  <r>
    <n v="11356"/>
    <n v="5724"/>
    <x v="1"/>
    <n v="54173.34"/>
    <n v="72"/>
    <x v="3"/>
    <x v="3"/>
    <n v="35698.480000000003"/>
    <x v="1"/>
    <s v="WH-B"/>
    <n v="1367"/>
    <d v="2024-02-10T00:00:00"/>
    <n v="2"/>
    <n v="91356"/>
    <x v="1"/>
    <d v="2024-04-01T00:00:00"/>
    <n v="0.82279000000000002"/>
    <n v="71356"/>
    <x v="2"/>
    <n v="157992.34820000001"/>
    <s v="Paid"/>
    <d v="2024-06-01T00:00:00"/>
    <s v="Fixed"/>
    <d v="2024-03-25T00:00:00"/>
    <s v="YES"/>
  </r>
  <r>
    <n v="11357"/>
    <n v="5225"/>
    <x v="1"/>
    <n v="17200.2"/>
    <n v="48"/>
    <x v="0"/>
    <x v="1"/>
    <n v="97396.87"/>
    <x v="2"/>
    <s v="WH-A"/>
    <n v="792"/>
    <d v="2024-02-10T00:00:00"/>
    <n v="10"/>
    <n v="91357"/>
    <x v="3"/>
    <d v="2024-04-01T00:00:00"/>
    <n v="0.65083999999999997"/>
    <n v="71357"/>
    <x v="1"/>
    <n v="192124.0085"/>
    <s v="Paid"/>
    <d v="2024-04-10T00:00:00"/>
    <s v="Variable"/>
    <d v="2024-04-02T00:00:00"/>
    <s v="YES"/>
  </r>
  <r>
    <n v="11358"/>
    <n v="5532"/>
    <x v="1"/>
    <n v="28583.42"/>
    <n v="91"/>
    <x v="2"/>
    <x v="1"/>
    <n v="146745.37"/>
    <x v="1"/>
    <s v="WH-C"/>
    <n v="1177"/>
    <d v="2024-03-10T00:00:00"/>
    <n v="7"/>
    <n v="91358"/>
    <x v="1"/>
    <d v="2024-03-01T00:00:00"/>
    <n v="0.43920999999999999"/>
    <n v="71358"/>
    <x v="0"/>
    <n v="69190.260039999994"/>
    <s v="Paid"/>
    <d v="2024-04-10T00:00:00"/>
    <s v="Fixed"/>
    <d v="2024-04-02T00:00:00"/>
    <s v="YES"/>
  </r>
  <r>
    <n v="11359"/>
    <n v="5113"/>
    <x v="0"/>
    <n v="96336.84"/>
    <n v="22"/>
    <x v="2"/>
    <x v="3"/>
    <n v="61828.9"/>
    <x v="2"/>
    <s v="WH-B"/>
    <n v="253"/>
    <d v="2024-02-10T00:00:00"/>
    <n v="6"/>
    <n v="91359"/>
    <x v="0"/>
    <d v="2024-04-01T00:00:00"/>
    <n v="0.10123"/>
    <n v="71359"/>
    <x v="0"/>
    <n v="181069.32689999999"/>
    <s v="Paid"/>
    <d v="2024-06-01T00:00:00"/>
    <s v="Variable"/>
    <d v="2024-03-25T00:00:00"/>
    <s v="NO"/>
  </r>
  <r>
    <n v="11360"/>
    <n v="5140"/>
    <x v="0"/>
    <n v="81079.64"/>
    <n v="27"/>
    <x v="1"/>
    <x v="3"/>
    <n v="140805.82"/>
    <x v="2"/>
    <s v="WH-A"/>
    <n v="1126"/>
    <d v="2024-04-15T00:00:00"/>
    <n v="12"/>
    <n v="91360"/>
    <x v="3"/>
    <d v="2024-04-01T00:00:00"/>
    <n v="0.50194000000000005"/>
    <n v="71360"/>
    <x v="1"/>
    <n v="114901.17819999999"/>
    <s v="pending"/>
    <d v="2024-05-10T00:00:00"/>
    <s v="Variable"/>
    <d v="2024-03-25T00:00:00"/>
    <s v="YES"/>
  </r>
  <r>
    <n v="11361"/>
    <n v="5559"/>
    <x v="1"/>
    <n v="21273.21"/>
    <n v="93"/>
    <x v="0"/>
    <x v="2"/>
    <n v="71131.34"/>
    <x v="2"/>
    <s v="WH-A"/>
    <n v="1023"/>
    <d v="2024-02-10T00:00:00"/>
    <n v="11"/>
    <n v="91361"/>
    <x v="1"/>
    <d v="2024-04-01T00:00:00"/>
    <n v="0.34905000000000003"/>
    <n v="71361"/>
    <x v="2"/>
    <n v="137328.08170000001"/>
    <s v="Overdue"/>
    <d v="2024-04-10T00:00:00"/>
    <s v="Variable"/>
    <d v="2024-04-02T00:00:00"/>
    <s v="YES"/>
  </r>
  <r>
    <n v="11362"/>
    <n v="5001"/>
    <x v="1"/>
    <n v="14514.88"/>
    <n v="67"/>
    <x v="3"/>
    <x v="3"/>
    <n v="90033.87"/>
    <x v="2"/>
    <s v="WH-A"/>
    <n v="989"/>
    <d v="2024-04-15T00:00:00"/>
    <n v="9"/>
    <n v="91362"/>
    <x v="2"/>
    <d v="2024-04-01T00:00:00"/>
    <n v="0.19391"/>
    <n v="71362"/>
    <x v="2"/>
    <n v="122388.9975"/>
    <s v="Overdue"/>
    <d v="2024-04-10T00:00:00"/>
    <s v="Variable"/>
    <d v="2024-04-02T00:00:00"/>
    <s v="YES"/>
  </r>
  <r>
    <n v="11363"/>
    <n v="5090"/>
    <x v="1"/>
    <n v="39062.620000000003"/>
    <n v="13"/>
    <x v="2"/>
    <x v="0"/>
    <n v="121136.1"/>
    <x v="0"/>
    <s v="WH-B"/>
    <n v="1448"/>
    <d v="2024-04-15T00:00:00"/>
    <n v="11"/>
    <n v="91363"/>
    <x v="0"/>
    <d v="2024-03-01T00:00:00"/>
    <n v="0.16764000000000001"/>
    <n v="71363"/>
    <x v="1"/>
    <n v="188124.87400000001"/>
    <s v="Paid"/>
    <d v="2024-06-01T00:00:00"/>
    <s v="Variable"/>
    <d v="2024-04-02T00:00:00"/>
    <s v="YES"/>
  </r>
  <r>
    <n v="11364"/>
    <n v="5654"/>
    <x v="1"/>
    <n v="67186.570000000007"/>
    <n v="45"/>
    <x v="3"/>
    <x v="3"/>
    <n v="47316.47"/>
    <x v="0"/>
    <s v="WH-A"/>
    <n v="1127"/>
    <d v="2024-03-10T00:00:00"/>
    <n v="10"/>
    <n v="91364"/>
    <x v="0"/>
    <d v="2024-05-18T00:00:00"/>
    <n v="0.4128"/>
    <n v="71364"/>
    <x v="1"/>
    <n v="150341.96844999999"/>
    <s v="Paid"/>
    <d v="2024-06-01T00:00:00"/>
    <s v="Fixed"/>
    <d v="2024-04-02T00:00:00"/>
    <s v="YES"/>
  </r>
  <r>
    <n v="11365"/>
    <n v="5320"/>
    <x v="1"/>
    <n v="90131.74"/>
    <n v="10"/>
    <x v="1"/>
    <x v="2"/>
    <n v="82836.11"/>
    <x v="1"/>
    <s v="WH-C"/>
    <n v="1349"/>
    <d v="2024-03-10T00:00:00"/>
    <n v="5"/>
    <n v="91365"/>
    <x v="2"/>
    <d v="2024-05-18T00:00:00"/>
    <n v="0.65327999999999997"/>
    <n v="71365"/>
    <x v="1"/>
    <n v="110806.1695"/>
    <s v="pending"/>
    <d v="2024-04-10T00:00:00"/>
    <s v="Fixed"/>
    <d v="2024-03-25T00:00:00"/>
    <s v="YES"/>
  </r>
  <r>
    <n v="11366"/>
    <n v="6574"/>
    <x v="1"/>
    <n v="58000.76"/>
    <n v="9"/>
    <x v="0"/>
    <x v="2"/>
    <n v="128000.74"/>
    <x v="2"/>
    <s v="WH-C"/>
    <n v="1408"/>
    <d v="2024-03-10T00:00:00"/>
    <n v="9"/>
    <n v="91366"/>
    <x v="2"/>
    <d v="2024-04-01T00:00:00"/>
    <n v="0.85377000000000003"/>
    <n v="71366"/>
    <x v="1"/>
    <n v="85406.148620000007"/>
    <s v="Paid"/>
    <d v="2024-04-10T00:00:00"/>
    <s v="Fixed"/>
    <d v="2024-03-25T00:00:00"/>
    <s v="YES"/>
  </r>
  <r>
    <n v="11367"/>
    <n v="6829"/>
    <x v="1"/>
    <n v="21055.88"/>
    <n v="54"/>
    <x v="0"/>
    <x v="2"/>
    <n v="117074.56"/>
    <x v="0"/>
    <s v="WH-B"/>
    <n v="1104"/>
    <d v="2024-03-10T00:00:00"/>
    <n v="9"/>
    <n v="91367"/>
    <x v="1"/>
    <d v="2024-04-01T00:00:00"/>
    <n v="0.26521"/>
    <n v="71367"/>
    <x v="1"/>
    <n v="199246.01501"/>
    <s v="pending"/>
    <d v="2024-05-10T00:00:00"/>
    <s v="Variable"/>
    <d v="2024-04-02T00:00:00"/>
    <s v="YES"/>
  </r>
  <r>
    <n v="11368"/>
    <n v="6918"/>
    <x v="1"/>
    <n v="92117.27"/>
    <n v="27"/>
    <x v="2"/>
    <x v="3"/>
    <n v="42778.74"/>
    <x v="1"/>
    <s v="WH-C"/>
    <n v="1208"/>
    <d v="2024-02-10T00:00:00"/>
    <n v="13"/>
    <n v="91368"/>
    <x v="0"/>
    <d v="2024-04-01T00:00:00"/>
    <n v="0.48218"/>
    <n v="71368"/>
    <x v="1"/>
    <n v="180256.27473999999"/>
    <s v="Overdue"/>
    <d v="2024-05-10T00:00:00"/>
    <s v="Fixed"/>
    <d v="2024-03-25T00:00:00"/>
    <s v="YES"/>
  </r>
  <r>
    <n v="11369"/>
    <n v="5139"/>
    <x v="1"/>
    <n v="52952.15"/>
    <n v="34"/>
    <x v="0"/>
    <x v="3"/>
    <n v="138314.31"/>
    <x v="2"/>
    <s v="WH-A"/>
    <n v="1131"/>
    <d v="2024-03-10T00:00:00"/>
    <n v="1"/>
    <n v="91369"/>
    <x v="1"/>
    <d v="2024-03-01T00:00:00"/>
    <n v="0.45276"/>
    <n v="71369"/>
    <x v="1"/>
    <n v="127867.69310999999"/>
    <s v="Overdue"/>
    <d v="2024-05-10T00:00:00"/>
    <s v="Variable"/>
    <d v="2024-03-25T00:00:00"/>
    <s v="YES"/>
  </r>
  <r>
    <n v="11370"/>
    <n v="6535"/>
    <x v="1"/>
    <n v="86833.95"/>
    <n v="1"/>
    <x v="2"/>
    <x v="1"/>
    <n v="156804.23000000001"/>
    <x v="1"/>
    <s v="WH-B"/>
    <n v="154"/>
    <d v="2024-02-10T00:00:00"/>
    <n v="5"/>
    <n v="91370"/>
    <x v="2"/>
    <d v="2024-04-01T00:00:00"/>
    <n v="0.56205000000000005"/>
    <n v="71370"/>
    <x v="1"/>
    <n v="139200.97824"/>
    <s v="pending"/>
    <d v="2024-05-10T00:00:00"/>
    <s v="Variable"/>
    <d v="2024-04-02T00:00:00"/>
    <s v="NO"/>
  </r>
  <r>
    <n v="11371"/>
    <n v="6892"/>
    <x v="1"/>
    <n v="27013.03"/>
    <n v="32"/>
    <x v="1"/>
    <x v="1"/>
    <n v="30201.64"/>
    <x v="0"/>
    <s v="WH-A"/>
    <n v="1339"/>
    <d v="2024-03-10T00:00:00"/>
    <n v="9"/>
    <n v="91371"/>
    <x v="0"/>
    <d v="2024-03-01T00:00:00"/>
    <n v="0.82862999999999998"/>
    <n v="71371"/>
    <x v="0"/>
    <n v="122840.10127"/>
    <s v="Overdue"/>
    <d v="2024-04-10T00:00:00"/>
    <s v="Variable"/>
    <d v="2024-04-02T00:00:00"/>
    <s v="NO"/>
  </r>
  <r>
    <n v="11372"/>
    <n v="5845"/>
    <x v="1"/>
    <n v="73784.59"/>
    <n v="89"/>
    <x v="0"/>
    <x v="0"/>
    <n v="82956.73"/>
    <x v="1"/>
    <s v="WH-B"/>
    <n v="302"/>
    <d v="2024-03-10T00:00:00"/>
    <n v="7"/>
    <n v="91372"/>
    <x v="2"/>
    <d v="2024-04-01T00:00:00"/>
    <n v="0.59828000000000003"/>
    <n v="71372"/>
    <x v="2"/>
    <n v="110192.68747999999"/>
    <s v="Paid"/>
    <d v="2024-04-10T00:00:00"/>
    <s v="Variable"/>
    <d v="2024-04-02T00:00:00"/>
    <s v="YES"/>
  </r>
  <r>
    <n v="11373"/>
    <n v="5259"/>
    <x v="1"/>
    <n v="44764.19"/>
    <n v="93"/>
    <x v="2"/>
    <x v="1"/>
    <n v="94663.92"/>
    <x v="1"/>
    <s v="WH-B"/>
    <n v="344"/>
    <d v="2024-04-15T00:00:00"/>
    <n v="6"/>
    <n v="91373"/>
    <x v="1"/>
    <d v="2024-04-01T00:00:00"/>
    <n v="0.86199000000000003"/>
    <n v="71373"/>
    <x v="0"/>
    <n v="142414.06365"/>
    <s v="Paid"/>
    <d v="2024-04-10T00:00:00"/>
    <s v="Variable"/>
    <d v="2024-03-25T00:00:00"/>
    <s v="YES"/>
  </r>
  <r>
    <n v="11374"/>
    <n v="6697"/>
    <x v="1"/>
    <n v="62772.97"/>
    <n v="71"/>
    <x v="3"/>
    <x v="0"/>
    <n v="41356.080000000002"/>
    <x v="2"/>
    <s v="WH-A"/>
    <n v="717"/>
    <d v="2024-02-10T00:00:00"/>
    <n v="6"/>
    <n v="91374"/>
    <x v="1"/>
    <d v="2024-05-18T00:00:00"/>
    <n v="0.56669999999999998"/>
    <n v="71374"/>
    <x v="1"/>
    <n v="83007.773799999995"/>
    <s v="pending"/>
    <d v="2024-05-10T00:00:00"/>
    <s v="Variable"/>
    <d v="2024-04-02T00:00:00"/>
    <s v="YES"/>
  </r>
  <r>
    <n v="11375"/>
    <n v="5902"/>
    <x v="1"/>
    <n v="26811.24"/>
    <n v="67"/>
    <x v="2"/>
    <x v="2"/>
    <n v="152732.63"/>
    <x v="2"/>
    <s v="WH-C"/>
    <n v="1231"/>
    <d v="2024-04-15T00:00:00"/>
    <n v="11"/>
    <n v="91375"/>
    <x v="1"/>
    <d v="2024-04-01T00:00:00"/>
    <n v="0.64346000000000003"/>
    <n v="71375"/>
    <x v="1"/>
    <n v="71198.496599999999"/>
    <s v="Overdue"/>
    <d v="2024-04-10T00:00:00"/>
    <s v="Variable"/>
    <d v="2024-03-25T00:00:00"/>
    <s v="YES"/>
  </r>
  <r>
    <n v="11376"/>
    <n v="5690"/>
    <x v="0"/>
    <n v="50768.18"/>
    <n v="84"/>
    <x v="0"/>
    <x v="1"/>
    <n v="148875.29999999999"/>
    <x v="2"/>
    <s v="WH-C"/>
    <n v="598"/>
    <d v="2024-03-10T00:00:00"/>
    <n v="7"/>
    <n v="91376"/>
    <x v="0"/>
    <d v="2024-03-01T00:00:00"/>
    <n v="0.49364000000000002"/>
    <n v="71376"/>
    <x v="2"/>
    <n v="193166.24549999999"/>
    <s v="Overdue"/>
    <d v="2024-06-01T00:00:00"/>
    <s v="Fixed"/>
    <d v="2024-03-25T00:00:00"/>
    <s v="YES"/>
  </r>
  <r>
    <n v="11377"/>
    <n v="5010"/>
    <x v="1"/>
    <n v="41640.129999999997"/>
    <n v="20"/>
    <x v="1"/>
    <x v="3"/>
    <n v="109431.24"/>
    <x v="0"/>
    <s v="WH-B"/>
    <n v="680"/>
    <d v="2024-02-10T00:00:00"/>
    <n v="1"/>
    <n v="91377"/>
    <x v="2"/>
    <d v="2024-05-18T00:00:00"/>
    <n v="0.84079000000000004"/>
    <n v="71377"/>
    <x v="1"/>
    <n v="66812.313540000003"/>
    <s v="pending"/>
    <d v="2024-05-10T00:00:00"/>
    <s v="Variable"/>
    <d v="2024-03-25T00:00:00"/>
    <s v="YES"/>
  </r>
  <r>
    <n v="11378"/>
    <n v="5261"/>
    <x v="1"/>
    <n v="27768.19"/>
    <n v="94"/>
    <x v="0"/>
    <x v="1"/>
    <n v="39125.800000000003"/>
    <x v="1"/>
    <s v="WH-A"/>
    <n v="1140"/>
    <d v="2024-03-10T00:00:00"/>
    <n v="4"/>
    <n v="91378"/>
    <x v="2"/>
    <d v="2024-03-01T00:00:00"/>
    <n v="0.93144000000000005"/>
    <n v="71378"/>
    <x v="2"/>
    <n v="67317.433569999994"/>
    <s v="pending"/>
    <d v="2024-06-01T00:00:00"/>
    <s v="Variable"/>
    <d v="2024-04-02T00:00:00"/>
    <s v="NO"/>
  </r>
  <r>
    <n v="11379"/>
    <n v="6943"/>
    <x v="1"/>
    <n v="35827.07"/>
    <n v="35"/>
    <x v="0"/>
    <x v="0"/>
    <n v="174005.44"/>
    <x v="1"/>
    <s v="WH-A"/>
    <n v="348"/>
    <d v="2024-04-15T00:00:00"/>
    <n v="13"/>
    <n v="91379"/>
    <x v="1"/>
    <d v="2024-05-18T00:00:00"/>
    <n v="0.67523"/>
    <n v="71379"/>
    <x v="2"/>
    <n v="219229.90109999999"/>
    <s v="Overdue"/>
    <d v="2024-05-10T00:00:00"/>
    <s v="Fixed"/>
    <d v="2024-04-02T00:00:00"/>
    <s v="YES"/>
  </r>
  <r>
    <n v="11380"/>
    <n v="6674"/>
    <x v="0"/>
    <n v="68029.06"/>
    <n v="99"/>
    <x v="2"/>
    <x v="1"/>
    <n v="88695.93"/>
    <x v="1"/>
    <s v="WH-B"/>
    <n v="150"/>
    <d v="2024-02-10T00:00:00"/>
    <n v="1"/>
    <n v="91380"/>
    <x v="1"/>
    <d v="2024-03-01T00:00:00"/>
    <n v="0.8387"/>
    <n v="71380"/>
    <x v="0"/>
    <n v="146151.1201"/>
    <s v="pending"/>
    <d v="2024-04-10T00:00:00"/>
    <s v="Variable"/>
    <d v="2024-03-25T00:00:00"/>
    <s v="YES"/>
  </r>
  <r>
    <n v="11381"/>
    <n v="5172"/>
    <x v="1"/>
    <n v="56136.07"/>
    <n v="91"/>
    <x v="3"/>
    <x v="2"/>
    <n v="84662.65"/>
    <x v="0"/>
    <s v="WH-C"/>
    <n v="1129"/>
    <d v="2024-04-15T00:00:00"/>
    <n v="6"/>
    <n v="91381"/>
    <x v="1"/>
    <d v="2024-05-18T00:00:00"/>
    <n v="0.15310000000000001"/>
    <n v="71381"/>
    <x v="1"/>
    <n v="114517.79015"/>
    <s v="Paid"/>
    <d v="2024-05-10T00:00:00"/>
    <s v="Fixed"/>
    <d v="2024-03-25T00:00:00"/>
    <s v="YES"/>
  </r>
  <r>
    <n v="11382"/>
    <n v="5898"/>
    <x v="1"/>
    <n v="77159.89"/>
    <n v="90"/>
    <x v="0"/>
    <x v="3"/>
    <n v="60806.06"/>
    <x v="1"/>
    <s v="WH-A"/>
    <n v="381"/>
    <d v="2024-03-10T00:00:00"/>
    <n v="14"/>
    <n v="91382"/>
    <x v="1"/>
    <d v="2024-03-01T00:00:00"/>
    <n v="0.91549999999999998"/>
    <n v="71382"/>
    <x v="2"/>
    <n v="73560.446400000001"/>
    <s v="Overdue"/>
    <d v="2024-06-01T00:00:00"/>
    <s v="Variable"/>
    <d v="2024-04-02T00:00:00"/>
    <s v="YES"/>
  </r>
  <r>
    <n v="11383"/>
    <n v="5013"/>
    <x v="1"/>
    <n v="88032.43"/>
    <n v="78"/>
    <x v="3"/>
    <x v="0"/>
    <n v="40842.629999999997"/>
    <x v="0"/>
    <s v="WH-C"/>
    <n v="885"/>
    <d v="2024-03-10T00:00:00"/>
    <n v="13"/>
    <n v="91383"/>
    <x v="3"/>
    <d v="2024-03-01T00:00:00"/>
    <n v="0.27002999999999999"/>
    <n v="71383"/>
    <x v="0"/>
    <n v="134074.39618000001"/>
    <s v="pending"/>
    <d v="2024-05-10T00:00:00"/>
    <s v="Variable"/>
    <d v="2024-04-02T00:00:00"/>
    <s v="YES"/>
  </r>
  <r>
    <n v="11384"/>
    <n v="6192"/>
    <x v="1"/>
    <n v="39742.5"/>
    <n v="17"/>
    <x v="2"/>
    <x v="3"/>
    <n v="149783.07999999999"/>
    <x v="2"/>
    <s v="WH-C"/>
    <n v="442"/>
    <d v="2024-03-10T00:00:00"/>
    <n v="4"/>
    <n v="91384"/>
    <x v="3"/>
    <d v="2024-04-01T00:00:00"/>
    <n v="0.33087"/>
    <n v="71384"/>
    <x v="1"/>
    <n v="101322.76906000001"/>
    <s v="pending"/>
    <d v="2024-06-01T00:00:00"/>
    <s v="Variable"/>
    <d v="2024-03-25T00:00:00"/>
    <s v="YES"/>
  </r>
  <r>
    <n v="11385"/>
    <n v="6666"/>
    <x v="1"/>
    <n v="86502.47"/>
    <n v="18"/>
    <x v="3"/>
    <x v="3"/>
    <n v="98631.37"/>
    <x v="1"/>
    <s v="WH-B"/>
    <n v="923"/>
    <d v="2024-02-10T00:00:00"/>
    <n v="1"/>
    <n v="91385"/>
    <x v="3"/>
    <d v="2024-05-18T00:00:00"/>
    <n v="0.14799999999999999"/>
    <n v="71385"/>
    <x v="2"/>
    <n v="197879.10605"/>
    <s v="pending"/>
    <d v="2024-04-10T00:00:00"/>
    <s v="Fixed"/>
    <d v="2024-04-02T00:00:00"/>
    <s v="YES"/>
  </r>
  <r>
    <n v="11386"/>
    <n v="6620"/>
    <x v="1"/>
    <n v="60654.17"/>
    <n v="45"/>
    <x v="2"/>
    <x v="0"/>
    <n v="159487.04000000001"/>
    <x v="2"/>
    <s v="WH-B"/>
    <n v="430"/>
    <d v="2024-04-15T00:00:00"/>
    <n v="9"/>
    <n v="91386"/>
    <x v="1"/>
    <d v="2024-05-18T00:00:00"/>
    <n v="0.96886000000000005"/>
    <n v="71386"/>
    <x v="1"/>
    <n v="213307.2818"/>
    <s v="Overdue"/>
    <d v="2024-06-01T00:00:00"/>
    <s v="Variable"/>
    <d v="2024-04-02T00:00:00"/>
    <s v="YES"/>
  </r>
  <r>
    <n v="11387"/>
    <n v="5321"/>
    <x v="0"/>
    <n v="85177.21"/>
    <n v="93"/>
    <x v="1"/>
    <x v="3"/>
    <n v="28953.85"/>
    <x v="1"/>
    <s v="WH-C"/>
    <n v="141"/>
    <d v="2024-04-15T00:00:00"/>
    <n v="12"/>
    <n v="91387"/>
    <x v="1"/>
    <d v="2024-04-01T00:00:00"/>
    <n v="0.86680999999999997"/>
    <n v="71387"/>
    <x v="1"/>
    <n v="144712.39618000001"/>
    <s v="Paid"/>
    <d v="2024-04-10T00:00:00"/>
    <s v="Fixed"/>
    <d v="2024-03-25T00:00:00"/>
    <s v="YES"/>
  </r>
  <r>
    <n v="11388"/>
    <n v="6343"/>
    <x v="0"/>
    <n v="35865.79"/>
    <n v="84"/>
    <x v="3"/>
    <x v="3"/>
    <n v="88292.98"/>
    <x v="2"/>
    <s v="WH-A"/>
    <n v="496"/>
    <d v="2024-03-10T00:00:00"/>
    <n v="4"/>
    <n v="91388"/>
    <x v="2"/>
    <d v="2024-03-01T00:00:00"/>
    <n v="0.92186999999999997"/>
    <n v="71388"/>
    <x v="2"/>
    <n v="179946.83919"/>
    <s v="Paid"/>
    <d v="2024-06-01T00:00:00"/>
    <s v="Fixed"/>
    <d v="2024-03-25T00:00:00"/>
    <s v="YES"/>
  </r>
  <r>
    <n v="11389"/>
    <n v="6637"/>
    <x v="0"/>
    <n v="24510.39"/>
    <n v="53"/>
    <x v="3"/>
    <x v="1"/>
    <n v="14109.24"/>
    <x v="1"/>
    <s v="WH-A"/>
    <n v="158"/>
    <d v="2024-04-15T00:00:00"/>
    <n v="12"/>
    <n v="91389"/>
    <x v="0"/>
    <d v="2024-03-01T00:00:00"/>
    <n v="0.86248999999999998"/>
    <n v="71389"/>
    <x v="2"/>
    <n v="136963.08540000001"/>
    <s v="Overdue"/>
    <d v="2024-04-10T00:00:00"/>
    <s v="Variable"/>
    <d v="2024-03-25T00:00:00"/>
    <s v="YES"/>
  </r>
  <r>
    <n v="11390"/>
    <n v="5329"/>
    <x v="1"/>
    <n v="78546.03"/>
    <n v="91"/>
    <x v="1"/>
    <x v="3"/>
    <n v="34210.36"/>
    <x v="2"/>
    <s v="WH-B"/>
    <n v="366"/>
    <d v="2024-02-10T00:00:00"/>
    <n v="6"/>
    <n v="91390"/>
    <x v="2"/>
    <d v="2024-05-18T00:00:00"/>
    <n v="0.53158000000000005"/>
    <n v="71390"/>
    <x v="1"/>
    <n v="97814.569520000005"/>
    <s v="pending"/>
    <d v="2024-06-01T00:00:00"/>
    <s v="Fixed"/>
    <d v="2024-03-25T00:00:00"/>
    <s v="YES"/>
  </r>
  <r>
    <n v="11391"/>
    <n v="5785"/>
    <x v="1"/>
    <n v="78156.160000000003"/>
    <n v="82"/>
    <x v="3"/>
    <x v="3"/>
    <n v="43815.58"/>
    <x v="1"/>
    <s v="WH-C"/>
    <n v="1241"/>
    <d v="2024-03-10T00:00:00"/>
    <n v="13"/>
    <n v="91391"/>
    <x v="3"/>
    <d v="2024-03-01T00:00:00"/>
    <n v="0.93167"/>
    <n v="71391"/>
    <x v="2"/>
    <n v="117630.9589"/>
    <s v="Overdue"/>
    <d v="2024-04-10T00:00:00"/>
    <s v="Fixed"/>
    <d v="2024-03-25T00:00:00"/>
    <s v="NO"/>
  </r>
  <r>
    <n v="11392"/>
    <n v="5777"/>
    <x v="1"/>
    <n v="92094.37"/>
    <n v="68"/>
    <x v="1"/>
    <x v="3"/>
    <n v="63662.879999999997"/>
    <x v="1"/>
    <s v="WH-A"/>
    <n v="491"/>
    <d v="2024-03-10T00:00:00"/>
    <n v="7"/>
    <n v="91392"/>
    <x v="2"/>
    <d v="2024-05-18T00:00:00"/>
    <n v="0.97253000000000001"/>
    <n v="71392"/>
    <x v="1"/>
    <n v="58015.346720000001"/>
    <s v="Overdue"/>
    <d v="2024-04-10T00:00:00"/>
    <s v="Fixed"/>
    <d v="2024-03-25T00:00:00"/>
    <s v="NO"/>
  </r>
  <r>
    <n v="11393"/>
    <n v="6995"/>
    <x v="1"/>
    <n v="64889.84"/>
    <n v="65"/>
    <x v="0"/>
    <x v="3"/>
    <n v="136689.9"/>
    <x v="2"/>
    <s v="WH-A"/>
    <n v="267"/>
    <d v="2024-03-10T00:00:00"/>
    <n v="8"/>
    <n v="91393"/>
    <x v="1"/>
    <d v="2024-05-18T00:00:00"/>
    <n v="0.55230999999999997"/>
    <n v="71393"/>
    <x v="1"/>
    <n v="179762.97029999999"/>
    <s v="pending"/>
    <d v="2024-04-10T00:00:00"/>
    <s v="Fixed"/>
    <d v="2024-03-25T00:00:00"/>
    <s v="YES"/>
  </r>
  <r>
    <n v="11394"/>
    <n v="5911"/>
    <x v="1"/>
    <n v="83481.61"/>
    <n v="1"/>
    <x v="2"/>
    <x v="0"/>
    <n v="97541.01"/>
    <x v="0"/>
    <s v="WH-B"/>
    <n v="1295"/>
    <d v="2024-02-10T00:00:00"/>
    <n v="12"/>
    <n v="91394"/>
    <x v="3"/>
    <d v="2024-03-01T00:00:00"/>
    <n v="0.25806000000000001"/>
    <n v="71394"/>
    <x v="1"/>
    <n v="131189.76863999999"/>
    <s v="Overdue"/>
    <d v="2024-06-01T00:00:00"/>
    <s v="Fixed"/>
    <d v="2024-03-25T00:00:00"/>
    <s v="YES"/>
  </r>
  <r>
    <n v="11395"/>
    <n v="6944"/>
    <x v="0"/>
    <n v="67327.320000000007"/>
    <n v="58"/>
    <x v="1"/>
    <x v="2"/>
    <n v="75283.16"/>
    <x v="1"/>
    <s v="WH-C"/>
    <n v="722"/>
    <d v="2024-03-10T00:00:00"/>
    <n v="13"/>
    <n v="91395"/>
    <x v="3"/>
    <d v="2024-03-01T00:00:00"/>
    <n v="0.69276000000000004"/>
    <n v="71395"/>
    <x v="1"/>
    <n v="103689.0399"/>
    <s v="Paid"/>
    <d v="2024-06-01T00:00:00"/>
    <s v="Variable"/>
    <d v="2024-03-25T00:00:00"/>
    <s v="YES"/>
  </r>
  <r>
    <n v="11396"/>
    <n v="6574"/>
    <x v="0"/>
    <n v="42468.95"/>
    <n v="26"/>
    <x v="3"/>
    <x v="1"/>
    <n v="54989.3"/>
    <x v="0"/>
    <s v="WH-A"/>
    <n v="327"/>
    <d v="2024-03-10T00:00:00"/>
    <n v="11"/>
    <n v="91396"/>
    <x v="0"/>
    <d v="2024-03-01T00:00:00"/>
    <n v="0.97789000000000004"/>
    <n v="71396"/>
    <x v="2"/>
    <n v="72993.52562"/>
    <s v="Overdue"/>
    <d v="2024-04-10T00:00:00"/>
    <s v="Variable"/>
    <d v="2024-03-25T00:00:00"/>
    <s v="YES"/>
  </r>
  <r>
    <n v="11397"/>
    <n v="6443"/>
    <x v="1"/>
    <n v="40887.1"/>
    <n v="20"/>
    <x v="1"/>
    <x v="3"/>
    <n v="100290.97"/>
    <x v="0"/>
    <s v="WH-B"/>
    <n v="1058"/>
    <d v="2024-03-10T00:00:00"/>
    <n v="9"/>
    <n v="91397"/>
    <x v="0"/>
    <d v="2024-04-01T00:00:00"/>
    <n v="0.88492999999999999"/>
    <n v="71397"/>
    <x v="1"/>
    <n v="170926.99903000001"/>
    <s v="pending"/>
    <d v="2024-05-10T00:00:00"/>
    <s v="Variable"/>
    <d v="2024-04-02T00:00:00"/>
    <s v="YES"/>
  </r>
  <r>
    <n v="11398"/>
    <n v="6630"/>
    <x v="1"/>
    <n v="58250.57"/>
    <n v="87"/>
    <x v="3"/>
    <x v="3"/>
    <n v="112992.1"/>
    <x v="2"/>
    <s v="WH-A"/>
    <n v="618"/>
    <d v="2024-03-10T00:00:00"/>
    <n v="9"/>
    <n v="91398"/>
    <x v="3"/>
    <d v="2024-05-18T00:00:00"/>
    <n v="0.87563000000000002"/>
    <n v="71398"/>
    <x v="1"/>
    <n v="141001.72685000001"/>
    <s v="Overdue"/>
    <d v="2024-04-10T00:00:00"/>
    <s v="Variable"/>
    <d v="2024-03-25T00:00:00"/>
    <s v="YES"/>
  </r>
  <r>
    <n v="11399"/>
    <n v="6119"/>
    <x v="0"/>
    <n v="19524.73"/>
    <n v="10"/>
    <x v="0"/>
    <x v="0"/>
    <n v="177842.75"/>
    <x v="1"/>
    <s v="WH-A"/>
    <n v="1059"/>
    <d v="2024-04-15T00:00:00"/>
    <n v="8"/>
    <n v="91399"/>
    <x v="3"/>
    <d v="2024-03-01T00:00:00"/>
    <n v="0.94044000000000005"/>
    <n v="71399"/>
    <x v="0"/>
    <n v="66480.11249"/>
    <s v="Paid"/>
    <d v="2024-05-10T00:00:00"/>
    <s v="Variable"/>
    <d v="2024-03-25T00:00:00"/>
    <s v="YES"/>
  </r>
  <r>
    <n v="11400"/>
    <n v="6841"/>
    <x v="0"/>
    <n v="59970.58"/>
    <n v="59"/>
    <x v="1"/>
    <x v="2"/>
    <n v="28975.26"/>
    <x v="1"/>
    <s v="WH-A"/>
    <n v="924"/>
    <d v="2024-03-10T00:00:00"/>
    <n v="10"/>
    <n v="91400"/>
    <x v="2"/>
    <d v="2024-04-01T00:00:00"/>
    <n v="0.90456000000000003"/>
    <n v="71400"/>
    <x v="1"/>
    <n v="184103.22008"/>
    <s v="Overdue"/>
    <d v="2024-04-10T00:00:00"/>
    <s v="Fixed"/>
    <d v="2024-04-02T00:00:00"/>
    <s v="NO"/>
  </r>
  <r>
    <n v="11401"/>
    <n v="6605"/>
    <x v="1"/>
    <n v="33097.71"/>
    <n v="75"/>
    <x v="0"/>
    <x v="3"/>
    <n v="27671.58"/>
    <x v="0"/>
    <s v="WH-B"/>
    <n v="515"/>
    <d v="2024-02-10T00:00:00"/>
    <n v="11"/>
    <n v="91401"/>
    <x v="3"/>
    <d v="2024-03-01T00:00:00"/>
    <n v="0.79864999999999997"/>
    <n v="71401"/>
    <x v="2"/>
    <n v="114065.21321"/>
    <s v="Overdue"/>
    <d v="2024-06-01T00:00:00"/>
    <s v="Variable"/>
    <d v="2024-03-25T00:00:00"/>
    <s v="YES"/>
  </r>
  <r>
    <n v="11402"/>
    <n v="5318"/>
    <x v="1"/>
    <n v="14575.03"/>
    <n v="41"/>
    <x v="2"/>
    <x v="0"/>
    <n v="34899.56"/>
    <x v="2"/>
    <s v="WH-C"/>
    <n v="888"/>
    <d v="2024-03-10T00:00:00"/>
    <n v="12"/>
    <n v="91402"/>
    <x v="1"/>
    <d v="2024-05-18T00:00:00"/>
    <n v="0.74644999999999995"/>
    <n v="71402"/>
    <x v="2"/>
    <n v="91882.001069999998"/>
    <s v="Overdue"/>
    <d v="2024-05-10T00:00:00"/>
    <s v="Fixed"/>
    <d v="2024-03-25T00:00:00"/>
    <s v="YES"/>
  </r>
  <r>
    <n v="11403"/>
    <n v="6980"/>
    <x v="1"/>
    <n v="9463.7199999999993"/>
    <n v="5"/>
    <x v="3"/>
    <x v="1"/>
    <n v="103553.57"/>
    <x v="1"/>
    <s v="WH-B"/>
    <n v="803"/>
    <d v="2024-03-10T00:00:00"/>
    <n v="12"/>
    <n v="91403"/>
    <x v="2"/>
    <d v="2024-04-01T00:00:00"/>
    <n v="0.33828999999999998"/>
    <n v="71403"/>
    <x v="0"/>
    <n v="198825.867"/>
    <s v="Overdue"/>
    <d v="2024-06-01T00:00:00"/>
    <s v="Variable"/>
    <d v="2024-04-02T00:00:00"/>
    <s v="YES"/>
  </r>
  <r>
    <n v="11404"/>
    <n v="5236"/>
    <x v="1"/>
    <n v="44397.63"/>
    <n v="65"/>
    <x v="3"/>
    <x v="1"/>
    <n v="149793.89000000001"/>
    <x v="0"/>
    <s v="WH-C"/>
    <n v="887"/>
    <d v="2024-04-15T00:00:00"/>
    <n v="14"/>
    <n v="91404"/>
    <x v="1"/>
    <d v="2024-05-18T00:00:00"/>
    <n v="0.65920999999999996"/>
    <n v="71404"/>
    <x v="1"/>
    <n v="93714.496769999998"/>
    <s v="pending"/>
    <d v="2024-05-10T00:00:00"/>
    <s v="Variable"/>
    <d v="2024-03-25T00:00:00"/>
    <s v="YES"/>
  </r>
  <r>
    <n v="11405"/>
    <n v="6970"/>
    <x v="1"/>
    <n v="84309.53"/>
    <n v="17"/>
    <x v="0"/>
    <x v="3"/>
    <n v="129402.57"/>
    <x v="1"/>
    <s v="WH-A"/>
    <n v="79"/>
    <d v="2024-03-10T00:00:00"/>
    <n v="3"/>
    <n v="91405"/>
    <x v="1"/>
    <d v="2024-03-01T00:00:00"/>
    <n v="0.56933999999999996"/>
    <n v="71405"/>
    <x v="2"/>
    <n v="186978.45929999999"/>
    <s v="Paid"/>
    <d v="2024-05-10T00:00:00"/>
    <s v="Fixed"/>
    <d v="2024-04-02T00:00:00"/>
    <s v="YES"/>
  </r>
  <r>
    <n v="11406"/>
    <n v="5334"/>
    <x v="0"/>
    <n v="27019.47"/>
    <n v="22"/>
    <x v="2"/>
    <x v="3"/>
    <n v="134505.71"/>
    <x v="2"/>
    <s v="WH-C"/>
    <n v="408"/>
    <d v="2024-04-15T00:00:00"/>
    <n v="12"/>
    <n v="91406"/>
    <x v="1"/>
    <d v="2024-03-01T00:00:00"/>
    <n v="0.87575000000000003"/>
    <n v="71406"/>
    <x v="0"/>
    <n v="189187.01074999999"/>
    <s v="Paid"/>
    <d v="2024-05-10T00:00:00"/>
    <s v="Variable"/>
    <d v="2024-03-25T00:00:00"/>
    <s v="YES"/>
  </r>
  <r>
    <n v="11407"/>
    <n v="6909"/>
    <x v="1"/>
    <n v="30313.53"/>
    <n v="98"/>
    <x v="1"/>
    <x v="2"/>
    <n v="34102.32"/>
    <x v="2"/>
    <s v="WH-A"/>
    <n v="1361"/>
    <d v="2024-02-10T00:00:00"/>
    <n v="2"/>
    <n v="91407"/>
    <x v="3"/>
    <d v="2024-03-01T00:00:00"/>
    <n v="0.54254000000000002"/>
    <n v="71407"/>
    <x v="1"/>
    <n v="185021.13380000001"/>
    <s v="Paid"/>
    <d v="2024-05-10T00:00:00"/>
    <s v="Fixed"/>
    <d v="2024-04-02T00:00:00"/>
    <s v="YES"/>
  </r>
  <r>
    <n v="11408"/>
    <n v="5376"/>
    <x v="0"/>
    <n v="69793.149999999994"/>
    <n v="41"/>
    <x v="1"/>
    <x v="2"/>
    <n v="59335.5"/>
    <x v="2"/>
    <s v="WH-A"/>
    <n v="135"/>
    <d v="2024-04-15T00:00:00"/>
    <n v="5"/>
    <n v="91408"/>
    <x v="0"/>
    <d v="2024-04-01T00:00:00"/>
    <n v="0.21496999999999999"/>
    <n v="71408"/>
    <x v="2"/>
    <n v="87428.381399999998"/>
    <s v="Overdue"/>
    <d v="2024-06-01T00:00:00"/>
    <s v="Variable"/>
    <d v="2024-03-25T00:00:00"/>
    <s v="NO"/>
  </r>
  <r>
    <n v="11409"/>
    <n v="6483"/>
    <x v="0"/>
    <n v="90560.24"/>
    <n v="93"/>
    <x v="3"/>
    <x v="3"/>
    <n v="125139.91"/>
    <x v="1"/>
    <s v="WH-B"/>
    <n v="1307"/>
    <d v="2024-03-10T00:00:00"/>
    <n v="1"/>
    <n v="91409"/>
    <x v="0"/>
    <d v="2024-04-01T00:00:00"/>
    <n v="0.10448"/>
    <n v="71409"/>
    <x v="1"/>
    <n v="175466.89920000001"/>
    <s v="Paid"/>
    <d v="2024-05-10T00:00:00"/>
    <s v="Variable"/>
    <d v="2024-03-25T00:00:00"/>
    <s v="YES"/>
  </r>
  <r>
    <n v="11410"/>
    <n v="6161"/>
    <x v="1"/>
    <n v="55085.67"/>
    <n v="68"/>
    <x v="0"/>
    <x v="0"/>
    <n v="92364.62"/>
    <x v="1"/>
    <s v="WH-A"/>
    <n v="796"/>
    <d v="2024-02-10T00:00:00"/>
    <n v="3"/>
    <n v="91410"/>
    <x v="1"/>
    <d v="2024-04-01T00:00:00"/>
    <n v="0.71009"/>
    <n v="71410"/>
    <x v="0"/>
    <n v="85722.399149999997"/>
    <s v="pending"/>
    <d v="2024-04-10T00:00:00"/>
    <s v="Variable"/>
    <d v="2024-03-25T00:00:00"/>
    <s v="YES"/>
  </r>
  <r>
    <n v="11411"/>
    <n v="6954"/>
    <x v="1"/>
    <n v="85047.24"/>
    <n v="69"/>
    <x v="0"/>
    <x v="2"/>
    <n v="29288.61"/>
    <x v="1"/>
    <s v="WH-B"/>
    <n v="362"/>
    <d v="2024-03-10T00:00:00"/>
    <n v="1"/>
    <n v="91411"/>
    <x v="3"/>
    <d v="2024-04-01T00:00:00"/>
    <n v="0.59492"/>
    <n v="71411"/>
    <x v="2"/>
    <n v="100506.23478"/>
    <s v="Overdue"/>
    <d v="2024-04-10T00:00:00"/>
    <s v="Variable"/>
    <d v="2024-04-02T00:00:00"/>
    <s v="NO"/>
  </r>
  <r>
    <n v="11412"/>
    <n v="5588"/>
    <x v="1"/>
    <n v="70883.039999999994"/>
    <n v="11"/>
    <x v="1"/>
    <x v="3"/>
    <n v="41243.660000000003"/>
    <x v="1"/>
    <s v="WH-C"/>
    <n v="414"/>
    <d v="2024-04-15T00:00:00"/>
    <n v="13"/>
    <n v="91412"/>
    <x v="2"/>
    <d v="2024-03-01T00:00:00"/>
    <n v="0.39787"/>
    <n v="71412"/>
    <x v="0"/>
    <n v="93731.187489999997"/>
    <s v="Overdue"/>
    <d v="2024-05-10T00:00:00"/>
    <s v="Variable"/>
    <d v="2024-03-25T00:00:00"/>
    <s v="YES"/>
  </r>
  <r>
    <n v="11413"/>
    <n v="6571"/>
    <x v="0"/>
    <n v="94561.66"/>
    <n v="56"/>
    <x v="2"/>
    <x v="2"/>
    <n v="84261.7"/>
    <x v="2"/>
    <s v="WH-C"/>
    <n v="954"/>
    <d v="2024-02-10T00:00:00"/>
    <n v="3"/>
    <n v="91413"/>
    <x v="1"/>
    <d v="2024-03-01T00:00:00"/>
    <n v="0.25207000000000002"/>
    <n v="71413"/>
    <x v="0"/>
    <n v="66413.906310000006"/>
    <s v="Paid"/>
    <d v="2024-06-01T00:00:00"/>
    <s v="Variable"/>
    <d v="2024-04-02T00:00:00"/>
    <s v="NO"/>
  </r>
  <r>
    <n v="11414"/>
    <n v="5513"/>
    <x v="1"/>
    <n v="13512.77"/>
    <n v="51"/>
    <x v="2"/>
    <x v="3"/>
    <n v="36135.61"/>
    <x v="0"/>
    <s v="WH-A"/>
    <n v="1342"/>
    <d v="2024-02-10T00:00:00"/>
    <n v="13"/>
    <n v="91414"/>
    <x v="2"/>
    <d v="2024-03-01T00:00:00"/>
    <n v="0.52003999999999995"/>
    <n v="71414"/>
    <x v="0"/>
    <n v="196122.1789"/>
    <s v="Overdue"/>
    <d v="2024-06-01T00:00:00"/>
    <s v="Variable"/>
    <d v="2024-04-02T00:00:00"/>
    <s v="YES"/>
  </r>
  <r>
    <n v="11415"/>
    <n v="6320"/>
    <x v="1"/>
    <n v="99902.63"/>
    <n v="21"/>
    <x v="1"/>
    <x v="1"/>
    <n v="113306.22"/>
    <x v="1"/>
    <s v="WH-B"/>
    <n v="747"/>
    <d v="2024-04-15T00:00:00"/>
    <n v="4"/>
    <n v="91415"/>
    <x v="2"/>
    <d v="2024-04-01T00:00:00"/>
    <n v="0.19026000000000001"/>
    <n v="71415"/>
    <x v="1"/>
    <n v="141967.22969000001"/>
    <s v="Overdue"/>
    <d v="2024-05-10T00:00:00"/>
    <s v="Fixed"/>
    <d v="2024-04-02T00:00:00"/>
    <s v="NO"/>
  </r>
  <r>
    <n v="11416"/>
    <n v="6344"/>
    <x v="0"/>
    <n v="24489.1"/>
    <n v="99"/>
    <x v="1"/>
    <x v="3"/>
    <n v="103141.75999999999"/>
    <x v="2"/>
    <s v="WH-A"/>
    <n v="180"/>
    <d v="2024-04-15T00:00:00"/>
    <n v="7"/>
    <n v="91416"/>
    <x v="3"/>
    <d v="2024-04-01T00:00:00"/>
    <n v="0.40250000000000002"/>
    <n v="71416"/>
    <x v="1"/>
    <n v="160569.59409"/>
    <s v="Paid"/>
    <d v="2024-06-01T00:00:00"/>
    <s v="Variable"/>
    <d v="2024-03-25T00:00:00"/>
    <s v="NO"/>
  </r>
  <r>
    <n v="11417"/>
    <n v="5918"/>
    <x v="1"/>
    <n v="75915.95"/>
    <n v="76"/>
    <x v="0"/>
    <x v="1"/>
    <n v="132995.43"/>
    <x v="2"/>
    <s v="WH-B"/>
    <n v="852"/>
    <d v="2024-02-10T00:00:00"/>
    <n v="12"/>
    <n v="91417"/>
    <x v="3"/>
    <d v="2024-03-01T00:00:00"/>
    <n v="0.44129000000000002"/>
    <n v="71417"/>
    <x v="1"/>
    <n v="170783.96788000001"/>
    <s v="pending"/>
    <d v="2024-06-01T00:00:00"/>
    <s v="Fixed"/>
    <d v="2024-03-25T00:00:00"/>
    <s v="YES"/>
  </r>
  <r>
    <n v="11418"/>
    <n v="6596"/>
    <x v="1"/>
    <n v="33952.720000000001"/>
    <n v="26"/>
    <x v="2"/>
    <x v="2"/>
    <n v="69281.149999999994"/>
    <x v="1"/>
    <s v="WH-B"/>
    <n v="838"/>
    <d v="2024-02-10T00:00:00"/>
    <n v="12"/>
    <n v="91418"/>
    <x v="0"/>
    <d v="2024-03-01T00:00:00"/>
    <n v="0.51905999999999997"/>
    <n v="71418"/>
    <x v="2"/>
    <n v="72781.460999999996"/>
    <s v="pending"/>
    <d v="2024-06-01T00:00:00"/>
    <s v="Fixed"/>
    <d v="2024-03-25T00:00:00"/>
    <s v="NO"/>
  </r>
  <r>
    <n v="11419"/>
    <n v="6856"/>
    <x v="1"/>
    <n v="54558.16"/>
    <n v="19"/>
    <x v="1"/>
    <x v="3"/>
    <n v="18090.830000000002"/>
    <x v="0"/>
    <s v="WH-B"/>
    <n v="400"/>
    <d v="2024-04-15T00:00:00"/>
    <n v="5"/>
    <n v="91419"/>
    <x v="0"/>
    <d v="2024-04-01T00:00:00"/>
    <n v="0.51995999999999998"/>
    <n v="71419"/>
    <x v="1"/>
    <n v="75524.213109999997"/>
    <s v="Paid"/>
    <d v="2024-05-10T00:00:00"/>
    <s v="Variable"/>
    <d v="2024-03-25T00:00:00"/>
    <s v="NO"/>
  </r>
  <r>
    <n v="11420"/>
    <n v="6373"/>
    <x v="1"/>
    <n v="84047.55"/>
    <n v="60"/>
    <x v="1"/>
    <x v="2"/>
    <n v="122841.9"/>
    <x v="2"/>
    <s v="WH-C"/>
    <n v="229"/>
    <d v="2024-03-10T00:00:00"/>
    <n v="5"/>
    <n v="91420"/>
    <x v="3"/>
    <d v="2024-05-18T00:00:00"/>
    <n v="0.33130999999999999"/>
    <n v="71420"/>
    <x v="1"/>
    <n v="97737.5147"/>
    <s v="pending"/>
    <d v="2024-04-10T00:00:00"/>
    <s v="Variable"/>
    <d v="2024-04-02T00:00:00"/>
    <s v="YES"/>
  </r>
  <r>
    <n v="11421"/>
    <n v="6864"/>
    <x v="0"/>
    <n v="73566.12"/>
    <n v="71"/>
    <x v="3"/>
    <x v="1"/>
    <n v="90333.27"/>
    <x v="1"/>
    <s v="WH-B"/>
    <n v="1236"/>
    <d v="2024-02-10T00:00:00"/>
    <n v="13"/>
    <n v="91421"/>
    <x v="1"/>
    <d v="2024-03-01T00:00:00"/>
    <n v="0.86519000000000001"/>
    <n v="71421"/>
    <x v="2"/>
    <n v="113375.62329"/>
    <s v="pending"/>
    <d v="2024-04-10T00:00:00"/>
    <s v="Fixed"/>
    <d v="2024-04-02T00:00:00"/>
    <s v="YES"/>
  </r>
  <r>
    <n v="11422"/>
    <n v="6803"/>
    <x v="1"/>
    <n v="41189.46"/>
    <n v="47"/>
    <x v="1"/>
    <x v="3"/>
    <n v="74271.899999999994"/>
    <x v="0"/>
    <s v="WH-C"/>
    <n v="1169"/>
    <d v="2024-04-15T00:00:00"/>
    <n v="1"/>
    <n v="91422"/>
    <x v="0"/>
    <d v="2024-03-01T00:00:00"/>
    <n v="0.41998999999999997"/>
    <n v="71422"/>
    <x v="2"/>
    <n v="192392.06140000001"/>
    <s v="pending"/>
    <d v="2024-04-10T00:00:00"/>
    <s v="Variable"/>
    <d v="2024-04-02T00:00:00"/>
    <s v="YES"/>
  </r>
  <r>
    <n v="11423"/>
    <n v="5873"/>
    <x v="1"/>
    <n v="33156.44"/>
    <n v="71"/>
    <x v="1"/>
    <x v="2"/>
    <n v="86353.279999999999"/>
    <x v="0"/>
    <s v="WH-B"/>
    <n v="823"/>
    <d v="2024-03-10T00:00:00"/>
    <n v="8"/>
    <n v="91423"/>
    <x v="2"/>
    <d v="2024-03-01T00:00:00"/>
    <n v="0.30663000000000001"/>
    <n v="71423"/>
    <x v="0"/>
    <n v="94483.539799999999"/>
    <s v="Overdue"/>
    <d v="2024-04-10T00:00:00"/>
    <s v="Variable"/>
    <d v="2024-03-25T00:00:00"/>
    <s v="NO"/>
  </r>
  <r>
    <n v="11424"/>
    <n v="6253"/>
    <x v="1"/>
    <n v="29604.51"/>
    <n v="26"/>
    <x v="2"/>
    <x v="1"/>
    <n v="84138.3"/>
    <x v="2"/>
    <s v="WH-C"/>
    <n v="559"/>
    <d v="2024-02-10T00:00:00"/>
    <n v="13"/>
    <n v="91424"/>
    <x v="1"/>
    <d v="2024-04-01T00:00:00"/>
    <n v="0.25823000000000002"/>
    <n v="71424"/>
    <x v="1"/>
    <n v="176472.7084"/>
    <s v="Overdue"/>
    <d v="2024-04-10T00:00:00"/>
    <s v="Variable"/>
    <d v="2024-03-25T00:00:00"/>
    <s v="YES"/>
  </r>
  <r>
    <n v="11425"/>
    <n v="5270"/>
    <x v="1"/>
    <n v="73378.899999999994"/>
    <n v="40"/>
    <x v="0"/>
    <x v="2"/>
    <n v="42559.09"/>
    <x v="1"/>
    <s v="WH-C"/>
    <n v="414"/>
    <d v="2024-02-10T00:00:00"/>
    <n v="4"/>
    <n v="91425"/>
    <x v="2"/>
    <d v="2024-03-01T00:00:00"/>
    <n v="0.39032"/>
    <n v="71425"/>
    <x v="1"/>
    <n v="81848.648230000006"/>
    <s v="Overdue"/>
    <d v="2024-06-01T00:00:00"/>
    <s v="Variable"/>
    <d v="2024-03-25T00:00:00"/>
    <s v="YES"/>
  </r>
  <r>
    <n v="11426"/>
    <n v="6852"/>
    <x v="1"/>
    <n v="31632.16"/>
    <n v="5"/>
    <x v="2"/>
    <x v="0"/>
    <n v="34273.42"/>
    <x v="1"/>
    <s v="WH-C"/>
    <n v="1030"/>
    <d v="2024-04-15T00:00:00"/>
    <n v="10"/>
    <n v="91426"/>
    <x v="3"/>
    <d v="2024-03-01T00:00:00"/>
    <n v="0.1608"/>
    <n v="71426"/>
    <x v="1"/>
    <n v="123793.6776"/>
    <s v="pending"/>
    <d v="2024-06-01T00:00:00"/>
    <s v="Variable"/>
    <d v="2024-03-25T00:00:00"/>
    <s v="NO"/>
  </r>
  <r>
    <n v="11427"/>
    <n v="5798"/>
    <x v="1"/>
    <n v="98545.46"/>
    <n v="21"/>
    <x v="0"/>
    <x v="1"/>
    <n v="13715.25"/>
    <x v="2"/>
    <s v="WH-A"/>
    <n v="402"/>
    <d v="2024-03-10T00:00:00"/>
    <n v="5"/>
    <n v="91427"/>
    <x v="2"/>
    <d v="2024-03-01T00:00:00"/>
    <n v="0.12962000000000001"/>
    <n v="71427"/>
    <x v="1"/>
    <n v="83106.665800000002"/>
    <s v="Overdue"/>
    <d v="2024-06-01T00:00:00"/>
    <s v="Fixed"/>
    <d v="2024-03-25T00:00:00"/>
    <s v="YES"/>
  </r>
  <r>
    <n v="11428"/>
    <n v="6315"/>
    <x v="1"/>
    <n v="41019.19"/>
    <n v="78"/>
    <x v="3"/>
    <x v="1"/>
    <n v="52541.38"/>
    <x v="0"/>
    <s v="WH-B"/>
    <n v="849"/>
    <d v="2024-02-10T00:00:00"/>
    <n v="2"/>
    <n v="91428"/>
    <x v="1"/>
    <d v="2024-03-01T00:00:00"/>
    <n v="0.64463000000000004"/>
    <n v="71428"/>
    <x v="1"/>
    <n v="164046.24509000001"/>
    <s v="pending"/>
    <d v="2024-05-10T00:00:00"/>
    <s v="Variable"/>
    <d v="2024-04-02T00:00:00"/>
    <s v="YES"/>
  </r>
  <r>
    <n v="11429"/>
    <n v="5725"/>
    <x v="1"/>
    <n v="39441.129999999997"/>
    <n v="4"/>
    <x v="1"/>
    <x v="1"/>
    <n v="129178.17"/>
    <x v="2"/>
    <s v="WH-A"/>
    <n v="1156"/>
    <d v="2024-03-10T00:00:00"/>
    <n v="12"/>
    <n v="91429"/>
    <x v="3"/>
    <d v="2024-03-01T00:00:00"/>
    <n v="0.65722999999999998"/>
    <n v="71429"/>
    <x v="1"/>
    <n v="212715.8567"/>
    <s v="Paid"/>
    <d v="2024-06-01T00:00:00"/>
    <s v="Fixed"/>
    <d v="2024-03-25T00:00:00"/>
    <s v="NO"/>
  </r>
  <r>
    <n v="11430"/>
    <n v="6189"/>
    <x v="1"/>
    <n v="53633"/>
    <n v="23"/>
    <x v="3"/>
    <x v="3"/>
    <n v="143899.45000000001"/>
    <x v="1"/>
    <s v="WH-B"/>
    <n v="1298"/>
    <d v="2024-03-10T00:00:00"/>
    <n v="13"/>
    <n v="91430"/>
    <x v="1"/>
    <d v="2024-05-18T00:00:00"/>
    <n v="0.57662999999999998"/>
    <n v="71430"/>
    <x v="1"/>
    <n v="141584.06990999999"/>
    <s v="pending"/>
    <d v="2024-04-10T00:00:00"/>
    <s v="Variable"/>
    <d v="2024-03-25T00:00:00"/>
    <s v="YES"/>
  </r>
  <r>
    <n v="11431"/>
    <n v="5005"/>
    <x v="0"/>
    <n v="58397.4"/>
    <n v="84"/>
    <x v="0"/>
    <x v="3"/>
    <n v="83101.98"/>
    <x v="1"/>
    <s v="WH-B"/>
    <n v="461"/>
    <d v="2024-02-10T00:00:00"/>
    <n v="1"/>
    <n v="91431"/>
    <x v="2"/>
    <d v="2024-05-18T00:00:00"/>
    <n v="0.78605999999999998"/>
    <n v="71431"/>
    <x v="2"/>
    <n v="165088.53745"/>
    <s v="Overdue"/>
    <d v="2024-06-01T00:00:00"/>
    <s v="Variable"/>
    <d v="2024-04-02T00:00:00"/>
    <s v="YES"/>
  </r>
  <r>
    <n v="11432"/>
    <n v="5851"/>
    <x v="1"/>
    <n v="85575.1"/>
    <n v="15"/>
    <x v="2"/>
    <x v="3"/>
    <n v="68303.45"/>
    <x v="1"/>
    <s v="WH-A"/>
    <n v="784"/>
    <d v="2024-03-10T00:00:00"/>
    <n v="9"/>
    <n v="91432"/>
    <x v="1"/>
    <d v="2024-03-01T00:00:00"/>
    <n v="0.13524"/>
    <n v="71432"/>
    <x v="1"/>
    <n v="113063.61990000001"/>
    <s v="pending"/>
    <d v="2024-04-10T00:00:00"/>
    <s v="Variable"/>
    <d v="2024-03-25T00:00:00"/>
    <s v="YES"/>
  </r>
  <r>
    <n v="11433"/>
    <n v="6403"/>
    <x v="1"/>
    <n v="17475.599999999999"/>
    <n v="93"/>
    <x v="2"/>
    <x v="0"/>
    <n v="179625.35"/>
    <x v="2"/>
    <s v="WH-C"/>
    <n v="1030"/>
    <d v="2024-02-10T00:00:00"/>
    <n v="2"/>
    <n v="91433"/>
    <x v="3"/>
    <d v="2024-03-01T00:00:00"/>
    <n v="0.94238"/>
    <n v="71433"/>
    <x v="1"/>
    <n v="151233.29879999999"/>
    <s v="Overdue"/>
    <d v="2024-06-01T00:00:00"/>
    <s v="Variable"/>
    <d v="2024-03-25T00:00:00"/>
    <s v="NO"/>
  </r>
  <r>
    <n v="11434"/>
    <n v="5078"/>
    <x v="1"/>
    <n v="33673.29"/>
    <n v="8"/>
    <x v="3"/>
    <x v="0"/>
    <n v="122524.18"/>
    <x v="2"/>
    <s v="WH-B"/>
    <n v="167"/>
    <d v="2024-03-10T00:00:00"/>
    <n v="6"/>
    <n v="91434"/>
    <x v="2"/>
    <d v="2024-03-01T00:00:00"/>
    <n v="0.18556"/>
    <n v="71434"/>
    <x v="1"/>
    <n v="135544.0043"/>
    <s v="Overdue"/>
    <d v="2024-04-10T00:00:00"/>
    <s v="Variable"/>
    <d v="2024-04-02T00:00:00"/>
    <s v="YES"/>
  </r>
  <r>
    <n v="11435"/>
    <n v="6434"/>
    <x v="1"/>
    <n v="46130.04"/>
    <n v="41"/>
    <x v="0"/>
    <x v="1"/>
    <n v="125858.36"/>
    <x v="0"/>
    <s v="WH-C"/>
    <n v="531"/>
    <d v="2024-02-10T00:00:00"/>
    <n v="1"/>
    <n v="91435"/>
    <x v="2"/>
    <d v="2024-03-01T00:00:00"/>
    <n v="0.70662000000000003"/>
    <n v="71435"/>
    <x v="1"/>
    <n v="141962.46720000001"/>
    <s v="Paid"/>
    <d v="2024-06-01T00:00:00"/>
    <s v="Variable"/>
    <d v="2024-04-02T00:00:00"/>
    <s v="YES"/>
  </r>
  <r>
    <n v="11436"/>
    <n v="5574"/>
    <x v="0"/>
    <n v="31131.69"/>
    <n v="19"/>
    <x v="3"/>
    <x v="0"/>
    <n v="131583.46"/>
    <x v="0"/>
    <s v="WH-A"/>
    <n v="241"/>
    <d v="2024-04-15T00:00:00"/>
    <n v="1"/>
    <n v="91436"/>
    <x v="0"/>
    <d v="2024-04-01T00:00:00"/>
    <n v="0.22006000000000001"/>
    <n v="71436"/>
    <x v="2"/>
    <n v="65322.488299999997"/>
    <s v="Paid"/>
    <d v="2024-04-10T00:00:00"/>
    <s v="Variable"/>
    <d v="2024-03-25T00:00:00"/>
    <s v="NO"/>
  </r>
  <r>
    <n v="11437"/>
    <n v="5132"/>
    <x v="1"/>
    <n v="66001.7"/>
    <n v="46"/>
    <x v="3"/>
    <x v="2"/>
    <n v="55859.67"/>
    <x v="0"/>
    <s v="WH-C"/>
    <n v="640"/>
    <d v="2024-02-10T00:00:00"/>
    <n v="9"/>
    <n v="91437"/>
    <x v="0"/>
    <d v="2024-04-01T00:00:00"/>
    <n v="0.89190999999999998"/>
    <n v="71437"/>
    <x v="1"/>
    <n v="208758.44560000001"/>
    <s v="Overdue"/>
    <d v="2024-04-10T00:00:00"/>
    <s v="Variable"/>
    <d v="2024-03-25T00:00:00"/>
    <s v="YES"/>
  </r>
  <r>
    <n v="11438"/>
    <n v="5601"/>
    <x v="1"/>
    <n v="57701.15"/>
    <n v="28"/>
    <x v="1"/>
    <x v="1"/>
    <n v="134673.35"/>
    <x v="1"/>
    <s v="WH-B"/>
    <n v="639"/>
    <d v="2024-02-10T00:00:00"/>
    <n v="4"/>
    <n v="91438"/>
    <x v="1"/>
    <d v="2024-04-01T00:00:00"/>
    <n v="0.55964000000000003"/>
    <n v="71438"/>
    <x v="2"/>
    <n v="113307.1306"/>
    <s v="pending"/>
    <d v="2024-05-10T00:00:00"/>
    <s v="Fixed"/>
    <d v="2024-04-02T00:00:00"/>
    <s v="YES"/>
  </r>
  <r>
    <n v="11439"/>
    <n v="6773"/>
    <x v="1"/>
    <n v="52043.63"/>
    <n v="91"/>
    <x v="3"/>
    <x v="1"/>
    <n v="65816.929999999993"/>
    <x v="0"/>
    <s v="WH-B"/>
    <n v="708"/>
    <d v="2024-02-10T00:00:00"/>
    <n v="9"/>
    <n v="91439"/>
    <x v="0"/>
    <d v="2024-05-18T00:00:00"/>
    <n v="0.17405999999999999"/>
    <n v="71439"/>
    <x v="1"/>
    <n v="152929.9535"/>
    <s v="Paid"/>
    <d v="2024-06-01T00:00:00"/>
    <s v="Variable"/>
    <d v="2024-03-25T00:00:00"/>
    <s v="YES"/>
  </r>
  <r>
    <n v="11440"/>
    <n v="6066"/>
    <x v="1"/>
    <n v="84014.89"/>
    <n v="68"/>
    <x v="1"/>
    <x v="2"/>
    <n v="44850.32"/>
    <x v="2"/>
    <s v="WH-B"/>
    <n v="156"/>
    <d v="2024-03-10T00:00:00"/>
    <n v="11"/>
    <n v="91440"/>
    <x v="0"/>
    <d v="2024-03-01T00:00:00"/>
    <n v="0.65505000000000002"/>
    <n v="71440"/>
    <x v="1"/>
    <n v="115827.05070000001"/>
    <s v="Paid"/>
    <d v="2024-04-10T00:00:00"/>
    <s v="Variable"/>
    <d v="2024-04-02T00:00:00"/>
    <s v="YES"/>
  </r>
  <r>
    <n v="11441"/>
    <n v="5089"/>
    <x v="1"/>
    <n v="52494.82"/>
    <n v="15"/>
    <x v="1"/>
    <x v="1"/>
    <n v="26747.22"/>
    <x v="0"/>
    <s v="WH-A"/>
    <n v="431"/>
    <d v="2024-04-15T00:00:00"/>
    <n v="5"/>
    <n v="91441"/>
    <x v="0"/>
    <d v="2024-04-01T00:00:00"/>
    <n v="0.1082"/>
    <n v="71441"/>
    <x v="1"/>
    <n v="123001.3505"/>
    <s v="Overdue"/>
    <d v="2024-06-01T00:00:00"/>
    <s v="Fixed"/>
    <d v="2024-04-02T00:00:00"/>
    <s v="YES"/>
  </r>
  <r>
    <n v="11442"/>
    <n v="5402"/>
    <x v="1"/>
    <n v="20301.39"/>
    <n v="99"/>
    <x v="2"/>
    <x v="0"/>
    <n v="63362.39"/>
    <x v="1"/>
    <s v="WH-B"/>
    <n v="832"/>
    <d v="2024-03-10T00:00:00"/>
    <n v="7"/>
    <n v="91442"/>
    <x v="0"/>
    <d v="2024-03-01T00:00:00"/>
    <n v="0.79842000000000002"/>
    <n v="71442"/>
    <x v="0"/>
    <n v="137203.1428"/>
    <s v="pending"/>
    <d v="2024-04-10T00:00:00"/>
    <s v="Variable"/>
    <d v="2024-03-25T00:00:00"/>
    <s v="YES"/>
  </r>
  <r>
    <n v="11443"/>
    <n v="5296"/>
    <x v="1"/>
    <n v="55337.41"/>
    <n v="37"/>
    <x v="1"/>
    <x v="3"/>
    <n v="75308.33"/>
    <x v="0"/>
    <s v="WH-A"/>
    <n v="439"/>
    <d v="2024-03-10T00:00:00"/>
    <n v="1"/>
    <n v="91443"/>
    <x v="3"/>
    <d v="2024-03-01T00:00:00"/>
    <n v="0.68552999999999997"/>
    <n v="71443"/>
    <x v="1"/>
    <n v="78782.252410000001"/>
    <s v="Paid"/>
    <d v="2024-05-10T00:00:00"/>
    <s v="Variable"/>
    <d v="2024-03-25T00:00:00"/>
    <s v="YES"/>
  </r>
  <r>
    <n v="11444"/>
    <n v="6864"/>
    <x v="1"/>
    <n v="24320.080000000002"/>
    <n v="1"/>
    <x v="1"/>
    <x v="2"/>
    <n v="138852.13"/>
    <x v="1"/>
    <s v="WH-C"/>
    <n v="293"/>
    <d v="2024-02-10T00:00:00"/>
    <n v="6"/>
    <n v="91444"/>
    <x v="3"/>
    <d v="2024-05-18T00:00:00"/>
    <n v="0.29136000000000001"/>
    <n v="71444"/>
    <x v="1"/>
    <n v="194214.25779999999"/>
    <s v="Paid"/>
    <d v="2024-05-10T00:00:00"/>
    <s v="Fixed"/>
    <d v="2024-03-25T00:00:00"/>
    <s v="NO"/>
  </r>
  <r>
    <n v="11445"/>
    <n v="6319"/>
    <x v="1"/>
    <n v="87098.28"/>
    <n v="67"/>
    <x v="2"/>
    <x v="0"/>
    <n v="104937.78"/>
    <x v="1"/>
    <s v="WH-B"/>
    <n v="634"/>
    <d v="2024-03-10T00:00:00"/>
    <n v="8"/>
    <n v="91445"/>
    <x v="0"/>
    <d v="2024-05-18T00:00:00"/>
    <n v="0.43728"/>
    <n v="71445"/>
    <x v="0"/>
    <n v="191454.0871"/>
    <s v="pending"/>
    <d v="2024-05-10T00:00:00"/>
    <s v="Variable"/>
    <d v="2024-03-25T00:00:00"/>
    <s v="NO"/>
  </r>
  <r>
    <n v="11446"/>
    <n v="5616"/>
    <x v="1"/>
    <n v="63308.82"/>
    <n v="24"/>
    <x v="3"/>
    <x v="2"/>
    <n v="103178.98"/>
    <x v="1"/>
    <s v="WH-B"/>
    <n v="918"/>
    <d v="2024-02-10T00:00:00"/>
    <n v="14"/>
    <n v="91446"/>
    <x v="1"/>
    <d v="2024-04-01T00:00:00"/>
    <n v="0.10703"/>
    <n v="71446"/>
    <x v="0"/>
    <n v="153251.26699999999"/>
    <s v="Paid"/>
    <d v="2024-05-10T00:00:00"/>
    <s v="Variable"/>
    <d v="2024-03-25T00:00:00"/>
    <s v="NO"/>
  </r>
  <r>
    <n v="11447"/>
    <n v="6550"/>
    <x v="0"/>
    <n v="96550.98"/>
    <n v="27"/>
    <x v="0"/>
    <x v="2"/>
    <n v="28739.25"/>
    <x v="1"/>
    <s v="WH-B"/>
    <n v="517"/>
    <d v="2024-04-15T00:00:00"/>
    <n v="1"/>
    <n v="91447"/>
    <x v="3"/>
    <d v="2024-04-01T00:00:00"/>
    <n v="0.72431999999999996"/>
    <n v="71447"/>
    <x v="2"/>
    <n v="122113.76927"/>
    <s v="pending"/>
    <d v="2024-04-10T00:00:00"/>
    <s v="Fixed"/>
    <d v="2024-03-25T00:00:00"/>
    <s v="YES"/>
  </r>
  <r>
    <n v="11448"/>
    <n v="5800"/>
    <x v="1"/>
    <n v="29256.93"/>
    <n v="40"/>
    <x v="0"/>
    <x v="1"/>
    <n v="41990.35"/>
    <x v="1"/>
    <s v="WH-C"/>
    <n v="915"/>
    <d v="2024-03-10T00:00:00"/>
    <n v="9"/>
    <n v="91448"/>
    <x v="0"/>
    <d v="2024-05-18T00:00:00"/>
    <n v="0.39040000000000002"/>
    <n v="71448"/>
    <x v="1"/>
    <n v="111250.27220000001"/>
    <s v="Overdue"/>
    <d v="2024-06-01T00:00:00"/>
    <s v="Fixed"/>
    <d v="2024-03-25T00:00:00"/>
    <s v="YES"/>
  </r>
  <r>
    <n v="11449"/>
    <n v="6715"/>
    <x v="1"/>
    <n v="62495.49"/>
    <n v="63"/>
    <x v="0"/>
    <x v="1"/>
    <n v="23103.63"/>
    <x v="2"/>
    <s v="WH-B"/>
    <n v="983"/>
    <d v="2024-03-10T00:00:00"/>
    <n v="3"/>
    <n v="91449"/>
    <x v="3"/>
    <d v="2024-05-18T00:00:00"/>
    <n v="0.61443000000000003"/>
    <n v="71449"/>
    <x v="1"/>
    <n v="219290.44349999999"/>
    <s v="Paid"/>
    <d v="2024-05-10T00:00:00"/>
    <s v="Fixed"/>
    <d v="2024-03-25T00:00:00"/>
    <s v="NO"/>
  </r>
  <r>
    <n v="11450"/>
    <n v="6661"/>
    <x v="1"/>
    <n v="47262.16"/>
    <n v="61"/>
    <x v="3"/>
    <x v="0"/>
    <n v="145155.6"/>
    <x v="0"/>
    <s v="WH-A"/>
    <n v="1283"/>
    <d v="2024-03-10T00:00:00"/>
    <n v="1"/>
    <n v="91450"/>
    <x v="2"/>
    <d v="2024-03-01T00:00:00"/>
    <n v="0.96104999999999996"/>
    <n v="71450"/>
    <x v="0"/>
    <n v="136120.73530999999"/>
    <s v="Overdue"/>
    <d v="2024-05-10T00:00:00"/>
    <s v="Fixed"/>
    <d v="2024-03-25T00:00:00"/>
    <s v="YES"/>
  </r>
  <r>
    <n v="11451"/>
    <n v="5422"/>
    <x v="1"/>
    <n v="70792.490000000005"/>
    <n v="36"/>
    <x v="1"/>
    <x v="2"/>
    <n v="120085.43"/>
    <x v="1"/>
    <s v="WH-C"/>
    <n v="653"/>
    <d v="2024-02-10T00:00:00"/>
    <n v="1"/>
    <n v="91451"/>
    <x v="3"/>
    <d v="2024-03-01T00:00:00"/>
    <n v="0.36952000000000002"/>
    <n v="71451"/>
    <x v="0"/>
    <n v="85455.164499999999"/>
    <s v="pending"/>
    <d v="2024-05-10T00:00:00"/>
    <s v="Fixed"/>
    <d v="2024-03-25T00:00:00"/>
    <s v="NO"/>
  </r>
  <r>
    <n v="11452"/>
    <n v="6889"/>
    <x v="1"/>
    <n v="28825.1"/>
    <n v="98"/>
    <x v="0"/>
    <x v="1"/>
    <n v="146917.45000000001"/>
    <x v="1"/>
    <s v="WH-C"/>
    <n v="1064"/>
    <d v="2024-02-10T00:00:00"/>
    <n v="13"/>
    <n v="91452"/>
    <x v="3"/>
    <d v="2024-04-01T00:00:00"/>
    <n v="0.99121000000000004"/>
    <n v="71452"/>
    <x v="1"/>
    <n v="175309.79889999999"/>
    <s v="Overdue"/>
    <d v="2024-06-01T00:00:00"/>
    <s v="Variable"/>
    <d v="2024-03-25T00:00:00"/>
    <s v="YES"/>
  </r>
  <r>
    <n v="11453"/>
    <n v="6047"/>
    <x v="0"/>
    <n v="35882.9"/>
    <n v="93"/>
    <x v="3"/>
    <x v="1"/>
    <n v="42259.94"/>
    <x v="1"/>
    <s v="WH-C"/>
    <n v="1146"/>
    <d v="2024-03-10T00:00:00"/>
    <n v="14"/>
    <n v="91453"/>
    <x v="1"/>
    <d v="2024-04-01T00:00:00"/>
    <n v="0.66946000000000006"/>
    <n v="71453"/>
    <x v="1"/>
    <n v="113054.2503"/>
    <s v="Overdue"/>
    <d v="2024-04-10T00:00:00"/>
    <s v="Fixed"/>
    <d v="2024-03-25T00:00:00"/>
    <s v="YES"/>
  </r>
  <r>
    <n v="11454"/>
    <n v="5575"/>
    <x v="1"/>
    <n v="30450.65"/>
    <n v="24"/>
    <x v="1"/>
    <x v="2"/>
    <n v="42966.21"/>
    <x v="2"/>
    <s v="WH-C"/>
    <n v="1382"/>
    <d v="2024-03-10T00:00:00"/>
    <n v="11"/>
    <n v="91454"/>
    <x v="3"/>
    <d v="2024-05-18T00:00:00"/>
    <n v="0.31788"/>
    <n v="71454"/>
    <x v="0"/>
    <n v="109339.6795"/>
    <s v="Overdue"/>
    <d v="2024-04-10T00:00:00"/>
    <s v="Fixed"/>
    <d v="2024-03-25T00:00:00"/>
    <s v="NO"/>
  </r>
  <r>
    <n v="11455"/>
    <n v="5143"/>
    <x v="1"/>
    <n v="40578.25"/>
    <n v="24"/>
    <x v="2"/>
    <x v="0"/>
    <n v="60535.55"/>
    <x v="2"/>
    <s v="WH-C"/>
    <n v="909"/>
    <d v="2024-04-15T00:00:00"/>
    <n v="6"/>
    <n v="91455"/>
    <x v="1"/>
    <d v="2024-04-01T00:00:00"/>
    <n v="0.49309999999999998"/>
    <n v="71455"/>
    <x v="1"/>
    <n v="116317.3456"/>
    <s v="pending"/>
    <d v="2024-04-10T00:00:00"/>
    <s v="Variable"/>
    <d v="2024-04-02T00:00:00"/>
    <s v="NO"/>
  </r>
  <r>
    <n v="11456"/>
    <n v="5993"/>
    <x v="0"/>
    <n v="43099.63"/>
    <n v="4"/>
    <x v="0"/>
    <x v="0"/>
    <n v="97371.45"/>
    <x v="1"/>
    <s v="WH-A"/>
    <n v="1259"/>
    <d v="2024-04-15T00:00:00"/>
    <n v="11"/>
    <n v="91456"/>
    <x v="2"/>
    <d v="2024-03-01T00:00:00"/>
    <n v="0.76641000000000004"/>
    <n v="71456"/>
    <x v="2"/>
    <n v="162923.90823"/>
    <s v="pending"/>
    <d v="2024-04-10T00:00:00"/>
    <s v="Variable"/>
    <d v="2024-03-25T00:00:00"/>
    <s v="YES"/>
  </r>
  <r>
    <n v="11457"/>
    <n v="5665"/>
    <x v="1"/>
    <n v="46539.59"/>
    <n v="67"/>
    <x v="1"/>
    <x v="2"/>
    <n v="69779.16"/>
    <x v="2"/>
    <s v="WH-C"/>
    <n v="1326"/>
    <d v="2024-04-15T00:00:00"/>
    <n v="6"/>
    <n v="91457"/>
    <x v="0"/>
    <d v="2024-05-18T00:00:00"/>
    <n v="0.50183"/>
    <n v="71457"/>
    <x v="0"/>
    <n v="50085.761420000003"/>
    <s v="pending"/>
    <d v="2024-06-01T00:00:00"/>
    <s v="Variable"/>
    <d v="2024-03-25T00:00:00"/>
    <s v="YES"/>
  </r>
  <r>
    <n v="11458"/>
    <n v="5145"/>
    <x v="1"/>
    <n v="74628.429999999993"/>
    <n v="34"/>
    <x v="0"/>
    <x v="0"/>
    <n v="168830.79"/>
    <x v="0"/>
    <s v="WH-B"/>
    <n v="62"/>
    <d v="2024-04-15T00:00:00"/>
    <n v="1"/>
    <n v="91458"/>
    <x v="1"/>
    <d v="2024-03-01T00:00:00"/>
    <n v="0.16166"/>
    <n v="71458"/>
    <x v="2"/>
    <n v="111290.67993"/>
    <s v="pending"/>
    <d v="2024-06-01T00:00:00"/>
    <s v="Variable"/>
    <d v="2024-04-02T00:00:00"/>
    <s v="NO"/>
  </r>
  <r>
    <n v="11459"/>
    <n v="6249"/>
    <x v="1"/>
    <n v="28352.82"/>
    <n v="57"/>
    <x v="0"/>
    <x v="1"/>
    <n v="85687.34"/>
    <x v="1"/>
    <s v="WH-C"/>
    <n v="348"/>
    <d v="2024-04-15T00:00:00"/>
    <n v="14"/>
    <n v="91459"/>
    <x v="3"/>
    <d v="2024-05-18T00:00:00"/>
    <n v="0.25174000000000002"/>
    <n v="71459"/>
    <x v="1"/>
    <n v="164778.46502999999"/>
    <s v="pending"/>
    <d v="2024-06-01T00:00:00"/>
    <s v="Variable"/>
    <d v="2024-03-25T00:00:00"/>
    <s v="NO"/>
  </r>
  <r>
    <n v="11460"/>
    <n v="6007"/>
    <x v="1"/>
    <n v="42332.42"/>
    <n v="49"/>
    <x v="0"/>
    <x v="2"/>
    <n v="27196.19"/>
    <x v="1"/>
    <s v="WH-C"/>
    <n v="1149"/>
    <d v="2024-02-10T00:00:00"/>
    <n v="14"/>
    <n v="91460"/>
    <x v="3"/>
    <d v="2024-05-18T00:00:00"/>
    <n v="0.81216999999999995"/>
    <n v="71460"/>
    <x v="2"/>
    <n v="193372.85316999999"/>
    <s v="Paid"/>
    <d v="2024-05-10T00:00:00"/>
    <s v="Variable"/>
    <d v="2024-03-25T00:00:00"/>
    <s v="YES"/>
  </r>
  <r>
    <n v="11461"/>
    <n v="5503"/>
    <x v="1"/>
    <n v="20195.560000000001"/>
    <n v="87"/>
    <x v="1"/>
    <x v="1"/>
    <n v="59522.07"/>
    <x v="0"/>
    <s v="WH-C"/>
    <n v="1124"/>
    <d v="2024-04-15T00:00:00"/>
    <n v="3"/>
    <n v="91461"/>
    <x v="1"/>
    <d v="2024-03-01T00:00:00"/>
    <n v="0.68354000000000004"/>
    <n v="71461"/>
    <x v="1"/>
    <n v="92804.277879999994"/>
    <s v="Paid"/>
    <d v="2024-06-01T00:00:00"/>
    <s v="Fixed"/>
    <d v="2024-04-02T00:00:00"/>
    <s v="NO"/>
  </r>
  <r>
    <n v="11462"/>
    <n v="6986"/>
    <x v="0"/>
    <n v="62968.22"/>
    <n v="53"/>
    <x v="3"/>
    <x v="3"/>
    <n v="70451.350000000006"/>
    <x v="0"/>
    <s v="WH-C"/>
    <n v="836"/>
    <d v="2024-04-15T00:00:00"/>
    <n v="7"/>
    <n v="91462"/>
    <x v="2"/>
    <d v="2024-04-01T00:00:00"/>
    <n v="0.61284000000000005"/>
    <n v="71462"/>
    <x v="0"/>
    <n v="167049.06950000001"/>
    <s v="Paid"/>
    <d v="2024-04-10T00:00:00"/>
    <s v="Variable"/>
    <d v="2024-03-25T00:00:00"/>
    <s v="NO"/>
  </r>
  <r>
    <n v="11463"/>
    <n v="6998"/>
    <x v="0"/>
    <n v="41396.980000000003"/>
    <n v="23"/>
    <x v="1"/>
    <x v="3"/>
    <n v="93653.59"/>
    <x v="0"/>
    <s v="WH-C"/>
    <n v="198"/>
    <d v="2024-03-10T00:00:00"/>
    <n v="10"/>
    <n v="91463"/>
    <x v="0"/>
    <d v="2024-04-01T00:00:00"/>
    <n v="0.25086000000000003"/>
    <n v="71463"/>
    <x v="2"/>
    <n v="142087.41656000001"/>
    <s v="Overdue"/>
    <d v="2024-06-01T00:00:00"/>
    <s v="Variable"/>
    <d v="2024-04-02T00:00:00"/>
    <s v="YES"/>
  </r>
  <r>
    <n v="11464"/>
    <n v="5821"/>
    <x v="0"/>
    <n v="81625.73"/>
    <n v="69"/>
    <x v="0"/>
    <x v="0"/>
    <n v="33549.449999999997"/>
    <x v="1"/>
    <s v="WH-A"/>
    <n v="171"/>
    <d v="2024-02-10T00:00:00"/>
    <n v="3"/>
    <n v="91464"/>
    <x v="3"/>
    <d v="2024-04-01T00:00:00"/>
    <n v="0.85397999999999996"/>
    <n v="71464"/>
    <x v="1"/>
    <n v="130540.5742"/>
    <s v="Overdue"/>
    <d v="2024-05-10T00:00:00"/>
    <s v="Variable"/>
    <d v="2024-03-25T00:00:00"/>
    <s v="YES"/>
  </r>
  <r>
    <n v="11465"/>
    <n v="6640"/>
    <x v="1"/>
    <n v="21797.65"/>
    <n v="95"/>
    <x v="1"/>
    <x v="3"/>
    <n v="111106.07"/>
    <x v="1"/>
    <s v="WH-A"/>
    <n v="1284"/>
    <d v="2024-04-15T00:00:00"/>
    <n v="3"/>
    <n v="91465"/>
    <x v="2"/>
    <d v="2024-04-01T00:00:00"/>
    <n v="0.96467000000000003"/>
    <n v="71465"/>
    <x v="1"/>
    <n v="130607.0327"/>
    <s v="pending"/>
    <d v="2024-04-10T00:00:00"/>
    <s v="Variable"/>
    <d v="2024-03-25T00:00:00"/>
    <s v="NO"/>
  </r>
  <r>
    <n v="11466"/>
    <n v="5104"/>
    <x v="1"/>
    <n v="12345.91"/>
    <n v="53"/>
    <x v="2"/>
    <x v="1"/>
    <n v="80898.38"/>
    <x v="1"/>
    <s v="WH-C"/>
    <n v="1353"/>
    <d v="2024-04-15T00:00:00"/>
    <n v="3"/>
    <n v="91466"/>
    <x v="0"/>
    <d v="2024-03-01T00:00:00"/>
    <n v="0.1368"/>
    <n v="71466"/>
    <x v="2"/>
    <n v="194395.43849999999"/>
    <s v="pending"/>
    <d v="2024-06-01T00:00:00"/>
    <s v="Variable"/>
    <d v="2024-03-25T00:00:00"/>
    <s v="NO"/>
  </r>
  <r>
    <n v="11467"/>
    <n v="6971"/>
    <x v="1"/>
    <n v="30521.46"/>
    <n v="62"/>
    <x v="3"/>
    <x v="3"/>
    <n v="148429.51999999999"/>
    <x v="0"/>
    <s v="WH-A"/>
    <n v="587"/>
    <d v="2024-04-15T00:00:00"/>
    <n v="12"/>
    <n v="91467"/>
    <x v="0"/>
    <d v="2024-05-18T00:00:00"/>
    <n v="0.17022999999999999"/>
    <n v="71467"/>
    <x v="0"/>
    <n v="163784.4051"/>
    <s v="Paid"/>
    <d v="2024-04-10T00:00:00"/>
    <s v="Variable"/>
    <d v="2024-03-25T00:00:00"/>
    <s v="YES"/>
  </r>
  <r>
    <n v="11468"/>
    <n v="6063"/>
    <x v="1"/>
    <n v="88173.58"/>
    <n v="41"/>
    <x v="1"/>
    <x v="1"/>
    <n v="137984.26"/>
    <x v="0"/>
    <s v="WH-B"/>
    <n v="1229"/>
    <d v="2024-03-10T00:00:00"/>
    <n v="7"/>
    <n v="91468"/>
    <x v="3"/>
    <d v="2024-03-01T00:00:00"/>
    <n v="0.89624999999999999"/>
    <n v="71468"/>
    <x v="2"/>
    <n v="56853.0262"/>
    <s v="pending"/>
    <d v="2024-04-10T00:00:00"/>
    <s v="Variable"/>
    <d v="2024-04-02T00:00:00"/>
    <s v="NO"/>
  </r>
  <r>
    <n v="11469"/>
    <n v="6971"/>
    <x v="0"/>
    <n v="94946.35"/>
    <n v="57"/>
    <x v="2"/>
    <x v="0"/>
    <n v="146631.88"/>
    <x v="1"/>
    <s v="WH-C"/>
    <n v="1311"/>
    <d v="2024-03-10T00:00:00"/>
    <n v="4"/>
    <n v="91469"/>
    <x v="1"/>
    <d v="2024-04-01T00:00:00"/>
    <n v="0.83399999999999996"/>
    <n v="71469"/>
    <x v="1"/>
    <n v="171238.30040000001"/>
    <s v="Overdue"/>
    <d v="2024-06-01T00:00:00"/>
    <s v="Variable"/>
    <d v="2024-03-25T00:00:00"/>
    <s v="YES"/>
  </r>
  <r>
    <n v="11470"/>
    <n v="5198"/>
    <x v="1"/>
    <n v="82484.36"/>
    <n v="60"/>
    <x v="3"/>
    <x v="0"/>
    <n v="102841.34"/>
    <x v="2"/>
    <s v="WH-B"/>
    <n v="425"/>
    <d v="2024-03-10T00:00:00"/>
    <n v="4"/>
    <n v="91470"/>
    <x v="3"/>
    <d v="2024-04-01T00:00:00"/>
    <n v="0.65613999999999995"/>
    <n v="71470"/>
    <x v="2"/>
    <n v="57054.791620000004"/>
    <s v="pending"/>
    <d v="2024-06-01T00:00:00"/>
    <s v="Fixed"/>
    <d v="2024-04-02T00:00:00"/>
    <s v="NO"/>
  </r>
  <r>
    <n v="11471"/>
    <n v="6670"/>
    <x v="1"/>
    <n v="57435.78"/>
    <n v="54"/>
    <x v="2"/>
    <x v="1"/>
    <n v="58774.37"/>
    <x v="1"/>
    <s v="WH-B"/>
    <n v="131"/>
    <d v="2024-04-15T00:00:00"/>
    <n v="3"/>
    <n v="91471"/>
    <x v="3"/>
    <d v="2024-03-01T00:00:00"/>
    <n v="0.95047000000000004"/>
    <n v="71471"/>
    <x v="2"/>
    <n v="184855.02960000001"/>
    <s v="Paid"/>
    <d v="2024-05-10T00:00:00"/>
    <s v="Variable"/>
    <d v="2024-03-25T00:00:00"/>
    <s v="YES"/>
  </r>
  <r>
    <n v="11472"/>
    <n v="5579"/>
    <x v="1"/>
    <n v="48572.55"/>
    <n v="70"/>
    <x v="3"/>
    <x v="3"/>
    <n v="130185.54"/>
    <x v="0"/>
    <s v="WH-C"/>
    <n v="541"/>
    <d v="2024-03-10T00:00:00"/>
    <n v="10"/>
    <n v="91472"/>
    <x v="3"/>
    <d v="2024-05-18T00:00:00"/>
    <n v="0.68179000000000001"/>
    <n v="71472"/>
    <x v="0"/>
    <n v="151778.6679"/>
    <s v="pending"/>
    <d v="2024-06-01T00:00:00"/>
    <s v="Variable"/>
    <d v="2024-03-25T00:00:00"/>
    <s v="YES"/>
  </r>
  <r>
    <n v="11473"/>
    <n v="5391"/>
    <x v="0"/>
    <n v="34524.04"/>
    <n v="57"/>
    <x v="1"/>
    <x v="0"/>
    <n v="12857.24"/>
    <x v="1"/>
    <s v="WH-B"/>
    <n v="405"/>
    <d v="2024-04-15T00:00:00"/>
    <n v="11"/>
    <n v="91473"/>
    <x v="2"/>
    <d v="2024-03-01T00:00:00"/>
    <n v="0.29438999999999999"/>
    <n v="71473"/>
    <x v="2"/>
    <n v="119125.08905"/>
    <s v="Overdue"/>
    <d v="2024-06-01T00:00:00"/>
    <s v="Variable"/>
    <d v="2024-03-25T00:00:00"/>
    <s v="YES"/>
  </r>
  <r>
    <n v="11474"/>
    <n v="6203"/>
    <x v="1"/>
    <n v="86768.56"/>
    <n v="10"/>
    <x v="2"/>
    <x v="2"/>
    <n v="96326.36"/>
    <x v="0"/>
    <s v="WH-B"/>
    <n v="974"/>
    <d v="2024-02-10T00:00:00"/>
    <n v="9"/>
    <n v="91474"/>
    <x v="1"/>
    <d v="2024-03-01T00:00:00"/>
    <n v="0.75578000000000001"/>
    <n v="71474"/>
    <x v="1"/>
    <n v="158957.67360000001"/>
    <s v="Paid"/>
    <d v="2024-06-01T00:00:00"/>
    <s v="Variable"/>
    <d v="2024-03-25T00:00:00"/>
    <s v="NO"/>
  </r>
  <r>
    <n v="11475"/>
    <n v="6992"/>
    <x v="0"/>
    <n v="54312.42"/>
    <n v="40"/>
    <x v="0"/>
    <x v="0"/>
    <n v="126413.78"/>
    <x v="2"/>
    <s v="WH-B"/>
    <n v="1346"/>
    <d v="2024-04-15T00:00:00"/>
    <n v="2"/>
    <n v="91475"/>
    <x v="2"/>
    <d v="2024-03-01T00:00:00"/>
    <n v="0.68113999999999997"/>
    <n v="71475"/>
    <x v="0"/>
    <n v="60442.572099999998"/>
    <s v="pending"/>
    <d v="2024-04-10T00:00:00"/>
    <s v="Fixed"/>
    <d v="2024-03-25T00:00:00"/>
    <s v="NO"/>
  </r>
  <r>
    <n v="11476"/>
    <n v="5554"/>
    <x v="1"/>
    <n v="60477.38"/>
    <n v="7"/>
    <x v="2"/>
    <x v="3"/>
    <n v="16134.3"/>
    <x v="1"/>
    <s v="WH-C"/>
    <n v="1117"/>
    <d v="2024-03-10T00:00:00"/>
    <n v="4"/>
    <n v="91476"/>
    <x v="3"/>
    <d v="2024-05-18T00:00:00"/>
    <n v="0.98716999999999999"/>
    <n v="71476"/>
    <x v="1"/>
    <n v="52413.274279999998"/>
    <s v="Overdue"/>
    <d v="2024-05-10T00:00:00"/>
    <s v="Variable"/>
    <d v="2024-04-02T00:00:00"/>
    <s v="YES"/>
  </r>
  <r>
    <n v="11477"/>
    <n v="6472"/>
    <x v="1"/>
    <n v="65292.19"/>
    <n v="38"/>
    <x v="3"/>
    <x v="2"/>
    <n v="85789.24"/>
    <x v="1"/>
    <s v="WH-C"/>
    <n v="1054"/>
    <d v="2024-02-10T00:00:00"/>
    <n v="8"/>
    <n v="91477"/>
    <x v="1"/>
    <d v="2024-03-01T00:00:00"/>
    <n v="0.29250999999999999"/>
    <n v="71477"/>
    <x v="0"/>
    <n v="192992.8554"/>
    <s v="Paid"/>
    <d v="2024-04-10T00:00:00"/>
    <s v="Variable"/>
    <d v="2024-03-25T00:00:00"/>
    <s v="YES"/>
  </r>
  <r>
    <n v="11478"/>
    <n v="6524"/>
    <x v="1"/>
    <n v="14712.74"/>
    <n v="85"/>
    <x v="1"/>
    <x v="3"/>
    <n v="176953.54"/>
    <x v="1"/>
    <s v="WH-B"/>
    <n v="172"/>
    <d v="2024-04-15T00:00:00"/>
    <n v="6"/>
    <n v="91478"/>
    <x v="0"/>
    <d v="2024-03-01T00:00:00"/>
    <n v="0.6381"/>
    <n v="71478"/>
    <x v="1"/>
    <n v="205147.0203"/>
    <s v="Paid"/>
    <d v="2024-06-01T00:00:00"/>
    <s v="Variable"/>
    <d v="2024-04-02T00:00:00"/>
    <s v="YES"/>
  </r>
  <r>
    <n v="11479"/>
    <n v="6039"/>
    <x v="1"/>
    <n v="21317.58"/>
    <n v="61"/>
    <x v="3"/>
    <x v="1"/>
    <n v="12342.34"/>
    <x v="1"/>
    <s v="WH-C"/>
    <n v="1422"/>
    <d v="2024-02-10T00:00:00"/>
    <n v="14"/>
    <n v="91479"/>
    <x v="1"/>
    <d v="2024-04-01T00:00:00"/>
    <n v="0.80215000000000003"/>
    <n v="71479"/>
    <x v="1"/>
    <n v="139515.74249999999"/>
    <s v="Overdue"/>
    <d v="2024-05-10T00:00:00"/>
    <s v="Variable"/>
    <d v="2024-04-02T00:00:00"/>
    <s v="NO"/>
  </r>
  <r>
    <n v="11480"/>
    <n v="6647"/>
    <x v="1"/>
    <n v="74921.47"/>
    <n v="84"/>
    <x v="2"/>
    <x v="2"/>
    <n v="22297.54"/>
    <x v="1"/>
    <s v="WH-C"/>
    <n v="757"/>
    <d v="2024-02-10T00:00:00"/>
    <n v="7"/>
    <n v="91480"/>
    <x v="3"/>
    <d v="2024-03-01T00:00:00"/>
    <n v="0.40508"/>
    <n v="71480"/>
    <x v="1"/>
    <n v="115232.16039999999"/>
    <s v="pending"/>
    <d v="2024-06-01T00:00:00"/>
    <s v="Variable"/>
    <d v="2024-03-25T00:00:00"/>
    <s v="YES"/>
  </r>
  <r>
    <n v="11481"/>
    <n v="6693"/>
    <x v="1"/>
    <n v="47027.46"/>
    <n v="3"/>
    <x v="2"/>
    <x v="3"/>
    <n v="65611.45"/>
    <x v="0"/>
    <s v="WH-B"/>
    <n v="379"/>
    <d v="2024-02-10T00:00:00"/>
    <n v="13"/>
    <n v="91481"/>
    <x v="1"/>
    <d v="2024-04-01T00:00:00"/>
    <n v="0.44170999999999999"/>
    <n v="71481"/>
    <x v="2"/>
    <n v="175951.14244"/>
    <s v="pending"/>
    <d v="2024-04-10T00:00:00"/>
    <s v="Variable"/>
    <d v="2024-03-25T00:00:00"/>
    <s v="YES"/>
  </r>
  <r>
    <n v="11482"/>
    <n v="6313"/>
    <x v="1"/>
    <n v="68262.87"/>
    <n v="51"/>
    <x v="0"/>
    <x v="2"/>
    <n v="56965.23"/>
    <x v="1"/>
    <s v="WH-C"/>
    <n v="1482"/>
    <d v="2024-04-15T00:00:00"/>
    <n v="7"/>
    <n v="91482"/>
    <x v="0"/>
    <d v="2024-04-01T00:00:00"/>
    <n v="0.89910999999999996"/>
    <n v="71482"/>
    <x v="1"/>
    <n v="63018.624600000003"/>
    <s v="pending"/>
    <d v="2024-04-10T00:00:00"/>
    <s v="Variable"/>
    <d v="2024-04-02T00:00:00"/>
    <s v="YES"/>
  </r>
  <r>
    <n v="11483"/>
    <n v="5478"/>
    <x v="1"/>
    <n v="34647.019999999997"/>
    <n v="86"/>
    <x v="1"/>
    <x v="3"/>
    <n v="53367.96"/>
    <x v="1"/>
    <s v="WH-A"/>
    <n v="1040"/>
    <d v="2024-03-10T00:00:00"/>
    <n v="2"/>
    <n v="91483"/>
    <x v="0"/>
    <d v="2024-04-01T00:00:00"/>
    <n v="0.46378000000000003"/>
    <n v="71483"/>
    <x v="0"/>
    <n v="132082.20509999999"/>
    <s v="Paid"/>
    <d v="2024-06-01T00:00:00"/>
    <s v="Variable"/>
    <d v="2024-03-25T00:00:00"/>
    <s v="YES"/>
  </r>
  <r>
    <n v="11484"/>
    <n v="6255"/>
    <x v="1"/>
    <n v="77943.679999999993"/>
    <n v="47"/>
    <x v="1"/>
    <x v="2"/>
    <n v="69436.789999999994"/>
    <x v="1"/>
    <s v="WH-C"/>
    <n v="372"/>
    <d v="2024-04-15T00:00:00"/>
    <n v="4"/>
    <n v="91484"/>
    <x v="1"/>
    <d v="2024-05-18T00:00:00"/>
    <n v="0.66225999999999996"/>
    <n v="71484"/>
    <x v="1"/>
    <n v="101955.18182"/>
    <s v="Paid"/>
    <d v="2024-05-10T00:00:00"/>
    <s v="Fixed"/>
    <d v="2024-03-25T00:00:00"/>
    <s v="NO"/>
  </r>
  <r>
    <n v="11485"/>
    <n v="5923"/>
    <x v="1"/>
    <n v="41322.86"/>
    <n v="68"/>
    <x v="2"/>
    <x v="3"/>
    <n v="19988.48"/>
    <x v="1"/>
    <s v="WH-A"/>
    <n v="1184"/>
    <d v="2024-03-10T00:00:00"/>
    <n v="10"/>
    <n v="91485"/>
    <x v="0"/>
    <d v="2024-04-01T00:00:00"/>
    <n v="0.90031000000000005"/>
    <n v="71485"/>
    <x v="0"/>
    <n v="140577.34930999999"/>
    <s v="pending"/>
    <d v="2024-04-10T00:00:00"/>
    <s v="Fixed"/>
    <d v="2024-03-25T00:00:00"/>
    <s v="YES"/>
  </r>
  <r>
    <n v="11486"/>
    <n v="5420"/>
    <x v="1"/>
    <n v="68575.78"/>
    <n v="92"/>
    <x v="1"/>
    <x v="1"/>
    <n v="11537.99"/>
    <x v="1"/>
    <s v="WH-B"/>
    <n v="819"/>
    <d v="2024-04-15T00:00:00"/>
    <n v="10"/>
    <n v="91486"/>
    <x v="2"/>
    <d v="2024-03-01T00:00:00"/>
    <n v="0.28883999999999999"/>
    <n v="71486"/>
    <x v="1"/>
    <n v="186869.25422"/>
    <s v="Paid"/>
    <d v="2024-06-01T00:00:00"/>
    <s v="Variable"/>
    <d v="2024-03-25T00:00:00"/>
    <s v="YES"/>
  </r>
  <r>
    <n v="11487"/>
    <n v="5157"/>
    <x v="0"/>
    <n v="64861.57"/>
    <n v="76"/>
    <x v="0"/>
    <x v="2"/>
    <n v="171343.44"/>
    <x v="0"/>
    <s v="WH-C"/>
    <n v="1162"/>
    <d v="2024-04-15T00:00:00"/>
    <n v="6"/>
    <n v="91487"/>
    <x v="1"/>
    <d v="2024-03-01T00:00:00"/>
    <n v="0.98368999999999995"/>
    <n v="71487"/>
    <x v="2"/>
    <n v="170450.58965000001"/>
    <s v="Paid"/>
    <d v="2024-06-01T00:00:00"/>
    <s v="Variable"/>
    <d v="2024-03-25T00:00:00"/>
    <s v="YES"/>
  </r>
  <r>
    <n v="11488"/>
    <n v="5550"/>
    <x v="1"/>
    <n v="52260.959999999999"/>
    <n v="38"/>
    <x v="3"/>
    <x v="2"/>
    <n v="49840.71"/>
    <x v="1"/>
    <s v="WH-B"/>
    <n v="482"/>
    <d v="2024-04-15T00:00:00"/>
    <n v="3"/>
    <n v="91488"/>
    <x v="0"/>
    <d v="2024-04-01T00:00:00"/>
    <n v="0.73175999999999997"/>
    <n v="71488"/>
    <x v="1"/>
    <n v="175519.38453000001"/>
    <s v="Overdue"/>
    <d v="2024-06-01T00:00:00"/>
    <s v="Fixed"/>
    <d v="2024-03-25T00:00:00"/>
    <s v="NO"/>
  </r>
  <r>
    <n v="11489"/>
    <n v="6465"/>
    <x v="1"/>
    <n v="56963.39"/>
    <n v="36"/>
    <x v="1"/>
    <x v="2"/>
    <n v="42911.73"/>
    <x v="1"/>
    <s v="WH-B"/>
    <n v="759"/>
    <d v="2024-03-10T00:00:00"/>
    <n v="9"/>
    <n v="91489"/>
    <x v="0"/>
    <d v="2024-04-01T00:00:00"/>
    <n v="0.54651000000000005"/>
    <n v="71489"/>
    <x v="1"/>
    <n v="77109.234700000001"/>
    <s v="pending"/>
    <d v="2024-05-10T00:00:00"/>
    <s v="Fixed"/>
    <d v="2024-03-25T00:00:00"/>
    <s v="YES"/>
  </r>
  <r>
    <n v="11490"/>
    <n v="6121"/>
    <x v="0"/>
    <n v="75652.740000000005"/>
    <n v="41"/>
    <x v="2"/>
    <x v="2"/>
    <n v="98486.48"/>
    <x v="1"/>
    <s v="WH-B"/>
    <n v="843"/>
    <d v="2024-04-15T00:00:00"/>
    <n v="13"/>
    <n v="91490"/>
    <x v="1"/>
    <d v="2024-03-01T00:00:00"/>
    <n v="0.48782999999999999"/>
    <n v="71490"/>
    <x v="1"/>
    <n v="189323.79652999999"/>
    <s v="pending"/>
    <d v="2024-06-01T00:00:00"/>
    <s v="Variable"/>
    <d v="2024-03-25T00:00:00"/>
    <s v="NO"/>
  </r>
  <r>
    <n v="11491"/>
    <n v="6021"/>
    <x v="1"/>
    <n v="42462.39"/>
    <n v="69"/>
    <x v="3"/>
    <x v="1"/>
    <n v="36485.160000000003"/>
    <x v="0"/>
    <s v="WH-B"/>
    <n v="761"/>
    <d v="2024-02-10T00:00:00"/>
    <n v="4"/>
    <n v="91491"/>
    <x v="2"/>
    <d v="2024-04-01T00:00:00"/>
    <n v="0.95892999999999995"/>
    <n v="71491"/>
    <x v="1"/>
    <n v="171217.40591"/>
    <s v="pending"/>
    <d v="2024-06-01T00:00:00"/>
    <s v="Variable"/>
    <d v="2024-03-25T00:00:00"/>
    <s v="NO"/>
  </r>
  <r>
    <n v="11492"/>
    <n v="5997"/>
    <x v="1"/>
    <n v="21114.73"/>
    <n v="13"/>
    <x v="3"/>
    <x v="2"/>
    <n v="76096.19"/>
    <x v="2"/>
    <s v="WH-B"/>
    <n v="1172"/>
    <d v="2024-04-15T00:00:00"/>
    <n v="10"/>
    <n v="91492"/>
    <x v="1"/>
    <d v="2024-05-18T00:00:00"/>
    <n v="0.28515000000000001"/>
    <n v="71492"/>
    <x v="1"/>
    <n v="125315.1246"/>
    <s v="Paid"/>
    <d v="2024-04-10T00:00:00"/>
    <s v="Variable"/>
    <d v="2024-03-25T00:00:00"/>
    <s v="YES"/>
  </r>
  <r>
    <n v="11493"/>
    <n v="6435"/>
    <x v="0"/>
    <n v="21389.71"/>
    <n v="87"/>
    <x v="0"/>
    <x v="0"/>
    <n v="38997.480000000003"/>
    <x v="1"/>
    <s v="WH-C"/>
    <n v="588"/>
    <d v="2024-02-10T00:00:00"/>
    <n v="13"/>
    <n v="91493"/>
    <x v="0"/>
    <d v="2024-04-01T00:00:00"/>
    <n v="0.38051000000000001"/>
    <n v="71493"/>
    <x v="1"/>
    <n v="203249.3916"/>
    <s v="Paid"/>
    <d v="2024-06-01T00:00:00"/>
    <s v="Variable"/>
    <d v="2024-03-25T00:00:00"/>
    <s v="NO"/>
  </r>
  <r>
    <n v="11494"/>
    <n v="5951"/>
    <x v="1"/>
    <n v="57555.51"/>
    <n v="58"/>
    <x v="2"/>
    <x v="1"/>
    <n v="67601.86"/>
    <x v="1"/>
    <s v="WH-A"/>
    <n v="650"/>
    <d v="2024-03-10T00:00:00"/>
    <n v="2"/>
    <n v="91494"/>
    <x v="1"/>
    <d v="2024-05-18T00:00:00"/>
    <n v="0.37701000000000001"/>
    <n v="71494"/>
    <x v="2"/>
    <n v="117300.14780000001"/>
    <s v="Paid"/>
    <d v="2024-05-10T00:00:00"/>
    <s v="Variable"/>
    <d v="2024-03-25T00:00:00"/>
    <s v="YES"/>
  </r>
  <r>
    <n v="11495"/>
    <n v="5289"/>
    <x v="1"/>
    <n v="67438.679999999993"/>
    <n v="50"/>
    <x v="1"/>
    <x v="0"/>
    <n v="81331.73"/>
    <x v="0"/>
    <s v="WH-C"/>
    <n v="1219"/>
    <d v="2024-03-10T00:00:00"/>
    <n v="6"/>
    <n v="91495"/>
    <x v="0"/>
    <d v="2024-05-18T00:00:00"/>
    <n v="0.36010999999999999"/>
    <n v="71495"/>
    <x v="2"/>
    <n v="59854.555439999996"/>
    <s v="pending"/>
    <d v="2024-06-01T00:00:00"/>
    <s v="Variable"/>
    <d v="2024-03-25T00:00:00"/>
    <s v="YES"/>
  </r>
  <r>
    <n v="11496"/>
    <n v="6278"/>
    <x v="1"/>
    <n v="82424.3"/>
    <n v="30"/>
    <x v="2"/>
    <x v="2"/>
    <n v="145084.96"/>
    <x v="0"/>
    <s v="WH-C"/>
    <n v="306"/>
    <d v="2024-04-15T00:00:00"/>
    <n v="1"/>
    <n v="91496"/>
    <x v="3"/>
    <d v="2024-05-18T00:00:00"/>
    <n v="0.52168000000000003"/>
    <n v="71496"/>
    <x v="1"/>
    <n v="130043.92836999999"/>
    <s v="Paid"/>
    <d v="2024-05-10T00:00:00"/>
    <s v="Variable"/>
    <d v="2024-03-25T00:00:00"/>
    <s v="YES"/>
  </r>
  <r>
    <n v="11497"/>
    <n v="5196"/>
    <x v="1"/>
    <n v="87422.01"/>
    <n v="62"/>
    <x v="3"/>
    <x v="3"/>
    <n v="89259.16"/>
    <x v="0"/>
    <s v="WH-C"/>
    <n v="1262"/>
    <d v="2024-04-15T00:00:00"/>
    <n v="6"/>
    <n v="91497"/>
    <x v="1"/>
    <d v="2024-04-01T00:00:00"/>
    <n v="0.99026000000000003"/>
    <n v="71497"/>
    <x v="2"/>
    <n v="144026.7041"/>
    <s v="pending"/>
    <d v="2024-06-01T00:00:00"/>
    <s v="Variable"/>
    <d v="2024-03-25T00:00:00"/>
    <s v="YES"/>
  </r>
  <r>
    <n v="11498"/>
    <n v="5598"/>
    <x v="1"/>
    <n v="27583.759999999998"/>
    <n v="25"/>
    <x v="2"/>
    <x v="0"/>
    <n v="142081.12"/>
    <x v="1"/>
    <s v="WH-C"/>
    <n v="1313"/>
    <d v="2024-04-15T00:00:00"/>
    <n v="13"/>
    <n v="91498"/>
    <x v="1"/>
    <d v="2024-05-18T00:00:00"/>
    <n v="0.89990999999999999"/>
    <n v="71498"/>
    <x v="1"/>
    <n v="52351.955260000002"/>
    <s v="Paid"/>
    <d v="2024-06-01T00:00:00"/>
    <s v="Variable"/>
    <d v="2024-03-25T00:00:00"/>
    <s v="YES"/>
  </r>
  <r>
    <n v="11499"/>
    <n v="6858"/>
    <x v="1"/>
    <n v="92737.16"/>
    <n v="27"/>
    <x v="1"/>
    <x v="2"/>
    <n v="20965.349999999999"/>
    <x v="1"/>
    <s v="WH-A"/>
    <n v="920"/>
    <d v="2024-02-10T00:00:00"/>
    <n v="12"/>
    <n v="91499"/>
    <x v="0"/>
    <d v="2024-05-18T00:00:00"/>
    <n v="0.39515"/>
    <n v="71499"/>
    <x v="1"/>
    <n v="206409.53659999999"/>
    <s v="pending"/>
    <d v="2024-06-01T00:00:00"/>
    <s v="Variable"/>
    <d v="2024-03-25T00:00:00"/>
    <s v="YES"/>
  </r>
  <r>
    <n v="11500"/>
    <n v="6546"/>
    <x v="1"/>
    <n v="76518.2"/>
    <n v="51"/>
    <x v="1"/>
    <x v="0"/>
    <n v="127261.12"/>
    <x v="2"/>
    <s v="WH-C"/>
    <n v="948"/>
    <d v="2024-03-10T00:00:00"/>
    <n v="10"/>
    <n v="91500"/>
    <x v="0"/>
    <d v="2024-04-01T00:00:00"/>
    <n v="0.48058000000000001"/>
    <n v="71500"/>
    <x v="2"/>
    <n v="158826.27239999999"/>
    <s v="Overdue"/>
    <d v="2024-05-10T00:00:00"/>
    <s v="Variable"/>
    <d v="2024-03-25T00:00:0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1FAC1-4585-41BC-818C-504EA7675FE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B16" firstHeaderRow="1" firstDataRow="1" firstDataCol="1"/>
  <pivotFields count="27">
    <pivotField showAll="0"/>
    <pivotField showAll="0"/>
    <pivotField showAll="0">
      <items count="3">
        <item x="0"/>
        <item x="1"/>
        <item t="default"/>
      </items>
    </pivotField>
    <pivotField dataField="1" numFmtId="2" showAll="0"/>
    <pivotField showAll="0"/>
    <pivotField axis="axisRow"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showAll="0"/>
    <pivotField showAll="0"/>
    <pivotField showAll="0"/>
    <pivotField numFmtId="14" showAll="0"/>
    <pivotField numFmtId="2" showAll="0"/>
    <pivotField showAll="0"/>
    <pivotField showAll="0"/>
    <pivotField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Sum of Revenue" fld="3" baseField="26" baseItem="1" numFmtId="164"/>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8355C-9C38-4BA8-A8B5-49D366FA297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3:G34" firstHeaderRow="1" firstDataRow="1" firstDataCol="0"/>
  <pivotFields count="27">
    <pivotField showAll="0"/>
    <pivotField showAll="0"/>
    <pivotField showAll="0">
      <items count="3">
        <item x="0"/>
        <item x="1"/>
        <item t="default"/>
      </items>
    </pivotField>
    <pivotField numFmtId="2" showAll="0"/>
    <pivotField showAll="0"/>
    <pivotField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dataField="1" showAll="0"/>
    <pivotField showAll="0"/>
    <pivotField showAll="0">
      <items count="5">
        <item x="2"/>
        <item x="1"/>
        <item x="3"/>
        <item x="0"/>
        <item t="default"/>
      </items>
    </pivotField>
    <pivotField numFmtId="14" showAll="0"/>
    <pivotField numFmtId="2" showAll="0"/>
    <pivotField showAll="0"/>
    <pivotField showAll="0">
      <items count="4">
        <item x="0"/>
        <item x="1"/>
        <item x="2"/>
        <item t="default"/>
      </items>
    </pivotField>
    <pivotField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fullfillment  day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106EB-BCBA-4BC4-A80B-CD83DEB8B4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27:I28" firstHeaderRow="1" firstDataRow="1" firstDataCol="0"/>
  <pivotFields count="27">
    <pivotField dataField="1" showAll="0"/>
    <pivotField showAll="0"/>
    <pivotField showAll="0">
      <items count="3">
        <item x="0"/>
        <item x="1"/>
        <item t="default"/>
      </items>
    </pivotField>
    <pivotField numFmtId="2" showAll="0"/>
    <pivotField showAll="0"/>
    <pivotField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showAll="0"/>
    <pivotField showAll="0"/>
    <pivotField showAll="0">
      <items count="5">
        <item x="2"/>
        <item x="1"/>
        <item x="3"/>
        <item x="0"/>
        <item t="default"/>
      </items>
    </pivotField>
    <pivotField numFmtId="14" showAll="0"/>
    <pivotField numFmtId="2" showAll="0"/>
    <pivotField showAll="0"/>
    <pivotField showAll="0">
      <items count="4">
        <item x="0"/>
        <item x="1"/>
        <item x="2"/>
        <item t="default"/>
      </items>
    </pivotField>
    <pivotField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F3EA86-3B49-4214-BA1F-8E9FF79148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27">
    <pivotField showAll="0"/>
    <pivotField showAll="0"/>
    <pivotField showAll="0">
      <items count="3">
        <item x="0"/>
        <item x="1"/>
        <item t="default"/>
      </items>
    </pivotField>
    <pivotField numFmtId="2" showAll="0"/>
    <pivotField showAll="0"/>
    <pivotField axis="axisRow"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showAll="0"/>
    <pivotField showAll="0"/>
    <pivotField showAll="0"/>
    <pivotField numFmtId="14" showAll="0"/>
    <pivotField numFmtId="2" showAll="0"/>
    <pivotField showAll="0"/>
    <pivotField showAll="0"/>
    <pivotField numFmtId="2" showAll="0"/>
    <pivotField showAll="0"/>
    <pivotField numFmtId="14" showAll="0"/>
    <pivotField showAll="0"/>
    <pivotField numFmtId="1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EC754B-E808-46E8-A5AF-C1E5A55A29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27:H28" firstHeaderRow="1" firstDataRow="1" firstDataCol="0"/>
  <pivotFields count="27">
    <pivotField showAll="0"/>
    <pivotField showAll="0"/>
    <pivotField showAll="0">
      <items count="3">
        <item x="0"/>
        <item x="1"/>
        <item t="default"/>
      </items>
    </pivotField>
    <pivotField dataField="1" numFmtId="2" showAll="0"/>
    <pivotField showAll="0"/>
    <pivotField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showAll="0"/>
    <pivotField showAll="0"/>
    <pivotField showAll="0">
      <items count="5">
        <item x="2"/>
        <item x="1"/>
        <item x="3"/>
        <item x="0"/>
        <item t="default"/>
      </items>
    </pivotField>
    <pivotField numFmtId="14" showAll="0"/>
    <pivotField numFmtId="2" showAll="0"/>
    <pivotField showAll="0"/>
    <pivotField showAll="0">
      <items count="4">
        <item x="0"/>
        <item x="1"/>
        <item x="2"/>
        <item t="default"/>
      </items>
    </pivotField>
    <pivotField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7FCEDD-07AE-456B-9845-848CC02E839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9:H23" firstHeaderRow="1" firstDataRow="1" firstDataCol="1"/>
  <pivotFields count="27">
    <pivotField showAll="0"/>
    <pivotField showAll="0"/>
    <pivotField showAll="0">
      <items count="3">
        <item x="0"/>
        <item x="1"/>
        <item t="default"/>
      </items>
    </pivotField>
    <pivotField numFmtId="2" showAll="0"/>
    <pivotField showAll="0"/>
    <pivotField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showAll="0"/>
    <pivotField showAll="0"/>
    <pivotField showAll="0">
      <items count="5">
        <item x="2"/>
        <item x="1"/>
        <item x="3"/>
        <item x="0"/>
        <item t="default"/>
      </items>
    </pivotField>
    <pivotField numFmtId="14" showAll="0"/>
    <pivotField numFmtId="2" showAll="0"/>
    <pivotField showAll="0"/>
    <pivotField axis="axisRow" showAll="0">
      <items count="4">
        <item x="0"/>
        <item x="1"/>
        <item x="2"/>
        <item t="default"/>
      </items>
    </pivotField>
    <pivotField dataField="1"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i>
    <i>
      <x v="1"/>
    </i>
    <i>
      <x v="2"/>
    </i>
    <i t="grand">
      <x/>
    </i>
  </rowItems>
  <colItems count="1">
    <i/>
  </colItems>
  <dataFields count="1">
    <dataField name="Sum of Budget" fld="19" baseField="18" baseItem="0" numFmtId="164"/>
  </dataFields>
  <chartFormats count="12">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18" count="1" selected="0">
            <x v="0"/>
          </reference>
        </references>
      </pivotArea>
    </chartFormat>
    <chartFormat chart="20" format="3">
      <pivotArea type="data" outline="0" fieldPosition="0">
        <references count="2">
          <reference field="4294967294" count="1" selected="0">
            <x v="0"/>
          </reference>
          <reference field="18" count="1" selected="0">
            <x v="1"/>
          </reference>
        </references>
      </pivotArea>
    </chartFormat>
    <chartFormat chart="20" format="4">
      <pivotArea type="data" outline="0" fieldPosition="0">
        <references count="2">
          <reference field="4294967294" count="1" selected="0">
            <x v="0"/>
          </reference>
          <reference field="18" count="1" selected="0">
            <x v="2"/>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8" count="1" selected="0">
            <x v="0"/>
          </reference>
        </references>
      </pivotArea>
    </chartFormat>
    <chartFormat chart="21" format="7">
      <pivotArea type="data" outline="0" fieldPosition="0">
        <references count="2">
          <reference field="4294967294" count="1" selected="0">
            <x v="0"/>
          </reference>
          <reference field="18" count="1" selected="0">
            <x v="1"/>
          </reference>
        </references>
      </pivotArea>
    </chartFormat>
    <chartFormat chart="21" format="8">
      <pivotArea type="data" outline="0" fieldPosition="0">
        <references count="2">
          <reference field="4294967294" count="1" selected="0">
            <x v="0"/>
          </reference>
          <reference field="18" count="1" selected="0">
            <x v="2"/>
          </reference>
        </references>
      </pivotArea>
    </chartFormat>
    <chartFormat chart="19" format="1">
      <pivotArea type="data" outline="0" fieldPosition="0">
        <references count="2">
          <reference field="4294967294" count="1" selected="0">
            <x v="0"/>
          </reference>
          <reference field="18" count="1" selected="0">
            <x v="0"/>
          </reference>
        </references>
      </pivotArea>
    </chartFormat>
    <chartFormat chart="19" format="2">
      <pivotArea type="data" outline="0" fieldPosition="0">
        <references count="2">
          <reference field="4294967294" count="1" selected="0">
            <x v="0"/>
          </reference>
          <reference field="18" count="1" selected="0">
            <x v="1"/>
          </reference>
        </references>
      </pivotArea>
    </chartFormat>
    <chartFormat chart="19"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EAE387-F4D0-4643-8C94-49726FB59B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9:K14" firstHeaderRow="1" firstDataRow="1" firstDataCol="1"/>
  <pivotFields count="27">
    <pivotField showAll="0"/>
    <pivotField showAll="0"/>
    <pivotField showAll="0">
      <items count="3">
        <item x="0"/>
        <item x="1"/>
        <item t="default"/>
      </items>
    </pivotField>
    <pivotField numFmtId="2" showAll="0"/>
    <pivotField showAll="0"/>
    <pivotField axis="axisRow"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dataField="1" showAll="0"/>
    <pivotField showAll="0"/>
    <pivotField showAll="0">
      <items count="5">
        <item x="2"/>
        <item x="1"/>
        <item x="3"/>
        <item x="0"/>
        <item t="default"/>
      </items>
    </pivotField>
    <pivotField numFmtId="14" showAll="0"/>
    <pivotField numFmtId="2" showAll="0"/>
    <pivotField showAll="0"/>
    <pivotField showAll="0"/>
    <pivotField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Average of fullfillment  days" fld="12" subtotal="average" baseField="5" baseItem="0"/>
  </dataFields>
  <chartFormats count="2">
    <chartFormat chart="24"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870E30-0B79-4EA2-A961-AD6463410A7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11:H16" firstHeaderRow="1" firstDataRow="1" firstDataCol="1"/>
  <pivotFields count="27">
    <pivotField showAll="0"/>
    <pivotField showAll="0"/>
    <pivotField showAll="0">
      <items count="3">
        <item x="0"/>
        <item x="1"/>
        <item t="default"/>
      </items>
    </pivotField>
    <pivotField numFmtId="2" showAll="0"/>
    <pivotField showAll="0"/>
    <pivotField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showAll="0"/>
    <pivotField showAll="0"/>
    <pivotField axis="axisRow" showAll="0">
      <items count="5">
        <item x="2"/>
        <item x="1"/>
        <item x="3"/>
        <item x="0"/>
        <item t="default"/>
      </items>
    </pivotField>
    <pivotField numFmtId="14" showAll="0"/>
    <pivotField dataField="1" numFmtId="2" showAll="0"/>
    <pivotField showAll="0"/>
    <pivotField showAll="0"/>
    <pivotField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5">
    <i>
      <x/>
    </i>
    <i>
      <x v="1"/>
    </i>
    <i>
      <x v="2"/>
    </i>
    <i>
      <x v="3"/>
    </i>
    <i t="grand">
      <x/>
    </i>
  </rowItems>
  <colItems count="1">
    <i/>
  </colItems>
  <dataFields count="1">
    <dataField name="Sum of Conversion Rate" fld="16" baseField="0" baseItem="0" numFmtId="2"/>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35A259-6001-48F4-852E-99E3D4DCBA2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1:E16" firstHeaderRow="1" firstDataRow="1" firstDataCol="1"/>
  <pivotFields count="27">
    <pivotField showAll="0"/>
    <pivotField showAll="0"/>
    <pivotField showAll="0">
      <items count="3">
        <item x="0"/>
        <item x="1"/>
        <item t="default"/>
      </items>
    </pivotField>
    <pivotField dataField="1" numFmtId="2" showAll="0"/>
    <pivotField showAll="0"/>
    <pivotField showAll="0">
      <items count="5">
        <item x="3"/>
        <item x="1"/>
        <item x="0"/>
        <item x="2"/>
        <item t="default"/>
      </items>
    </pivotField>
    <pivotField numFmtId="14" showAll="0">
      <items count="5">
        <item x="1"/>
        <item x="0"/>
        <item x="3"/>
        <item x="2"/>
        <item t="default"/>
      </items>
    </pivotField>
    <pivotField numFmtId="2" showAll="0"/>
    <pivotField showAll="0">
      <items count="4">
        <item x="2"/>
        <item x="1"/>
        <item x="0"/>
        <item t="default"/>
      </items>
    </pivotField>
    <pivotField showAll="0"/>
    <pivotField showAll="0"/>
    <pivotField numFmtId="14" showAll="0"/>
    <pivotField showAll="0"/>
    <pivotField showAll="0"/>
    <pivotField showAll="0"/>
    <pivotField numFmtId="14" showAll="0"/>
    <pivotField numFmtId="2" showAll="0"/>
    <pivotField showAll="0"/>
    <pivotField showAll="0"/>
    <pivotField numFmtId="2" showAll="0"/>
    <pivotField showAll="0"/>
    <pivotField numFmtId="14" showAll="0"/>
    <pivotField showAll="0"/>
    <pivotField numFmtId="1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6"/>
  </rowFields>
  <rowItems count="5">
    <i>
      <x v="1"/>
    </i>
    <i>
      <x v="2"/>
    </i>
    <i>
      <x v="3"/>
    </i>
    <i>
      <x v="4"/>
    </i>
    <i t="grand">
      <x/>
    </i>
  </rowItems>
  <colItems count="1">
    <i/>
  </colItems>
  <dataFields count="1">
    <dataField name="Sum of Revenue" fld="3" baseField="26" baseItem="1" numFmtId="164"/>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EE9EBB-198D-4041-98EA-9ECDD7378AE7}" sourceName="Region">
  <pivotTables>
    <pivotTable tabId="4" name="PivotTable7"/>
    <pivotTable tabId="4" name="PivotTable8"/>
    <pivotTable tabId="4" name="PivotTable9"/>
    <pivotTable tabId="4" name="PivotTable11"/>
    <pivotTable tabId="4" name="PivotTable12"/>
    <pivotTable tabId="4" name="PivotTable14"/>
    <pivotTable tabId="4" name="PivotTable1"/>
    <pivotTable tabId="4" name="PivotTable5"/>
    <pivotTable tabId="4" name="PivotTable6"/>
  </pivotTables>
  <data>
    <tabular pivotCacheId="118457268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E760C7A-BBF2-47EB-AFAB-790809784B56}" sourceName="Channel">
  <pivotTables>
    <pivotTable tabId="4" name="PivotTable7"/>
    <pivotTable tabId="4" name="PivotTable8"/>
    <pivotTable tabId="4" name="PivotTable9"/>
    <pivotTable tabId="4" name="PivotTable11"/>
    <pivotTable tabId="4" name="PivotTable12"/>
    <pivotTable tabId="4" name="PivotTable14"/>
    <pivotTable tabId="4" name="PivotTable1"/>
    <pivotTable tabId="4" name="PivotTable5"/>
    <pivotTable tabId="4" name="PivotTable6"/>
  </pivotTables>
  <data>
    <tabular pivotCacheId="118457268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A054D74-265D-4F63-8DDC-3BD97465F1BC}" sourceName="Product">
  <pivotTables>
    <pivotTable tabId="4" name="PivotTable7"/>
    <pivotTable tabId="4" name="PivotTable8"/>
    <pivotTable tabId="4" name="PivotTable9"/>
    <pivotTable tabId="4" name="PivotTable11"/>
    <pivotTable tabId="4" name="PivotTable12"/>
    <pivotTable tabId="4" name="PivotTable14"/>
    <pivotTable tabId="4" name="PivotTable1"/>
    <pivotTable tabId="4" name="PivotTable5"/>
    <pivotTable tabId="4" name="PivotTable6"/>
  </pivotTables>
  <data>
    <tabular pivotCacheId="11845726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736875F-DB5A-4DDB-A049-2D2013F774EF}" cache="Slicer_Region" caption="Region" style="SlicerStyleLight6" rowHeight="234950"/>
  <slicer name="Channel 1" xr10:uid="{B406B265-A0F2-4217-A5EA-F539388F30B1}" cache="Slicer_Channel" caption="Channel" style="SlicerStyleLight6" rowHeight="234950"/>
  <slicer name="Product 1" xr10:uid="{C508AD16-5A4B-4EBE-AECB-8E1EFDB1CC57}" cache="Slicer_Product" caption="Product"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10BDB4-C53B-4D98-AB6D-D12CCFD88F34}" cache="Slicer_Region" caption="Region" style="SlicerStyleLight6" rowHeight="234950"/>
  <slicer name="Channel" xr10:uid="{4229FD08-74E4-4592-9411-357FB192648B}" cache="Slicer_Channel" caption="Channel" style="SlicerStyleLight6" rowHeight="234950"/>
  <slicer name="Product" xr10:uid="{AABC1241-B6D0-4E9E-927B-B4B2FFEDA484}" cache="Slicer_Product" caption="Produc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8B740-B97C-48D3-AB1D-9B58170BDB70}" name="Table62" displayName="Table62" ref="A1:Q1501" totalsRowShown="0" headerRowDxfId="35" headerRowBorderDxfId="34" tableBorderDxfId="33" totalsRowBorderDxfId="32">
  <autoFilter ref="A1:Q1501" xr:uid="{2F08B740-B97C-48D3-AB1D-9B58170BDB70}"/>
  <tableColumns count="17">
    <tableColumn id="1" xr3:uid="{D18DDCB7-C033-42EC-B4D8-913BE20B9574}" name="Order ID" dataDxfId="31"/>
    <tableColumn id="2" xr3:uid="{857BE384-837E-44CC-926D-62A081C779A1}" name="Customer ID" dataDxfId="30"/>
    <tableColumn id="3" xr3:uid="{8A81955C-7F5F-4C18-A00A-71BD6A6E7A60}" name="Product" dataDxfId="29"/>
    <tableColumn id="4" xr3:uid="{215F18D9-C5E6-4B7D-BF73-160EE261F38D}" name="Revenue" dataDxfId="28"/>
    <tableColumn id="5" xr3:uid="{ADC37427-84CB-40CB-B92A-29DAFF1967E3}" name="Units Sold" dataDxfId="27"/>
    <tableColumn id="6" xr3:uid="{18E86576-EBF3-4466-9811-75F2F3462ACC}" name="Region" dataDxfId="26"/>
    <tableColumn id="7" xr3:uid="{A71E597D-1519-4863-99D0-9704DE36CFE8}" name="Order date" dataDxfId="25"/>
    <tableColumn id="8" xr3:uid="{AC226B8B-566A-470A-8066-3A079913B469}" name="Amount" dataDxfId="24"/>
    <tableColumn id="9" xr3:uid="{A2691B5B-9451-45BF-BE0F-F354047C275D}" name="Channel" dataDxfId="23"/>
    <tableColumn id="10" xr3:uid="{F7350289-A497-47EB-A373-FF1C59C2ADB9}" name="Warehouse ID" dataDxfId="22"/>
    <tableColumn id="11" xr3:uid="{1EE97458-6BAF-4367-8324-07B04764950C}" name="Inventory Level" dataDxfId="21"/>
    <tableColumn id="12" xr3:uid="{FFC5511C-FFE7-4FE2-AB96-36C4D2332391}" name="shipment date " dataDxfId="20"/>
    <tableColumn id="13" xr3:uid="{F293C632-B0B0-4AD8-B818-F8611A5FE74A}" name="fullfillment  days" dataDxfId="19"/>
    <tableColumn id="14" xr3:uid="{1067A6AA-5BD9-491E-94F6-4F52DCFE288C}" name="Lead ID" dataDxfId="18"/>
    <tableColumn id="15" xr3:uid="{790CFB3C-2F6F-4C82-8AE9-7C611419ACEA}" name="Lead Status" dataDxfId="17"/>
    <tableColumn id="16" xr3:uid="{4D2D223D-608B-41FD-9223-942A33893C94}" name="last contact date " dataDxfId="16"/>
    <tableColumn id="17" xr3:uid="{B206F965-6C15-4CA9-B4E5-79D6D6657B3C}" name="Conversion Rate" dataDxfId="1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F2B47F-4CB3-4C6F-A6C7-FE82353C78EB}" name="Table84" displayName="Table84" ref="R1:Z1501" totalsRowShown="0" headerRowDxfId="14" dataDxfId="13" tableBorderDxfId="12">
  <autoFilter ref="R1:Z1501" xr:uid="{8EF2B47F-4CB3-4C6F-A6C7-FE82353C78EB}"/>
  <tableColumns count="9">
    <tableColumn id="1" xr3:uid="{3EA0DB86-2A6D-4FCE-8D0A-F2CF1D02FEB3}" name="Invoice " dataDxfId="11"/>
    <tableColumn id="3" xr3:uid="{037DAA54-E868-4A48-B4BE-9BD946697245}" name="Category" dataDxfId="10"/>
    <tableColumn id="5" xr3:uid="{44990107-BAC3-474E-811F-FAF2B7C47E21}" name="Budget" dataDxfId="9"/>
    <tableColumn id="6" xr3:uid="{7227914D-FB29-4D9E-B567-F76D75372B3B}" name="Status" dataDxfId="8"/>
    <tableColumn id="7" xr3:uid="{57DCCC56-B795-4004-B768-8E9CE53ACE60}" name="due date" dataDxfId="7"/>
    <tableColumn id="8" xr3:uid="{1F488DFF-B12B-42CF-83BE-F91E4881DA7F}" name="Expense Type" dataDxfId="6"/>
    <tableColumn id="9" xr3:uid="{55FC7BFD-56B0-4066-A4B2-F039614506F5}" name="last payment date" dataDxfId="5"/>
    <tableColumn id="10" xr3:uid="{EA791970-BF62-4A8E-AAC1-7EF83370EC72}" name="Reminder Sent" dataDxfId="4"/>
    <tableColumn id="2" xr3:uid="{8542C446-D1B3-40C0-A4D7-F5CD7F45910F}" name="Feb-2024" dataDxfId="3">
      <calculatedColumnFormula>TEXT([1]!Table64[[#This Row],[Order date]],"mmm-yyyy")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F6D68-10F9-46AF-A532-31156C4AB9E7}">
  <dimension ref="H1"/>
  <sheetViews>
    <sheetView tabSelected="1" zoomScale="76" zoomScaleNormal="74" workbookViewId="0">
      <selection activeCell="U28" sqref="U28"/>
    </sheetView>
  </sheetViews>
  <sheetFormatPr defaultRowHeight="14.4" x14ac:dyDescent="0.3"/>
  <cols>
    <col min="8" max="8" width="61.33203125" customWidth="1"/>
  </cols>
  <sheetData>
    <row r="1" spans="8:8" ht="31.2" x14ac:dyDescent="0.6">
      <c r="H1"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8C8DE-D28E-4748-973D-D982E12A659E}">
  <dimension ref="A3:K35"/>
  <sheetViews>
    <sheetView topLeftCell="A16" workbookViewId="0">
      <selection activeCell="H35" sqref="H35"/>
    </sheetView>
  </sheetViews>
  <sheetFormatPr defaultRowHeight="14.4" x14ac:dyDescent="0.3"/>
  <cols>
    <col min="1" max="1" width="12.5546875" bestFit="1" customWidth="1"/>
    <col min="2" max="2" width="14.88671875" bestFit="1" customWidth="1"/>
    <col min="4" max="4" width="12.5546875" bestFit="1" customWidth="1"/>
    <col min="5" max="5" width="14.88671875" customWidth="1"/>
    <col min="7" max="7" width="24.77734375" bestFit="1" customWidth="1"/>
    <col min="8" max="8" width="14.88671875" bestFit="1" customWidth="1"/>
    <col min="9" max="9" width="15.88671875" bestFit="1" customWidth="1"/>
    <col min="10" max="10" width="12.5546875" bestFit="1" customWidth="1"/>
    <col min="11" max="11" width="24.77734375" bestFit="1" customWidth="1"/>
  </cols>
  <sheetData>
    <row r="3" spans="1:11" x14ac:dyDescent="0.3">
      <c r="A3" s="38" t="s">
        <v>51</v>
      </c>
    </row>
    <row r="4" spans="1:11" x14ac:dyDescent="0.3">
      <c r="A4" s="39" t="s">
        <v>46</v>
      </c>
    </row>
    <row r="5" spans="1:11" x14ac:dyDescent="0.3">
      <c r="A5" s="39" t="s">
        <v>35</v>
      </c>
    </row>
    <row r="6" spans="1:11" x14ac:dyDescent="0.3">
      <c r="A6" s="39" t="s">
        <v>26</v>
      </c>
    </row>
    <row r="7" spans="1:11" x14ac:dyDescent="0.3">
      <c r="A7" s="39" t="s">
        <v>43</v>
      </c>
    </row>
    <row r="8" spans="1:11" x14ac:dyDescent="0.3">
      <c r="A8" s="39" t="s">
        <v>52</v>
      </c>
    </row>
    <row r="9" spans="1:11" x14ac:dyDescent="0.3">
      <c r="J9" s="38" t="s">
        <v>51</v>
      </c>
      <c r="K9" t="s">
        <v>59</v>
      </c>
    </row>
    <row r="10" spans="1:11" x14ac:dyDescent="0.3">
      <c r="J10" s="39" t="s">
        <v>46</v>
      </c>
      <c r="K10" s="50">
        <v>8.0362694300518136</v>
      </c>
    </row>
    <row r="11" spans="1:11" x14ac:dyDescent="0.3">
      <c r="A11" s="38" t="s">
        <v>51</v>
      </c>
      <c r="B11" t="s">
        <v>53</v>
      </c>
      <c r="D11" s="38" t="s">
        <v>51</v>
      </c>
      <c r="E11" t="s">
        <v>53</v>
      </c>
      <c r="G11" s="38" t="s">
        <v>51</v>
      </c>
      <c r="H11" t="s">
        <v>58</v>
      </c>
      <c r="J11" s="39" t="s">
        <v>35</v>
      </c>
      <c r="K11" s="50">
        <v>7.3111702127659575</v>
      </c>
    </row>
    <row r="12" spans="1:11" x14ac:dyDescent="0.3">
      <c r="A12" s="39" t="s">
        <v>46</v>
      </c>
      <c r="B12" s="41">
        <v>19165753.690000001</v>
      </c>
      <c r="D12" s="39" t="s">
        <v>54</v>
      </c>
      <c r="E12" s="41">
        <v>17845423.089999996</v>
      </c>
      <c r="G12" s="39" t="s">
        <v>40</v>
      </c>
      <c r="H12" s="40">
        <v>206.96168999999986</v>
      </c>
      <c r="J12" s="39" t="s">
        <v>26</v>
      </c>
      <c r="K12" s="50">
        <v>7.6748633879781423</v>
      </c>
    </row>
    <row r="13" spans="1:11" x14ac:dyDescent="0.3">
      <c r="A13" s="39" t="s">
        <v>35</v>
      </c>
      <c r="B13" s="41">
        <v>19655282.369999986</v>
      </c>
      <c r="D13" s="39" t="s">
        <v>55</v>
      </c>
      <c r="E13" s="41">
        <v>19136543.080000002</v>
      </c>
      <c r="G13" s="39" t="s">
        <v>37</v>
      </c>
      <c r="H13" s="40">
        <v>213.92903000000007</v>
      </c>
      <c r="J13" s="39" t="s">
        <v>43</v>
      </c>
      <c r="K13" s="50">
        <v>7.85752688172043</v>
      </c>
    </row>
    <row r="14" spans="1:11" x14ac:dyDescent="0.3">
      <c r="A14" s="39" t="s">
        <v>26</v>
      </c>
      <c r="B14" s="41">
        <v>19250953.739999987</v>
      </c>
      <c r="D14" s="39" t="s">
        <v>56</v>
      </c>
      <c r="E14" s="41">
        <v>20645515.499999996</v>
      </c>
      <c r="G14" s="39" t="s">
        <v>50</v>
      </c>
      <c r="H14" s="40">
        <v>203.36564000000001</v>
      </c>
      <c r="J14" s="39" t="s">
        <v>52</v>
      </c>
      <c r="K14" s="50">
        <v>7.7220000000000004</v>
      </c>
    </row>
    <row r="15" spans="1:11" x14ac:dyDescent="0.3">
      <c r="A15" s="39" t="s">
        <v>43</v>
      </c>
      <c r="B15" s="41">
        <v>19505544.390000012</v>
      </c>
      <c r="D15" s="39" t="s">
        <v>57</v>
      </c>
      <c r="E15" s="41">
        <v>19950052.519999988</v>
      </c>
      <c r="G15" s="39" t="s">
        <v>29</v>
      </c>
      <c r="H15" s="40">
        <v>204.46433999999994</v>
      </c>
    </row>
    <row r="16" spans="1:11" x14ac:dyDescent="0.3">
      <c r="A16" s="39" t="s">
        <v>52</v>
      </c>
      <c r="B16" s="41">
        <v>77577534.189999983</v>
      </c>
      <c r="D16" s="39" t="s">
        <v>52</v>
      </c>
      <c r="E16" s="41">
        <v>77577534.189999998</v>
      </c>
      <c r="G16" s="39" t="s">
        <v>52</v>
      </c>
      <c r="H16" s="40">
        <v>828.72069999999985</v>
      </c>
    </row>
    <row r="19" spans="7:9" x14ac:dyDescent="0.3">
      <c r="G19" s="38" t="s">
        <v>51</v>
      </c>
      <c r="H19" t="s">
        <v>61</v>
      </c>
    </row>
    <row r="20" spans="7:9" x14ac:dyDescent="0.3">
      <c r="G20" s="39" t="s">
        <v>30</v>
      </c>
      <c r="H20" s="41">
        <v>49644313.922799975</v>
      </c>
    </row>
    <row r="21" spans="7:9" x14ac:dyDescent="0.3">
      <c r="G21" s="39" t="s">
        <v>41</v>
      </c>
      <c r="H21" s="41">
        <v>99481740.320659995</v>
      </c>
    </row>
    <row r="22" spans="7:9" x14ac:dyDescent="0.3">
      <c r="G22" s="39" t="s">
        <v>45</v>
      </c>
      <c r="H22" s="41">
        <v>48725578.47200001</v>
      </c>
    </row>
    <row r="23" spans="7:9" x14ac:dyDescent="0.3">
      <c r="G23" s="39" t="s">
        <v>52</v>
      </c>
      <c r="H23" s="41">
        <v>197851632.71545997</v>
      </c>
    </row>
    <row r="27" spans="7:9" x14ac:dyDescent="0.3">
      <c r="H27" t="s">
        <v>53</v>
      </c>
      <c r="I27" t="s">
        <v>62</v>
      </c>
    </row>
    <row r="28" spans="7:9" x14ac:dyDescent="0.3">
      <c r="H28" s="47">
        <v>77577534.189999923</v>
      </c>
      <c r="I28" s="50">
        <v>1500</v>
      </c>
    </row>
    <row r="33" spans="7:8" x14ac:dyDescent="0.3">
      <c r="G33" t="s">
        <v>59</v>
      </c>
      <c r="H33" s="49">
        <f>GETPIVOTDATA("Revenue",$H$27)</f>
        <v>77577534.189999923</v>
      </c>
    </row>
    <row r="34" spans="7:8" x14ac:dyDescent="0.3">
      <c r="G34" s="50">
        <v>7.7220000000000004</v>
      </c>
      <c r="H34">
        <f>GETPIVOTDATA("Order ID",$I$27)</f>
        <v>1500</v>
      </c>
    </row>
    <row r="35" spans="7:8" x14ac:dyDescent="0.3">
      <c r="H35" s="48">
        <f>GETPIVOTDATA("fullfillment  days",$G$33)</f>
        <v>7.7220000000000004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01"/>
  <sheetViews>
    <sheetView topLeftCell="N1444" workbookViewId="0">
      <selection activeCell="AA1488" sqref="AA1488"/>
    </sheetView>
  </sheetViews>
  <sheetFormatPr defaultRowHeight="14.4" x14ac:dyDescent="0.3"/>
  <cols>
    <col min="1" max="1" width="12.44140625" bestFit="1" customWidth="1"/>
    <col min="2" max="2" width="15.77734375" bestFit="1" customWidth="1"/>
    <col min="3" max="3" width="12.109375" bestFit="1" customWidth="1"/>
    <col min="4" max="4" width="12.77734375" bestFit="1" customWidth="1"/>
    <col min="5" max="5" width="13.88671875" bestFit="1" customWidth="1"/>
    <col min="6" max="6" width="11.21875" bestFit="1" customWidth="1"/>
    <col min="7" max="7" width="14.44140625" bestFit="1" customWidth="1"/>
    <col min="8" max="8" width="17.21875" customWidth="1"/>
    <col min="9" max="9" width="12.33203125" bestFit="1" customWidth="1"/>
    <col min="10" max="10" width="17.21875" bestFit="1" customWidth="1"/>
    <col min="11" max="11" width="18.5546875" bestFit="1" customWidth="1"/>
    <col min="12" max="12" width="18.109375" bestFit="1" customWidth="1"/>
    <col min="13" max="13" width="19.44140625" bestFit="1" customWidth="1"/>
    <col min="14" max="14" width="11.6640625" bestFit="1" customWidth="1"/>
    <col min="15" max="15" width="15.109375" bestFit="1" customWidth="1"/>
    <col min="16" max="16" width="19.88671875" bestFit="1" customWidth="1"/>
    <col min="17" max="17" width="19.21875" bestFit="1" customWidth="1"/>
    <col min="18" max="18" width="12" bestFit="1" customWidth="1"/>
    <col min="19" max="19" width="13" bestFit="1" customWidth="1"/>
    <col min="20" max="20" width="11.44140625" bestFit="1" customWidth="1"/>
    <col min="21" max="21" width="10.6640625" bestFit="1" customWidth="1"/>
    <col min="22" max="22" width="12.88671875" bestFit="1" customWidth="1"/>
    <col min="23" max="23" width="16.88671875" bestFit="1" customWidth="1"/>
    <col min="24" max="24" width="20.6640625" bestFit="1" customWidth="1"/>
    <col min="25" max="25" width="17.88671875" bestFit="1" customWidth="1"/>
  </cols>
  <sheetData>
    <row r="1" spans="1:26" x14ac:dyDescent="0.3">
      <c r="A1" s="1" t="s">
        <v>0</v>
      </c>
      <c r="B1" s="2" t="s">
        <v>1</v>
      </c>
      <c r="C1" s="2" t="s">
        <v>2</v>
      </c>
      <c r="D1" s="3" t="s">
        <v>3</v>
      </c>
      <c r="E1" s="2" t="s">
        <v>4</v>
      </c>
      <c r="F1" s="2" t="s">
        <v>5</v>
      </c>
      <c r="G1" s="4" t="s">
        <v>6</v>
      </c>
      <c r="H1" s="3" t="s">
        <v>7</v>
      </c>
      <c r="I1" s="5" t="s">
        <v>8</v>
      </c>
      <c r="J1" s="2" t="s">
        <v>9</v>
      </c>
      <c r="K1" s="2" t="s">
        <v>10</v>
      </c>
      <c r="L1" s="4" t="s">
        <v>11</v>
      </c>
      <c r="M1" s="2" t="s">
        <v>12</v>
      </c>
      <c r="N1" s="2" t="s">
        <v>13</v>
      </c>
      <c r="O1" s="2" t="s">
        <v>14</v>
      </c>
      <c r="P1" s="4" t="s">
        <v>15</v>
      </c>
      <c r="Q1" s="3" t="s">
        <v>16</v>
      </c>
      <c r="R1" s="6" t="s">
        <v>17</v>
      </c>
      <c r="S1" s="7" t="s">
        <v>18</v>
      </c>
      <c r="T1" s="8" t="s">
        <v>19</v>
      </c>
      <c r="U1" s="7" t="s">
        <v>20</v>
      </c>
      <c r="V1" s="9" t="s">
        <v>21</v>
      </c>
      <c r="W1" s="7" t="s">
        <v>22</v>
      </c>
      <c r="X1" s="9" t="s">
        <v>23</v>
      </c>
      <c r="Y1" s="7" t="s">
        <v>24</v>
      </c>
      <c r="Z1" s="45" t="s">
        <v>60</v>
      </c>
    </row>
    <row r="2" spans="1:26" x14ac:dyDescent="0.3">
      <c r="A2" s="10">
        <v>10001</v>
      </c>
      <c r="B2" s="11">
        <v>6127</v>
      </c>
      <c r="C2" s="11" t="s">
        <v>25</v>
      </c>
      <c r="D2" s="12">
        <v>39246.449999999997</v>
      </c>
      <c r="E2" s="11">
        <v>92</v>
      </c>
      <c r="F2" s="11" t="s">
        <v>26</v>
      </c>
      <c r="G2" s="13">
        <v>45337</v>
      </c>
      <c r="H2" s="12">
        <v>95016.07</v>
      </c>
      <c r="I2" s="14" t="s">
        <v>27</v>
      </c>
      <c r="J2" s="15" t="s">
        <v>28</v>
      </c>
      <c r="K2" s="15">
        <v>1151</v>
      </c>
      <c r="L2" s="16">
        <v>45397</v>
      </c>
      <c r="M2" s="17">
        <v>1</v>
      </c>
      <c r="N2" s="18">
        <v>90001</v>
      </c>
      <c r="O2" s="18" t="s">
        <v>29</v>
      </c>
      <c r="P2" s="19">
        <v>45352</v>
      </c>
      <c r="Q2" s="20">
        <v>0.58543999999999996</v>
      </c>
      <c r="R2" s="21">
        <v>70001</v>
      </c>
      <c r="S2" s="18" t="s">
        <v>30</v>
      </c>
      <c r="T2" s="20">
        <v>77126.347399999999</v>
      </c>
      <c r="U2" s="18" t="s">
        <v>31</v>
      </c>
      <c r="V2" s="19">
        <v>45392</v>
      </c>
      <c r="W2" s="18" t="s">
        <v>32</v>
      </c>
      <c r="X2" s="19">
        <v>45376</v>
      </c>
      <c r="Y2" s="18" t="s">
        <v>33</v>
      </c>
      <c r="Z2" s="44" t="e">
        <f>TEXT([1]!Table64[[#This Row],[Order date]],"mmm-yyyy")</f>
        <v>#REF!</v>
      </c>
    </row>
    <row r="3" spans="1:26" x14ac:dyDescent="0.3">
      <c r="A3" s="22">
        <v>10002</v>
      </c>
      <c r="B3" s="23">
        <v>6460</v>
      </c>
      <c r="C3" s="23" t="s">
        <v>34</v>
      </c>
      <c r="D3" s="24">
        <v>22105.81</v>
      </c>
      <c r="E3" s="23">
        <v>47</v>
      </c>
      <c r="F3" s="23" t="s">
        <v>35</v>
      </c>
      <c r="G3" s="25">
        <v>45306</v>
      </c>
      <c r="H3" s="24">
        <v>114872.33</v>
      </c>
      <c r="I3" s="26" t="s">
        <v>27</v>
      </c>
      <c r="J3" s="15" t="s">
        <v>36</v>
      </c>
      <c r="K3" s="15">
        <v>1001</v>
      </c>
      <c r="L3" s="16">
        <v>45332</v>
      </c>
      <c r="M3" s="17">
        <v>8</v>
      </c>
      <c r="N3" s="27">
        <v>90002</v>
      </c>
      <c r="O3" s="27" t="s">
        <v>37</v>
      </c>
      <c r="P3" s="28">
        <v>45352</v>
      </c>
      <c r="Q3" s="29">
        <v>0.79893000000000003</v>
      </c>
      <c r="R3" s="30">
        <v>70002</v>
      </c>
      <c r="S3" s="27" t="s">
        <v>30</v>
      </c>
      <c r="T3" s="29">
        <v>206875.95970000001</v>
      </c>
      <c r="U3" s="27" t="s">
        <v>31</v>
      </c>
      <c r="V3" s="28">
        <v>45422</v>
      </c>
      <c r="W3" s="27" t="s">
        <v>38</v>
      </c>
      <c r="X3" s="28">
        <v>45376</v>
      </c>
      <c r="Y3" s="27" t="s">
        <v>39</v>
      </c>
      <c r="Z3" s="43" t="e">
        <f>TEXT([1]!Table64[[#This Row],[Order date]],"mmm-yyyy")</f>
        <v>#REF!</v>
      </c>
    </row>
    <row r="4" spans="1:26" x14ac:dyDescent="0.3">
      <c r="A4" s="10">
        <v>10003</v>
      </c>
      <c r="B4" s="11">
        <v>5861</v>
      </c>
      <c r="C4" s="11" t="s">
        <v>34</v>
      </c>
      <c r="D4" s="12">
        <v>81104.320000000007</v>
      </c>
      <c r="E4" s="11">
        <v>75</v>
      </c>
      <c r="F4" s="11" t="s">
        <v>26</v>
      </c>
      <c r="G4" s="13">
        <v>45306</v>
      </c>
      <c r="H4" s="12">
        <v>80401.61</v>
      </c>
      <c r="I4" s="14" t="s">
        <v>27</v>
      </c>
      <c r="J4" s="15" t="s">
        <v>28</v>
      </c>
      <c r="K4" s="15">
        <v>1485</v>
      </c>
      <c r="L4" s="16">
        <v>45332</v>
      </c>
      <c r="M4" s="17">
        <v>1</v>
      </c>
      <c r="N4" s="18">
        <v>90003</v>
      </c>
      <c r="O4" s="18" t="s">
        <v>40</v>
      </c>
      <c r="P4" s="19">
        <v>45352</v>
      </c>
      <c r="Q4" s="20">
        <v>0.38912000000000002</v>
      </c>
      <c r="R4" s="21">
        <v>70003</v>
      </c>
      <c r="S4" s="18" t="s">
        <v>41</v>
      </c>
      <c r="T4" s="20">
        <v>193577.06091999999</v>
      </c>
      <c r="U4" s="18" t="s">
        <v>42</v>
      </c>
      <c r="V4" s="19">
        <v>45444</v>
      </c>
      <c r="W4" s="18" t="s">
        <v>32</v>
      </c>
      <c r="X4" s="19">
        <v>45376</v>
      </c>
      <c r="Y4" s="18" t="s">
        <v>33</v>
      </c>
      <c r="Z4" s="43" t="e">
        <f>TEXT([1]!Table64[[#This Row],[Order date]],"mmm-yyyy")</f>
        <v>#REF!</v>
      </c>
    </row>
    <row r="5" spans="1:26" x14ac:dyDescent="0.3">
      <c r="A5" s="22">
        <v>10004</v>
      </c>
      <c r="B5" s="23">
        <v>6295</v>
      </c>
      <c r="C5" s="23" t="s">
        <v>34</v>
      </c>
      <c r="D5" s="24">
        <v>59685.58</v>
      </c>
      <c r="E5" s="23">
        <v>57</v>
      </c>
      <c r="F5" s="23" t="s">
        <v>43</v>
      </c>
      <c r="G5" s="25">
        <v>45383</v>
      </c>
      <c r="H5" s="24">
        <v>15760.58</v>
      </c>
      <c r="I5" s="26" t="s">
        <v>44</v>
      </c>
      <c r="J5" s="15" t="s">
        <v>28</v>
      </c>
      <c r="K5" s="15">
        <v>124</v>
      </c>
      <c r="L5" s="16">
        <v>45397</v>
      </c>
      <c r="M5" s="17">
        <v>3</v>
      </c>
      <c r="N5" s="27">
        <v>90004</v>
      </c>
      <c r="O5" s="27" t="s">
        <v>37</v>
      </c>
      <c r="P5" s="28">
        <v>45383</v>
      </c>
      <c r="Q5" s="29">
        <v>0.42074</v>
      </c>
      <c r="R5" s="30">
        <v>70004</v>
      </c>
      <c r="S5" s="27" t="s">
        <v>45</v>
      </c>
      <c r="T5" s="29">
        <v>133096.52494999999</v>
      </c>
      <c r="U5" s="27" t="s">
        <v>42</v>
      </c>
      <c r="V5" s="28">
        <v>45444</v>
      </c>
      <c r="W5" s="27" t="s">
        <v>38</v>
      </c>
      <c r="X5" s="28">
        <v>45376</v>
      </c>
      <c r="Y5" s="27" t="s">
        <v>33</v>
      </c>
      <c r="Z5" s="43" t="e">
        <f>TEXT([1]!Table64[[#This Row],[Order date]],"mmm-yyyy")</f>
        <v>#REF!</v>
      </c>
    </row>
    <row r="6" spans="1:26" x14ac:dyDescent="0.3">
      <c r="A6" s="10">
        <v>10005</v>
      </c>
      <c r="B6" s="11">
        <v>6131</v>
      </c>
      <c r="C6" s="11" t="s">
        <v>25</v>
      </c>
      <c r="D6" s="12">
        <v>21926.83</v>
      </c>
      <c r="E6" s="11">
        <v>45</v>
      </c>
      <c r="F6" s="11" t="s">
        <v>46</v>
      </c>
      <c r="G6" s="13">
        <v>45383</v>
      </c>
      <c r="H6" s="12">
        <v>143181.41</v>
      </c>
      <c r="I6" s="14" t="s">
        <v>47</v>
      </c>
      <c r="J6" s="15" t="s">
        <v>28</v>
      </c>
      <c r="K6" s="15">
        <v>344</v>
      </c>
      <c r="L6" s="16">
        <v>45397</v>
      </c>
      <c r="M6" s="17">
        <v>11</v>
      </c>
      <c r="N6" s="18">
        <v>90005</v>
      </c>
      <c r="O6" s="18" t="s">
        <v>29</v>
      </c>
      <c r="P6" s="19">
        <v>45352</v>
      </c>
      <c r="Q6" s="20">
        <v>0.33054</v>
      </c>
      <c r="R6" s="21">
        <v>70005</v>
      </c>
      <c r="S6" s="18" t="s">
        <v>41</v>
      </c>
      <c r="T6" s="20">
        <v>91312.179810000001</v>
      </c>
      <c r="U6" s="18" t="s">
        <v>48</v>
      </c>
      <c r="V6" s="19">
        <v>45392</v>
      </c>
      <c r="W6" s="18" t="s">
        <v>38</v>
      </c>
      <c r="X6" s="19">
        <v>45376</v>
      </c>
      <c r="Y6" s="18" t="s">
        <v>39</v>
      </c>
      <c r="Z6" s="43" t="e">
        <f>TEXT([1]!Table64[[#This Row],[Order date]],"mmm-yyyy")</f>
        <v>#REF!</v>
      </c>
    </row>
    <row r="7" spans="1:26" x14ac:dyDescent="0.3">
      <c r="A7" s="22">
        <v>10006</v>
      </c>
      <c r="B7" s="23">
        <v>6096</v>
      </c>
      <c r="C7" s="23" t="s">
        <v>34</v>
      </c>
      <c r="D7" s="24">
        <v>11946.78</v>
      </c>
      <c r="E7" s="23">
        <v>33</v>
      </c>
      <c r="F7" s="23" t="s">
        <v>46</v>
      </c>
      <c r="G7" s="25">
        <v>45361</v>
      </c>
      <c r="H7" s="24">
        <v>30556.959999999999</v>
      </c>
      <c r="I7" s="26" t="s">
        <v>44</v>
      </c>
      <c r="J7" s="15" t="s">
        <v>28</v>
      </c>
      <c r="K7" s="15">
        <v>70</v>
      </c>
      <c r="L7" s="16">
        <v>45361</v>
      </c>
      <c r="M7" s="17">
        <v>5</v>
      </c>
      <c r="N7" s="27">
        <v>90006</v>
      </c>
      <c r="O7" s="27" t="s">
        <v>40</v>
      </c>
      <c r="P7" s="28">
        <v>45352</v>
      </c>
      <c r="Q7" s="29">
        <v>0.32915</v>
      </c>
      <c r="R7" s="30">
        <v>70006</v>
      </c>
      <c r="S7" s="27" t="s">
        <v>41</v>
      </c>
      <c r="T7" s="29">
        <v>166709.34914999999</v>
      </c>
      <c r="U7" s="27" t="s">
        <v>31</v>
      </c>
      <c r="V7" s="28">
        <v>45422</v>
      </c>
      <c r="W7" s="27" t="s">
        <v>38</v>
      </c>
      <c r="X7" s="28">
        <v>45384</v>
      </c>
      <c r="Y7" s="27" t="s">
        <v>33</v>
      </c>
      <c r="Z7" s="43" t="e">
        <f>TEXT([1]!Table64[[#This Row],[Order date]],"mmm-yyyy")</f>
        <v>#REF!</v>
      </c>
    </row>
    <row r="8" spans="1:26" x14ac:dyDescent="0.3">
      <c r="A8" s="10">
        <v>10007</v>
      </c>
      <c r="B8" s="11">
        <v>6725</v>
      </c>
      <c r="C8" s="11" t="s">
        <v>25</v>
      </c>
      <c r="D8" s="12">
        <v>73360.479999999996</v>
      </c>
      <c r="E8" s="11">
        <v>17</v>
      </c>
      <c r="F8" s="11" t="s">
        <v>26</v>
      </c>
      <c r="G8" s="13">
        <v>45337</v>
      </c>
      <c r="H8" s="12">
        <v>124878.67</v>
      </c>
      <c r="I8" s="14" t="s">
        <v>44</v>
      </c>
      <c r="J8" s="15" t="s">
        <v>36</v>
      </c>
      <c r="K8" s="15">
        <v>1244</v>
      </c>
      <c r="L8" s="16">
        <v>45361</v>
      </c>
      <c r="M8" s="17">
        <v>8</v>
      </c>
      <c r="N8" s="18">
        <v>90007</v>
      </c>
      <c r="O8" s="18" t="s">
        <v>40</v>
      </c>
      <c r="P8" s="19">
        <v>45383</v>
      </c>
      <c r="Q8" s="20">
        <v>0.95398000000000005</v>
      </c>
      <c r="R8" s="21">
        <v>70007</v>
      </c>
      <c r="S8" s="18" t="s">
        <v>41</v>
      </c>
      <c r="T8" s="20">
        <v>154261.25049999999</v>
      </c>
      <c r="U8" s="18" t="s">
        <v>31</v>
      </c>
      <c r="V8" s="19">
        <v>45392</v>
      </c>
      <c r="W8" s="18" t="s">
        <v>32</v>
      </c>
      <c r="X8" s="19">
        <v>45376</v>
      </c>
      <c r="Y8" s="18" t="s">
        <v>39</v>
      </c>
      <c r="Z8" s="43" t="e">
        <f>TEXT([1]!Table64[[#This Row],[Order date]],"mmm-yyyy")</f>
        <v>#REF!</v>
      </c>
    </row>
    <row r="9" spans="1:26" x14ac:dyDescent="0.3">
      <c r="A9" s="22">
        <v>10008</v>
      </c>
      <c r="B9" s="23">
        <v>6045</v>
      </c>
      <c r="C9" s="23" t="s">
        <v>34</v>
      </c>
      <c r="D9" s="24">
        <v>75710.929999999993</v>
      </c>
      <c r="E9" s="23">
        <v>70</v>
      </c>
      <c r="F9" s="23" t="s">
        <v>43</v>
      </c>
      <c r="G9" s="25">
        <v>45383</v>
      </c>
      <c r="H9" s="24">
        <v>59363</v>
      </c>
      <c r="I9" s="26" t="s">
        <v>44</v>
      </c>
      <c r="J9" s="15" t="s">
        <v>36</v>
      </c>
      <c r="K9" s="15">
        <v>1088</v>
      </c>
      <c r="L9" s="16">
        <v>45397</v>
      </c>
      <c r="M9" s="17">
        <v>9</v>
      </c>
      <c r="N9" s="27">
        <v>90008</v>
      </c>
      <c r="O9" s="27" t="s">
        <v>40</v>
      </c>
      <c r="P9" s="28">
        <v>45383</v>
      </c>
      <c r="Q9" s="29">
        <v>0.67191000000000001</v>
      </c>
      <c r="R9" s="30">
        <v>70008</v>
      </c>
      <c r="S9" s="27" t="s">
        <v>41</v>
      </c>
      <c r="T9" s="29">
        <v>131087.2617</v>
      </c>
      <c r="U9" s="27" t="s">
        <v>42</v>
      </c>
      <c r="V9" s="28">
        <v>45444</v>
      </c>
      <c r="W9" s="27" t="s">
        <v>32</v>
      </c>
      <c r="X9" s="28">
        <v>45376</v>
      </c>
      <c r="Y9" s="27" t="s">
        <v>33</v>
      </c>
      <c r="Z9" s="43" t="e">
        <f>TEXT([1]!Table64[[#This Row],[Order date]],"mmm-yyyy")</f>
        <v>#REF!</v>
      </c>
    </row>
    <row r="10" spans="1:26" x14ac:dyDescent="0.3">
      <c r="A10" s="10">
        <v>10009</v>
      </c>
      <c r="B10" s="11">
        <v>6639</v>
      </c>
      <c r="C10" s="11" t="s">
        <v>25</v>
      </c>
      <c r="D10" s="12">
        <v>34793.94</v>
      </c>
      <c r="E10" s="11">
        <v>4</v>
      </c>
      <c r="F10" s="11" t="s">
        <v>46</v>
      </c>
      <c r="G10" s="13">
        <v>45306</v>
      </c>
      <c r="H10" s="12">
        <v>103657.56</v>
      </c>
      <c r="I10" s="14" t="s">
        <v>44</v>
      </c>
      <c r="J10" s="15" t="s">
        <v>49</v>
      </c>
      <c r="K10" s="15">
        <v>1284</v>
      </c>
      <c r="L10" s="16">
        <v>45397</v>
      </c>
      <c r="M10" s="17">
        <v>7</v>
      </c>
      <c r="N10" s="18">
        <v>90009</v>
      </c>
      <c r="O10" s="18" t="s">
        <v>37</v>
      </c>
      <c r="P10" s="19">
        <v>45352</v>
      </c>
      <c r="Q10" s="20">
        <v>0.24031</v>
      </c>
      <c r="R10" s="21">
        <v>70009</v>
      </c>
      <c r="S10" s="18" t="s">
        <v>41</v>
      </c>
      <c r="T10" s="20">
        <v>145694.2702</v>
      </c>
      <c r="U10" s="18" t="s">
        <v>31</v>
      </c>
      <c r="V10" s="19">
        <v>45392</v>
      </c>
      <c r="W10" s="18" t="s">
        <v>38</v>
      </c>
      <c r="X10" s="19">
        <v>45376</v>
      </c>
      <c r="Y10" s="18" t="s">
        <v>33</v>
      </c>
      <c r="Z10" s="43" t="e">
        <f>TEXT([1]!Table64[[#This Row],[Order date]],"mmm-yyyy")</f>
        <v>#REF!</v>
      </c>
    </row>
    <row r="11" spans="1:26" x14ac:dyDescent="0.3">
      <c r="A11" s="22">
        <v>10010</v>
      </c>
      <c r="B11" s="23">
        <v>5122</v>
      </c>
      <c r="C11" s="23" t="s">
        <v>25</v>
      </c>
      <c r="D11" s="24">
        <v>69820.31</v>
      </c>
      <c r="E11" s="23">
        <v>20</v>
      </c>
      <c r="F11" s="23" t="s">
        <v>43</v>
      </c>
      <c r="G11" s="25">
        <v>45361</v>
      </c>
      <c r="H11" s="24">
        <v>116939.37</v>
      </c>
      <c r="I11" s="26" t="s">
        <v>27</v>
      </c>
      <c r="J11" s="15" t="s">
        <v>28</v>
      </c>
      <c r="K11" s="15">
        <v>609</v>
      </c>
      <c r="L11" s="16">
        <v>45361</v>
      </c>
      <c r="M11" s="17">
        <v>9</v>
      </c>
      <c r="N11" s="27">
        <v>90010</v>
      </c>
      <c r="O11" s="27" t="s">
        <v>37</v>
      </c>
      <c r="P11" s="28">
        <v>45352</v>
      </c>
      <c r="Q11" s="29">
        <v>0.75002000000000002</v>
      </c>
      <c r="R11" s="30">
        <v>70010</v>
      </c>
      <c r="S11" s="27" t="s">
        <v>41</v>
      </c>
      <c r="T11" s="29">
        <v>177532.11820999999</v>
      </c>
      <c r="U11" s="27" t="s">
        <v>42</v>
      </c>
      <c r="V11" s="28">
        <v>45422</v>
      </c>
      <c r="W11" s="27" t="s">
        <v>38</v>
      </c>
      <c r="X11" s="28">
        <v>45384</v>
      </c>
      <c r="Y11" s="27" t="s">
        <v>33</v>
      </c>
      <c r="Z11" s="43" t="e">
        <f>TEXT([1]!Table64[[#This Row],[Order date]],"mmm-yyyy")</f>
        <v>#REF!</v>
      </c>
    </row>
    <row r="12" spans="1:26" x14ac:dyDescent="0.3">
      <c r="A12" s="10">
        <v>10011</v>
      </c>
      <c r="B12" s="11">
        <v>5467</v>
      </c>
      <c r="C12" s="11" t="s">
        <v>25</v>
      </c>
      <c r="D12" s="12">
        <v>72715.34</v>
      </c>
      <c r="E12" s="11">
        <v>47</v>
      </c>
      <c r="F12" s="11" t="s">
        <v>43</v>
      </c>
      <c r="G12" s="13">
        <v>45383</v>
      </c>
      <c r="H12" s="12">
        <v>142333.18</v>
      </c>
      <c r="I12" s="14" t="s">
        <v>47</v>
      </c>
      <c r="J12" s="15" t="s">
        <v>36</v>
      </c>
      <c r="K12" s="15">
        <v>1159</v>
      </c>
      <c r="L12" s="16">
        <v>45397</v>
      </c>
      <c r="M12" s="17">
        <v>11</v>
      </c>
      <c r="N12" s="18">
        <v>90011</v>
      </c>
      <c r="O12" s="18" t="s">
        <v>29</v>
      </c>
      <c r="P12" s="19">
        <v>45352</v>
      </c>
      <c r="Q12" s="20">
        <v>0.74982000000000004</v>
      </c>
      <c r="R12" s="21">
        <v>70011</v>
      </c>
      <c r="S12" s="18" t="s">
        <v>41</v>
      </c>
      <c r="T12" s="20">
        <v>90163.713000000003</v>
      </c>
      <c r="U12" s="18" t="s">
        <v>48</v>
      </c>
      <c r="V12" s="19">
        <v>45444</v>
      </c>
      <c r="W12" s="18" t="s">
        <v>32</v>
      </c>
      <c r="X12" s="19">
        <v>45376</v>
      </c>
      <c r="Y12" s="18" t="s">
        <v>33</v>
      </c>
      <c r="Z12" s="43" t="e">
        <f>TEXT([1]!Table64[[#This Row],[Order date]],"mmm-yyyy")</f>
        <v>#REF!</v>
      </c>
    </row>
    <row r="13" spans="1:26" x14ac:dyDescent="0.3">
      <c r="A13" s="22">
        <v>10012</v>
      </c>
      <c r="B13" s="23">
        <v>6239</v>
      </c>
      <c r="C13" s="23" t="s">
        <v>34</v>
      </c>
      <c r="D13" s="24">
        <v>89428.87</v>
      </c>
      <c r="E13" s="23">
        <v>91</v>
      </c>
      <c r="F13" s="23" t="s">
        <v>26</v>
      </c>
      <c r="G13" s="25">
        <v>45337</v>
      </c>
      <c r="H13" s="24">
        <v>88066.78</v>
      </c>
      <c r="I13" s="26" t="s">
        <v>47</v>
      </c>
      <c r="J13" s="15" t="s">
        <v>36</v>
      </c>
      <c r="K13" s="15">
        <v>1222</v>
      </c>
      <c r="L13" s="16">
        <v>45361</v>
      </c>
      <c r="M13" s="17">
        <v>3</v>
      </c>
      <c r="N13" s="27">
        <v>90012</v>
      </c>
      <c r="O13" s="27" t="s">
        <v>50</v>
      </c>
      <c r="P13" s="28">
        <v>45430</v>
      </c>
      <c r="Q13" s="29">
        <v>0.69982</v>
      </c>
      <c r="R13" s="30">
        <v>70012</v>
      </c>
      <c r="S13" s="27" t="s">
        <v>30</v>
      </c>
      <c r="T13" s="29">
        <v>156268.12096</v>
      </c>
      <c r="U13" s="27" t="s">
        <v>48</v>
      </c>
      <c r="V13" s="28">
        <v>45392</v>
      </c>
      <c r="W13" s="27" t="s">
        <v>32</v>
      </c>
      <c r="X13" s="28">
        <v>45376</v>
      </c>
      <c r="Y13" s="27" t="s">
        <v>33</v>
      </c>
      <c r="Z13" s="43" t="e">
        <f>TEXT([1]!Table64[[#This Row],[Order date]],"mmm-yyyy")</f>
        <v>#REF!</v>
      </c>
    </row>
    <row r="14" spans="1:26" x14ac:dyDescent="0.3">
      <c r="A14" s="10">
        <v>10013</v>
      </c>
      <c r="B14" s="11">
        <v>5331</v>
      </c>
      <c r="C14" s="11" t="s">
        <v>34</v>
      </c>
      <c r="D14" s="12">
        <v>64517.47</v>
      </c>
      <c r="E14" s="11">
        <v>15</v>
      </c>
      <c r="F14" s="11" t="s">
        <v>35</v>
      </c>
      <c r="G14" s="13">
        <v>45337</v>
      </c>
      <c r="H14" s="12">
        <v>52532.160000000003</v>
      </c>
      <c r="I14" s="14" t="s">
        <v>44</v>
      </c>
      <c r="J14" s="15" t="s">
        <v>36</v>
      </c>
      <c r="K14" s="15">
        <v>421</v>
      </c>
      <c r="L14" s="16">
        <v>45361</v>
      </c>
      <c r="M14" s="17">
        <v>13</v>
      </c>
      <c r="N14" s="18">
        <v>90013</v>
      </c>
      <c r="O14" s="18" t="s">
        <v>40</v>
      </c>
      <c r="P14" s="19">
        <v>45430</v>
      </c>
      <c r="Q14" s="20">
        <v>0.22125</v>
      </c>
      <c r="R14" s="21">
        <v>70013</v>
      </c>
      <c r="S14" s="18" t="s">
        <v>45</v>
      </c>
      <c r="T14" s="20">
        <v>165117.80457000001</v>
      </c>
      <c r="U14" s="18" t="s">
        <v>42</v>
      </c>
      <c r="V14" s="19">
        <v>45392</v>
      </c>
      <c r="W14" s="18" t="s">
        <v>38</v>
      </c>
      <c r="X14" s="19">
        <v>45376</v>
      </c>
      <c r="Y14" s="18" t="s">
        <v>33</v>
      </c>
      <c r="Z14" s="43" t="e">
        <f>TEXT([1]!Table64[[#This Row],[Order date]],"mmm-yyyy")</f>
        <v>#REF!</v>
      </c>
    </row>
    <row r="15" spans="1:26" x14ac:dyDescent="0.3">
      <c r="A15" s="22">
        <v>10014</v>
      </c>
      <c r="B15" s="23">
        <v>6483</v>
      </c>
      <c r="C15" s="23" t="s">
        <v>25</v>
      </c>
      <c r="D15" s="24">
        <v>34424.58</v>
      </c>
      <c r="E15" s="23">
        <v>70</v>
      </c>
      <c r="F15" s="23" t="s">
        <v>26</v>
      </c>
      <c r="G15" s="25">
        <v>45361</v>
      </c>
      <c r="H15" s="24">
        <v>160527.64000000001</v>
      </c>
      <c r="I15" s="26" t="s">
        <v>47</v>
      </c>
      <c r="J15" s="15" t="s">
        <v>28</v>
      </c>
      <c r="K15" s="15">
        <v>867</v>
      </c>
      <c r="L15" s="16">
        <v>45361</v>
      </c>
      <c r="M15" s="17">
        <v>5</v>
      </c>
      <c r="N15" s="27">
        <v>90014</v>
      </c>
      <c r="O15" s="27" t="s">
        <v>40</v>
      </c>
      <c r="P15" s="28">
        <v>45352</v>
      </c>
      <c r="Q15" s="29">
        <v>0.46718999999999999</v>
      </c>
      <c r="R15" s="30">
        <v>70014</v>
      </c>
      <c r="S15" s="27" t="s">
        <v>41</v>
      </c>
      <c r="T15" s="29">
        <v>77213.703370000003</v>
      </c>
      <c r="U15" s="27" t="s">
        <v>48</v>
      </c>
      <c r="V15" s="28">
        <v>45392</v>
      </c>
      <c r="W15" s="27" t="s">
        <v>32</v>
      </c>
      <c r="X15" s="28">
        <v>45376</v>
      </c>
      <c r="Y15" s="27" t="s">
        <v>39</v>
      </c>
      <c r="Z15" s="43" t="e">
        <f>TEXT([1]!Table64[[#This Row],[Order date]],"mmm-yyyy")</f>
        <v>#REF!</v>
      </c>
    </row>
    <row r="16" spans="1:26" x14ac:dyDescent="0.3">
      <c r="A16" s="10">
        <v>10015</v>
      </c>
      <c r="B16" s="11">
        <v>5088</v>
      </c>
      <c r="C16" s="11" t="s">
        <v>34</v>
      </c>
      <c r="D16" s="12">
        <v>32455.67</v>
      </c>
      <c r="E16" s="11">
        <v>47</v>
      </c>
      <c r="F16" s="11" t="s">
        <v>35</v>
      </c>
      <c r="G16" s="13">
        <v>45361</v>
      </c>
      <c r="H16" s="12">
        <v>140434.91</v>
      </c>
      <c r="I16" s="14" t="s">
        <v>47</v>
      </c>
      <c r="J16" s="15" t="s">
        <v>49</v>
      </c>
      <c r="K16" s="15">
        <v>1224</v>
      </c>
      <c r="L16" s="16">
        <v>45332</v>
      </c>
      <c r="M16" s="17">
        <v>10</v>
      </c>
      <c r="N16" s="18">
        <v>90015</v>
      </c>
      <c r="O16" s="18" t="s">
        <v>29</v>
      </c>
      <c r="P16" s="19">
        <v>45383</v>
      </c>
      <c r="Q16" s="20">
        <v>0.19608</v>
      </c>
      <c r="R16" s="21">
        <v>70015</v>
      </c>
      <c r="S16" s="18" t="s">
        <v>30</v>
      </c>
      <c r="T16" s="20">
        <v>168384.6502</v>
      </c>
      <c r="U16" s="18" t="s">
        <v>48</v>
      </c>
      <c r="V16" s="19">
        <v>45392</v>
      </c>
      <c r="W16" s="18" t="s">
        <v>32</v>
      </c>
      <c r="X16" s="19">
        <v>45376</v>
      </c>
      <c r="Y16" s="18" t="s">
        <v>39</v>
      </c>
      <c r="Z16" s="43" t="e">
        <f>TEXT([1]!Table64[[#This Row],[Order date]],"mmm-yyyy")</f>
        <v>#REF!</v>
      </c>
    </row>
    <row r="17" spans="1:26" x14ac:dyDescent="0.3">
      <c r="A17" s="22">
        <v>10016</v>
      </c>
      <c r="B17" s="23">
        <v>6397</v>
      </c>
      <c r="C17" s="23" t="s">
        <v>34</v>
      </c>
      <c r="D17" s="24">
        <v>62583.12</v>
      </c>
      <c r="E17" s="23">
        <v>78</v>
      </c>
      <c r="F17" s="23" t="s">
        <v>43</v>
      </c>
      <c r="G17" s="25">
        <v>45361</v>
      </c>
      <c r="H17" s="24">
        <v>49958.77</v>
      </c>
      <c r="I17" s="26" t="s">
        <v>47</v>
      </c>
      <c r="J17" s="15" t="s">
        <v>36</v>
      </c>
      <c r="K17" s="15">
        <v>1214</v>
      </c>
      <c r="L17" s="16">
        <v>45332</v>
      </c>
      <c r="M17" s="17">
        <v>8</v>
      </c>
      <c r="N17" s="27">
        <v>90016</v>
      </c>
      <c r="O17" s="27" t="s">
        <v>40</v>
      </c>
      <c r="P17" s="28">
        <v>45352</v>
      </c>
      <c r="Q17" s="29">
        <v>0.83496000000000004</v>
      </c>
      <c r="R17" s="30">
        <v>70016</v>
      </c>
      <c r="S17" s="27" t="s">
        <v>41</v>
      </c>
      <c r="T17" s="29">
        <v>199826.54307000001</v>
      </c>
      <c r="U17" s="27" t="s">
        <v>31</v>
      </c>
      <c r="V17" s="28">
        <v>45392</v>
      </c>
      <c r="W17" s="27" t="s">
        <v>32</v>
      </c>
      <c r="X17" s="28">
        <v>45376</v>
      </c>
      <c r="Y17" s="27" t="s">
        <v>33</v>
      </c>
      <c r="Z17" s="43" t="e">
        <f>TEXT([1]!Table64[[#This Row],[Order date]],"mmm-yyyy")</f>
        <v>#REF!</v>
      </c>
    </row>
    <row r="18" spans="1:26" x14ac:dyDescent="0.3">
      <c r="A18" s="10">
        <v>10017</v>
      </c>
      <c r="B18" s="11">
        <v>6124</v>
      </c>
      <c r="C18" s="11" t="s">
        <v>34</v>
      </c>
      <c r="D18" s="12">
        <v>71984.100000000006</v>
      </c>
      <c r="E18" s="11">
        <v>75</v>
      </c>
      <c r="F18" s="11" t="s">
        <v>35</v>
      </c>
      <c r="G18" s="13">
        <v>45361</v>
      </c>
      <c r="H18" s="12">
        <v>31485.83</v>
      </c>
      <c r="I18" s="14" t="s">
        <v>44</v>
      </c>
      <c r="J18" s="15" t="s">
        <v>28</v>
      </c>
      <c r="K18" s="15">
        <v>1142</v>
      </c>
      <c r="L18" s="16">
        <v>45397</v>
      </c>
      <c r="M18" s="17">
        <v>12</v>
      </c>
      <c r="N18" s="18">
        <v>90017</v>
      </c>
      <c r="O18" s="18" t="s">
        <v>37</v>
      </c>
      <c r="P18" s="19">
        <v>45383</v>
      </c>
      <c r="Q18" s="20">
        <v>0.68964999999999999</v>
      </c>
      <c r="R18" s="21">
        <v>70017</v>
      </c>
      <c r="S18" s="18" t="s">
        <v>41</v>
      </c>
      <c r="T18" s="20">
        <v>97010.0141</v>
      </c>
      <c r="U18" s="18" t="s">
        <v>31</v>
      </c>
      <c r="V18" s="19">
        <v>45444</v>
      </c>
      <c r="W18" s="18" t="s">
        <v>32</v>
      </c>
      <c r="X18" s="19">
        <v>45376</v>
      </c>
      <c r="Y18" s="18" t="s">
        <v>39</v>
      </c>
      <c r="Z18" s="43" t="e">
        <f>TEXT([1]!Table64[[#This Row],[Order date]],"mmm-yyyy")</f>
        <v>#REF!</v>
      </c>
    </row>
    <row r="19" spans="1:26" x14ac:dyDescent="0.3">
      <c r="A19" s="22">
        <v>10018</v>
      </c>
      <c r="B19" s="23">
        <v>5872</v>
      </c>
      <c r="C19" s="23" t="s">
        <v>34</v>
      </c>
      <c r="D19" s="24">
        <v>23804.45</v>
      </c>
      <c r="E19" s="23">
        <v>9</v>
      </c>
      <c r="F19" s="23" t="s">
        <v>43</v>
      </c>
      <c r="G19" s="25">
        <v>45361</v>
      </c>
      <c r="H19" s="24">
        <v>116814.49</v>
      </c>
      <c r="I19" s="26" t="s">
        <v>44</v>
      </c>
      <c r="J19" s="15" t="s">
        <v>36</v>
      </c>
      <c r="K19" s="15">
        <v>1333</v>
      </c>
      <c r="L19" s="16">
        <v>45361</v>
      </c>
      <c r="M19" s="17">
        <v>1</v>
      </c>
      <c r="N19" s="27">
        <v>90018</v>
      </c>
      <c r="O19" s="27" t="s">
        <v>37</v>
      </c>
      <c r="P19" s="28">
        <v>45383</v>
      </c>
      <c r="Q19" s="29">
        <v>0.55647999999999997</v>
      </c>
      <c r="R19" s="30">
        <v>70018</v>
      </c>
      <c r="S19" s="27" t="s">
        <v>30</v>
      </c>
      <c r="T19" s="29">
        <v>122117.90670000001</v>
      </c>
      <c r="U19" s="27" t="s">
        <v>31</v>
      </c>
      <c r="V19" s="28">
        <v>45444</v>
      </c>
      <c r="W19" s="27" t="s">
        <v>38</v>
      </c>
      <c r="X19" s="28">
        <v>45376</v>
      </c>
      <c r="Y19" s="27" t="s">
        <v>33</v>
      </c>
      <c r="Z19" s="43" t="e">
        <f>TEXT([1]!Table64[[#This Row],[Order date]],"mmm-yyyy")</f>
        <v>#REF!</v>
      </c>
    </row>
    <row r="20" spans="1:26" x14ac:dyDescent="0.3">
      <c r="A20" s="10">
        <v>10019</v>
      </c>
      <c r="B20" s="11">
        <v>6688</v>
      </c>
      <c r="C20" s="11" t="s">
        <v>34</v>
      </c>
      <c r="D20" s="12">
        <v>16686.63</v>
      </c>
      <c r="E20" s="11">
        <v>90</v>
      </c>
      <c r="F20" s="11" t="s">
        <v>46</v>
      </c>
      <c r="G20" s="13">
        <v>45306</v>
      </c>
      <c r="H20" s="12">
        <v>98518.02</v>
      </c>
      <c r="I20" s="14" t="s">
        <v>47</v>
      </c>
      <c r="J20" s="15" t="s">
        <v>36</v>
      </c>
      <c r="K20" s="15">
        <v>895</v>
      </c>
      <c r="L20" s="16">
        <v>45332</v>
      </c>
      <c r="M20" s="17">
        <v>8</v>
      </c>
      <c r="N20" s="18">
        <v>90019</v>
      </c>
      <c r="O20" s="18" t="s">
        <v>40</v>
      </c>
      <c r="P20" s="19">
        <v>45383</v>
      </c>
      <c r="Q20" s="20">
        <v>0.40871000000000002</v>
      </c>
      <c r="R20" s="21">
        <v>70019</v>
      </c>
      <c r="S20" s="18" t="s">
        <v>41</v>
      </c>
      <c r="T20" s="20">
        <v>157573.65760000001</v>
      </c>
      <c r="U20" s="18" t="s">
        <v>31</v>
      </c>
      <c r="V20" s="19">
        <v>45422</v>
      </c>
      <c r="W20" s="18" t="s">
        <v>38</v>
      </c>
      <c r="X20" s="19">
        <v>45376</v>
      </c>
      <c r="Y20" s="18" t="s">
        <v>33</v>
      </c>
      <c r="Z20" s="43" t="e">
        <f>TEXT([1]!Table64[[#This Row],[Order date]],"mmm-yyyy")</f>
        <v>#REF!</v>
      </c>
    </row>
    <row r="21" spans="1:26" x14ac:dyDescent="0.3">
      <c r="A21" s="22">
        <v>10020</v>
      </c>
      <c r="B21" s="23">
        <v>5131</v>
      </c>
      <c r="C21" s="23" t="s">
        <v>34</v>
      </c>
      <c r="D21" s="24">
        <v>69041.62</v>
      </c>
      <c r="E21" s="23">
        <v>16</v>
      </c>
      <c r="F21" s="23" t="s">
        <v>46</v>
      </c>
      <c r="G21" s="25">
        <v>45306</v>
      </c>
      <c r="H21" s="24">
        <v>143728.91</v>
      </c>
      <c r="I21" s="26" t="s">
        <v>44</v>
      </c>
      <c r="J21" s="15" t="s">
        <v>49</v>
      </c>
      <c r="K21" s="15">
        <v>570</v>
      </c>
      <c r="L21" s="16">
        <v>45397</v>
      </c>
      <c r="M21" s="17">
        <v>7</v>
      </c>
      <c r="N21" s="27">
        <v>90020</v>
      </c>
      <c r="O21" s="27" t="s">
        <v>40</v>
      </c>
      <c r="P21" s="28">
        <v>45352</v>
      </c>
      <c r="Q21" s="29">
        <v>0.26582</v>
      </c>
      <c r="R21" s="30">
        <v>70020</v>
      </c>
      <c r="S21" s="27" t="s">
        <v>30</v>
      </c>
      <c r="T21" s="29">
        <v>150735.05239999999</v>
      </c>
      <c r="U21" s="27" t="s">
        <v>31</v>
      </c>
      <c r="V21" s="28">
        <v>45392</v>
      </c>
      <c r="W21" s="27" t="s">
        <v>32</v>
      </c>
      <c r="X21" s="28">
        <v>45376</v>
      </c>
      <c r="Y21" s="27" t="s">
        <v>33</v>
      </c>
      <c r="Z21" s="43" t="e">
        <f>TEXT([1]!Table64[[#This Row],[Order date]],"mmm-yyyy")</f>
        <v>#REF!</v>
      </c>
    </row>
    <row r="22" spans="1:26" x14ac:dyDescent="0.3">
      <c r="A22" s="10">
        <v>10021</v>
      </c>
      <c r="B22" s="11">
        <v>6686</v>
      </c>
      <c r="C22" s="11" t="s">
        <v>34</v>
      </c>
      <c r="D22" s="12">
        <v>78277.679999999993</v>
      </c>
      <c r="E22" s="11">
        <v>69</v>
      </c>
      <c r="F22" s="11" t="s">
        <v>46</v>
      </c>
      <c r="G22" s="13">
        <v>45383</v>
      </c>
      <c r="H22" s="12">
        <v>133780.28</v>
      </c>
      <c r="I22" s="14" t="s">
        <v>44</v>
      </c>
      <c r="J22" s="15" t="s">
        <v>36</v>
      </c>
      <c r="K22" s="15">
        <v>420</v>
      </c>
      <c r="L22" s="16">
        <v>45397</v>
      </c>
      <c r="M22" s="17">
        <v>1</v>
      </c>
      <c r="N22" s="18">
        <v>90021</v>
      </c>
      <c r="O22" s="18" t="s">
        <v>37</v>
      </c>
      <c r="P22" s="19">
        <v>45352</v>
      </c>
      <c r="Q22" s="20">
        <v>0.1958</v>
      </c>
      <c r="R22" s="21">
        <v>70021</v>
      </c>
      <c r="S22" s="18" t="s">
        <v>41</v>
      </c>
      <c r="T22" s="20">
        <v>149514.52439999999</v>
      </c>
      <c r="U22" s="18" t="s">
        <v>42</v>
      </c>
      <c r="V22" s="19">
        <v>45422</v>
      </c>
      <c r="W22" s="18" t="s">
        <v>38</v>
      </c>
      <c r="X22" s="19">
        <v>45376</v>
      </c>
      <c r="Y22" s="18" t="s">
        <v>39</v>
      </c>
      <c r="Z22" s="43" t="e">
        <f>TEXT([1]!Table64[[#This Row],[Order date]],"mmm-yyyy")</f>
        <v>#REF!</v>
      </c>
    </row>
    <row r="23" spans="1:26" x14ac:dyDescent="0.3">
      <c r="A23" s="22">
        <v>10022</v>
      </c>
      <c r="B23" s="23">
        <v>6333</v>
      </c>
      <c r="C23" s="23" t="s">
        <v>34</v>
      </c>
      <c r="D23" s="24">
        <v>37284.46</v>
      </c>
      <c r="E23" s="23">
        <v>61</v>
      </c>
      <c r="F23" s="23" t="s">
        <v>26</v>
      </c>
      <c r="G23" s="25">
        <v>45337</v>
      </c>
      <c r="H23" s="24">
        <v>81710.820000000007</v>
      </c>
      <c r="I23" s="26" t="s">
        <v>27</v>
      </c>
      <c r="J23" s="15" t="s">
        <v>36</v>
      </c>
      <c r="K23" s="15">
        <v>1492</v>
      </c>
      <c r="L23" s="16">
        <v>45397</v>
      </c>
      <c r="M23" s="17">
        <v>13</v>
      </c>
      <c r="N23" s="27">
        <v>90022</v>
      </c>
      <c r="O23" s="27" t="s">
        <v>40</v>
      </c>
      <c r="P23" s="28">
        <v>45383</v>
      </c>
      <c r="Q23" s="29">
        <v>0.97231999999999996</v>
      </c>
      <c r="R23" s="30">
        <v>70022</v>
      </c>
      <c r="S23" s="27" t="s">
        <v>41</v>
      </c>
      <c r="T23" s="29">
        <v>130923.25079999999</v>
      </c>
      <c r="U23" s="27" t="s">
        <v>42</v>
      </c>
      <c r="V23" s="28">
        <v>45444</v>
      </c>
      <c r="W23" s="27" t="s">
        <v>38</v>
      </c>
      <c r="X23" s="28">
        <v>45376</v>
      </c>
      <c r="Y23" s="27" t="s">
        <v>33</v>
      </c>
      <c r="Z23" s="43" t="e">
        <f>TEXT([1]!Table64[[#This Row],[Order date]],"mmm-yyyy")</f>
        <v>#REF!</v>
      </c>
    </row>
    <row r="24" spans="1:26" x14ac:dyDescent="0.3">
      <c r="A24" s="10">
        <v>10023</v>
      </c>
      <c r="B24" s="11">
        <v>5770</v>
      </c>
      <c r="C24" s="11" t="s">
        <v>34</v>
      </c>
      <c r="D24" s="12">
        <v>14422.25</v>
      </c>
      <c r="E24" s="11">
        <v>10</v>
      </c>
      <c r="F24" s="11" t="s">
        <v>26</v>
      </c>
      <c r="G24" s="13">
        <v>45306</v>
      </c>
      <c r="H24" s="12">
        <v>71411.350000000006</v>
      </c>
      <c r="I24" s="14" t="s">
        <v>44</v>
      </c>
      <c r="J24" s="15" t="s">
        <v>28</v>
      </c>
      <c r="K24" s="15">
        <v>150</v>
      </c>
      <c r="L24" s="16">
        <v>45397</v>
      </c>
      <c r="M24" s="17">
        <v>13</v>
      </c>
      <c r="N24" s="18">
        <v>90023</v>
      </c>
      <c r="O24" s="18" t="s">
        <v>37</v>
      </c>
      <c r="P24" s="19">
        <v>45430</v>
      </c>
      <c r="Q24" s="20">
        <v>0.27967999999999998</v>
      </c>
      <c r="R24" s="21">
        <v>70023</v>
      </c>
      <c r="S24" s="18" t="s">
        <v>41</v>
      </c>
      <c r="T24" s="20">
        <v>148645.1158</v>
      </c>
      <c r="U24" s="18" t="s">
        <v>31</v>
      </c>
      <c r="V24" s="19">
        <v>45392</v>
      </c>
      <c r="W24" s="18" t="s">
        <v>38</v>
      </c>
      <c r="X24" s="19">
        <v>45384</v>
      </c>
      <c r="Y24" s="18" t="s">
        <v>33</v>
      </c>
      <c r="Z24" s="43" t="e">
        <f>TEXT([1]!Table64[[#This Row],[Order date]],"mmm-yyyy")</f>
        <v>#REF!</v>
      </c>
    </row>
    <row r="25" spans="1:26" x14ac:dyDescent="0.3">
      <c r="A25" s="22">
        <v>10024</v>
      </c>
      <c r="B25" s="23">
        <v>5344</v>
      </c>
      <c r="C25" s="23" t="s">
        <v>25</v>
      </c>
      <c r="D25" s="24">
        <v>27061.7</v>
      </c>
      <c r="E25" s="23">
        <v>50</v>
      </c>
      <c r="F25" s="23" t="s">
        <v>43</v>
      </c>
      <c r="G25" s="25">
        <v>45306</v>
      </c>
      <c r="H25" s="24">
        <v>108953.85</v>
      </c>
      <c r="I25" s="26" t="s">
        <v>44</v>
      </c>
      <c r="J25" s="15" t="s">
        <v>28</v>
      </c>
      <c r="K25" s="15">
        <v>710</v>
      </c>
      <c r="L25" s="16">
        <v>45397</v>
      </c>
      <c r="M25" s="17">
        <v>10</v>
      </c>
      <c r="N25" s="27">
        <v>90024</v>
      </c>
      <c r="O25" s="27" t="s">
        <v>50</v>
      </c>
      <c r="P25" s="28">
        <v>45430</v>
      </c>
      <c r="Q25" s="29">
        <v>0.15389</v>
      </c>
      <c r="R25" s="30">
        <v>70024</v>
      </c>
      <c r="S25" s="27" t="s">
        <v>30</v>
      </c>
      <c r="T25" s="29">
        <v>90709.690789999993</v>
      </c>
      <c r="U25" s="27" t="s">
        <v>48</v>
      </c>
      <c r="V25" s="28">
        <v>45422</v>
      </c>
      <c r="W25" s="27" t="s">
        <v>38</v>
      </c>
      <c r="X25" s="28">
        <v>45376</v>
      </c>
      <c r="Y25" s="27" t="s">
        <v>33</v>
      </c>
      <c r="Z25" s="43" t="e">
        <f>TEXT([1]!Table64[[#This Row],[Order date]],"mmm-yyyy")</f>
        <v>#REF!</v>
      </c>
    </row>
    <row r="26" spans="1:26" x14ac:dyDescent="0.3">
      <c r="A26" s="10">
        <v>10025</v>
      </c>
      <c r="B26" s="11">
        <v>6516</v>
      </c>
      <c r="C26" s="11" t="s">
        <v>34</v>
      </c>
      <c r="D26" s="12">
        <v>65012.92</v>
      </c>
      <c r="E26" s="11">
        <v>3</v>
      </c>
      <c r="F26" s="11" t="s">
        <v>46</v>
      </c>
      <c r="G26" s="13">
        <v>45306</v>
      </c>
      <c r="H26" s="12">
        <v>100488.12</v>
      </c>
      <c r="I26" s="14" t="s">
        <v>47</v>
      </c>
      <c r="J26" s="15" t="s">
        <v>49</v>
      </c>
      <c r="K26" s="15">
        <v>1017</v>
      </c>
      <c r="L26" s="16">
        <v>45361</v>
      </c>
      <c r="M26" s="17">
        <v>12</v>
      </c>
      <c r="N26" s="18">
        <v>90025</v>
      </c>
      <c r="O26" s="18" t="s">
        <v>50</v>
      </c>
      <c r="P26" s="19">
        <v>45430</v>
      </c>
      <c r="Q26" s="20">
        <v>0.96550000000000002</v>
      </c>
      <c r="R26" s="21">
        <v>70025</v>
      </c>
      <c r="S26" s="18" t="s">
        <v>45</v>
      </c>
      <c r="T26" s="20">
        <v>183978.42861999999</v>
      </c>
      <c r="U26" s="18" t="s">
        <v>48</v>
      </c>
      <c r="V26" s="19">
        <v>45392</v>
      </c>
      <c r="W26" s="18" t="s">
        <v>38</v>
      </c>
      <c r="X26" s="19">
        <v>45376</v>
      </c>
      <c r="Y26" s="18" t="s">
        <v>33</v>
      </c>
      <c r="Z26" s="43" t="e">
        <f>TEXT([1]!Table64[[#This Row],[Order date]],"mmm-yyyy")</f>
        <v>#REF!</v>
      </c>
    </row>
    <row r="27" spans="1:26" x14ac:dyDescent="0.3">
      <c r="A27" s="22">
        <v>10026</v>
      </c>
      <c r="B27" s="23">
        <v>6438</v>
      </c>
      <c r="C27" s="23" t="s">
        <v>34</v>
      </c>
      <c r="D27" s="24">
        <v>69792.929999999993</v>
      </c>
      <c r="E27" s="23">
        <v>77</v>
      </c>
      <c r="F27" s="23" t="s">
        <v>26</v>
      </c>
      <c r="G27" s="25">
        <v>45383</v>
      </c>
      <c r="H27" s="24">
        <v>150758.04999999999</v>
      </c>
      <c r="I27" s="26" t="s">
        <v>44</v>
      </c>
      <c r="J27" s="15" t="s">
        <v>28</v>
      </c>
      <c r="K27" s="15">
        <v>292</v>
      </c>
      <c r="L27" s="16">
        <v>45397</v>
      </c>
      <c r="M27" s="17">
        <v>10</v>
      </c>
      <c r="N27" s="27">
        <v>90026</v>
      </c>
      <c r="O27" s="27" t="s">
        <v>40</v>
      </c>
      <c r="P27" s="28">
        <v>45383</v>
      </c>
      <c r="Q27" s="29">
        <v>0.59406000000000003</v>
      </c>
      <c r="R27" s="30">
        <v>70026</v>
      </c>
      <c r="S27" s="27" t="s">
        <v>41</v>
      </c>
      <c r="T27" s="29">
        <v>204167.91159999999</v>
      </c>
      <c r="U27" s="27" t="s">
        <v>42</v>
      </c>
      <c r="V27" s="28">
        <v>45392</v>
      </c>
      <c r="W27" s="27" t="s">
        <v>38</v>
      </c>
      <c r="X27" s="28">
        <v>45384</v>
      </c>
      <c r="Y27" s="27" t="s">
        <v>33</v>
      </c>
      <c r="Z27" s="43" t="e">
        <f>TEXT([1]!Table64[[#This Row],[Order date]],"mmm-yyyy")</f>
        <v>#REF!</v>
      </c>
    </row>
    <row r="28" spans="1:26" x14ac:dyDescent="0.3">
      <c r="A28" s="10">
        <v>10027</v>
      </c>
      <c r="B28" s="11">
        <v>5806</v>
      </c>
      <c r="C28" s="11" t="s">
        <v>34</v>
      </c>
      <c r="D28" s="12">
        <v>23331.08</v>
      </c>
      <c r="E28" s="11">
        <v>94</v>
      </c>
      <c r="F28" s="11" t="s">
        <v>46</v>
      </c>
      <c r="G28" s="13">
        <v>45361</v>
      </c>
      <c r="H28" s="12">
        <v>123692.86</v>
      </c>
      <c r="I28" s="14" t="s">
        <v>44</v>
      </c>
      <c r="J28" s="15" t="s">
        <v>28</v>
      </c>
      <c r="K28" s="15">
        <v>802</v>
      </c>
      <c r="L28" s="16">
        <v>45361</v>
      </c>
      <c r="M28" s="17">
        <v>12</v>
      </c>
      <c r="N28" s="18">
        <v>90027</v>
      </c>
      <c r="O28" s="18" t="s">
        <v>40</v>
      </c>
      <c r="P28" s="19">
        <v>45352</v>
      </c>
      <c r="Q28" s="20">
        <v>0.81698999999999999</v>
      </c>
      <c r="R28" s="21">
        <v>70027</v>
      </c>
      <c r="S28" s="18" t="s">
        <v>30</v>
      </c>
      <c r="T28" s="20">
        <v>163892.50640000001</v>
      </c>
      <c r="U28" s="18" t="s">
        <v>42</v>
      </c>
      <c r="V28" s="19">
        <v>45422</v>
      </c>
      <c r="W28" s="18" t="s">
        <v>38</v>
      </c>
      <c r="X28" s="19">
        <v>45384</v>
      </c>
      <c r="Y28" s="18" t="s">
        <v>33</v>
      </c>
      <c r="Z28" s="43" t="e">
        <f>TEXT([1]!Table64[[#This Row],[Order date]],"mmm-yyyy")</f>
        <v>#REF!</v>
      </c>
    </row>
    <row r="29" spans="1:26" x14ac:dyDescent="0.3">
      <c r="A29" s="22">
        <v>10028</v>
      </c>
      <c r="B29" s="23">
        <v>5386</v>
      </c>
      <c r="C29" s="23" t="s">
        <v>34</v>
      </c>
      <c r="D29" s="24">
        <v>24696.37</v>
      </c>
      <c r="E29" s="23">
        <v>70</v>
      </c>
      <c r="F29" s="23" t="s">
        <v>26</v>
      </c>
      <c r="G29" s="25">
        <v>45383</v>
      </c>
      <c r="H29" s="24">
        <v>154097.85</v>
      </c>
      <c r="I29" s="26" t="s">
        <v>44</v>
      </c>
      <c r="J29" s="15" t="s">
        <v>49</v>
      </c>
      <c r="K29" s="15">
        <v>561</v>
      </c>
      <c r="L29" s="16">
        <v>45332</v>
      </c>
      <c r="M29" s="17">
        <v>6</v>
      </c>
      <c r="N29" s="27">
        <v>90028</v>
      </c>
      <c r="O29" s="27" t="s">
        <v>40</v>
      </c>
      <c r="P29" s="28">
        <v>45383</v>
      </c>
      <c r="Q29" s="29">
        <v>0.13938999999999999</v>
      </c>
      <c r="R29" s="30">
        <v>70028</v>
      </c>
      <c r="S29" s="27" t="s">
        <v>41</v>
      </c>
      <c r="T29" s="29">
        <v>91022.077850000001</v>
      </c>
      <c r="U29" s="27" t="s">
        <v>42</v>
      </c>
      <c r="V29" s="28">
        <v>45444</v>
      </c>
      <c r="W29" s="27" t="s">
        <v>32</v>
      </c>
      <c r="X29" s="28">
        <v>45376</v>
      </c>
      <c r="Y29" s="27" t="s">
        <v>33</v>
      </c>
      <c r="Z29" s="43" t="e">
        <f>TEXT([1]!Table64[[#This Row],[Order date]],"mmm-yyyy")</f>
        <v>#REF!</v>
      </c>
    </row>
    <row r="30" spans="1:26" x14ac:dyDescent="0.3">
      <c r="A30" s="10">
        <v>10029</v>
      </c>
      <c r="B30" s="11">
        <v>6216</v>
      </c>
      <c r="C30" s="11" t="s">
        <v>34</v>
      </c>
      <c r="D30" s="12">
        <v>80713.899999999994</v>
      </c>
      <c r="E30" s="11">
        <v>81</v>
      </c>
      <c r="F30" s="11" t="s">
        <v>35</v>
      </c>
      <c r="G30" s="13">
        <v>45337</v>
      </c>
      <c r="H30" s="12">
        <v>149339.43</v>
      </c>
      <c r="I30" s="14" t="s">
        <v>44</v>
      </c>
      <c r="J30" s="15" t="s">
        <v>36</v>
      </c>
      <c r="K30" s="15">
        <v>898</v>
      </c>
      <c r="L30" s="16">
        <v>45397</v>
      </c>
      <c r="M30" s="17">
        <v>1</v>
      </c>
      <c r="N30" s="18">
        <v>90029</v>
      </c>
      <c r="O30" s="18" t="s">
        <v>37</v>
      </c>
      <c r="P30" s="19">
        <v>45430</v>
      </c>
      <c r="Q30" s="20">
        <v>0.61024999999999996</v>
      </c>
      <c r="R30" s="21">
        <v>70029</v>
      </c>
      <c r="S30" s="18" t="s">
        <v>41</v>
      </c>
      <c r="T30" s="20">
        <v>51481.755819999998</v>
      </c>
      <c r="U30" s="18" t="s">
        <v>48</v>
      </c>
      <c r="V30" s="19">
        <v>45422</v>
      </c>
      <c r="W30" s="18" t="s">
        <v>32</v>
      </c>
      <c r="X30" s="19">
        <v>45384</v>
      </c>
      <c r="Y30" s="18" t="s">
        <v>33</v>
      </c>
      <c r="Z30" s="43" t="e">
        <f>TEXT([1]!Table64[[#This Row],[Order date]],"mmm-yyyy")</f>
        <v>#REF!</v>
      </c>
    </row>
    <row r="31" spans="1:26" x14ac:dyDescent="0.3">
      <c r="A31" s="22">
        <v>10030</v>
      </c>
      <c r="B31" s="23">
        <v>5956</v>
      </c>
      <c r="C31" s="23" t="s">
        <v>34</v>
      </c>
      <c r="D31" s="24">
        <v>90009.13</v>
      </c>
      <c r="E31" s="23">
        <v>51</v>
      </c>
      <c r="F31" s="23" t="s">
        <v>35</v>
      </c>
      <c r="G31" s="25">
        <v>45337</v>
      </c>
      <c r="H31" s="24">
        <v>119964.83</v>
      </c>
      <c r="I31" s="26" t="s">
        <v>44</v>
      </c>
      <c r="J31" s="15" t="s">
        <v>49</v>
      </c>
      <c r="K31" s="15">
        <v>604</v>
      </c>
      <c r="L31" s="16">
        <v>45332</v>
      </c>
      <c r="M31" s="17">
        <v>2</v>
      </c>
      <c r="N31" s="27">
        <v>90030</v>
      </c>
      <c r="O31" s="27" t="s">
        <v>50</v>
      </c>
      <c r="P31" s="28">
        <v>45352</v>
      </c>
      <c r="Q31" s="29">
        <v>0.45839000000000002</v>
      </c>
      <c r="R31" s="30">
        <v>70030</v>
      </c>
      <c r="S31" s="27" t="s">
        <v>45</v>
      </c>
      <c r="T31" s="29">
        <v>124839.86825</v>
      </c>
      <c r="U31" s="27" t="s">
        <v>42</v>
      </c>
      <c r="V31" s="28">
        <v>45422</v>
      </c>
      <c r="W31" s="27" t="s">
        <v>32</v>
      </c>
      <c r="X31" s="28">
        <v>45384</v>
      </c>
      <c r="Y31" s="27" t="s">
        <v>33</v>
      </c>
      <c r="Z31" s="43" t="e">
        <f>TEXT([1]!Table64[[#This Row],[Order date]],"mmm-yyyy")</f>
        <v>#REF!</v>
      </c>
    </row>
    <row r="32" spans="1:26" x14ac:dyDescent="0.3">
      <c r="A32" s="10">
        <v>10031</v>
      </c>
      <c r="B32" s="11">
        <v>5277</v>
      </c>
      <c r="C32" s="11" t="s">
        <v>34</v>
      </c>
      <c r="D32" s="12">
        <v>44677.85</v>
      </c>
      <c r="E32" s="11">
        <v>19</v>
      </c>
      <c r="F32" s="11" t="s">
        <v>46</v>
      </c>
      <c r="G32" s="13">
        <v>45337</v>
      </c>
      <c r="H32" s="12">
        <v>143612.14000000001</v>
      </c>
      <c r="I32" s="14" t="s">
        <v>44</v>
      </c>
      <c r="J32" s="15" t="s">
        <v>28</v>
      </c>
      <c r="K32" s="15">
        <v>1168</v>
      </c>
      <c r="L32" s="16">
        <v>45361</v>
      </c>
      <c r="M32" s="17">
        <v>5</v>
      </c>
      <c r="N32" s="18">
        <v>90031</v>
      </c>
      <c r="O32" s="18" t="s">
        <v>50</v>
      </c>
      <c r="P32" s="19">
        <v>45383</v>
      </c>
      <c r="Q32" s="20">
        <v>0.79476999999999998</v>
      </c>
      <c r="R32" s="21">
        <v>70031</v>
      </c>
      <c r="S32" s="18" t="s">
        <v>41</v>
      </c>
      <c r="T32" s="20">
        <v>197043.10532</v>
      </c>
      <c r="U32" s="18" t="s">
        <v>48</v>
      </c>
      <c r="V32" s="19">
        <v>45422</v>
      </c>
      <c r="W32" s="18" t="s">
        <v>38</v>
      </c>
      <c r="X32" s="19">
        <v>45384</v>
      </c>
      <c r="Y32" s="18" t="s">
        <v>39</v>
      </c>
      <c r="Z32" s="43" t="e">
        <f>TEXT([1]!Table64[[#This Row],[Order date]],"mmm-yyyy")</f>
        <v>#REF!</v>
      </c>
    </row>
    <row r="33" spans="1:26" x14ac:dyDescent="0.3">
      <c r="A33" s="22">
        <v>10032</v>
      </c>
      <c r="B33" s="23">
        <v>6185</v>
      </c>
      <c r="C33" s="23" t="s">
        <v>25</v>
      </c>
      <c r="D33" s="24">
        <v>69255.429999999993</v>
      </c>
      <c r="E33" s="23">
        <v>42</v>
      </c>
      <c r="F33" s="23" t="s">
        <v>43</v>
      </c>
      <c r="G33" s="25">
        <v>45337</v>
      </c>
      <c r="H33" s="24">
        <v>139468.82999999999</v>
      </c>
      <c r="I33" s="26" t="s">
        <v>44</v>
      </c>
      <c r="J33" s="15" t="s">
        <v>49</v>
      </c>
      <c r="K33" s="15">
        <v>275</v>
      </c>
      <c r="L33" s="16">
        <v>45361</v>
      </c>
      <c r="M33" s="17">
        <v>2</v>
      </c>
      <c r="N33" s="27">
        <v>90032</v>
      </c>
      <c r="O33" s="27" t="s">
        <v>29</v>
      </c>
      <c r="P33" s="28">
        <v>45383</v>
      </c>
      <c r="Q33" s="29">
        <v>0.13458000000000001</v>
      </c>
      <c r="R33" s="30">
        <v>70032</v>
      </c>
      <c r="S33" s="27" t="s">
        <v>45</v>
      </c>
      <c r="T33" s="29">
        <v>54980.060599999997</v>
      </c>
      <c r="U33" s="27" t="s">
        <v>42</v>
      </c>
      <c r="V33" s="28">
        <v>45392</v>
      </c>
      <c r="W33" s="27" t="s">
        <v>32</v>
      </c>
      <c r="X33" s="28">
        <v>45376</v>
      </c>
      <c r="Y33" s="27" t="s">
        <v>33</v>
      </c>
      <c r="Z33" s="43" t="e">
        <f>TEXT([1]!Table64[[#This Row],[Order date]],"mmm-yyyy")</f>
        <v>#REF!</v>
      </c>
    </row>
    <row r="34" spans="1:26" x14ac:dyDescent="0.3">
      <c r="A34" s="10">
        <v>10033</v>
      </c>
      <c r="B34" s="11">
        <v>5460</v>
      </c>
      <c r="C34" s="11" t="s">
        <v>34</v>
      </c>
      <c r="D34" s="12">
        <v>81196.25</v>
      </c>
      <c r="E34" s="11">
        <v>35</v>
      </c>
      <c r="F34" s="11" t="s">
        <v>26</v>
      </c>
      <c r="G34" s="13">
        <v>45306</v>
      </c>
      <c r="H34" s="12">
        <v>85680.46</v>
      </c>
      <c r="I34" s="14" t="s">
        <v>44</v>
      </c>
      <c r="J34" s="15" t="s">
        <v>36</v>
      </c>
      <c r="K34" s="15">
        <v>263</v>
      </c>
      <c r="L34" s="16">
        <v>45332</v>
      </c>
      <c r="M34" s="17">
        <v>14</v>
      </c>
      <c r="N34" s="18">
        <v>90033</v>
      </c>
      <c r="O34" s="18" t="s">
        <v>29</v>
      </c>
      <c r="P34" s="19">
        <v>45430</v>
      </c>
      <c r="Q34" s="20">
        <v>0.46151999999999999</v>
      </c>
      <c r="R34" s="21">
        <v>70033</v>
      </c>
      <c r="S34" s="18" t="s">
        <v>45</v>
      </c>
      <c r="T34" s="20">
        <v>95884.733049999995</v>
      </c>
      <c r="U34" s="18" t="s">
        <v>48</v>
      </c>
      <c r="V34" s="19">
        <v>45444</v>
      </c>
      <c r="W34" s="18" t="s">
        <v>38</v>
      </c>
      <c r="X34" s="19">
        <v>45376</v>
      </c>
      <c r="Y34" s="18" t="s">
        <v>39</v>
      </c>
      <c r="Z34" s="43" t="e">
        <f>TEXT([1]!Table64[[#This Row],[Order date]],"mmm-yyyy")</f>
        <v>#REF!</v>
      </c>
    </row>
    <row r="35" spans="1:26" x14ac:dyDescent="0.3">
      <c r="A35" s="22">
        <v>10034</v>
      </c>
      <c r="B35" s="23">
        <v>6338</v>
      </c>
      <c r="C35" s="23" t="s">
        <v>34</v>
      </c>
      <c r="D35" s="24">
        <v>92136.89</v>
      </c>
      <c r="E35" s="23">
        <v>46</v>
      </c>
      <c r="F35" s="23" t="s">
        <v>26</v>
      </c>
      <c r="G35" s="25">
        <v>45306</v>
      </c>
      <c r="H35" s="24">
        <v>122770.09</v>
      </c>
      <c r="I35" s="26" t="s">
        <v>47</v>
      </c>
      <c r="J35" s="15" t="s">
        <v>49</v>
      </c>
      <c r="K35" s="15">
        <v>767</v>
      </c>
      <c r="L35" s="16">
        <v>45397</v>
      </c>
      <c r="M35" s="17">
        <v>10</v>
      </c>
      <c r="N35" s="27">
        <v>90034</v>
      </c>
      <c r="O35" s="27" t="s">
        <v>40</v>
      </c>
      <c r="P35" s="28">
        <v>45383</v>
      </c>
      <c r="Q35" s="29">
        <v>0.81916999999999995</v>
      </c>
      <c r="R35" s="30">
        <v>70034</v>
      </c>
      <c r="S35" s="27" t="s">
        <v>45</v>
      </c>
      <c r="T35" s="29">
        <v>188696.57728999999</v>
      </c>
      <c r="U35" s="27" t="s">
        <v>42</v>
      </c>
      <c r="V35" s="28">
        <v>45444</v>
      </c>
      <c r="W35" s="27" t="s">
        <v>38</v>
      </c>
      <c r="X35" s="28">
        <v>45384</v>
      </c>
      <c r="Y35" s="27" t="s">
        <v>33</v>
      </c>
      <c r="Z35" s="43" t="e">
        <f>TEXT([1]!Table64[[#This Row],[Order date]],"mmm-yyyy")</f>
        <v>#REF!</v>
      </c>
    </row>
    <row r="36" spans="1:26" x14ac:dyDescent="0.3">
      <c r="A36" s="10">
        <v>10035</v>
      </c>
      <c r="B36" s="11">
        <v>5022</v>
      </c>
      <c r="C36" s="11" t="s">
        <v>34</v>
      </c>
      <c r="D36" s="12">
        <v>79198.75</v>
      </c>
      <c r="E36" s="11">
        <v>26</v>
      </c>
      <c r="F36" s="11" t="s">
        <v>35</v>
      </c>
      <c r="G36" s="13">
        <v>45383</v>
      </c>
      <c r="H36" s="12">
        <v>50547.96</v>
      </c>
      <c r="I36" s="14" t="s">
        <v>47</v>
      </c>
      <c r="J36" s="15" t="s">
        <v>28</v>
      </c>
      <c r="K36" s="15">
        <v>116</v>
      </c>
      <c r="L36" s="16">
        <v>45397</v>
      </c>
      <c r="M36" s="17">
        <v>1</v>
      </c>
      <c r="N36" s="18">
        <v>90035</v>
      </c>
      <c r="O36" s="18" t="s">
        <v>37</v>
      </c>
      <c r="P36" s="19">
        <v>45352</v>
      </c>
      <c r="Q36" s="20">
        <v>0.57042999999999999</v>
      </c>
      <c r="R36" s="21">
        <v>70035</v>
      </c>
      <c r="S36" s="18" t="s">
        <v>45</v>
      </c>
      <c r="T36" s="20">
        <v>209188.23759999999</v>
      </c>
      <c r="U36" s="18" t="s">
        <v>42</v>
      </c>
      <c r="V36" s="19">
        <v>45392</v>
      </c>
      <c r="W36" s="18" t="s">
        <v>38</v>
      </c>
      <c r="X36" s="19">
        <v>45376</v>
      </c>
      <c r="Y36" s="18" t="s">
        <v>39</v>
      </c>
      <c r="Z36" s="43" t="e">
        <f>TEXT([1]!Table64[[#This Row],[Order date]],"mmm-yyyy")</f>
        <v>#REF!</v>
      </c>
    </row>
    <row r="37" spans="1:26" x14ac:dyDescent="0.3">
      <c r="A37" s="22">
        <v>10036</v>
      </c>
      <c r="B37" s="23">
        <v>5253</v>
      </c>
      <c r="C37" s="23" t="s">
        <v>34</v>
      </c>
      <c r="D37" s="24">
        <v>47933.79</v>
      </c>
      <c r="E37" s="23">
        <v>69</v>
      </c>
      <c r="F37" s="23" t="s">
        <v>35</v>
      </c>
      <c r="G37" s="25">
        <v>45361</v>
      </c>
      <c r="H37" s="24">
        <v>105375.46</v>
      </c>
      <c r="I37" s="26" t="s">
        <v>47</v>
      </c>
      <c r="J37" s="15" t="s">
        <v>28</v>
      </c>
      <c r="K37" s="15">
        <v>445</v>
      </c>
      <c r="L37" s="16">
        <v>45332</v>
      </c>
      <c r="M37" s="17">
        <v>6</v>
      </c>
      <c r="N37" s="27">
        <v>90036</v>
      </c>
      <c r="O37" s="27" t="s">
        <v>40</v>
      </c>
      <c r="P37" s="28">
        <v>45430</v>
      </c>
      <c r="Q37" s="29">
        <v>0.59502999999999995</v>
      </c>
      <c r="R37" s="30">
        <v>70036</v>
      </c>
      <c r="S37" s="27" t="s">
        <v>41</v>
      </c>
      <c r="T37" s="29">
        <v>213270.0177</v>
      </c>
      <c r="U37" s="27" t="s">
        <v>48</v>
      </c>
      <c r="V37" s="28">
        <v>45444</v>
      </c>
      <c r="W37" s="27" t="s">
        <v>38</v>
      </c>
      <c r="X37" s="28">
        <v>45384</v>
      </c>
      <c r="Y37" s="27" t="s">
        <v>33</v>
      </c>
      <c r="Z37" s="43" t="e">
        <f>TEXT([1]!Table64[[#This Row],[Order date]],"mmm-yyyy")</f>
        <v>#REF!</v>
      </c>
    </row>
    <row r="38" spans="1:26" x14ac:dyDescent="0.3">
      <c r="A38" s="10">
        <v>10037</v>
      </c>
      <c r="B38" s="11">
        <v>5748</v>
      </c>
      <c r="C38" s="11" t="s">
        <v>34</v>
      </c>
      <c r="D38" s="12">
        <v>90817.51</v>
      </c>
      <c r="E38" s="11">
        <v>93</v>
      </c>
      <c r="F38" s="11" t="s">
        <v>43</v>
      </c>
      <c r="G38" s="13">
        <v>45337</v>
      </c>
      <c r="H38" s="12">
        <v>146347.73000000001</v>
      </c>
      <c r="I38" s="14" t="s">
        <v>47</v>
      </c>
      <c r="J38" s="15" t="s">
        <v>49</v>
      </c>
      <c r="K38" s="15">
        <v>661</v>
      </c>
      <c r="L38" s="16">
        <v>45332</v>
      </c>
      <c r="M38" s="17">
        <v>8</v>
      </c>
      <c r="N38" s="18">
        <v>90037</v>
      </c>
      <c r="O38" s="18" t="s">
        <v>50</v>
      </c>
      <c r="P38" s="19">
        <v>45430</v>
      </c>
      <c r="Q38" s="20">
        <v>0.18745000000000001</v>
      </c>
      <c r="R38" s="21">
        <v>70037</v>
      </c>
      <c r="S38" s="18" t="s">
        <v>41</v>
      </c>
      <c r="T38" s="20">
        <v>102442.96861</v>
      </c>
      <c r="U38" s="18" t="s">
        <v>42</v>
      </c>
      <c r="V38" s="19">
        <v>45422</v>
      </c>
      <c r="W38" s="18" t="s">
        <v>38</v>
      </c>
      <c r="X38" s="19">
        <v>45384</v>
      </c>
      <c r="Y38" s="18" t="s">
        <v>39</v>
      </c>
      <c r="Z38" s="43" t="e">
        <f>TEXT([1]!Table64[[#This Row],[Order date]],"mmm-yyyy")</f>
        <v>#REF!</v>
      </c>
    </row>
    <row r="39" spans="1:26" x14ac:dyDescent="0.3">
      <c r="A39" s="22">
        <v>10038</v>
      </c>
      <c r="B39" s="23">
        <v>5857</v>
      </c>
      <c r="C39" s="23" t="s">
        <v>34</v>
      </c>
      <c r="D39" s="24">
        <v>31490.15</v>
      </c>
      <c r="E39" s="23">
        <v>64</v>
      </c>
      <c r="F39" s="23" t="s">
        <v>43</v>
      </c>
      <c r="G39" s="25">
        <v>45383</v>
      </c>
      <c r="H39" s="24">
        <v>118719.89</v>
      </c>
      <c r="I39" s="26" t="s">
        <v>44</v>
      </c>
      <c r="J39" s="15" t="s">
        <v>36</v>
      </c>
      <c r="K39" s="15">
        <v>1085</v>
      </c>
      <c r="L39" s="16">
        <v>45332</v>
      </c>
      <c r="M39" s="17">
        <v>8</v>
      </c>
      <c r="N39" s="27">
        <v>90038</v>
      </c>
      <c r="O39" s="27" t="s">
        <v>40</v>
      </c>
      <c r="P39" s="28">
        <v>45352</v>
      </c>
      <c r="Q39" s="29">
        <v>0.21909999999999999</v>
      </c>
      <c r="R39" s="30">
        <v>70038</v>
      </c>
      <c r="S39" s="27" t="s">
        <v>45</v>
      </c>
      <c r="T39" s="29">
        <v>185259.69274</v>
      </c>
      <c r="U39" s="27" t="s">
        <v>31</v>
      </c>
      <c r="V39" s="28">
        <v>45444</v>
      </c>
      <c r="W39" s="27" t="s">
        <v>38</v>
      </c>
      <c r="X39" s="28">
        <v>45376</v>
      </c>
      <c r="Y39" s="27" t="s">
        <v>33</v>
      </c>
      <c r="Z39" s="43" t="e">
        <f>TEXT([1]!Table64[[#This Row],[Order date]],"mmm-yyyy")</f>
        <v>#REF!</v>
      </c>
    </row>
    <row r="40" spans="1:26" x14ac:dyDescent="0.3">
      <c r="A40" s="10">
        <v>10039</v>
      </c>
      <c r="B40" s="11">
        <v>6585</v>
      </c>
      <c r="C40" s="11" t="s">
        <v>34</v>
      </c>
      <c r="D40" s="12">
        <v>11123.45</v>
      </c>
      <c r="E40" s="11">
        <v>37</v>
      </c>
      <c r="F40" s="11" t="s">
        <v>43</v>
      </c>
      <c r="G40" s="13">
        <v>45306</v>
      </c>
      <c r="H40" s="12">
        <v>81977.8</v>
      </c>
      <c r="I40" s="14" t="s">
        <v>27</v>
      </c>
      <c r="J40" s="15" t="s">
        <v>49</v>
      </c>
      <c r="K40" s="15">
        <v>1310</v>
      </c>
      <c r="L40" s="16">
        <v>45397</v>
      </c>
      <c r="M40" s="17">
        <v>13</v>
      </c>
      <c r="N40" s="18">
        <v>90039</v>
      </c>
      <c r="O40" s="18" t="s">
        <v>40</v>
      </c>
      <c r="P40" s="19">
        <v>45430</v>
      </c>
      <c r="Q40" s="20">
        <v>0.70930000000000004</v>
      </c>
      <c r="R40" s="21">
        <v>70039</v>
      </c>
      <c r="S40" s="18" t="s">
        <v>41</v>
      </c>
      <c r="T40" s="20">
        <v>196500.7954</v>
      </c>
      <c r="U40" s="18" t="s">
        <v>48</v>
      </c>
      <c r="V40" s="19">
        <v>45392</v>
      </c>
      <c r="W40" s="18" t="s">
        <v>38</v>
      </c>
      <c r="X40" s="19">
        <v>45376</v>
      </c>
      <c r="Y40" s="18" t="s">
        <v>33</v>
      </c>
      <c r="Z40" s="43" t="e">
        <f>TEXT([1]!Table64[[#This Row],[Order date]],"mmm-yyyy")</f>
        <v>#REF!</v>
      </c>
    </row>
    <row r="41" spans="1:26" x14ac:dyDescent="0.3">
      <c r="A41" s="22">
        <v>10040</v>
      </c>
      <c r="B41" s="23">
        <v>5475</v>
      </c>
      <c r="C41" s="23" t="s">
        <v>34</v>
      </c>
      <c r="D41" s="24">
        <v>8398.19</v>
      </c>
      <c r="E41" s="23">
        <v>84</v>
      </c>
      <c r="F41" s="23" t="s">
        <v>46</v>
      </c>
      <c r="G41" s="25">
        <v>45306</v>
      </c>
      <c r="H41" s="24">
        <v>103115.77</v>
      </c>
      <c r="I41" s="26" t="s">
        <v>27</v>
      </c>
      <c r="J41" s="15" t="s">
        <v>36</v>
      </c>
      <c r="K41" s="15">
        <v>819</v>
      </c>
      <c r="L41" s="16">
        <v>45397</v>
      </c>
      <c r="M41" s="17">
        <v>13</v>
      </c>
      <c r="N41" s="27">
        <v>90040</v>
      </c>
      <c r="O41" s="27" t="s">
        <v>50</v>
      </c>
      <c r="P41" s="28">
        <v>45383</v>
      </c>
      <c r="Q41" s="29">
        <v>0.70753999999999995</v>
      </c>
      <c r="R41" s="30">
        <v>70040</v>
      </c>
      <c r="S41" s="27" t="s">
        <v>41</v>
      </c>
      <c r="T41" s="29">
        <v>79172.000809999998</v>
      </c>
      <c r="U41" s="27" t="s">
        <v>42</v>
      </c>
      <c r="V41" s="28">
        <v>45444</v>
      </c>
      <c r="W41" s="27" t="s">
        <v>38</v>
      </c>
      <c r="X41" s="28">
        <v>45384</v>
      </c>
      <c r="Y41" s="27" t="s">
        <v>39</v>
      </c>
      <c r="Z41" s="43" t="e">
        <f>TEXT([1]!Table64[[#This Row],[Order date]],"mmm-yyyy")</f>
        <v>#REF!</v>
      </c>
    </row>
    <row r="42" spans="1:26" x14ac:dyDescent="0.3">
      <c r="A42" s="10">
        <v>10041</v>
      </c>
      <c r="B42" s="11">
        <v>6083</v>
      </c>
      <c r="C42" s="11" t="s">
        <v>34</v>
      </c>
      <c r="D42" s="12">
        <v>86834.42</v>
      </c>
      <c r="E42" s="11">
        <v>49</v>
      </c>
      <c r="F42" s="11" t="s">
        <v>35</v>
      </c>
      <c r="G42" s="13">
        <v>45361</v>
      </c>
      <c r="H42" s="12">
        <v>81468.12</v>
      </c>
      <c r="I42" s="14" t="s">
        <v>44</v>
      </c>
      <c r="J42" s="15" t="s">
        <v>36</v>
      </c>
      <c r="K42" s="15">
        <v>1472</v>
      </c>
      <c r="L42" s="16">
        <v>45397</v>
      </c>
      <c r="M42" s="17">
        <v>8</v>
      </c>
      <c r="N42" s="18">
        <v>90041</v>
      </c>
      <c r="O42" s="18" t="s">
        <v>50</v>
      </c>
      <c r="P42" s="19">
        <v>45383</v>
      </c>
      <c r="Q42" s="20">
        <v>0.98119000000000001</v>
      </c>
      <c r="R42" s="21">
        <v>70041</v>
      </c>
      <c r="S42" s="18" t="s">
        <v>41</v>
      </c>
      <c r="T42" s="20">
        <v>193710.09127</v>
      </c>
      <c r="U42" s="18" t="s">
        <v>48</v>
      </c>
      <c r="V42" s="19">
        <v>45392</v>
      </c>
      <c r="W42" s="18" t="s">
        <v>38</v>
      </c>
      <c r="X42" s="19">
        <v>45376</v>
      </c>
      <c r="Y42" s="18" t="s">
        <v>33</v>
      </c>
      <c r="Z42" s="43" t="e">
        <f>TEXT([1]!Table64[[#This Row],[Order date]],"mmm-yyyy")</f>
        <v>#REF!</v>
      </c>
    </row>
    <row r="43" spans="1:26" x14ac:dyDescent="0.3">
      <c r="A43" s="22">
        <v>10042</v>
      </c>
      <c r="B43" s="23">
        <v>5511</v>
      </c>
      <c r="C43" s="23" t="s">
        <v>25</v>
      </c>
      <c r="D43" s="24">
        <v>21332.080000000002</v>
      </c>
      <c r="E43" s="23">
        <v>21</v>
      </c>
      <c r="F43" s="23" t="s">
        <v>46</v>
      </c>
      <c r="G43" s="25">
        <v>45361</v>
      </c>
      <c r="H43" s="24">
        <v>24908.02</v>
      </c>
      <c r="I43" s="26" t="s">
        <v>44</v>
      </c>
      <c r="J43" s="15" t="s">
        <v>49</v>
      </c>
      <c r="K43" s="15">
        <v>456</v>
      </c>
      <c r="L43" s="16">
        <v>45332</v>
      </c>
      <c r="M43" s="17">
        <v>11</v>
      </c>
      <c r="N43" s="27">
        <v>90042</v>
      </c>
      <c r="O43" s="27" t="s">
        <v>50</v>
      </c>
      <c r="P43" s="28">
        <v>45430</v>
      </c>
      <c r="Q43" s="29">
        <v>0.74075999999999997</v>
      </c>
      <c r="R43" s="30">
        <v>70042</v>
      </c>
      <c r="S43" s="27" t="s">
        <v>30</v>
      </c>
      <c r="T43" s="29">
        <v>193851.4926</v>
      </c>
      <c r="U43" s="27" t="s">
        <v>42</v>
      </c>
      <c r="V43" s="28">
        <v>45422</v>
      </c>
      <c r="W43" s="27" t="s">
        <v>38</v>
      </c>
      <c r="X43" s="28">
        <v>45376</v>
      </c>
      <c r="Y43" s="27" t="s">
        <v>33</v>
      </c>
      <c r="Z43" s="43" t="e">
        <f>TEXT([1]!Table64[[#This Row],[Order date]],"mmm-yyyy")</f>
        <v>#REF!</v>
      </c>
    </row>
    <row r="44" spans="1:26" x14ac:dyDescent="0.3">
      <c r="A44" s="10">
        <v>10043</v>
      </c>
      <c r="B44" s="11">
        <v>6706</v>
      </c>
      <c r="C44" s="11" t="s">
        <v>25</v>
      </c>
      <c r="D44" s="12">
        <v>58118.76</v>
      </c>
      <c r="E44" s="11">
        <v>74</v>
      </c>
      <c r="F44" s="11" t="s">
        <v>35</v>
      </c>
      <c r="G44" s="13">
        <v>45361</v>
      </c>
      <c r="H44" s="12">
        <v>64916.2</v>
      </c>
      <c r="I44" s="14" t="s">
        <v>44</v>
      </c>
      <c r="J44" s="15" t="s">
        <v>36</v>
      </c>
      <c r="K44" s="15">
        <v>974</v>
      </c>
      <c r="L44" s="16">
        <v>45397</v>
      </c>
      <c r="M44" s="17">
        <v>6</v>
      </c>
      <c r="N44" s="18">
        <v>90043</v>
      </c>
      <c r="O44" s="18" t="s">
        <v>50</v>
      </c>
      <c r="P44" s="19">
        <v>45352</v>
      </c>
      <c r="Q44" s="20">
        <v>0.54391999999999996</v>
      </c>
      <c r="R44" s="21">
        <v>70043</v>
      </c>
      <c r="S44" s="18" t="s">
        <v>30</v>
      </c>
      <c r="T44" s="20">
        <v>142603.31589999999</v>
      </c>
      <c r="U44" s="18" t="s">
        <v>31</v>
      </c>
      <c r="V44" s="19">
        <v>45392</v>
      </c>
      <c r="W44" s="18" t="s">
        <v>38</v>
      </c>
      <c r="X44" s="19">
        <v>45376</v>
      </c>
      <c r="Y44" s="18" t="s">
        <v>33</v>
      </c>
      <c r="Z44" s="43" t="e">
        <f>TEXT([1]!Table64[[#This Row],[Order date]],"mmm-yyyy")</f>
        <v>#REF!</v>
      </c>
    </row>
    <row r="45" spans="1:26" x14ac:dyDescent="0.3">
      <c r="A45" s="22">
        <v>10044</v>
      </c>
      <c r="B45" s="23">
        <v>6500</v>
      </c>
      <c r="C45" s="23" t="s">
        <v>34</v>
      </c>
      <c r="D45" s="24">
        <v>54558.39</v>
      </c>
      <c r="E45" s="23">
        <v>64</v>
      </c>
      <c r="F45" s="23" t="s">
        <v>35</v>
      </c>
      <c r="G45" s="25">
        <v>45383</v>
      </c>
      <c r="H45" s="24">
        <v>142344.54</v>
      </c>
      <c r="I45" s="26" t="s">
        <v>44</v>
      </c>
      <c r="J45" s="15" t="s">
        <v>28</v>
      </c>
      <c r="K45" s="15">
        <v>696</v>
      </c>
      <c r="L45" s="16">
        <v>45361</v>
      </c>
      <c r="M45" s="17">
        <v>11</v>
      </c>
      <c r="N45" s="27">
        <v>90044</v>
      </c>
      <c r="O45" s="27" t="s">
        <v>29</v>
      </c>
      <c r="P45" s="28">
        <v>45383</v>
      </c>
      <c r="Q45" s="29">
        <v>0.87160000000000004</v>
      </c>
      <c r="R45" s="30">
        <v>70044</v>
      </c>
      <c r="S45" s="27" t="s">
        <v>41</v>
      </c>
      <c r="T45" s="29">
        <v>145755.92251</v>
      </c>
      <c r="U45" s="27" t="s">
        <v>42</v>
      </c>
      <c r="V45" s="28">
        <v>45444</v>
      </c>
      <c r="W45" s="27" t="s">
        <v>38</v>
      </c>
      <c r="X45" s="28">
        <v>45376</v>
      </c>
      <c r="Y45" s="27" t="s">
        <v>33</v>
      </c>
      <c r="Z45" s="43" t="e">
        <f>TEXT([1]!Table64[[#This Row],[Order date]],"mmm-yyyy")</f>
        <v>#REF!</v>
      </c>
    </row>
    <row r="46" spans="1:26" x14ac:dyDescent="0.3">
      <c r="A46" s="10">
        <v>10045</v>
      </c>
      <c r="B46" s="11">
        <v>5700</v>
      </c>
      <c r="C46" s="11" t="s">
        <v>34</v>
      </c>
      <c r="D46" s="12">
        <v>37249.64</v>
      </c>
      <c r="E46" s="11">
        <v>5</v>
      </c>
      <c r="F46" s="11" t="s">
        <v>26</v>
      </c>
      <c r="G46" s="13">
        <v>45306</v>
      </c>
      <c r="H46" s="12">
        <v>87362.66</v>
      </c>
      <c r="I46" s="14" t="s">
        <v>44</v>
      </c>
      <c r="J46" s="15" t="s">
        <v>49</v>
      </c>
      <c r="K46" s="15">
        <v>271</v>
      </c>
      <c r="L46" s="16">
        <v>45332</v>
      </c>
      <c r="M46" s="17">
        <v>3</v>
      </c>
      <c r="N46" s="18">
        <v>90045</v>
      </c>
      <c r="O46" s="18" t="s">
        <v>37</v>
      </c>
      <c r="P46" s="19">
        <v>45352</v>
      </c>
      <c r="Q46" s="20">
        <v>0.19403000000000001</v>
      </c>
      <c r="R46" s="21">
        <v>70045</v>
      </c>
      <c r="S46" s="18" t="s">
        <v>30</v>
      </c>
      <c r="T46" s="20">
        <v>162093.46462000001</v>
      </c>
      <c r="U46" s="18" t="s">
        <v>42</v>
      </c>
      <c r="V46" s="19">
        <v>45422</v>
      </c>
      <c r="W46" s="18" t="s">
        <v>38</v>
      </c>
      <c r="X46" s="19">
        <v>45384</v>
      </c>
      <c r="Y46" s="18" t="s">
        <v>33</v>
      </c>
      <c r="Z46" s="43" t="e">
        <f>TEXT([1]!Table64[[#This Row],[Order date]],"mmm-yyyy")</f>
        <v>#REF!</v>
      </c>
    </row>
    <row r="47" spans="1:26" x14ac:dyDescent="0.3">
      <c r="A47" s="22">
        <v>10046</v>
      </c>
      <c r="B47" s="23">
        <v>5976</v>
      </c>
      <c r="C47" s="23" t="s">
        <v>34</v>
      </c>
      <c r="D47" s="24">
        <v>17970.490000000002</v>
      </c>
      <c r="E47" s="23">
        <v>70</v>
      </c>
      <c r="F47" s="23" t="s">
        <v>35</v>
      </c>
      <c r="G47" s="25">
        <v>45306</v>
      </c>
      <c r="H47" s="24">
        <v>164477.1</v>
      </c>
      <c r="I47" s="26" t="s">
        <v>47</v>
      </c>
      <c r="J47" s="15" t="s">
        <v>36</v>
      </c>
      <c r="K47" s="15">
        <v>1229</v>
      </c>
      <c r="L47" s="16">
        <v>45397</v>
      </c>
      <c r="M47" s="17">
        <v>1</v>
      </c>
      <c r="N47" s="27">
        <v>90046</v>
      </c>
      <c r="O47" s="27" t="s">
        <v>37</v>
      </c>
      <c r="P47" s="28">
        <v>45383</v>
      </c>
      <c r="Q47" s="29">
        <v>0.50436999999999999</v>
      </c>
      <c r="R47" s="30">
        <v>70046</v>
      </c>
      <c r="S47" s="27" t="s">
        <v>45</v>
      </c>
      <c r="T47" s="29">
        <v>71761.649799999999</v>
      </c>
      <c r="U47" s="27" t="s">
        <v>31</v>
      </c>
      <c r="V47" s="28">
        <v>45444</v>
      </c>
      <c r="W47" s="27" t="s">
        <v>38</v>
      </c>
      <c r="X47" s="28">
        <v>45376</v>
      </c>
      <c r="Y47" s="27" t="s">
        <v>33</v>
      </c>
      <c r="Z47" s="43" t="e">
        <f>TEXT([1]!Table64[[#This Row],[Order date]],"mmm-yyyy")</f>
        <v>#REF!</v>
      </c>
    </row>
    <row r="48" spans="1:26" x14ac:dyDescent="0.3">
      <c r="A48" s="10">
        <v>10047</v>
      </c>
      <c r="B48" s="11">
        <v>6807</v>
      </c>
      <c r="C48" s="11" t="s">
        <v>34</v>
      </c>
      <c r="D48" s="12">
        <v>81898.2</v>
      </c>
      <c r="E48" s="11">
        <v>90</v>
      </c>
      <c r="F48" s="11" t="s">
        <v>35</v>
      </c>
      <c r="G48" s="13">
        <v>45361</v>
      </c>
      <c r="H48" s="12">
        <v>104882.21</v>
      </c>
      <c r="I48" s="14" t="s">
        <v>44</v>
      </c>
      <c r="J48" s="15" t="s">
        <v>28</v>
      </c>
      <c r="K48" s="15">
        <v>703</v>
      </c>
      <c r="L48" s="16">
        <v>45332</v>
      </c>
      <c r="M48" s="17">
        <v>2</v>
      </c>
      <c r="N48" s="18">
        <v>90047</v>
      </c>
      <c r="O48" s="18" t="s">
        <v>50</v>
      </c>
      <c r="P48" s="19">
        <v>45383</v>
      </c>
      <c r="Q48" s="20">
        <v>0.3584</v>
      </c>
      <c r="R48" s="21">
        <v>70047</v>
      </c>
      <c r="S48" s="18" t="s">
        <v>41</v>
      </c>
      <c r="T48" s="20">
        <v>74682.687090000007</v>
      </c>
      <c r="U48" s="18" t="s">
        <v>48</v>
      </c>
      <c r="V48" s="19">
        <v>45392</v>
      </c>
      <c r="W48" s="18" t="s">
        <v>38</v>
      </c>
      <c r="X48" s="19">
        <v>45376</v>
      </c>
      <c r="Y48" s="18" t="s">
        <v>33</v>
      </c>
      <c r="Z48" s="43" t="e">
        <f>TEXT([1]!Table64[[#This Row],[Order date]],"mmm-yyyy")</f>
        <v>#REF!</v>
      </c>
    </row>
    <row r="49" spans="1:26" x14ac:dyDescent="0.3">
      <c r="A49" s="22">
        <v>10048</v>
      </c>
      <c r="B49" s="23">
        <v>5190</v>
      </c>
      <c r="C49" s="23" t="s">
        <v>34</v>
      </c>
      <c r="D49" s="24">
        <v>21123.38</v>
      </c>
      <c r="E49" s="23">
        <v>4</v>
      </c>
      <c r="F49" s="23" t="s">
        <v>46</v>
      </c>
      <c r="G49" s="25">
        <v>45337</v>
      </c>
      <c r="H49" s="24">
        <v>65832.289999999994</v>
      </c>
      <c r="I49" s="26" t="s">
        <v>27</v>
      </c>
      <c r="J49" s="15" t="s">
        <v>49</v>
      </c>
      <c r="K49" s="15">
        <v>477</v>
      </c>
      <c r="L49" s="16">
        <v>45361</v>
      </c>
      <c r="M49" s="17">
        <v>5</v>
      </c>
      <c r="N49" s="27">
        <v>90048</v>
      </c>
      <c r="O49" s="27" t="s">
        <v>37</v>
      </c>
      <c r="P49" s="28">
        <v>45430</v>
      </c>
      <c r="Q49" s="29">
        <v>0.19417000000000001</v>
      </c>
      <c r="R49" s="30">
        <v>70048</v>
      </c>
      <c r="S49" s="27" t="s">
        <v>41</v>
      </c>
      <c r="T49" s="29">
        <v>109857.89617000001</v>
      </c>
      <c r="U49" s="27" t="s">
        <v>42</v>
      </c>
      <c r="V49" s="28">
        <v>45422</v>
      </c>
      <c r="W49" s="27" t="s">
        <v>32</v>
      </c>
      <c r="X49" s="28">
        <v>45376</v>
      </c>
      <c r="Y49" s="27" t="s">
        <v>33</v>
      </c>
      <c r="Z49" s="43" t="e">
        <f>TEXT([1]!Table64[[#This Row],[Order date]],"mmm-yyyy")</f>
        <v>#REF!</v>
      </c>
    </row>
    <row r="50" spans="1:26" x14ac:dyDescent="0.3">
      <c r="A50" s="10">
        <v>10049</v>
      </c>
      <c r="B50" s="11">
        <v>5958</v>
      </c>
      <c r="C50" s="11" t="s">
        <v>34</v>
      </c>
      <c r="D50" s="12">
        <v>21391.5</v>
      </c>
      <c r="E50" s="11">
        <v>39</v>
      </c>
      <c r="F50" s="11" t="s">
        <v>35</v>
      </c>
      <c r="G50" s="13">
        <v>45361</v>
      </c>
      <c r="H50" s="12">
        <v>59508.89</v>
      </c>
      <c r="I50" s="14" t="s">
        <v>47</v>
      </c>
      <c r="J50" s="15" t="s">
        <v>28</v>
      </c>
      <c r="K50" s="15">
        <v>1231</v>
      </c>
      <c r="L50" s="16">
        <v>45361</v>
      </c>
      <c r="M50" s="17">
        <v>13</v>
      </c>
      <c r="N50" s="18">
        <v>90049</v>
      </c>
      <c r="O50" s="18" t="s">
        <v>37</v>
      </c>
      <c r="P50" s="19">
        <v>45430</v>
      </c>
      <c r="Q50" s="20">
        <v>0.78715000000000002</v>
      </c>
      <c r="R50" s="21">
        <v>70049</v>
      </c>
      <c r="S50" s="18" t="s">
        <v>41</v>
      </c>
      <c r="T50" s="20">
        <v>169097.09356000001</v>
      </c>
      <c r="U50" s="18" t="s">
        <v>42</v>
      </c>
      <c r="V50" s="19">
        <v>45392</v>
      </c>
      <c r="W50" s="18" t="s">
        <v>32</v>
      </c>
      <c r="X50" s="19">
        <v>45376</v>
      </c>
      <c r="Y50" s="18" t="s">
        <v>33</v>
      </c>
      <c r="Z50" s="43" t="e">
        <f>TEXT([1]!Table64[[#This Row],[Order date]],"mmm-yyyy")</f>
        <v>#REF!</v>
      </c>
    </row>
    <row r="51" spans="1:26" x14ac:dyDescent="0.3">
      <c r="A51" s="22">
        <v>10050</v>
      </c>
      <c r="B51" s="23">
        <v>5687</v>
      </c>
      <c r="C51" s="23" t="s">
        <v>25</v>
      </c>
      <c r="D51" s="24">
        <v>83566.98</v>
      </c>
      <c r="E51" s="23">
        <v>35</v>
      </c>
      <c r="F51" s="23" t="s">
        <v>46</v>
      </c>
      <c r="G51" s="25">
        <v>45383</v>
      </c>
      <c r="H51" s="24">
        <v>177620.71</v>
      </c>
      <c r="I51" s="26" t="s">
        <v>44</v>
      </c>
      <c r="J51" s="15" t="s">
        <v>28</v>
      </c>
      <c r="K51" s="15">
        <v>1026</v>
      </c>
      <c r="L51" s="16">
        <v>45332</v>
      </c>
      <c r="M51" s="17">
        <v>10</v>
      </c>
      <c r="N51" s="27">
        <v>90050</v>
      </c>
      <c r="O51" s="27" t="s">
        <v>37</v>
      </c>
      <c r="P51" s="28">
        <v>45352</v>
      </c>
      <c r="Q51" s="29">
        <v>0.55971000000000004</v>
      </c>
      <c r="R51" s="30">
        <v>70050</v>
      </c>
      <c r="S51" s="27" t="s">
        <v>45</v>
      </c>
      <c r="T51" s="29">
        <v>91326.179860000004</v>
      </c>
      <c r="U51" s="27" t="s">
        <v>31</v>
      </c>
      <c r="V51" s="28">
        <v>45444</v>
      </c>
      <c r="W51" s="27" t="s">
        <v>38</v>
      </c>
      <c r="X51" s="28">
        <v>45384</v>
      </c>
      <c r="Y51" s="27" t="s">
        <v>39</v>
      </c>
      <c r="Z51" s="43" t="e">
        <f>TEXT([1]!Table64[[#This Row],[Order date]],"mmm-yyyy")</f>
        <v>#REF!</v>
      </c>
    </row>
    <row r="52" spans="1:26" x14ac:dyDescent="0.3">
      <c r="A52" s="10">
        <v>10051</v>
      </c>
      <c r="B52" s="11">
        <v>5958</v>
      </c>
      <c r="C52" s="11" t="s">
        <v>34</v>
      </c>
      <c r="D52" s="12">
        <v>83795.77</v>
      </c>
      <c r="E52" s="11">
        <v>1</v>
      </c>
      <c r="F52" s="11" t="s">
        <v>43</v>
      </c>
      <c r="G52" s="13">
        <v>45361</v>
      </c>
      <c r="H52" s="12">
        <v>66220.100000000006</v>
      </c>
      <c r="I52" s="14" t="s">
        <v>47</v>
      </c>
      <c r="J52" s="15" t="s">
        <v>28</v>
      </c>
      <c r="K52" s="15">
        <v>1489</v>
      </c>
      <c r="L52" s="16">
        <v>45332</v>
      </c>
      <c r="M52" s="17">
        <v>5</v>
      </c>
      <c r="N52" s="18">
        <v>90051</v>
      </c>
      <c r="O52" s="18" t="s">
        <v>37</v>
      </c>
      <c r="P52" s="19">
        <v>45430</v>
      </c>
      <c r="Q52" s="20">
        <v>0.60109000000000001</v>
      </c>
      <c r="R52" s="21">
        <v>70051</v>
      </c>
      <c r="S52" s="18" t="s">
        <v>30</v>
      </c>
      <c r="T52" s="20">
        <v>141993.78570000001</v>
      </c>
      <c r="U52" s="18" t="s">
        <v>48</v>
      </c>
      <c r="V52" s="19">
        <v>45392</v>
      </c>
      <c r="W52" s="18" t="s">
        <v>38</v>
      </c>
      <c r="X52" s="19">
        <v>45376</v>
      </c>
      <c r="Y52" s="18" t="s">
        <v>39</v>
      </c>
      <c r="Z52" s="43" t="e">
        <f>TEXT([1]!Table64[[#This Row],[Order date]],"mmm-yyyy")</f>
        <v>#REF!</v>
      </c>
    </row>
    <row r="53" spans="1:26" x14ac:dyDescent="0.3">
      <c r="A53" s="22">
        <v>10052</v>
      </c>
      <c r="B53" s="23">
        <v>5563</v>
      </c>
      <c r="C53" s="23" t="s">
        <v>34</v>
      </c>
      <c r="D53" s="24">
        <v>59720.47</v>
      </c>
      <c r="E53" s="23">
        <v>24</v>
      </c>
      <c r="F53" s="23" t="s">
        <v>35</v>
      </c>
      <c r="G53" s="25">
        <v>45361</v>
      </c>
      <c r="H53" s="24">
        <v>138579.14000000001</v>
      </c>
      <c r="I53" s="26" t="s">
        <v>27</v>
      </c>
      <c r="J53" s="15" t="s">
        <v>36</v>
      </c>
      <c r="K53" s="15">
        <v>1055</v>
      </c>
      <c r="L53" s="16">
        <v>45361</v>
      </c>
      <c r="M53" s="17">
        <v>10</v>
      </c>
      <c r="N53" s="27">
        <v>90052</v>
      </c>
      <c r="O53" s="27" t="s">
        <v>50</v>
      </c>
      <c r="P53" s="28">
        <v>45383</v>
      </c>
      <c r="Q53" s="29">
        <v>0.47012999999999999</v>
      </c>
      <c r="R53" s="30">
        <v>70052</v>
      </c>
      <c r="S53" s="27" t="s">
        <v>41</v>
      </c>
      <c r="T53" s="29">
        <v>142890.01370000001</v>
      </c>
      <c r="U53" s="27" t="s">
        <v>48</v>
      </c>
      <c r="V53" s="28">
        <v>45444</v>
      </c>
      <c r="W53" s="27" t="s">
        <v>32</v>
      </c>
      <c r="X53" s="28">
        <v>45376</v>
      </c>
      <c r="Y53" s="27" t="s">
        <v>33</v>
      </c>
      <c r="Z53" s="43" t="e">
        <f>TEXT([1]!Table64[[#This Row],[Order date]],"mmm-yyyy")</f>
        <v>#REF!</v>
      </c>
    </row>
    <row r="54" spans="1:26" x14ac:dyDescent="0.3">
      <c r="A54" s="10">
        <v>10053</v>
      </c>
      <c r="B54" s="11">
        <v>6900</v>
      </c>
      <c r="C54" s="11" t="s">
        <v>34</v>
      </c>
      <c r="D54" s="12">
        <v>78728.66</v>
      </c>
      <c r="E54" s="11">
        <v>57</v>
      </c>
      <c r="F54" s="11" t="s">
        <v>35</v>
      </c>
      <c r="G54" s="13">
        <v>45383</v>
      </c>
      <c r="H54" s="12">
        <v>173581.04</v>
      </c>
      <c r="I54" s="14" t="s">
        <v>44</v>
      </c>
      <c r="J54" s="15" t="s">
        <v>49</v>
      </c>
      <c r="K54" s="15">
        <v>1399</v>
      </c>
      <c r="L54" s="16">
        <v>45332</v>
      </c>
      <c r="M54" s="17">
        <v>14</v>
      </c>
      <c r="N54" s="18">
        <v>90053</v>
      </c>
      <c r="O54" s="18" t="s">
        <v>40</v>
      </c>
      <c r="P54" s="19">
        <v>45383</v>
      </c>
      <c r="Q54" s="20">
        <v>0.51429999999999998</v>
      </c>
      <c r="R54" s="21">
        <v>70053</v>
      </c>
      <c r="S54" s="18" t="s">
        <v>41</v>
      </c>
      <c r="T54" s="20">
        <v>158650.74129999999</v>
      </c>
      <c r="U54" s="18" t="s">
        <v>31</v>
      </c>
      <c r="V54" s="19">
        <v>45444</v>
      </c>
      <c r="W54" s="18" t="s">
        <v>38</v>
      </c>
      <c r="X54" s="19">
        <v>45376</v>
      </c>
      <c r="Y54" s="18" t="s">
        <v>33</v>
      </c>
      <c r="Z54" s="43" t="e">
        <f>TEXT([1]!Table64[[#This Row],[Order date]],"mmm-yyyy")</f>
        <v>#REF!</v>
      </c>
    </row>
    <row r="55" spans="1:26" x14ac:dyDescent="0.3">
      <c r="A55" s="22">
        <v>10054</v>
      </c>
      <c r="B55" s="23">
        <v>6591</v>
      </c>
      <c r="C55" s="23" t="s">
        <v>25</v>
      </c>
      <c r="D55" s="24">
        <v>11881.76</v>
      </c>
      <c r="E55" s="23">
        <v>70</v>
      </c>
      <c r="F55" s="23" t="s">
        <v>46</v>
      </c>
      <c r="G55" s="25">
        <v>45361</v>
      </c>
      <c r="H55" s="24">
        <v>169036.11</v>
      </c>
      <c r="I55" s="26" t="s">
        <v>27</v>
      </c>
      <c r="J55" s="15" t="s">
        <v>49</v>
      </c>
      <c r="K55" s="15">
        <v>420</v>
      </c>
      <c r="L55" s="16">
        <v>45361</v>
      </c>
      <c r="M55" s="17">
        <v>1</v>
      </c>
      <c r="N55" s="27">
        <v>90054</v>
      </c>
      <c r="O55" s="27" t="s">
        <v>40</v>
      </c>
      <c r="P55" s="28">
        <v>45352</v>
      </c>
      <c r="Q55" s="29">
        <v>0.20441999999999999</v>
      </c>
      <c r="R55" s="30">
        <v>70054</v>
      </c>
      <c r="S55" s="27" t="s">
        <v>45</v>
      </c>
      <c r="T55" s="29">
        <v>155433.06510000001</v>
      </c>
      <c r="U55" s="27" t="s">
        <v>31</v>
      </c>
      <c r="V55" s="28">
        <v>45422</v>
      </c>
      <c r="W55" s="27" t="s">
        <v>38</v>
      </c>
      <c r="X55" s="28">
        <v>45376</v>
      </c>
      <c r="Y55" s="27" t="s">
        <v>39</v>
      </c>
      <c r="Z55" s="43" t="e">
        <f>TEXT([1]!Table64[[#This Row],[Order date]],"mmm-yyyy")</f>
        <v>#REF!</v>
      </c>
    </row>
    <row r="56" spans="1:26" x14ac:dyDescent="0.3">
      <c r="A56" s="10">
        <v>10055</v>
      </c>
      <c r="B56" s="11">
        <v>6268</v>
      </c>
      <c r="C56" s="11" t="s">
        <v>25</v>
      </c>
      <c r="D56" s="12">
        <v>26891.41</v>
      </c>
      <c r="E56" s="11">
        <v>41</v>
      </c>
      <c r="F56" s="11" t="s">
        <v>43</v>
      </c>
      <c r="G56" s="13">
        <v>45306</v>
      </c>
      <c r="H56" s="12">
        <v>179647.86</v>
      </c>
      <c r="I56" s="14" t="s">
        <v>27</v>
      </c>
      <c r="J56" s="15" t="s">
        <v>36</v>
      </c>
      <c r="K56" s="15">
        <v>1417</v>
      </c>
      <c r="L56" s="16">
        <v>45361</v>
      </c>
      <c r="M56" s="17">
        <v>1</v>
      </c>
      <c r="N56" s="18">
        <v>90055</v>
      </c>
      <c r="O56" s="18" t="s">
        <v>40</v>
      </c>
      <c r="P56" s="19">
        <v>45352</v>
      </c>
      <c r="Q56" s="20">
        <v>0.70562999999999998</v>
      </c>
      <c r="R56" s="21">
        <v>70055</v>
      </c>
      <c r="S56" s="18" t="s">
        <v>30</v>
      </c>
      <c r="T56" s="20">
        <v>131937.23228</v>
      </c>
      <c r="U56" s="18" t="s">
        <v>42</v>
      </c>
      <c r="V56" s="19">
        <v>45422</v>
      </c>
      <c r="W56" s="18" t="s">
        <v>38</v>
      </c>
      <c r="X56" s="19">
        <v>45376</v>
      </c>
      <c r="Y56" s="18" t="s">
        <v>33</v>
      </c>
      <c r="Z56" s="43" t="e">
        <f>TEXT([1]!Table64[[#This Row],[Order date]],"mmm-yyyy")</f>
        <v>#REF!</v>
      </c>
    </row>
    <row r="57" spans="1:26" x14ac:dyDescent="0.3">
      <c r="A57" s="22">
        <v>10056</v>
      </c>
      <c r="B57" s="23">
        <v>5832</v>
      </c>
      <c r="C57" s="23" t="s">
        <v>34</v>
      </c>
      <c r="D57" s="24">
        <v>22710.55</v>
      </c>
      <c r="E57" s="23">
        <v>54</v>
      </c>
      <c r="F57" s="23" t="s">
        <v>26</v>
      </c>
      <c r="G57" s="25">
        <v>45337</v>
      </c>
      <c r="H57" s="24">
        <v>68821.990000000005</v>
      </c>
      <c r="I57" s="26" t="s">
        <v>27</v>
      </c>
      <c r="J57" s="15" t="s">
        <v>49</v>
      </c>
      <c r="K57" s="15">
        <v>1335</v>
      </c>
      <c r="L57" s="16">
        <v>45397</v>
      </c>
      <c r="M57" s="17">
        <v>9</v>
      </c>
      <c r="N57" s="27">
        <v>90056</v>
      </c>
      <c r="O57" s="27" t="s">
        <v>29</v>
      </c>
      <c r="P57" s="28">
        <v>45383</v>
      </c>
      <c r="Q57" s="29">
        <v>0.48920000000000002</v>
      </c>
      <c r="R57" s="30">
        <v>70056</v>
      </c>
      <c r="S57" s="27" t="s">
        <v>41</v>
      </c>
      <c r="T57" s="29">
        <v>190855.58105000001</v>
      </c>
      <c r="U57" s="27" t="s">
        <v>31</v>
      </c>
      <c r="V57" s="28">
        <v>45392</v>
      </c>
      <c r="W57" s="27" t="s">
        <v>38</v>
      </c>
      <c r="X57" s="28">
        <v>45376</v>
      </c>
      <c r="Y57" s="27" t="s">
        <v>33</v>
      </c>
      <c r="Z57" s="43" t="e">
        <f>TEXT([1]!Table64[[#This Row],[Order date]],"mmm-yyyy")</f>
        <v>#REF!</v>
      </c>
    </row>
    <row r="58" spans="1:26" x14ac:dyDescent="0.3">
      <c r="A58" s="10">
        <v>10057</v>
      </c>
      <c r="B58" s="11">
        <v>6529</v>
      </c>
      <c r="C58" s="11" t="s">
        <v>34</v>
      </c>
      <c r="D58" s="12">
        <v>27203.71</v>
      </c>
      <c r="E58" s="11">
        <v>46</v>
      </c>
      <c r="F58" s="11" t="s">
        <v>43</v>
      </c>
      <c r="G58" s="13">
        <v>45361</v>
      </c>
      <c r="H58" s="12">
        <v>30098.45</v>
      </c>
      <c r="I58" s="14" t="s">
        <v>44</v>
      </c>
      <c r="J58" s="15" t="s">
        <v>28</v>
      </c>
      <c r="K58" s="15">
        <v>1356</v>
      </c>
      <c r="L58" s="16">
        <v>45332</v>
      </c>
      <c r="M58" s="17">
        <v>2</v>
      </c>
      <c r="N58" s="18">
        <v>90057</v>
      </c>
      <c r="O58" s="18" t="s">
        <v>37</v>
      </c>
      <c r="P58" s="19">
        <v>45430</v>
      </c>
      <c r="Q58" s="20">
        <v>0.83509</v>
      </c>
      <c r="R58" s="21">
        <v>70057</v>
      </c>
      <c r="S58" s="18" t="s">
        <v>45</v>
      </c>
      <c r="T58" s="20">
        <v>62120.161919999999</v>
      </c>
      <c r="U58" s="18" t="s">
        <v>31</v>
      </c>
      <c r="V58" s="19">
        <v>45444</v>
      </c>
      <c r="W58" s="18" t="s">
        <v>38</v>
      </c>
      <c r="X58" s="19">
        <v>45376</v>
      </c>
      <c r="Y58" s="18" t="s">
        <v>33</v>
      </c>
      <c r="Z58" s="43" t="e">
        <f>TEXT([1]!Table64[[#This Row],[Order date]],"mmm-yyyy")</f>
        <v>#REF!</v>
      </c>
    </row>
    <row r="59" spans="1:26" x14ac:dyDescent="0.3">
      <c r="A59" s="22">
        <v>10058</v>
      </c>
      <c r="B59" s="23">
        <v>6155</v>
      </c>
      <c r="C59" s="23" t="s">
        <v>34</v>
      </c>
      <c r="D59" s="24">
        <v>57337.279999999999</v>
      </c>
      <c r="E59" s="23">
        <v>60</v>
      </c>
      <c r="F59" s="23" t="s">
        <v>46</v>
      </c>
      <c r="G59" s="25">
        <v>45383</v>
      </c>
      <c r="H59" s="24">
        <v>10672.99</v>
      </c>
      <c r="I59" s="26" t="s">
        <v>44</v>
      </c>
      <c r="J59" s="15" t="s">
        <v>49</v>
      </c>
      <c r="K59" s="15">
        <v>899</v>
      </c>
      <c r="L59" s="16">
        <v>45332</v>
      </c>
      <c r="M59" s="17">
        <v>7</v>
      </c>
      <c r="N59" s="27">
        <v>90058</v>
      </c>
      <c r="O59" s="27" t="s">
        <v>50</v>
      </c>
      <c r="P59" s="28">
        <v>45430</v>
      </c>
      <c r="Q59" s="29">
        <v>0.27666000000000002</v>
      </c>
      <c r="R59" s="30">
        <v>70058</v>
      </c>
      <c r="S59" s="27" t="s">
        <v>41</v>
      </c>
      <c r="T59" s="29">
        <v>112007.66148</v>
      </c>
      <c r="U59" s="27" t="s">
        <v>31</v>
      </c>
      <c r="V59" s="28">
        <v>45444</v>
      </c>
      <c r="W59" s="27" t="s">
        <v>32</v>
      </c>
      <c r="X59" s="28">
        <v>45376</v>
      </c>
      <c r="Y59" s="27" t="s">
        <v>39</v>
      </c>
      <c r="Z59" s="43" t="e">
        <f>TEXT([1]!Table64[[#This Row],[Order date]],"mmm-yyyy")</f>
        <v>#REF!</v>
      </c>
    </row>
    <row r="60" spans="1:26" x14ac:dyDescent="0.3">
      <c r="A60" s="10">
        <v>10059</v>
      </c>
      <c r="B60" s="11">
        <v>6509</v>
      </c>
      <c r="C60" s="11" t="s">
        <v>34</v>
      </c>
      <c r="D60" s="12">
        <v>55028.31</v>
      </c>
      <c r="E60" s="11">
        <v>60</v>
      </c>
      <c r="F60" s="11" t="s">
        <v>43</v>
      </c>
      <c r="G60" s="13">
        <v>45337</v>
      </c>
      <c r="H60" s="12">
        <v>115818.52</v>
      </c>
      <c r="I60" s="14" t="s">
        <v>44</v>
      </c>
      <c r="J60" s="15" t="s">
        <v>36</v>
      </c>
      <c r="K60" s="15">
        <v>905</v>
      </c>
      <c r="L60" s="16">
        <v>45397</v>
      </c>
      <c r="M60" s="17">
        <v>10</v>
      </c>
      <c r="N60" s="18">
        <v>90059</v>
      </c>
      <c r="O60" s="18" t="s">
        <v>50</v>
      </c>
      <c r="P60" s="19">
        <v>45352</v>
      </c>
      <c r="Q60" s="20">
        <v>0.28455000000000003</v>
      </c>
      <c r="R60" s="21">
        <v>70059</v>
      </c>
      <c r="S60" s="18" t="s">
        <v>41</v>
      </c>
      <c r="T60" s="20">
        <v>103355.33839999999</v>
      </c>
      <c r="U60" s="18" t="s">
        <v>48</v>
      </c>
      <c r="V60" s="19">
        <v>45422</v>
      </c>
      <c r="W60" s="18" t="s">
        <v>32</v>
      </c>
      <c r="X60" s="19">
        <v>45376</v>
      </c>
      <c r="Y60" s="18" t="s">
        <v>33</v>
      </c>
      <c r="Z60" s="43" t="e">
        <f>TEXT([1]!Table64[[#This Row],[Order date]],"mmm-yyyy")</f>
        <v>#REF!</v>
      </c>
    </row>
    <row r="61" spans="1:26" x14ac:dyDescent="0.3">
      <c r="A61" s="22">
        <v>10060</v>
      </c>
      <c r="B61" s="23">
        <v>6843</v>
      </c>
      <c r="C61" s="23" t="s">
        <v>34</v>
      </c>
      <c r="D61" s="24">
        <v>15973.73</v>
      </c>
      <c r="E61" s="23">
        <v>57</v>
      </c>
      <c r="F61" s="23" t="s">
        <v>46</v>
      </c>
      <c r="G61" s="25">
        <v>45383</v>
      </c>
      <c r="H61" s="24">
        <v>146814.28</v>
      </c>
      <c r="I61" s="26" t="s">
        <v>27</v>
      </c>
      <c r="J61" s="15" t="s">
        <v>28</v>
      </c>
      <c r="K61" s="15">
        <v>278</v>
      </c>
      <c r="L61" s="16">
        <v>45361</v>
      </c>
      <c r="M61" s="17">
        <v>4</v>
      </c>
      <c r="N61" s="27">
        <v>90060</v>
      </c>
      <c r="O61" s="27" t="s">
        <v>29</v>
      </c>
      <c r="P61" s="28">
        <v>45352</v>
      </c>
      <c r="Q61" s="29">
        <v>0.68118000000000001</v>
      </c>
      <c r="R61" s="30">
        <v>70060</v>
      </c>
      <c r="S61" s="27" t="s">
        <v>41</v>
      </c>
      <c r="T61" s="29">
        <v>75621.390669999993</v>
      </c>
      <c r="U61" s="27" t="s">
        <v>31</v>
      </c>
      <c r="V61" s="28">
        <v>45422</v>
      </c>
      <c r="W61" s="27" t="s">
        <v>38</v>
      </c>
      <c r="X61" s="28">
        <v>45384</v>
      </c>
      <c r="Y61" s="27" t="s">
        <v>39</v>
      </c>
      <c r="Z61" s="43" t="e">
        <f>TEXT([1]!Table64[[#This Row],[Order date]],"mmm-yyyy")</f>
        <v>#REF!</v>
      </c>
    </row>
    <row r="62" spans="1:26" x14ac:dyDescent="0.3">
      <c r="A62" s="10">
        <v>10061</v>
      </c>
      <c r="B62" s="11">
        <v>5647</v>
      </c>
      <c r="C62" s="11" t="s">
        <v>25</v>
      </c>
      <c r="D62" s="12">
        <v>62983.38</v>
      </c>
      <c r="E62" s="11">
        <v>31</v>
      </c>
      <c r="F62" s="11" t="s">
        <v>46</v>
      </c>
      <c r="G62" s="13">
        <v>45337</v>
      </c>
      <c r="H62" s="12">
        <v>86101.81</v>
      </c>
      <c r="I62" s="14" t="s">
        <v>44</v>
      </c>
      <c r="J62" s="15" t="s">
        <v>36</v>
      </c>
      <c r="K62" s="15">
        <v>329</v>
      </c>
      <c r="L62" s="16">
        <v>45332</v>
      </c>
      <c r="M62" s="17">
        <v>7</v>
      </c>
      <c r="N62" s="18">
        <v>90061</v>
      </c>
      <c r="O62" s="18" t="s">
        <v>50</v>
      </c>
      <c r="P62" s="19">
        <v>45383</v>
      </c>
      <c r="Q62" s="20">
        <v>0.86140000000000005</v>
      </c>
      <c r="R62" s="21">
        <v>70061</v>
      </c>
      <c r="S62" s="18" t="s">
        <v>41</v>
      </c>
      <c r="T62" s="20">
        <v>125008.3664</v>
      </c>
      <c r="U62" s="18" t="s">
        <v>42</v>
      </c>
      <c r="V62" s="19">
        <v>45422</v>
      </c>
      <c r="W62" s="18" t="s">
        <v>38</v>
      </c>
      <c r="X62" s="19">
        <v>45384</v>
      </c>
      <c r="Y62" s="18" t="s">
        <v>33</v>
      </c>
      <c r="Z62" s="43" t="e">
        <f>TEXT([1]!Table64[[#This Row],[Order date]],"mmm-yyyy")</f>
        <v>#REF!</v>
      </c>
    </row>
    <row r="63" spans="1:26" x14ac:dyDescent="0.3">
      <c r="A63" s="22">
        <v>10062</v>
      </c>
      <c r="B63" s="23">
        <v>5021</v>
      </c>
      <c r="C63" s="23" t="s">
        <v>34</v>
      </c>
      <c r="D63" s="24">
        <v>15169.09</v>
      </c>
      <c r="E63" s="23">
        <v>84</v>
      </c>
      <c r="F63" s="23" t="s">
        <v>26</v>
      </c>
      <c r="G63" s="25">
        <v>45337</v>
      </c>
      <c r="H63" s="24">
        <v>177993.98</v>
      </c>
      <c r="I63" s="26" t="s">
        <v>27</v>
      </c>
      <c r="J63" s="15" t="s">
        <v>28</v>
      </c>
      <c r="K63" s="15">
        <v>1363</v>
      </c>
      <c r="L63" s="16">
        <v>45397</v>
      </c>
      <c r="M63" s="17">
        <v>8</v>
      </c>
      <c r="N63" s="27">
        <v>90062</v>
      </c>
      <c r="O63" s="27" t="s">
        <v>40</v>
      </c>
      <c r="P63" s="28">
        <v>45383</v>
      </c>
      <c r="Q63" s="29">
        <v>0.52498</v>
      </c>
      <c r="R63" s="30">
        <v>70062</v>
      </c>
      <c r="S63" s="27" t="s">
        <v>41</v>
      </c>
      <c r="T63" s="29">
        <v>170228.13443000001</v>
      </c>
      <c r="U63" s="27" t="s">
        <v>42</v>
      </c>
      <c r="V63" s="28">
        <v>45422</v>
      </c>
      <c r="W63" s="27" t="s">
        <v>38</v>
      </c>
      <c r="X63" s="28">
        <v>45376</v>
      </c>
      <c r="Y63" s="27" t="s">
        <v>33</v>
      </c>
      <c r="Z63" s="43" t="e">
        <f>TEXT([1]!Table64[[#This Row],[Order date]],"mmm-yyyy")</f>
        <v>#REF!</v>
      </c>
    </row>
    <row r="64" spans="1:26" x14ac:dyDescent="0.3">
      <c r="A64" s="10">
        <v>10063</v>
      </c>
      <c r="B64" s="11">
        <v>5841</v>
      </c>
      <c r="C64" s="11" t="s">
        <v>25</v>
      </c>
      <c r="D64" s="12">
        <v>68106.490000000005</v>
      </c>
      <c r="E64" s="11">
        <v>24</v>
      </c>
      <c r="F64" s="11" t="s">
        <v>35</v>
      </c>
      <c r="G64" s="13">
        <v>45361</v>
      </c>
      <c r="H64" s="12">
        <v>102498.7</v>
      </c>
      <c r="I64" s="14" t="s">
        <v>44</v>
      </c>
      <c r="J64" s="15" t="s">
        <v>28</v>
      </c>
      <c r="K64" s="15">
        <v>1120</v>
      </c>
      <c r="L64" s="16">
        <v>45397</v>
      </c>
      <c r="M64" s="17">
        <v>5</v>
      </c>
      <c r="N64" s="18">
        <v>90063</v>
      </c>
      <c r="O64" s="18" t="s">
        <v>29</v>
      </c>
      <c r="P64" s="19">
        <v>45352</v>
      </c>
      <c r="Q64" s="20">
        <v>0.75426000000000004</v>
      </c>
      <c r="R64" s="21">
        <v>70063</v>
      </c>
      <c r="S64" s="18" t="s">
        <v>30</v>
      </c>
      <c r="T64" s="20">
        <v>138292.37909999999</v>
      </c>
      <c r="U64" s="18" t="s">
        <v>42</v>
      </c>
      <c r="V64" s="19">
        <v>45392</v>
      </c>
      <c r="W64" s="18" t="s">
        <v>32</v>
      </c>
      <c r="X64" s="19">
        <v>45376</v>
      </c>
      <c r="Y64" s="18" t="s">
        <v>33</v>
      </c>
      <c r="Z64" s="43" t="e">
        <f>TEXT([1]!Table64[[#This Row],[Order date]],"mmm-yyyy")</f>
        <v>#REF!</v>
      </c>
    </row>
    <row r="65" spans="1:26" x14ac:dyDescent="0.3">
      <c r="A65" s="22">
        <v>10064</v>
      </c>
      <c r="B65" s="23">
        <v>5167</v>
      </c>
      <c r="C65" s="23" t="s">
        <v>34</v>
      </c>
      <c r="D65" s="24">
        <v>53839.33</v>
      </c>
      <c r="E65" s="23">
        <v>89</v>
      </c>
      <c r="F65" s="23" t="s">
        <v>46</v>
      </c>
      <c r="G65" s="25">
        <v>45306</v>
      </c>
      <c r="H65" s="24">
        <v>97812.46</v>
      </c>
      <c r="I65" s="26" t="s">
        <v>47</v>
      </c>
      <c r="J65" s="15" t="s">
        <v>49</v>
      </c>
      <c r="K65" s="15">
        <v>1024</v>
      </c>
      <c r="L65" s="16">
        <v>45332</v>
      </c>
      <c r="M65" s="17">
        <v>13</v>
      </c>
      <c r="N65" s="27">
        <v>90064</v>
      </c>
      <c r="O65" s="27" t="s">
        <v>50</v>
      </c>
      <c r="P65" s="28">
        <v>45383</v>
      </c>
      <c r="Q65" s="29">
        <v>0.99939999999999996</v>
      </c>
      <c r="R65" s="30">
        <v>70064</v>
      </c>
      <c r="S65" s="27" t="s">
        <v>30</v>
      </c>
      <c r="T65" s="29">
        <v>68125.282789999997</v>
      </c>
      <c r="U65" s="27" t="s">
        <v>31</v>
      </c>
      <c r="V65" s="28">
        <v>45392</v>
      </c>
      <c r="W65" s="27" t="s">
        <v>38</v>
      </c>
      <c r="X65" s="28">
        <v>45384</v>
      </c>
      <c r="Y65" s="27" t="s">
        <v>33</v>
      </c>
      <c r="Z65" s="43" t="e">
        <f>TEXT([1]!Table64[[#This Row],[Order date]],"mmm-yyyy")</f>
        <v>#REF!</v>
      </c>
    </row>
    <row r="66" spans="1:26" x14ac:dyDescent="0.3">
      <c r="A66" s="10">
        <v>10065</v>
      </c>
      <c r="B66" s="11">
        <v>6298</v>
      </c>
      <c r="C66" s="11" t="s">
        <v>34</v>
      </c>
      <c r="D66" s="12">
        <v>86399.57</v>
      </c>
      <c r="E66" s="11">
        <v>36</v>
      </c>
      <c r="F66" s="11" t="s">
        <v>46</v>
      </c>
      <c r="G66" s="13">
        <v>45361</v>
      </c>
      <c r="H66" s="12">
        <v>155754.42000000001</v>
      </c>
      <c r="I66" s="14" t="s">
        <v>44</v>
      </c>
      <c r="J66" s="15" t="s">
        <v>28</v>
      </c>
      <c r="K66" s="15">
        <v>1287</v>
      </c>
      <c r="L66" s="16">
        <v>45397</v>
      </c>
      <c r="M66" s="17">
        <v>12</v>
      </c>
      <c r="N66" s="18">
        <v>90065</v>
      </c>
      <c r="O66" s="18" t="s">
        <v>29</v>
      </c>
      <c r="P66" s="19">
        <v>45352</v>
      </c>
      <c r="Q66" s="20">
        <v>0.99124000000000001</v>
      </c>
      <c r="R66" s="21">
        <v>70065</v>
      </c>
      <c r="S66" s="18" t="s">
        <v>45</v>
      </c>
      <c r="T66" s="20">
        <v>65571.8508</v>
      </c>
      <c r="U66" s="18" t="s">
        <v>48</v>
      </c>
      <c r="V66" s="19">
        <v>45392</v>
      </c>
      <c r="W66" s="18" t="s">
        <v>38</v>
      </c>
      <c r="X66" s="19">
        <v>45376</v>
      </c>
      <c r="Y66" s="18" t="s">
        <v>33</v>
      </c>
      <c r="Z66" s="43" t="e">
        <f>TEXT([1]!Table64[[#This Row],[Order date]],"mmm-yyyy")</f>
        <v>#REF!</v>
      </c>
    </row>
    <row r="67" spans="1:26" x14ac:dyDescent="0.3">
      <c r="A67" s="22">
        <v>10066</v>
      </c>
      <c r="B67" s="23">
        <v>5388</v>
      </c>
      <c r="C67" s="23" t="s">
        <v>34</v>
      </c>
      <c r="D67" s="24">
        <v>83591.070000000007</v>
      </c>
      <c r="E67" s="23">
        <v>85</v>
      </c>
      <c r="F67" s="23" t="s">
        <v>26</v>
      </c>
      <c r="G67" s="25">
        <v>45383</v>
      </c>
      <c r="H67" s="24">
        <v>54752.94</v>
      </c>
      <c r="I67" s="26" t="s">
        <v>44</v>
      </c>
      <c r="J67" s="15" t="s">
        <v>36</v>
      </c>
      <c r="K67" s="15">
        <v>807</v>
      </c>
      <c r="L67" s="16">
        <v>45361</v>
      </c>
      <c r="M67" s="17">
        <v>12</v>
      </c>
      <c r="N67" s="27">
        <v>90066</v>
      </c>
      <c r="O67" s="27" t="s">
        <v>29</v>
      </c>
      <c r="P67" s="28">
        <v>45352</v>
      </c>
      <c r="Q67" s="29">
        <v>0.76990000000000003</v>
      </c>
      <c r="R67" s="30">
        <v>70066</v>
      </c>
      <c r="S67" s="27" t="s">
        <v>30</v>
      </c>
      <c r="T67" s="29">
        <v>156217.42730000001</v>
      </c>
      <c r="U67" s="27" t="s">
        <v>31</v>
      </c>
      <c r="V67" s="28">
        <v>45392</v>
      </c>
      <c r="W67" s="27" t="s">
        <v>32</v>
      </c>
      <c r="X67" s="28">
        <v>45384</v>
      </c>
      <c r="Y67" s="27" t="s">
        <v>33</v>
      </c>
      <c r="Z67" s="43" t="e">
        <f>TEXT([1]!Table64[[#This Row],[Order date]],"mmm-yyyy")</f>
        <v>#REF!</v>
      </c>
    </row>
    <row r="68" spans="1:26" x14ac:dyDescent="0.3">
      <c r="A68" s="10">
        <v>10067</v>
      </c>
      <c r="B68" s="11">
        <v>5601</v>
      </c>
      <c r="C68" s="11" t="s">
        <v>34</v>
      </c>
      <c r="D68" s="12">
        <v>66460.31</v>
      </c>
      <c r="E68" s="11">
        <v>30</v>
      </c>
      <c r="F68" s="11" t="s">
        <v>46</v>
      </c>
      <c r="G68" s="13">
        <v>45383</v>
      </c>
      <c r="H68" s="12">
        <v>167896.02</v>
      </c>
      <c r="I68" s="14" t="s">
        <v>47</v>
      </c>
      <c r="J68" s="15" t="s">
        <v>49</v>
      </c>
      <c r="K68" s="15">
        <v>1097</v>
      </c>
      <c r="L68" s="16">
        <v>45397</v>
      </c>
      <c r="M68" s="17">
        <v>1</v>
      </c>
      <c r="N68" s="18">
        <v>90067</v>
      </c>
      <c r="O68" s="18" t="s">
        <v>50</v>
      </c>
      <c r="P68" s="19">
        <v>45430</v>
      </c>
      <c r="Q68" s="20">
        <v>0.76563000000000003</v>
      </c>
      <c r="R68" s="21">
        <v>70067</v>
      </c>
      <c r="S68" s="18" t="s">
        <v>41</v>
      </c>
      <c r="T68" s="20">
        <v>173374.24489999999</v>
      </c>
      <c r="U68" s="18" t="s">
        <v>31</v>
      </c>
      <c r="V68" s="19">
        <v>45422</v>
      </c>
      <c r="W68" s="18" t="s">
        <v>38</v>
      </c>
      <c r="X68" s="19">
        <v>45384</v>
      </c>
      <c r="Y68" s="18" t="s">
        <v>39</v>
      </c>
      <c r="Z68" s="43" t="e">
        <f>TEXT([1]!Table64[[#This Row],[Order date]],"mmm-yyyy")</f>
        <v>#REF!</v>
      </c>
    </row>
    <row r="69" spans="1:26" x14ac:dyDescent="0.3">
      <c r="A69" s="22">
        <v>10068</v>
      </c>
      <c r="B69" s="23">
        <v>5316</v>
      </c>
      <c r="C69" s="23" t="s">
        <v>25</v>
      </c>
      <c r="D69" s="24">
        <v>40819.879999999997</v>
      </c>
      <c r="E69" s="23">
        <v>24</v>
      </c>
      <c r="F69" s="23" t="s">
        <v>35</v>
      </c>
      <c r="G69" s="25">
        <v>45337</v>
      </c>
      <c r="H69" s="24">
        <v>132566.48000000001</v>
      </c>
      <c r="I69" s="26" t="s">
        <v>44</v>
      </c>
      <c r="J69" s="15" t="s">
        <v>36</v>
      </c>
      <c r="K69" s="15">
        <v>370</v>
      </c>
      <c r="L69" s="16">
        <v>45361</v>
      </c>
      <c r="M69" s="17">
        <v>4</v>
      </c>
      <c r="N69" s="27">
        <v>90068</v>
      </c>
      <c r="O69" s="27" t="s">
        <v>40</v>
      </c>
      <c r="P69" s="28">
        <v>45352</v>
      </c>
      <c r="Q69" s="29">
        <v>0.32285999999999998</v>
      </c>
      <c r="R69" s="30">
        <v>70068</v>
      </c>
      <c r="S69" s="27" t="s">
        <v>41</v>
      </c>
      <c r="T69" s="29">
        <v>58898.903980000003</v>
      </c>
      <c r="U69" s="27" t="s">
        <v>42</v>
      </c>
      <c r="V69" s="28">
        <v>45392</v>
      </c>
      <c r="W69" s="27" t="s">
        <v>38</v>
      </c>
      <c r="X69" s="28">
        <v>45376</v>
      </c>
      <c r="Y69" s="27" t="s">
        <v>33</v>
      </c>
      <c r="Z69" s="43" t="e">
        <f>TEXT([1]!Table64[[#This Row],[Order date]],"mmm-yyyy")</f>
        <v>#REF!</v>
      </c>
    </row>
    <row r="70" spans="1:26" x14ac:dyDescent="0.3">
      <c r="A70" s="10">
        <v>10069</v>
      </c>
      <c r="B70" s="11">
        <v>5014</v>
      </c>
      <c r="C70" s="11" t="s">
        <v>34</v>
      </c>
      <c r="D70" s="12">
        <v>13300.73</v>
      </c>
      <c r="E70" s="11">
        <v>30</v>
      </c>
      <c r="F70" s="11" t="s">
        <v>26</v>
      </c>
      <c r="G70" s="13">
        <v>45337</v>
      </c>
      <c r="H70" s="12">
        <v>109158.97</v>
      </c>
      <c r="I70" s="14" t="s">
        <v>47</v>
      </c>
      <c r="J70" s="15" t="s">
        <v>28</v>
      </c>
      <c r="K70" s="15">
        <v>323</v>
      </c>
      <c r="L70" s="16">
        <v>45361</v>
      </c>
      <c r="M70" s="17">
        <v>10</v>
      </c>
      <c r="N70" s="18">
        <v>90069</v>
      </c>
      <c r="O70" s="18" t="s">
        <v>50</v>
      </c>
      <c r="P70" s="19">
        <v>45383</v>
      </c>
      <c r="Q70" s="20">
        <v>0.85019</v>
      </c>
      <c r="R70" s="21">
        <v>70069</v>
      </c>
      <c r="S70" s="18" t="s">
        <v>30</v>
      </c>
      <c r="T70" s="20">
        <v>65030.036670000001</v>
      </c>
      <c r="U70" s="18" t="s">
        <v>31</v>
      </c>
      <c r="V70" s="19">
        <v>45392</v>
      </c>
      <c r="W70" s="18" t="s">
        <v>32</v>
      </c>
      <c r="X70" s="19">
        <v>45376</v>
      </c>
      <c r="Y70" s="18" t="s">
        <v>33</v>
      </c>
      <c r="Z70" s="43" t="e">
        <f>TEXT([1]!Table64[[#This Row],[Order date]],"mmm-yyyy")</f>
        <v>#REF!</v>
      </c>
    </row>
    <row r="71" spans="1:26" x14ac:dyDescent="0.3">
      <c r="A71" s="22">
        <v>10070</v>
      </c>
      <c r="B71" s="23">
        <v>5242</v>
      </c>
      <c r="C71" s="23" t="s">
        <v>34</v>
      </c>
      <c r="D71" s="24">
        <v>61856.639999999999</v>
      </c>
      <c r="E71" s="23">
        <v>86</v>
      </c>
      <c r="F71" s="23" t="s">
        <v>35</v>
      </c>
      <c r="G71" s="25">
        <v>45306</v>
      </c>
      <c r="H71" s="24">
        <v>143665.48000000001</v>
      </c>
      <c r="I71" s="26" t="s">
        <v>44</v>
      </c>
      <c r="J71" s="15" t="s">
        <v>36</v>
      </c>
      <c r="K71" s="15">
        <v>605</v>
      </c>
      <c r="L71" s="16">
        <v>45332</v>
      </c>
      <c r="M71" s="17">
        <v>3</v>
      </c>
      <c r="N71" s="27">
        <v>90070</v>
      </c>
      <c r="O71" s="27" t="s">
        <v>37</v>
      </c>
      <c r="P71" s="28">
        <v>45430</v>
      </c>
      <c r="Q71" s="29">
        <v>0.46459</v>
      </c>
      <c r="R71" s="30">
        <v>70070</v>
      </c>
      <c r="S71" s="27" t="s">
        <v>30</v>
      </c>
      <c r="T71" s="29">
        <v>175378.28145000001</v>
      </c>
      <c r="U71" s="27" t="s">
        <v>48</v>
      </c>
      <c r="V71" s="28">
        <v>45392</v>
      </c>
      <c r="W71" s="27" t="s">
        <v>38</v>
      </c>
      <c r="X71" s="28">
        <v>45384</v>
      </c>
      <c r="Y71" s="27" t="s">
        <v>39</v>
      </c>
      <c r="Z71" s="43" t="e">
        <f>TEXT([1]!Table64[[#This Row],[Order date]],"mmm-yyyy")</f>
        <v>#REF!</v>
      </c>
    </row>
    <row r="72" spans="1:26" x14ac:dyDescent="0.3">
      <c r="A72" s="10">
        <v>10071</v>
      </c>
      <c r="B72" s="11">
        <v>5777</v>
      </c>
      <c r="C72" s="11" t="s">
        <v>34</v>
      </c>
      <c r="D72" s="12">
        <v>13429.5</v>
      </c>
      <c r="E72" s="11">
        <v>92</v>
      </c>
      <c r="F72" s="11" t="s">
        <v>35</v>
      </c>
      <c r="G72" s="13">
        <v>45361</v>
      </c>
      <c r="H72" s="12">
        <v>13700.09</v>
      </c>
      <c r="I72" s="14" t="s">
        <v>44</v>
      </c>
      <c r="J72" s="15" t="s">
        <v>36</v>
      </c>
      <c r="K72" s="15">
        <v>893</v>
      </c>
      <c r="L72" s="16">
        <v>45397</v>
      </c>
      <c r="M72" s="17">
        <v>10</v>
      </c>
      <c r="N72" s="18">
        <v>90071</v>
      </c>
      <c r="O72" s="18" t="s">
        <v>37</v>
      </c>
      <c r="P72" s="19">
        <v>45430</v>
      </c>
      <c r="Q72" s="20">
        <v>0.96579000000000004</v>
      </c>
      <c r="R72" s="21">
        <v>70071</v>
      </c>
      <c r="S72" s="18" t="s">
        <v>41</v>
      </c>
      <c r="T72" s="20">
        <v>94126.150200000004</v>
      </c>
      <c r="U72" s="18" t="s">
        <v>42</v>
      </c>
      <c r="V72" s="19">
        <v>45422</v>
      </c>
      <c r="W72" s="18" t="s">
        <v>38</v>
      </c>
      <c r="X72" s="19">
        <v>45384</v>
      </c>
      <c r="Y72" s="18" t="s">
        <v>39</v>
      </c>
      <c r="Z72" s="43" t="e">
        <f>TEXT([1]!Table64[[#This Row],[Order date]],"mmm-yyyy")</f>
        <v>#REF!</v>
      </c>
    </row>
    <row r="73" spans="1:26" x14ac:dyDescent="0.3">
      <c r="A73" s="22">
        <v>10072</v>
      </c>
      <c r="B73" s="23">
        <v>6370</v>
      </c>
      <c r="C73" s="23" t="s">
        <v>34</v>
      </c>
      <c r="D73" s="24">
        <v>93954.4</v>
      </c>
      <c r="E73" s="23">
        <v>7</v>
      </c>
      <c r="F73" s="23" t="s">
        <v>26</v>
      </c>
      <c r="G73" s="25">
        <v>45383</v>
      </c>
      <c r="H73" s="24">
        <v>167274.69</v>
      </c>
      <c r="I73" s="26" t="s">
        <v>27</v>
      </c>
      <c r="J73" s="15" t="s">
        <v>28</v>
      </c>
      <c r="K73" s="15">
        <v>1386</v>
      </c>
      <c r="L73" s="16">
        <v>45361</v>
      </c>
      <c r="M73" s="17">
        <v>12</v>
      </c>
      <c r="N73" s="27">
        <v>90072</v>
      </c>
      <c r="O73" s="27" t="s">
        <v>50</v>
      </c>
      <c r="P73" s="28">
        <v>45383</v>
      </c>
      <c r="Q73" s="29">
        <v>0.17327999999999999</v>
      </c>
      <c r="R73" s="30">
        <v>70072</v>
      </c>
      <c r="S73" s="27" t="s">
        <v>41</v>
      </c>
      <c r="T73" s="29">
        <v>52544.20048</v>
      </c>
      <c r="U73" s="27" t="s">
        <v>48</v>
      </c>
      <c r="V73" s="28">
        <v>45444</v>
      </c>
      <c r="W73" s="27" t="s">
        <v>38</v>
      </c>
      <c r="X73" s="28">
        <v>45376</v>
      </c>
      <c r="Y73" s="27" t="s">
        <v>39</v>
      </c>
      <c r="Z73" s="43" t="e">
        <f>TEXT([1]!Table64[[#This Row],[Order date]],"mmm-yyyy")</f>
        <v>#REF!</v>
      </c>
    </row>
    <row r="74" spans="1:26" x14ac:dyDescent="0.3">
      <c r="A74" s="10">
        <v>10073</v>
      </c>
      <c r="B74" s="11">
        <v>5565</v>
      </c>
      <c r="C74" s="11" t="s">
        <v>34</v>
      </c>
      <c r="D74" s="12">
        <v>33962.400000000001</v>
      </c>
      <c r="E74" s="11">
        <v>35</v>
      </c>
      <c r="F74" s="11" t="s">
        <v>46</v>
      </c>
      <c r="G74" s="13">
        <v>45337</v>
      </c>
      <c r="H74" s="12">
        <v>45487.19</v>
      </c>
      <c r="I74" s="14" t="s">
        <v>27</v>
      </c>
      <c r="J74" s="15" t="s">
        <v>49</v>
      </c>
      <c r="K74" s="15">
        <v>1436</v>
      </c>
      <c r="L74" s="16">
        <v>45361</v>
      </c>
      <c r="M74" s="17">
        <v>5</v>
      </c>
      <c r="N74" s="18">
        <v>90073</v>
      </c>
      <c r="O74" s="18" t="s">
        <v>40</v>
      </c>
      <c r="P74" s="19">
        <v>45383</v>
      </c>
      <c r="Q74" s="20">
        <v>0.49225999999999998</v>
      </c>
      <c r="R74" s="21">
        <v>70073</v>
      </c>
      <c r="S74" s="18" t="s">
        <v>41</v>
      </c>
      <c r="T74" s="20">
        <v>199544.84400000001</v>
      </c>
      <c r="U74" s="18" t="s">
        <v>48</v>
      </c>
      <c r="V74" s="19">
        <v>45422</v>
      </c>
      <c r="W74" s="18" t="s">
        <v>38</v>
      </c>
      <c r="X74" s="19">
        <v>45384</v>
      </c>
      <c r="Y74" s="18" t="s">
        <v>39</v>
      </c>
      <c r="Z74" s="43" t="e">
        <f>TEXT([1]!Table64[[#This Row],[Order date]],"mmm-yyyy")</f>
        <v>#REF!</v>
      </c>
    </row>
    <row r="75" spans="1:26" x14ac:dyDescent="0.3">
      <c r="A75" s="22">
        <v>10074</v>
      </c>
      <c r="B75" s="23">
        <v>5898</v>
      </c>
      <c r="C75" s="23" t="s">
        <v>34</v>
      </c>
      <c r="D75" s="24">
        <v>17896.32</v>
      </c>
      <c r="E75" s="23">
        <v>55</v>
      </c>
      <c r="F75" s="23" t="s">
        <v>35</v>
      </c>
      <c r="G75" s="25">
        <v>45306</v>
      </c>
      <c r="H75" s="24">
        <v>122096.63</v>
      </c>
      <c r="I75" s="26" t="s">
        <v>47</v>
      </c>
      <c r="J75" s="15" t="s">
        <v>36</v>
      </c>
      <c r="K75" s="15">
        <v>717</v>
      </c>
      <c r="L75" s="16">
        <v>45397</v>
      </c>
      <c r="M75" s="17">
        <v>10</v>
      </c>
      <c r="N75" s="27">
        <v>90074</v>
      </c>
      <c r="O75" s="27" t="s">
        <v>37</v>
      </c>
      <c r="P75" s="28">
        <v>45383</v>
      </c>
      <c r="Q75" s="29">
        <v>0.60026000000000002</v>
      </c>
      <c r="R75" s="30">
        <v>70074</v>
      </c>
      <c r="S75" s="27" t="s">
        <v>45</v>
      </c>
      <c r="T75" s="29">
        <v>64594.364200000004</v>
      </c>
      <c r="U75" s="27" t="s">
        <v>48</v>
      </c>
      <c r="V75" s="28">
        <v>45444</v>
      </c>
      <c r="W75" s="27" t="s">
        <v>38</v>
      </c>
      <c r="X75" s="28">
        <v>45384</v>
      </c>
      <c r="Y75" s="27" t="s">
        <v>33</v>
      </c>
      <c r="Z75" s="43" t="e">
        <f>TEXT([1]!Table64[[#This Row],[Order date]],"mmm-yyyy")</f>
        <v>#REF!</v>
      </c>
    </row>
    <row r="76" spans="1:26" x14ac:dyDescent="0.3">
      <c r="A76" s="10">
        <v>10075</v>
      </c>
      <c r="B76" s="11">
        <v>6364</v>
      </c>
      <c r="C76" s="11" t="s">
        <v>34</v>
      </c>
      <c r="D76" s="12">
        <v>35681.629999999997</v>
      </c>
      <c r="E76" s="11">
        <v>92</v>
      </c>
      <c r="F76" s="11" t="s">
        <v>35</v>
      </c>
      <c r="G76" s="13">
        <v>45383</v>
      </c>
      <c r="H76" s="12">
        <v>111623.94</v>
      </c>
      <c r="I76" s="14" t="s">
        <v>44</v>
      </c>
      <c r="J76" s="15" t="s">
        <v>28</v>
      </c>
      <c r="K76" s="15">
        <v>1049</v>
      </c>
      <c r="L76" s="16">
        <v>45361</v>
      </c>
      <c r="M76" s="17">
        <v>13</v>
      </c>
      <c r="N76" s="18">
        <v>90075</v>
      </c>
      <c r="O76" s="18" t="s">
        <v>37</v>
      </c>
      <c r="P76" s="19">
        <v>45352</v>
      </c>
      <c r="Q76" s="20">
        <v>0.46464</v>
      </c>
      <c r="R76" s="21">
        <v>70075</v>
      </c>
      <c r="S76" s="18" t="s">
        <v>30</v>
      </c>
      <c r="T76" s="20">
        <v>82849.889500000005</v>
      </c>
      <c r="U76" s="18" t="s">
        <v>31</v>
      </c>
      <c r="V76" s="19">
        <v>45444</v>
      </c>
      <c r="W76" s="18" t="s">
        <v>32</v>
      </c>
      <c r="X76" s="19">
        <v>45376</v>
      </c>
      <c r="Y76" s="18" t="s">
        <v>33</v>
      </c>
      <c r="Z76" s="43" t="e">
        <f>TEXT([1]!Table64[[#This Row],[Order date]],"mmm-yyyy")</f>
        <v>#REF!</v>
      </c>
    </row>
    <row r="77" spans="1:26" x14ac:dyDescent="0.3">
      <c r="A77" s="22">
        <v>10076</v>
      </c>
      <c r="B77" s="23">
        <v>5092</v>
      </c>
      <c r="C77" s="23" t="s">
        <v>34</v>
      </c>
      <c r="D77" s="24">
        <v>55279.74</v>
      </c>
      <c r="E77" s="23">
        <v>14</v>
      </c>
      <c r="F77" s="23" t="s">
        <v>35</v>
      </c>
      <c r="G77" s="25">
        <v>45337</v>
      </c>
      <c r="H77" s="24">
        <v>118608.67</v>
      </c>
      <c r="I77" s="26" t="s">
        <v>47</v>
      </c>
      <c r="J77" s="15" t="s">
        <v>49</v>
      </c>
      <c r="K77" s="15">
        <v>429</v>
      </c>
      <c r="L77" s="16">
        <v>45397</v>
      </c>
      <c r="M77" s="17">
        <v>10</v>
      </c>
      <c r="N77" s="27">
        <v>90076</v>
      </c>
      <c r="O77" s="27" t="s">
        <v>50</v>
      </c>
      <c r="P77" s="28">
        <v>45430</v>
      </c>
      <c r="Q77" s="29">
        <v>0.28952</v>
      </c>
      <c r="R77" s="30">
        <v>70076</v>
      </c>
      <c r="S77" s="27" t="s">
        <v>45</v>
      </c>
      <c r="T77" s="29">
        <v>72399.826100000006</v>
      </c>
      <c r="U77" s="27" t="s">
        <v>31</v>
      </c>
      <c r="V77" s="28">
        <v>45392</v>
      </c>
      <c r="W77" s="27" t="s">
        <v>38</v>
      </c>
      <c r="X77" s="28">
        <v>45384</v>
      </c>
      <c r="Y77" s="27" t="s">
        <v>39</v>
      </c>
      <c r="Z77" s="43" t="e">
        <f>TEXT([1]!Table64[[#This Row],[Order date]],"mmm-yyyy")</f>
        <v>#REF!</v>
      </c>
    </row>
    <row r="78" spans="1:26" x14ac:dyDescent="0.3">
      <c r="A78" s="10">
        <v>10077</v>
      </c>
      <c r="B78" s="11">
        <v>6391</v>
      </c>
      <c r="C78" s="11" t="s">
        <v>34</v>
      </c>
      <c r="D78" s="12">
        <v>78653.919999999998</v>
      </c>
      <c r="E78" s="11">
        <v>10</v>
      </c>
      <c r="F78" s="11" t="s">
        <v>35</v>
      </c>
      <c r="G78" s="13">
        <v>45383</v>
      </c>
      <c r="H78" s="12">
        <v>130811.06</v>
      </c>
      <c r="I78" s="14" t="s">
        <v>44</v>
      </c>
      <c r="J78" s="15" t="s">
        <v>49</v>
      </c>
      <c r="K78" s="15">
        <v>760</v>
      </c>
      <c r="L78" s="16">
        <v>45332</v>
      </c>
      <c r="M78" s="17">
        <v>13</v>
      </c>
      <c r="N78" s="18">
        <v>90077</v>
      </c>
      <c r="O78" s="18" t="s">
        <v>50</v>
      </c>
      <c r="P78" s="19">
        <v>45352</v>
      </c>
      <c r="Q78" s="20">
        <v>0.63368999999999998</v>
      </c>
      <c r="R78" s="21">
        <v>70077</v>
      </c>
      <c r="S78" s="18" t="s">
        <v>41</v>
      </c>
      <c r="T78" s="20">
        <v>66241.753400000001</v>
      </c>
      <c r="U78" s="18" t="s">
        <v>31</v>
      </c>
      <c r="V78" s="19">
        <v>45392</v>
      </c>
      <c r="W78" s="18" t="s">
        <v>38</v>
      </c>
      <c r="X78" s="19">
        <v>45376</v>
      </c>
      <c r="Y78" s="18" t="s">
        <v>33</v>
      </c>
      <c r="Z78" s="43" t="e">
        <f>TEXT([1]!Table64[[#This Row],[Order date]],"mmm-yyyy")</f>
        <v>#REF!</v>
      </c>
    </row>
    <row r="79" spans="1:26" x14ac:dyDescent="0.3">
      <c r="A79" s="22">
        <v>10078</v>
      </c>
      <c r="B79" s="23">
        <v>5956</v>
      </c>
      <c r="C79" s="23" t="s">
        <v>34</v>
      </c>
      <c r="D79" s="24">
        <v>80962.259999999995</v>
      </c>
      <c r="E79" s="23">
        <v>80</v>
      </c>
      <c r="F79" s="23" t="s">
        <v>26</v>
      </c>
      <c r="G79" s="25">
        <v>45306</v>
      </c>
      <c r="H79" s="24">
        <v>32968.589999999997</v>
      </c>
      <c r="I79" s="26" t="s">
        <v>27</v>
      </c>
      <c r="J79" s="15" t="s">
        <v>49</v>
      </c>
      <c r="K79" s="15">
        <v>795</v>
      </c>
      <c r="L79" s="16">
        <v>45361</v>
      </c>
      <c r="M79" s="17">
        <v>6</v>
      </c>
      <c r="N79" s="27">
        <v>90078</v>
      </c>
      <c r="O79" s="27" t="s">
        <v>50</v>
      </c>
      <c r="P79" s="28">
        <v>45352</v>
      </c>
      <c r="Q79" s="29">
        <v>0.78032999999999997</v>
      </c>
      <c r="R79" s="30">
        <v>70078</v>
      </c>
      <c r="S79" s="27" t="s">
        <v>45</v>
      </c>
      <c r="T79" s="29">
        <v>160386.60743999999</v>
      </c>
      <c r="U79" s="27" t="s">
        <v>31</v>
      </c>
      <c r="V79" s="28">
        <v>45392</v>
      </c>
      <c r="W79" s="27" t="s">
        <v>38</v>
      </c>
      <c r="X79" s="28">
        <v>45384</v>
      </c>
      <c r="Y79" s="27" t="s">
        <v>33</v>
      </c>
      <c r="Z79" s="43" t="e">
        <f>TEXT([1]!Table64[[#This Row],[Order date]],"mmm-yyyy")</f>
        <v>#REF!</v>
      </c>
    </row>
    <row r="80" spans="1:26" x14ac:dyDescent="0.3">
      <c r="A80" s="10">
        <v>10079</v>
      </c>
      <c r="B80" s="11">
        <v>6479</v>
      </c>
      <c r="C80" s="11" t="s">
        <v>34</v>
      </c>
      <c r="D80" s="12">
        <v>17953.72</v>
      </c>
      <c r="E80" s="11">
        <v>16</v>
      </c>
      <c r="F80" s="11" t="s">
        <v>26</v>
      </c>
      <c r="G80" s="13">
        <v>45306</v>
      </c>
      <c r="H80" s="12">
        <v>179516.13</v>
      </c>
      <c r="I80" s="14" t="s">
        <v>47</v>
      </c>
      <c r="J80" s="15" t="s">
        <v>36</v>
      </c>
      <c r="K80" s="15">
        <v>724</v>
      </c>
      <c r="L80" s="16">
        <v>45361</v>
      </c>
      <c r="M80" s="17">
        <v>2</v>
      </c>
      <c r="N80" s="18">
        <v>90079</v>
      </c>
      <c r="O80" s="18" t="s">
        <v>29</v>
      </c>
      <c r="P80" s="19">
        <v>45352</v>
      </c>
      <c r="Q80" s="20">
        <v>0.68035000000000001</v>
      </c>
      <c r="R80" s="21">
        <v>70079</v>
      </c>
      <c r="S80" s="18" t="s">
        <v>30</v>
      </c>
      <c r="T80" s="20">
        <v>79781.666400000002</v>
      </c>
      <c r="U80" s="18" t="s">
        <v>42</v>
      </c>
      <c r="V80" s="19">
        <v>45422</v>
      </c>
      <c r="W80" s="18" t="s">
        <v>38</v>
      </c>
      <c r="X80" s="19">
        <v>45376</v>
      </c>
      <c r="Y80" s="18" t="s">
        <v>33</v>
      </c>
      <c r="Z80" s="43" t="e">
        <f>TEXT([1]!Table64[[#This Row],[Order date]],"mmm-yyyy")</f>
        <v>#REF!</v>
      </c>
    </row>
    <row r="81" spans="1:26" x14ac:dyDescent="0.3">
      <c r="A81" s="22">
        <v>10080</v>
      </c>
      <c r="B81" s="23">
        <v>6452</v>
      </c>
      <c r="C81" s="23" t="s">
        <v>34</v>
      </c>
      <c r="D81" s="24">
        <v>99158.07</v>
      </c>
      <c r="E81" s="23">
        <v>54</v>
      </c>
      <c r="F81" s="23" t="s">
        <v>43</v>
      </c>
      <c r="G81" s="25">
        <v>45383</v>
      </c>
      <c r="H81" s="24">
        <v>113290.16</v>
      </c>
      <c r="I81" s="26" t="s">
        <v>47</v>
      </c>
      <c r="J81" s="15" t="s">
        <v>36</v>
      </c>
      <c r="K81" s="15">
        <v>165</v>
      </c>
      <c r="L81" s="16">
        <v>45397</v>
      </c>
      <c r="M81" s="17">
        <v>7</v>
      </c>
      <c r="N81" s="27">
        <v>90080</v>
      </c>
      <c r="O81" s="27" t="s">
        <v>29</v>
      </c>
      <c r="P81" s="28">
        <v>45352</v>
      </c>
      <c r="Q81" s="29">
        <v>0.311</v>
      </c>
      <c r="R81" s="30">
        <v>70080</v>
      </c>
      <c r="S81" s="27" t="s">
        <v>30</v>
      </c>
      <c r="T81" s="29">
        <v>133786.56044</v>
      </c>
      <c r="U81" s="27" t="s">
        <v>31</v>
      </c>
      <c r="V81" s="28">
        <v>45422</v>
      </c>
      <c r="W81" s="27" t="s">
        <v>32</v>
      </c>
      <c r="X81" s="28">
        <v>45376</v>
      </c>
      <c r="Y81" s="27" t="s">
        <v>33</v>
      </c>
      <c r="Z81" s="43" t="e">
        <f>TEXT([1]!Table64[[#This Row],[Order date]],"mmm-yyyy")</f>
        <v>#REF!</v>
      </c>
    </row>
    <row r="82" spans="1:26" x14ac:dyDescent="0.3">
      <c r="A82" s="10">
        <v>10081</v>
      </c>
      <c r="B82" s="11">
        <v>5509</v>
      </c>
      <c r="C82" s="11" t="s">
        <v>34</v>
      </c>
      <c r="D82" s="12">
        <v>43708.23</v>
      </c>
      <c r="E82" s="11">
        <v>95</v>
      </c>
      <c r="F82" s="11" t="s">
        <v>43</v>
      </c>
      <c r="G82" s="13">
        <v>45361</v>
      </c>
      <c r="H82" s="12">
        <v>91848.67</v>
      </c>
      <c r="I82" s="14" t="s">
        <v>27</v>
      </c>
      <c r="J82" s="15" t="s">
        <v>36</v>
      </c>
      <c r="K82" s="15">
        <v>654</v>
      </c>
      <c r="L82" s="16">
        <v>45397</v>
      </c>
      <c r="M82" s="17">
        <v>13</v>
      </c>
      <c r="N82" s="18">
        <v>90081</v>
      </c>
      <c r="O82" s="18" t="s">
        <v>29</v>
      </c>
      <c r="P82" s="19">
        <v>45430</v>
      </c>
      <c r="Q82" s="20">
        <v>0.75844999999999996</v>
      </c>
      <c r="R82" s="21">
        <v>70081</v>
      </c>
      <c r="S82" s="18" t="s">
        <v>45</v>
      </c>
      <c r="T82" s="20">
        <v>77353.371629999994</v>
      </c>
      <c r="U82" s="18" t="s">
        <v>42</v>
      </c>
      <c r="V82" s="19">
        <v>45392</v>
      </c>
      <c r="W82" s="18" t="s">
        <v>38</v>
      </c>
      <c r="X82" s="19">
        <v>45376</v>
      </c>
      <c r="Y82" s="18" t="s">
        <v>39</v>
      </c>
      <c r="Z82" s="43" t="e">
        <f>TEXT([1]!Table64[[#This Row],[Order date]],"mmm-yyyy")</f>
        <v>#REF!</v>
      </c>
    </row>
    <row r="83" spans="1:26" x14ac:dyDescent="0.3">
      <c r="A83" s="22">
        <v>10082</v>
      </c>
      <c r="B83" s="23">
        <v>5776</v>
      </c>
      <c r="C83" s="23" t="s">
        <v>34</v>
      </c>
      <c r="D83" s="24">
        <v>33729.61</v>
      </c>
      <c r="E83" s="23">
        <v>89</v>
      </c>
      <c r="F83" s="23" t="s">
        <v>35</v>
      </c>
      <c r="G83" s="25">
        <v>45383</v>
      </c>
      <c r="H83" s="24">
        <v>126054.33</v>
      </c>
      <c r="I83" s="26" t="s">
        <v>27</v>
      </c>
      <c r="J83" s="15" t="s">
        <v>49</v>
      </c>
      <c r="K83" s="15">
        <v>1115</v>
      </c>
      <c r="L83" s="16">
        <v>45397</v>
      </c>
      <c r="M83" s="17">
        <v>3</v>
      </c>
      <c r="N83" s="27">
        <v>90082</v>
      </c>
      <c r="O83" s="27" t="s">
        <v>50</v>
      </c>
      <c r="P83" s="28">
        <v>45430</v>
      </c>
      <c r="Q83" s="29">
        <v>0.33121</v>
      </c>
      <c r="R83" s="30">
        <v>70082</v>
      </c>
      <c r="S83" s="27" t="s">
        <v>30</v>
      </c>
      <c r="T83" s="29">
        <v>121140.90186</v>
      </c>
      <c r="U83" s="27" t="s">
        <v>48</v>
      </c>
      <c r="V83" s="28">
        <v>45422</v>
      </c>
      <c r="W83" s="27" t="s">
        <v>32</v>
      </c>
      <c r="X83" s="28">
        <v>45376</v>
      </c>
      <c r="Y83" s="27" t="s">
        <v>39</v>
      </c>
      <c r="Z83" s="43" t="e">
        <f>TEXT([1]!Table64[[#This Row],[Order date]],"mmm-yyyy")</f>
        <v>#REF!</v>
      </c>
    </row>
    <row r="84" spans="1:26" x14ac:dyDescent="0.3">
      <c r="A84" s="10">
        <v>10083</v>
      </c>
      <c r="B84" s="11">
        <v>6967</v>
      </c>
      <c r="C84" s="11" t="s">
        <v>34</v>
      </c>
      <c r="D84" s="12">
        <v>74484.800000000003</v>
      </c>
      <c r="E84" s="11">
        <v>77</v>
      </c>
      <c r="F84" s="11" t="s">
        <v>46</v>
      </c>
      <c r="G84" s="13">
        <v>45337</v>
      </c>
      <c r="H84" s="12">
        <v>73900</v>
      </c>
      <c r="I84" s="14" t="s">
        <v>27</v>
      </c>
      <c r="J84" s="15" t="s">
        <v>36</v>
      </c>
      <c r="K84" s="15">
        <v>428</v>
      </c>
      <c r="L84" s="16">
        <v>45397</v>
      </c>
      <c r="M84" s="17">
        <v>1</v>
      </c>
      <c r="N84" s="18">
        <v>90083</v>
      </c>
      <c r="O84" s="18" t="s">
        <v>40</v>
      </c>
      <c r="P84" s="19">
        <v>45352</v>
      </c>
      <c r="Q84" s="20">
        <v>0.25768000000000002</v>
      </c>
      <c r="R84" s="21">
        <v>70083</v>
      </c>
      <c r="S84" s="18" t="s">
        <v>41</v>
      </c>
      <c r="T84" s="20">
        <v>151454.59977</v>
      </c>
      <c r="U84" s="18" t="s">
        <v>42</v>
      </c>
      <c r="V84" s="19">
        <v>45422</v>
      </c>
      <c r="W84" s="18" t="s">
        <v>32</v>
      </c>
      <c r="X84" s="19">
        <v>45384</v>
      </c>
      <c r="Y84" s="18" t="s">
        <v>33</v>
      </c>
      <c r="Z84" s="43" t="e">
        <f>TEXT([1]!Table64[[#This Row],[Order date]],"mmm-yyyy")</f>
        <v>#REF!</v>
      </c>
    </row>
    <row r="85" spans="1:26" x14ac:dyDescent="0.3">
      <c r="A85" s="22">
        <v>10084</v>
      </c>
      <c r="B85" s="23">
        <v>5035</v>
      </c>
      <c r="C85" s="23" t="s">
        <v>34</v>
      </c>
      <c r="D85" s="24">
        <v>25885.33</v>
      </c>
      <c r="E85" s="23">
        <v>70</v>
      </c>
      <c r="F85" s="23" t="s">
        <v>35</v>
      </c>
      <c r="G85" s="25">
        <v>45361</v>
      </c>
      <c r="H85" s="24">
        <v>108788.24</v>
      </c>
      <c r="I85" s="26" t="s">
        <v>44</v>
      </c>
      <c r="J85" s="15" t="s">
        <v>28</v>
      </c>
      <c r="K85" s="15">
        <v>1279</v>
      </c>
      <c r="L85" s="16">
        <v>45361</v>
      </c>
      <c r="M85" s="17">
        <v>10</v>
      </c>
      <c r="N85" s="27">
        <v>90084</v>
      </c>
      <c r="O85" s="27" t="s">
        <v>37</v>
      </c>
      <c r="P85" s="28">
        <v>45383</v>
      </c>
      <c r="Q85" s="29">
        <v>0.72160000000000002</v>
      </c>
      <c r="R85" s="30">
        <v>70084</v>
      </c>
      <c r="S85" s="27" t="s">
        <v>41</v>
      </c>
      <c r="T85" s="29">
        <v>120223.3946</v>
      </c>
      <c r="U85" s="27" t="s">
        <v>31</v>
      </c>
      <c r="V85" s="28">
        <v>45444</v>
      </c>
      <c r="W85" s="27" t="s">
        <v>38</v>
      </c>
      <c r="X85" s="28">
        <v>45376</v>
      </c>
      <c r="Y85" s="27" t="s">
        <v>39</v>
      </c>
      <c r="Z85" s="43" t="e">
        <f>TEXT([1]!Table64[[#This Row],[Order date]],"mmm-yyyy")</f>
        <v>#REF!</v>
      </c>
    </row>
    <row r="86" spans="1:26" x14ac:dyDescent="0.3">
      <c r="A86" s="10">
        <v>10085</v>
      </c>
      <c r="B86" s="11">
        <v>5206</v>
      </c>
      <c r="C86" s="11" t="s">
        <v>34</v>
      </c>
      <c r="D86" s="12">
        <v>18976.14</v>
      </c>
      <c r="E86" s="11">
        <v>44</v>
      </c>
      <c r="F86" s="11" t="s">
        <v>46</v>
      </c>
      <c r="G86" s="13">
        <v>45337</v>
      </c>
      <c r="H86" s="12">
        <v>149934.1</v>
      </c>
      <c r="I86" s="14" t="s">
        <v>27</v>
      </c>
      <c r="J86" s="15" t="s">
        <v>36</v>
      </c>
      <c r="K86" s="15">
        <v>515</v>
      </c>
      <c r="L86" s="16">
        <v>45332</v>
      </c>
      <c r="M86" s="17">
        <v>3</v>
      </c>
      <c r="N86" s="18">
        <v>90085</v>
      </c>
      <c r="O86" s="18" t="s">
        <v>29</v>
      </c>
      <c r="P86" s="19">
        <v>45430</v>
      </c>
      <c r="Q86" s="20">
        <v>0.85851</v>
      </c>
      <c r="R86" s="21">
        <v>70085</v>
      </c>
      <c r="S86" s="18" t="s">
        <v>41</v>
      </c>
      <c r="T86" s="20">
        <v>106219.10689</v>
      </c>
      <c r="U86" s="18" t="s">
        <v>42</v>
      </c>
      <c r="V86" s="19">
        <v>45422</v>
      </c>
      <c r="W86" s="18" t="s">
        <v>38</v>
      </c>
      <c r="X86" s="19">
        <v>45376</v>
      </c>
      <c r="Y86" s="18" t="s">
        <v>33</v>
      </c>
      <c r="Z86" s="43" t="e">
        <f>TEXT([1]!Table64[[#This Row],[Order date]],"mmm-yyyy")</f>
        <v>#REF!</v>
      </c>
    </row>
    <row r="87" spans="1:26" x14ac:dyDescent="0.3">
      <c r="A87" s="22">
        <v>10086</v>
      </c>
      <c r="B87" s="23">
        <v>6105</v>
      </c>
      <c r="C87" s="23" t="s">
        <v>34</v>
      </c>
      <c r="D87" s="24">
        <v>16164.04</v>
      </c>
      <c r="E87" s="23">
        <v>73</v>
      </c>
      <c r="F87" s="23" t="s">
        <v>35</v>
      </c>
      <c r="G87" s="25">
        <v>45383</v>
      </c>
      <c r="H87" s="24">
        <v>18980.490000000002</v>
      </c>
      <c r="I87" s="26" t="s">
        <v>44</v>
      </c>
      <c r="J87" s="15" t="s">
        <v>36</v>
      </c>
      <c r="K87" s="15">
        <v>329</v>
      </c>
      <c r="L87" s="16">
        <v>45332</v>
      </c>
      <c r="M87" s="17">
        <v>9</v>
      </c>
      <c r="N87" s="27">
        <v>90086</v>
      </c>
      <c r="O87" s="27" t="s">
        <v>40</v>
      </c>
      <c r="P87" s="28">
        <v>45352</v>
      </c>
      <c r="Q87" s="29">
        <v>0.53339000000000003</v>
      </c>
      <c r="R87" s="30">
        <v>70086</v>
      </c>
      <c r="S87" s="27" t="s">
        <v>30</v>
      </c>
      <c r="T87" s="29">
        <v>162430.66688999999</v>
      </c>
      <c r="U87" s="27" t="s">
        <v>31</v>
      </c>
      <c r="V87" s="28">
        <v>45444</v>
      </c>
      <c r="W87" s="27" t="s">
        <v>32</v>
      </c>
      <c r="X87" s="28">
        <v>45376</v>
      </c>
      <c r="Y87" s="27" t="s">
        <v>33</v>
      </c>
      <c r="Z87" s="43" t="e">
        <f>TEXT([1]!Table64[[#This Row],[Order date]],"mmm-yyyy")</f>
        <v>#REF!</v>
      </c>
    </row>
    <row r="88" spans="1:26" x14ac:dyDescent="0.3">
      <c r="A88" s="10">
        <v>10087</v>
      </c>
      <c r="B88" s="11">
        <v>6956</v>
      </c>
      <c r="C88" s="11" t="s">
        <v>34</v>
      </c>
      <c r="D88" s="12">
        <v>98370.96</v>
      </c>
      <c r="E88" s="11">
        <v>45</v>
      </c>
      <c r="F88" s="11" t="s">
        <v>43</v>
      </c>
      <c r="G88" s="13">
        <v>45361</v>
      </c>
      <c r="H88" s="12">
        <v>142607.14000000001</v>
      </c>
      <c r="I88" s="14" t="s">
        <v>47</v>
      </c>
      <c r="J88" s="15" t="s">
        <v>49</v>
      </c>
      <c r="K88" s="15">
        <v>667</v>
      </c>
      <c r="L88" s="16">
        <v>45332</v>
      </c>
      <c r="M88" s="17">
        <v>10</v>
      </c>
      <c r="N88" s="18">
        <v>90087</v>
      </c>
      <c r="O88" s="18" t="s">
        <v>50</v>
      </c>
      <c r="P88" s="19">
        <v>45383</v>
      </c>
      <c r="Q88" s="20">
        <v>0.57825000000000004</v>
      </c>
      <c r="R88" s="21">
        <v>70087</v>
      </c>
      <c r="S88" s="18" t="s">
        <v>41</v>
      </c>
      <c r="T88" s="20">
        <v>68876.234179999999</v>
      </c>
      <c r="U88" s="18" t="s">
        <v>31</v>
      </c>
      <c r="V88" s="19">
        <v>45392</v>
      </c>
      <c r="W88" s="18" t="s">
        <v>32</v>
      </c>
      <c r="X88" s="19">
        <v>45384</v>
      </c>
      <c r="Y88" s="18" t="s">
        <v>33</v>
      </c>
      <c r="Z88" s="43" t="e">
        <f>TEXT([1]!Table64[[#This Row],[Order date]],"mmm-yyyy")</f>
        <v>#REF!</v>
      </c>
    </row>
    <row r="89" spans="1:26" x14ac:dyDescent="0.3">
      <c r="A89" s="22">
        <v>10088</v>
      </c>
      <c r="B89" s="23">
        <v>6586</v>
      </c>
      <c r="C89" s="23" t="s">
        <v>34</v>
      </c>
      <c r="D89" s="24">
        <v>89748.56</v>
      </c>
      <c r="E89" s="23">
        <v>56</v>
      </c>
      <c r="F89" s="23" t="s">
        <v>43</v>
      </c>
      <c r="G89" s="25">
        <v>45337</v>
      </c>
      <c r="H89" s="24">
        <v>23723.41</v>
      </c>
      <c r="I89" s="26" t="s">
        <v>27</v>
      </c>
      <c r="J89" s="15" t="s">
        <v>36</v>
      </c>
      <c r="K89" s="15">
        <v>167</v>
      </c>
      <c r="L89" s="16">
        <v>45332</v>
      </c>
      <c r="M89" s="17">
        <v>11</v>
      </c>
      <c r="N89" s="27">
        <v>90088</v>
      </c>
      <c r="O89" s="27" t="s">
        <v>29</v>
      </c>
      <c r="P89" s="28">
        <v>45383</v>
      </c>
      <c r="Q89" s="29">
        <v>0.37247000000000002</v>
      </c>
      <c r="R89" s="30">
        <v>70088</v>
      </c>
      <c r="S89" s="27" t="s">
        <v>41</v>
      </c>
      <c r="T89" s="29">
        <v>127647.02657</v>
      </c>
      <c r="U89" s="27" t="s">
        <v>42</v>
      </c>
      <c r="V89" s="28">
        <v>45422</v>
      </c>
      <c r="W89" s="27" t="s">
        <v>38</v>
      </c>
      <c r="X89" s="28">
        <v>45384</v>
      </c>
      <c r="Y89" s="27" t="s">
        <v>33</v>
      </c>
      <c r="Z89" s="43" t="e">
        <f>TEXT([1]!Table64[[#This Row],[Order date]],"mmm-yyyy")</f>
        <v>#REF!</v>
      </c>
    </row>
    <row r="90" spans="1:26" x14ac:dyDescent="0.3">
      <c r="A90" s="10">
        <v>10089</v>
      </c>
      <c r="B90" s="11">
        <v>6896</v>
      </c>
      <c r="C90" s="11" t="s">
        <v>25</v>
      </c>
      <c r="D90" s="12">
        <v>51263.99</v>
      </c>
      <c r="E90" s="11">
        <v>84</v>
      </c>
      <c r="F90" s="11" t="s">
        <v>46</v>
      </c>
      <c r="G90" s="13">
        <v>45383</v>
      </c>
      <c r="H90" s="12">
        <v>154060.10999999999</v>
      </c>
      <c r="I90" s="14" t="s">
        <v>27</v>
      </c>
      <c r="J90" s="15" t="s">
        <v>28</v>
      </c>
      <c r="K90" s="15">
        <v>1310</v>
      </c>
      <c r="L90" s="16">
        <v>45397</v>
      </c>
      <c r="M90" s="17">
        <v>11</v>
      </c>
      <c r="N90" s="18">
        <v>90089</v>
      </c>
      <c r="O90" s="18" t="s">
        <v>50</v>
      </c>
      <c r="P90" s="19">
        <v>45352</v>
      </c>
      <c r="Q90" s="20">
        <v>0.54515999999999998</v>
      </c>
      <c r="R90" s="21">
        <v>70089</v>
      </c>
      <c r="S90" s="18" t="s">
        <v>30</v>
      </c>
      <c r="T90" s="20">
        <v>164464.53154</v>
      </c>
      <c r="U90" s="18" t="s">
        <v>42</v>
      </c>
      <c r="V90" s="19">
        <v>45444</v>
      </c>
      <c r="W90" s="18" t="s">
        <v>32</v>
      </c>
      <c r="X90" s="19">
        <v>45384</v>
      </c>
      <c r="Y90" s="18" t="s">
        <v>33</v>
      </c>
      <c r="Z90" s="43" t="e">
        <f>TEXT([1]!Table64[[#This Row],[Order date]],"mmm-yyyy")</f>
        <v>#REF!</v>
      </c>
    </row>
    <row r="91" spans="1:26" x14ac:dyDescent="0.3">
      <c r="A91" s="22">
        <v>10090</v>
      </c>
      <c r="B91" s="23">
        <v>6412</v>
      </c>
      <c r="C91" s="23" t="s">
        <v>34</v>
      </c>
      <c r="D91" s="24">
        <v>10519.91</v>
      </c>
      <c r="E91" s="23">
        <v>82</v>
      </c>
      <c r="F91" s="23" t="s">
        <v>35</v>
      </c>
      <c r="G91" s="25">
        <v>45383</v>
      </c>
      <c r="H91" s="24">
        <v>106748.12</v>
      </c>
      <c r="I91" s="26" t="s">
        <v>44</v>
      </c>
      <c r="J91" s="15" t="s">
        <v>49</v>
      </c>
      <c r="K91" s="15">
        <v>358</v>
      </c>
      <c r="L91" s="16">
        <v>45361</v>
      </c>
      <c r="M91" s="17">
        <v>6</v>
      </c>
      <c r="N91" s="27">
        <v>90090</v>
      </c>
      <c r="O91" s="27" t="s">
        <v>40</v>
      </c>
      <c r="P91" s="28">
        <v>45430</v>
      </c>
      <c r="Q91" s="29">
        <v>0.21878</v>
      </c>
      <c r="R91" s="30">
        <v>70090</v>
      </c>
      <c r="S91" s="27" t="s">
        <v>41</v>
      </c>
      <c r="T91" s="29">
        <v>181708.94407999999</v>
      </c>
      <c r="U91" s="27" t="s">
        <v>48</v>
      </c>
      <c r="V91" s="28">
        <v>45422</v>
      </c>
      <c r="W91" s="27" t="s">
        <v>32</v>
      </c>
      <c r="X91" s="28">
        <v>45376</v>
      </c>
      <c r="Y91" s="27" t="s">
        <v>33</v>
      </c>
      <c r="Z91" s="43" t="e">
        <f>TEXT([1]!Table64[[#This Row],[Order date]],"mmm-yyyy")</f>
        <v>#REF!</v>
      </c>
    </row>
    <row r="92" spans="1:26" x14ac:dyDescent="0.3">
      <c r="A92" s="10">
        <v>10091</v>
      </c>
      <c r="B92" s="11">
        <v>6026</v>
      </c>
      <c r="C92" s="11" t="s">
        <v>34</v>
      </c>
      <c r="D92" s="12">
        <v>82125.38</v>
      </c>
      <c r="E92" s="11">
        <v>57</v>
      </c>
      <c r="F92" s="11" t="s">
        <v>46</v>
      </c>
      <c r="G92" s="13">
        <v>45361</v>
      </c>
      <c r="H92" s="12">
        <v>108709.32</v>
      </c>
      <c r="I92" s="14" t="s">
        <v>44</v>
      </c>
      <c r="J92" s="15" t="s">
        <v>28</v>
      </c>
      <c r="K92" s="15">
        <v>149</v>
      </c>
      <c r="L92" s="16">
        <v>45361</v>
      </c>
      <c r="M92" s="17">
        <v>11</v>
      </c>
      <c r="N92" s="18">
        <v>90091</v>
      </c>
      <c r="O92" s="18" t="s">
        <v>29</v>
      </c>
      <c r="P92" s="19">
        <v>45383</v>
      </c>
      <c r="Q92" s="20">
        <v>0.96025000000000005</v>
      </c>
      <c r="R92" s="21">
        <v>70091</v>
      </c>
      <c r="S92" s="18" t="s">
        <v>41</v>
      </c>
      <c r="T92" s="20">
        <v>142820.18090000001</v>
      </c>
      <c r="U92" s="18" t="s">
        <v>48</v>
      </c>
      <c r="V92" s="19">
        <v>45444</v>
      </c>
      <c r="W92" s="18" t="s">
        <v>38</v>
      </c>
      <c r="X92" s="19">
        <v>45384</v>
      </c>
      <c r="Y92" s="18" t="s">
        <v>39</v>
      </c>
      <c r="Z92" s="43" t="e">
        <f>TEXT([1]!Table64[[#This Row],[Order date]],"mmm-yyyy")</f>
        <v>#REF!</v>
      </c>
    </row>
    <row r="93" spans="1:26" x14ac:dyDescent="0.3">
      <c r="A93" s="22">
        <v>10092</v>
      </c>
      <c r="B93" s="23">
        <v>6022</v>
      </c>
      <c r="C93" s="23" t="s">
        <v>25</v>
      </c>
      <c r="D93" s="24">
        <v>68782.62</v>
      </c>
      <c r="E93" s="23">
        <v>21</v>
      </c>
      <c r="F93" s="23" t="s">
        <v>43</v>
      </c>
      <c r="G93" s="25">
        <v>45383</v>
      </c>
      <c r="H93" s="24">
        <v>64226.34</v>
      </c>
      <c r="I93" s="26" t="s">
        <v>47</v>
      </c>
      <c r="J93" s="15" t="s">
        <v>49</v>
      </c>
      <c r="K93" s="15">
        <v>310</v>
      </c>
      <c r="L93" s="16">
        <v>45361</v>
      </c>
      <c r="M93" s="17">
        <v>6</v>
      </c>
      <c r="N93" s="27">
        <v>90092</v>
      </c>
      <c r="O93" s="27" t="s">
        <v>29</v>
      </c>
      <c r="P93" s="28">
        <v>45430</v>
      </c>
      <c r="Q93" s="29">
        <v>0.82032000000000005</v>
      </c>
      <c r="R93" s="30">
        <v>70092</v>
      </c>
      <c r="S93" s="27" t="s">
        <v>41</v>
      </c>
      <c r="T93" s="29">
        <v>112846.7699</v>
      </c>
      <c r="U93" s="27" t="s">
        <v>48</v>
      </c>
      <c r="V93" s="28">
        <v>45444</v>
      </c>
      <c r="W93" s="27" t="s">
        <v>38</v>
      </c>
      <c r="X93" s="28">
        <v>45384</v>
      </c>
      <c r="Y93" s="27" t="s">
        <v>33</v>
      </c>
      <c r="Z93" s="43" t="e">
        <f>TEXT([1]!Table64[[#This Row],[Order date]],"mmm-yyyy")</f>
        <v>#REF!</v>
      </c>
    </row>
    <row r="94" spans="1:26" x14ac:dyDescent="0.3">
      <c r="A94" s="10">
        <v>10093</v>
      </c>
      <c r="B94" s="11">
        <v>6414</v>
      </c>
      <c r="C94" s="11" t="s">
        <v>34</v>
      </c>
      <c r="D94" s="12">
        <v>55959.65</v>
      </c>
      <c r="E94" s="11">
        <v>68</v>
      </c>
      <c r="F94" s="11" t="s">
        <v>35</v>
      </c>
      <c r="G94" s="13">
        <v>45306</v>
      </c>
      <c r="H94" s="12">
        <v>51440.9</v>
      </c>
      <c r="I94" s="14" t="s">
        <v>44</v>
      </c>
      <c r="J94" s="15" t="s">
        <v>49</v>
      </c>
      <c r="K94" s="15">
        <v>1042</v>
      </c>
      <c r="L94" s="16">
        <v>45397</v>
      </c>
      <c r="M94" s="17">
        <v>4</v>
      </c>
      <c r="N94" s="18">
        <v>90093</v>
      </c>
      <c r="O94" s="18" t="s">
        <v>29</v>
      </c>
      <c r="P94" s="19">
        <v>45430</v>
      </c>
      <c r="Q94" s="20">
        <v>0.70118000000000003</v>
      </c>
      <c r="R94" s="21">
        <v>70093</v>
      </c>
      <c r="S94" s="18" t="s">
        <v>41</v>
      </c>
      <c r="T94" s="20">
        <v>156804.9675</v>
      </c>
      <c r="U94" s="18" t="s">
        <v>48</v>
      </c>
      <c r="V94" s="19">
        <v>45422</v>
      </c>
      <c r="W94" s="18" t="s">
        <v>38</v>
      </c>
      <c r="X94" s="19">
        <v>45376</v>
      </c>
      <c r="Y94" s="18" t="s">
        <v>39</v>
      </c>
      <c r="Z94" s="43" t="e">
        <f>TEXT([1]!Table64[[#This Row],[Order date]],"mmm-yyyy")</f>
        <v>#REF!</v>
      </c>
    </row>
    <row r="95" spans="1:26" x14ac:dyDescent="0.3">
      <c r="A95" s="22">
        <v>10094</v>
      </c>
      <c r="B95" s="23">
        <v>5566</v>
      </c>
      <c r="C95" s="23" t="s">
        <v>34</v>
      </c>
      <c r="D95" s="24">
        <v>70797.84</v>
      </c>
      <c r="E95" s="23">
        <v>50</v>
      </c>
      <c r="F95" s="23" t="s">
        <v>35</v>
      </c>
      <c r="G95" s="25">
        <v>45337</v>
      </c>
      <c r="H95" s="24">
        <v>50100.73</v>
      </c>
      <c r="I95" s="26" t="s">
        <v>47</v>
      </c>
      <c r="J95" s="15" t="s">
        <v>36</v>
      </c>
      <c r="K95" s="15">
        <v>1378</v>
      </c>
      <c r="L95" s="16">
        <v>45361</v>
      </c>
      <c r="M95" s="17">
        <v>8</v>
      </c>
      <c r="N95" s="27">
        <v>90094</v>
      </c>
      <c r="O95" s="27" t="s">
        <v>29</v>
      </c>
      <c r="P95" s="28">
        <v>45383</v>
      </c>
      <c r="Q95" s="29">
        <v>0.58436999999999995</v>
      </c>
      <c r="R95" s="30">
        <v>70094</v>
      </c>
      <c r="S95" s="27" t="s">
        <v>45</v>
      </c>
      <c r="T95" s="29">
        <v>117868.38933999999</v>
      </c>
      <c r="U95" s="27" t="s">
        <v>48</v>
      </c>
      <c r="V95" s="28">
        <v>45392</v>
      </c>
      <c r="W95" s="27" t="s">
        <v>38</v>
      </c>
      <c r="X95" s="28">
        <v>45376</v>
      </c>
      <c r="Y95" s="27" t="s">
        <v>39</v>
      </c>
      <c r="Z95" s="43" t="e">
        <f>TEXT([1]!Table64[[#This Row],[Order date]],"mmm-yyyy")</f>
        <v>#REF!</v>
      </c>
    </row>
    <row r="96" spans="1:26" x14ac:dyDescent="0.3">
      <c r="A96" s="10">
        <v>10095</v>
      </c>
      <c r="B96" s="11">
        <v>6130</v>
      </c>
      <c r="C96" s="11" t="s">
        <v>34</v>
      </c>
      <c r="D96" s="12">
        <v>82544</v>
      </c>
      <c r="E96" s="11">
        <v>33</v>
      </c>
      <c r="F96" s="11" t="s">
        <v>46</v>
      </c>
      <c r="G96" s="13">
        <v>45337</v>
      </c>
      <c r="H96" s="12">
        <v>147309.14000000001</v>
      </c>
      <c r="I96" s="14" t="s">
        <v>27</v>
      </c>
      <c r="J96" s="15" t="s">
        <v>28</v>
      </c>
      <c r="K96" s="15">
        <v>1427</v>
      </c>
      <c r="L96" s="16">
        <v>45397</v>
      </c>
      <c r="M96" s="17">
        <v>5</v>
      </c>
      <c r="N96" s="18">
        <v>90095</v>
      </c>
      <c r="O96" s="18" t="s">
        <v>40</v>
      </c>
      <c r="P96" s="19">
        <v>45352</v>
      </c>
      <c r="Q96" s="20">
        <v>0.81294999999999995</v>
      </c>
      <c r="R96" s="21">
        <v>70095</v>
      </c>
      <c r="S96" s="18" t="s">
        <v>41</v>
      </c>
      <c r="T96" s="20">
        <v>70575.452590000001</v>
      </c>
      <c r="U96" s="18" t="s">
        <v>42</v>
      </c>
      <c r="V96" s="19">
        <v>45444</v>
      </c>
      <c r="W96" s="18" t="s">
        <v>38</v>
      </c>
      <c r="X96" s="19">
        <v>45376</v>
      </c>
      <c r="Y96" s="18" t="s">
        <v>33</v>
      </c>
      <c r="Z96" s="43" t="e">
        <f>TEXT([1]!Table64[[#This Row],[Order date]],"mmm-yyyy")</f>
        <v>#REF!</v>
      </c>
    </row>
    <row r="97" spans="1:26" x14ac:dyDescent="0.3">
      <c r="A97" s="22">
        <v>10096</v>
      </c>
      <c r="B97" s="23">
        <v>6796</v>
      </c>
      <c r="C97" s="23" t="s">
        <v>34</v>
      </c>
      <c r="D97" s="24">
        <v>68293.23</v>
      </c>
      <c r="E97" s="23">
        <v>91</v>
      </c>
      <c r="F97" s="23" t="s">
        <v>26</v>
      </c>
      <c r="G97" s="25">
        <v>45383</v>
      </c>
      <c r="H97" s="24">
        <v>52241.22</v>
      </c>
      <c r="I97" s="26" t="s">
        <v>44</v>
      </c>
      <c r="J97" s="15" t="s">
        <v>49</v>
      </c>
      <c r="K97" s="15">
        <v>335</v>
      </c>
      <c r="L97" s="16">
        <v>45361</v>
      </c>
      <c r="M97" s="17">
        <v>7</v>
      </c>
      <c r="N97" s="27">
        <v>90096</v>
      </c>
      <c r="O97" s="27" t="s">
        <v>29</v>
      </c>
      <c r="P97" s="28">
        <v>45383</v>
      </c>
      <c r="Q97" s="29">
        <v>0.54527999999999999</v>
      </c>
      <c r="R97" s="30">
        <v>70096</v>
      </c>
      <c r="S97" s="27" t="s">
        <v>41</v>
      </c>
      <c r="T97" s="29">
        <v>142497.27650000001</v>
      </c>
      <c r="U97" s="27" t="s">
        <v>48</v>
      </c>
      <c r="V97" s="28">
        <v>45392</v>
      </c>
      <c r="W97" s="27" t="s">
        <v>38</v>
      </c>
      <c r="X97" s="28">
        <v>45376</v>
      </c>
      <c r="Y97" s="27" t="s">
        <v>33</v>
      </c>
      <c r="Z97" s="43" t="e">
        <f>TEXT([1]!Table64[[#This Row],[Order date]],"mmm-yyyy")</f>
        <v>#REF!</v>
      </c>
    </row>
    <row r="98" spans="1:26" x14ac:dyDescent="0.3">
      <c r="A98" s="10">
        <v>10097</v>
      </c>
      <c r="B98" s="11">
        <v>6846</v>
      </c>
      <c r="C98" s="11" t="s">
        <v>25</v>
      </c>
      <c r="D98" s="12">
        <v>32447.200000000001</v>
      </c>
      <c r="E98" s="11">
        <v>7</v>
      </c>
      <c r="F98" s="11" t="s">
        <v>46</v>
      </c>
      <c r="G98" s="13">
        <v>45383</v>
      </c>
      <c r="H98" s="12">
        <v>85500.05</v>
      </c>
      <c r="I98" s="14" t="s">
        <v>44</v>
      </c>
      <c r="J98" s="15" t="s">
        <v>36</v>
      </c>
      <c r="K98" s="15">
        <v>377</v>
      </c>
      <c r="L98" s="16">
        <v>45332</v>
      </c>
      <c r="M98" s="17">
        <v>9</v>
      </c>
      <c r="N98" s="18">
        <v>90097</v>
      </c>
      <c r="O98" s="18" t="s">
        <v>37</v>
      </c>
      <c r="P98" s="19">
        <v>45383</v>
      </c>
      <c r="Q98" s="20">
        <v>0.36997999999999998</v>
      </c>
      <c r="R98" s="21">
        <v>70097</v>
      </c>
      <c r="S98" s="18" t="s">
        <v>41</v>
      </c>
      <c r="T98" s="20">
        <v>78922.166540000006</v>
      </c>
      <c r="U98" s="18" t="s">
        <v>42</v>
      </c>
      <c r="V98" s="19">
        <v>45422</v>
      </c>
      <c r="W98" s="18" t="s">
        <v>38</v>
      </c>
      <c r="X98" s="19">
        <v>45376</v>
      </c>
      <c r="Y98" s="18" t="s">
        <v>33</v>
      </c>
      <c r="Z98" s="43" t="e">
        <f>TEXT([1]!Table64[[#This Row],[Order date]],"mmm-yyyy")</f>
        <v>#REF!</v>
      </c>
    </row>
    <row r="99" spans="1:26" x14ac:dyDescent="0.3">
      <c r="A99" s="22">
        <v>10098</v>
      </c>
      <c r="B99" s="23">
        <v>6501</v>
      </c>
      <c r="C99" s="23" t="s">
        <v>34</v>
      </c>
      <c r="D99" s="24">
        <v>55790.37</v>
      </c>
      <c r="E99" s="23">
        <v>70</v>
      </c>
      <c r="F99" s="23" t="s">
        <v>43</v>
      </c>
      <c r="G99" s="25">
        <v>45306</v>
      </c>
      <c r="H99" s="24">
        <v>32151.17</v>
      </c>
      <c r="I99" s="26" t="s">
        <v>44</v>
      </c>
      <c r="J99" s="15" t="s">
        <v>49</v>
      </c>
      <c r="K99" s="15">
        <v>1176</v>
      </c>
      <c r="L99" s="16">
        <v>45397</v>
      </c>
      <c r="M99" s="17">
        <v>13</v>
      </c>
      <c r="N99" s="27">
        <v>90098</v>
      </c>
      <c r="O99" s="27" t="s">
        <v>37</v>
      </c>
      <c r="P99" s="28">
        <v>45430</v>
      </c>
      <c r="Q99" s="29">
        <v>0.24434</v>
      </c>
      <c r="R99" s="30">
        <v>70098</v>
      </c>
      <c r="S99" s="27" t="s">
        <v>45</v>
      </c>
      <c r="T99" s="29">
        <v>130641.359</v>
      </c>
      <c r="U99" s="27" t="s">
        <v>48</v>
      </c>
      <c r="V99" s="28">
        <v>45422</v>
      </c>
      <c r="W99" s="27" t="s">
        <v>32</v>
      </c>
      <c r="X99" s="28">
        <v>45376</v>
      </c>
      <c r="Y99" s="27" t="s">
        <v>33</v>
      </c>
      <c r="Z99" s="43" t="e">
        <f>TEXT([1]!Table64[[#This Row],[Order date]],"mmm-yyyy")</f>
        <v>#REF!</v>
      </c>
    </row>
    <row r="100" spans="1:26" x14ac:dyDescent="0.3">
      <c r="A100" s="10">
        <v>10099</v>
      </c>
      <c r="B100" s="11">
        <v>5703</v>
      </c>
      <c r="C100" s="11" t="s">
        <v>34</v>
      </c>
      <c r="D100" s="12">
        <v>60732.74</v>
      </c>
      <c r="E100" s="11">
        <v>15</v>
      </c>
      <c r="F100" s="11" t="s">
        <v>43</v>
      </c>
      <c r="G100" s="13">
        <v>45361</v>
      </c>
      <c r="H100" s="12">
        <v>16891.28</v>
      </c>
      <c r="I100" s="14" t="s">
        <v>44</v>
      </c>
      <c r="J100" s="15" t="s">
        <v>49</v>
      </c>
      <c r="K100" s="15">
        <v>112</v>
      </c>
      <c r="L100" s="16">
        <v>45361</v>
      </c>
      <c r="M100" s="17">
        <v>13</v>
      </c>
      <c r="N100" s="18">
        <v>90099</v>
      </c>
      <c r="O100" s="18" t="s">
        <v>50</v>
      </c>
      <c r="P100" s="19">
        <v>45352</v>
      </c>
      <c r="Q100" s="20">
        <v>0.68283000000000005</v>
      </c>
      <c r="R100" s="21">
        <v>70099</v>
      </c>
      <c r="S100" s="18" t="s">
        <v>41</v>
      </c>
      <c r="T100" s="20">
        <v>151000.72111000001</v>
      </c>
      <c r="U100" s="18" t="s">
        <v>31</v>
      </c>
      <c r="V100" s="19">
        <v>45392</v>
      </c>
      <c r="W100" s="18" t="s">
        <v>38</v>
      </c>
      <c r="X100" s="19">
        <v>45384</v>
      </c>
      <c r="Y100" s="18" t="s">
        <v>33</v>
      </c>
      <c r="Z100" s="43" t="e">
        <f>TEXT([1]!Table64[[#This Row],[Order date]],"mmm-yyyy")</f>
        <v>#REF!</v>
      </c>
    </row>
    <row r="101" spans="1:26" x14ac:dyDescent="0.3">
      <c r="A101" s="22">
        <v>10100</v>
      </c>
      <c r="B101" s="23">
        <v>5402</v>
      </c>
      <c r="C101" s="23" t="s">
        <v>34</v>
      </c>
      <c r="D101" s="24">
        <v>89833.91</v>
      </c>
      <c r="E101" s="23">
        <v>82</v>
      </c>
      <c r="F101" s="23" t="s">
        <v>43</v>
      </c>
      <c r="G101" s="25">
        <v>45383</v>
      </c>
      <c r="H101" s="24">
        <v>168503.75</v>
      </c>
      <c r="I101" s="26" t="s">
        <v>47</v>
      </c>
      <c r="J101" s="15" t="s">
        <v>49</v>
      </c>
      <c r="K101" s="15">
        <v>736</v>
      </c>
      <c r="L101" s="16">
        <v>45332</v>
      </c>
      <c r="M101" s="17">
        <v>14</v>
      </c>
      <c r="N101" s="27">
        <v>90100</v>
      </c>
      <c r="O101" s="27" t="s">
        <v>29</v>
      </c>
      <c r="P101" s="28">
        <v>45430</v>
      </c>
      <c r="Q101" s="29">
        <v>0.93647999999999998</v>
      </c>
      <c r="R101" s="30">
        <v>70100</v>
      </c>
      <c r="S101" s="27" t="s">
        <v>30</v>
      </c>
      <c r="T101" s="29">
        <v>75817.196500000005</v>
      </c>
      <c r="U101" s="27" t="s">
        <v>48</v>
      </c>
      <c r="V101" s="28">
        <v>45422</v>
      </c>
      <c r="W101" s="27" t="s">
        <v>38</v>
      </c>
      <c r="X101" s="28">
        <v>45376</v>
      </c>
      <c r="Y101" s="27" t="s">
        <v>33</v>
      </c>
      <c r="Z101" s="43" t="e">
        <f>TEXT([1]!Table64[[#This Row],[Order date]],"mmm-yyyy")</f>
        <v>#REF!</v>
      </c>
    </row>
    <row r="102" spans="1:26" x14ac:dyDescent="0.3">
      <c r="A102" s="10">
        <v>10101</v>
      </c>
      <c r="B102" s="11">
        <v>5730</v>
      </c>
      <c r="C102" s="11" t="s">
        <v>34</v>
      </c>
      <c r="D102" s="12">
        <v>70457.740000000005</v>
      </c>
      <c r="E102" s="11">
        <v>32</v>
      </c>
      <c r="F102" s="11" t="s">
        <v>43</v>
      </c>
      <c r="G102" s="13">
        <v>45383</v>
      </c>
      <c r="H102" s="12">
        <v>87650.44</v>
      </c>
      <c r="I102" s="14" t="s">
        <v>44</v>
      </c>
      <c r="J102" s="15" t="s">
        <v>49</v>
      </c>
      <c r="K102" s="15">
        <v>1355</v>
      </c>
      <c r="L102" s="16">
        <v>45332</v>
      </c>
      <c r="M102" s="17">
        <v>5</v>
      </c>
      <c r="N102" s="18">
        <v>90101</v>
      </c>
      <c r="O102" s="18" t="s">
        <v>37</v>
      </c>
      <c r="P102" s="19">
        <v>45383</v>
      </c>
      <c r="Q102" s="20">
        <v>0.23826</v>
      </c>
      <c r="R102" s="21">
        <v>70101</v>
      </c>
      <c r="S102" s="18" t="s">
        <v>45</v>
      </c>
      <c r="T102" s="20">
        <v>188873.13461000001</v>
      </c>
      <c r="U102" s="18" t="s">
        <v>31</v>
      </c>
      <c r="V102" s="19">
        <v>45444</v>
      </c>
      <c r="W102" s="18" t="s">
        <v>38</v>
      </c>
      <c r="X102" s="19">
        <v>45376</v>
      </c>
      <c r="Y102" s="18" t="s">
        <v>33</v>
      </c>
      <c r="Z102" s="43" t="e">
        <f>TEXT([1]!Table64[[#This Row],[Order date]],"mmm-yyyy")</f>
        <v>#REF!</v>
      </c>
    </row>
    <row r="103" spans="1:26" x14ac:dyDescent="0.3">
      <c r="A103" s="22">
        <v>10102</v>
      </c>
      <c r="B103" s="23">
        <v>6580</v>
      </c>
      <c r="C103" s="23" t="s">
        <v>34</v>
      </c>
      <c r="D103" s="24">
        <v>96404.69</v>
      </c>
      <c r="E103" s="23">
        <v>75</v>
      </c>
      <c r="F103" s="23" t="s">
        <v>43</v>
      </c>
      <c r="G103" s="25">
        <v>45383</v>
      </c>
      <c r="H103" s="24">
        <v>43209.17</v>
      </c>
      <c r="I103" s="26" t="s">
        <v>44</v>
      </c>
      <c r="J103" s="15" t="s">
        <v>49</v>
      </c>
      <c r="K103" s="15">
        <v>1366</v>
      </c>
      <c r="L103" s="16">
        <v>45332</v>
      </c>
      <c r="M103" s="17">
        <v>11</v>
      </c>
      <c r="N103" s="27">
        <v>90102</v>
      </c>
      <c r="O103" s="27" t="s">
        <v>37</v>
      </c>
      <c r="P103" s="28">
        <v>45352</v>
      </c>
      <c r="Q103" s="29">
        <v>0.26201999999999998</v>
      </c>
      <c r="R103" s="30">
        <v>70102</v>
      </c>
      <c r="S103" s="27" t="s">
        <v>45</v>
      </c>
      <c r="T103" s="29">
        <v>110347.1565</v>
      </c>
      <c r="U103" s="27" t="s">
        <v>42</v>
      </c>
      <c r="V103" s="28">
        <v>45392</v>
      </c>
      <c r="W103" s="27" t="s">
        <v>38</v>
      </c>
      <c r="X103" s="28">
        <v>45376</v>
      </c>
      <c r="Y103" s="27" t="s">
        <v>39</v>
      </c>
      <c r="Z103" s="43" t="e">
        <f>TEXT([1]!Table64[[#This Row],[Order date]],"mmm-yyyy")</f>
        <v>#REF!</v>
      </c>
    </row>
    <row r="104" spans="1:26" x14ac:dyDescent="0.3">
      <c r="A104" s="10">
        <v>10103</v>
      </c>
      <c r="B104" s="11">
        <v>5162</v>
      </c>
      <c r="C104" s="11" t="s">
        <v>34</v>
      </c>
      <c r="D104" s="12">
        <v>74734.98</v>
      </c>
      <c r="E104" s="11">
        <v>20</v>
      </c>
      <c r="F104" s="11" t="s">
        <v>26</v>
      </c>
      <c r="G104" s="13">
        <v>45383</v>
      </c>
      <c r="H104" s="12">
        <v>113287.21</v>
      </c>
      <c r="I104" s="14" t="s">
        <v>27</v>
      </c>
      <c r="J104" s="15" t="s">
        <v>49</v>
      </c>
      <c r="K104" s="15">
        <v>787</v>
      </c>
      <c r="L104" s="16">
        <v>45397</v>
      </c>
      <c r="M104" s="17">
        <v>14</v>
      </c>
      <c r="N104" s="18">
        <v>90103</v>
      </c>
      <c r="O104" s="18" t="s">
        <v>37</v>
      </c>
      <c r="P104" s="19">
        <v>45352</v>
      </c>
      <c r="Q104" s="20">
        <v>0.49025000000000002</v>
      </c>
      <c r="R104" s="21">
        <v>70103</v>
      </c>
      <c r="S104" s="18" t="s">
        <v>41</v>
      </c>
      <c r="T104" s="20">
        <v>163579.98790000001</v>
      </c>
      <c r="U104" s="18" t="s">
        <v>48</v>
      </c>
      <c r="V104" s="19">
        <v>45422</v>
      </c>
      <c r="W104" s="18" t="s">
        <v>38</v>
      </c>
      <c r="X104" s="19">
        <v>45384</v>
      </c>
      <c r="Y104" s="18" t="s">
        <v>39</v>
      </c>
      <c r="Z104" s="43" t="e">
        <f>TEXT([1]!Table64[[#This Row],[Order date]],"mmm-yyyy")</f>
        <v>#REF!</v>
      </c>
    </row>
    <row r="105" spans="1:26" x14ac:dyDescent="0.3">
      <c r="A105" s="22">
        <v>10104</v>
      </c>
      <c r="B105" s="23">
        <v>5202</v>
      </c>
      <c r="C105" s="23" t="s">
        <v>34</v>
      </c>
      <c r="D105" s="24">
        <v>27029.46</v>
      </c>
      <c r="E105" s="23">
        <v>88</v>
      </c>
      <c r="F105" s="23" t="s">
        <v>35</v>
      </c>
      <c r="G105" s="25">
        <v>45337</v>
      </c>
      <c r="H105" s="24">
        <v>167924.75</v>
      </c>
      <c r="I105" s="26" t="s">
        <v>44</v>
      </c>
      <c r="J105" s="15" t="s">
        <v>36</v>
      </c>
      <c r="K105" s="15">
        <v>1080</v>
      </c>
      <c r="L105" s="16">
        <v>45397</v>
      </c>
      <c r="M105" s="17">
        <v>5</v>
      </c>
      <c r="N105" s="27">
        <v>90104</v>
      </c>
      <c r="O105" s="27" t="s">
        <v>40</v>
      </c>
      <c r="P105" s="28">
        <v>45352</v>
      </c>
      <c r="Q105" s="29">
        <v>0.82621</v>
      </c>
      <c r="R105" s="30">
        <v>70104</v>
      </c>
      <c r="S105" s="27" t="s">
        <v>41</v>
      </c>
      <c r="T105" s="29">
        <v>94793.800810000001</v>
      </c>
      <c r="U105" s="27" t="s">
        <v>42</v>
      </c>
      <c r="V105" s="28">
        <v>45422</v>
      </c>
      <c r="W105" s="27" t="s">
        <v>32</v>
      </c>
      <c r="X105" s="28">
        <v>45376</v>
      </c>
      <c r="Y105" s="27" t="s">
        <v>33</v>
      </c>
      <c r="Z105" s="43" t="e">
        <f>TEXT([1]!Table64[[#This Row],[Order date]],"mmm-yyyy")</f>
        <v>#REF!</v>
      </c>
    </row>
    <row r="106" spans="1:26" x14ac:dyDescent="0.3">
      <c r="A106" s="10">
        <v>10105</v>
      </c>
      <c r="B106" s="11">
        <v>6982</v>
      </c>
      <c r="C106" s="11" t="s">
        <v>25</v>
      </c>
      <c r="D106" s="12">
        <v>65166.93</v>
      </c>
      <c r="E106" s="11">
        <v>15</v>
      </c>
      <c r="F106" s="11" t="s">
        <v>46</v>
      </c>
      <c r="G106" s="13">
        <v>45383</v>
      </c>
      <c r="H106" s="12">
        <v>124022.1</v>
      </c>
      <c r="I106" s="14" t="s">
        <v>44</v>
      </c>
      <c r="J106" s="15" t="s">
        <v>49</v>
      </c>
      <c r="K106" s="15">
        <v>688</v>
      </c>
      <c r="L106" s="16">
        <v>45361</v>
      </c>
      <c r="M106" s="17">
        <v>14</v>
      </c>
      <c r="N106" s="18">
        <v>90105</v>
      </c>
      <c r="O106" s="18" t="s">
        <v>29</v>
      </c>
      <c r="P106" s="19">
        <v>45352</v>
      </c>
      <c r="Q106" s="20">
        <v>0.36453000000000002</v>
      </c>
      <c r="R106" s="21">
        <v>70105</v>
      </c>
      <c r="S106" s="18" t="s">
        <v>41</v>
      </c>
      <c r="T106" s="20">
        <v>98435.220379999999</v>
      </c>
      <c r="U106" s="18" t="s">
        <v>48</v>
      </c>
      <c r="V106" s="19">
        <v>45392</v>
      </c>
      <c r="W106" s="18" t="s">
        <v>38</v>
      </c>
      <c r="X106" s="19">
        <v>45384</v>
      </c>
      <c r="Y106" s="18" t="s">
        <v>33</v>
      </c>
      <c r="Z106" s="43" t="e">
        <f>TEXT([1]!Table64[[#This Row],[Order date]],"mmm-yyyy")</f>
        <v>#REF!</v>
      </c>
    </row>
    <row r="107" spans="1:26" x14ac:dyDescent="0.3">
      <c r="A107" s="22">
        <v>10106</v>
      </c>
      <c r="B107" s="23">
        <v>5996</v>
      </c>
      <c r="C107" s="23" t="s">
        <v>34</v>
      </c>
      <c r="D107" s="24">
        <v>52372.03</v>
      </c>
      <c r="E107" s="23">
        <v>48</v>
      </c>
      <c r="F107" s="23" t="s">
        <v>46</v>
      </c>
      <c r="G107" s="25">
        <v>45337</v>
      </c>
      <c r="H107" s="24">
        <v>146762.53</v>
      </c>
      <c r="I107" s="26" t="s">
        <v>44</v>
      </c>
      <c r="J107" s="15" t="s">
        <v>28</v>
      </c>
      <c r="K107" s="15">
        <v>985</v>
      </c>
      <c r="L107" s="16">
        <v>45332</v>
      </c>
      <c r="M107" s="17">
        <v>4</v>
      </c>
      <c r="N107" s="27">
        <v>90106</v>
      </c>
      <c r="O107" s="27" t="s">
        <v>40</v>
      </c>
      <c r="P107" s="28">
        <v>45352</v>
      </c>
      <c r="Q107" s="29">
        <v>0.32851999999999998</v>
      </c>
      <c r="R107" s="30">
        <v>70106</v>
      </c>
      <c r="S107" s="27" t="s">
        <v>30</v>
      </c>
      <c r="T107" s="29">
        <v>188127.81232999999</v>
      </c>
      <c r="U107" s="27" t="s">
        <v>42</v>
      </c>
      <c r="V107" s="28">
        <v>45444</v>
      </c>
      <c r="W107" s="27" t="s">
        <v>32</v>
      </c>
      <c r="X107" s="28">
        <v>45384</v>
      </c>
      <c r="Y107" s="27" t="s">
        <v>33</v>
      </c>
      <c r="Z107" s="43" t="e">
        <f>TEXT([1]!Table64[[#This Row],[Order date]],"mmm-yyyy")</f>
        <v>#REF!</v>
      </c>
    </row>
    <row r="108" spans="1:26" x14ac:dyDescent="0.3">
      <c r="A108" s="10">
        <v>10107</v>
      </c>
      <c r="B108" s="11">
        <v>5270</v>
      </c>
      <c r="C108" s="11" t="s">
        <v>34</v>
      </c>
      <c r="D108" s="12">
        <v>51509.29</v>
      </c>
      <c r="E108" s="11">
        <v>71</v>
      </c>
      <c r="F108" s="11" t="s">
        <v>43</v>
      </c>
      <c r="G108" s="13">
        <v>45383</v>
      </c>
      <c r="H108" s="12">
        <v>17601.96</v>
      </c>
      <c r="I108" s="14" t="s">
        <v>44</v>
      </c>
      <c r="J108" s="15" t="s">
        <v>36</v>
      </c>
      <c r="K108" s="15">
        <v>1165</v>
      </c>
      <c r="L108" s="16">
        <v>45361</v>
      </c>
      <c r="M108" s="17">
        <v>6</v>
      </c>
      <c r="N108" s="18">
        <v>90107</v>
      </c>
      <c r="O108" s="18" t="s">
        <v>40</v>
      </c>
      <c r="P108" s="19">
        <v>45383</v>
      </c>
      <c r="Q108" s="20">
        <v>0.65797000000000005</v>
      </c>
      <c r="R108" s="21">
        <v>70107</v>
      </c>
      <c r="S108" s="18" t="s">
        <v>45</v>
      </c>
      <c r="T108" s="20">
        <v>164900.55499999999</v>
      </c>
      <c r="U108" s="18" t="s">
        <v>48</v>
      </c>
      <c r="V108" s="19">
        <v>45392</v>
      </c>
      <c r="W108" s="18" t="s">
        <v>38</v>
      </c>
      <c r="X108" s="19">
        <v>45376</v>
      </c>
      <c r="Y108" s="18" t="s">
        <v>33</v>
      </c>
      <c r="Z108" s="43" t="e">
        <f>TEXT([1]!Table64[[#This Row],[Order date]],"mmm-yyyy")</f>
        <v>#REF!</v>
      </c>
    </row>
    <row r="109" spans="1:26" x14ac:dyDescent="0.3">
      <c r="A109" s="22">
        <v>10108</v>
      </c>
      <c r="B109" s="23">
        <v>6887</v>
      </c>
      <c r="C109" s="23" t="s">
        <v>25</v>
      </c>
      <c r="D109" s="24">
        <v>96874.59</v>
      </c>
      <c r="E109" s="23">
        <v>21</v>
      </c>
      <c r="F109" s="23" t="s">
        <v>46</v>
      </c>
      <c r="G109" s="25">
        <v>45361</v>
      </c>
      <c r="H109" s="24">
        <v>126364.22</v>
      </c>
      <c r="I109" s="26" t="s">
        <v>27</v>
      </c>
      <c r="J109" s="15" t="s">
        <v>28</v>
      </c>
      <c r="K109" s="15">
        <v>1263</v>
      </c>
      <c r="L109" s="16">
        <v>45361</v>
      </c>
      <c r="M109" s="17">
        <v>2</v>
      </c>
      <c r="N109" s="27">
        <v>90108</v>
      </c>
      <c r="O109" s="27" t="s">
        <v>37</v>
      </c>
      <c r="P109" s="28">
        <v>45383</v>
      </c>
      <c r="Q109" s="29">
        <v>0.58204999999999996</v>
      </c>
      <c r="R109" s="30">
        <v>70108</v>
      </c>
      <c r="S109" s="27" t="s">
        <v>45</v>
      </c>
      <c r="T109" s="29">
        <v>218232.23310000001</v>
      </c>
      <c r="U109" s="27" t="s">
        <v>48</v>
      </c>
      <c r="V109" s="28">
        <v>45422</v>
      </c>
      <c r="W109" s="27" t="s">
        <v>38</v>
      </c>
      <c r="X109" s="28">
        <v>45376</v>
      </c>
      <c r="Y109" s="27" t="s">
        <v>33</v>
      </c>
      <c r="Z109" s="43" t="e">
        <f>TEXT([1]!Table64[[#This Row],[Order date]],"mmm-yyyy")</f>
        <v>#REF!</v>
      </c>
    </row>
    <row r="110" spans="1:26" x14ac:dyDescent="0.3">
      <c r="A110" s="10">
        <v>10109</v>
      </c>
      <c r="B110" s="11">
        <v>5816</v>
      </c>
      <c r="C110" s="11" t="s">
        <v>34</v>
      </c>
      <c r="D110" s="12">
        <v>72712.53</v>
      </c>
      <c r="E110" s="11">
        <v>42</v>
      </c>
      <c r="F110" s="11" t="s">
        <v>43</v>
      </c>
      <c r="G110" s="13">
        <v>45306</v>
      </c>
      <c r="H110" s="12">
        <v>25360.55</v>
      </c>
      <c r="I110" s="14" t="s">
        <v>47</v>
      </c>
      <c r="J110" s="15" t="s">
        <v>49</v>
      </c>
      <c r="K110" s="15">
        <v>525</v>
      </c>
      <c r="L110" s="16">
        <v>45332</v>
      </c>
      <c r="M110" s="17">
        <v>3</v>
      </c>
      <c r="N110" s="18">
        <v>90109</v>
      </c>
      <c r="O110" s="18" t="s">
        <v>37</v>
      </c>
      <c r="P110" s="19">
        <v>45383</v>
      </c>
      <c r="Q110" s="20">
        <v>0.1542</v>
      </c>
      <c r="R110" s="21">
        <v>70109</v>
      </c>
      <c r="S110" s="18" t="s">
        <v>45</v>
      </c>
      <c r="T110" s="20">
        <v>157841.33507999999</v>
      </c>
      <c r="U110" s="18" t="s">
        <v>31</v>
      </c>
      <c r="V110" s="19">
        <v>45422</v>
      </c>
      <c r="W110" s="18" t="s">
        <v>38</v>
      </c>
      <c r="X110" s="19">
        <v>45376</v>
      </c>
      <c r="Y110" s="18" t="s">
        <v>39</v>
      </c>
      <c r="Z110" s="43" t="e">
        <f>TEXT([1]!Table64[[#This Row],[Order date]],"mmm-yyyy")</f>
        <v>#REF!</v>
      </c>
    </row>
    <row r="111" spans="1:26" x14ac:dyDescent="0.3">
      <c r="A111" s="22">
        <v>10110</v>
      </c>
      <c r="B111" s="23">
        <v>6295</v>
      </c>
      <c r="C111" s="23" t="s">
        <v>34</v>
      </c>
      <c r="D111" s="24">
        <v>87890.81</v>
      </c>
      <c r="E111" s="23">
        <v>26</v>
      </c>
      <c r="F111" s="23" t="s">
        <v>26</v>
      </c>
      <c r="G111" s="25">
        <v>45361</v>
      </c>
      <c r="H111" s="24">
        <v>100943.65</v>
      </c>
      <c r="I111" s="26" t="s">
        <v>44</v>
      </c>
      <c r="J111" s="15" t="s">
        <v>28</v>
      </c>
      <c r="K111" s="15">
        <v>102</v>
      </c>
      <c r="L111" s="16">
        <v>45361</v>
      </c>
      <c r="M111" s="17">
        <v>1</v>
      </c>
      <c r="N111" s="27">
        <v>90110</v>
      </c>
      <c r="O111" s="27" t="s">
        <v>50</v>
      </c>
      <c r="P111" s="28">
        <v>45430</v>
      </c>
      <c r="Q111" s="29">
        <v>0.17333999999999999</v>
      </c>
      <c r="R111" s="30">
        <v>70110</v>
      </c>
      <c r="S111" s="27" t="s">
        <v>41</v>
      </c>
      <c r="T111" s="29">
        <v>104094.92359999999</v>
      </c>
      <c r="U111" s="27" t="s">
        <v>42</v>
      </c>
      <c r="V111" s="28">
        <v>45392</v>
      </c>
      <c r="W111" s="27" t="s">
        <v>38</v>
      </c>
      <c r="X111" s="28">
        <v>45376</v>
      </c>
      <c r="Y111" s="27" t="s">
        <v>39</v>
      </c>
      <c r="Z111" s="43" t="e">
        <f>TEXT([1]!Table64[[#This Row],[Order date]],"mmm-yyyy")</f>
        <v>#REF!</v>
      </c>
    </row>
    <row r="112" spans="1:26" x14ac:dyDescent="0.3">
      <c r="A112" s="10">
        <v>10111</v>
      </c>
      <c r="B112" s="11">
        <v>5456</v>
      </c>
      <c r="C112" s="11" t="s">
        <v>34</v>
      </c>
      <c r="D112" s="12">
        <v>25420.61</v>
      </c>
      <c r="E112" s="11">
        <v>14</v>
      </c>
      <c r="F112" s="11" t="s">
        <v>26</v>
      </c>
      <c r="G112" s="13">
        <v>45383</v>
      </c>
      <c r="H112" s="12">
        <v>178231.51</v>
      </c>
      <c r="I112" s="14" t="s">
        <v>44</v>
      </c>
      <c r="J112" s="15" t="s">
        <v>49</v>
      </c>
      <c r="K112" s="15">
        <v>803</v>
      </c>
      <c r="L112" s="16">
        <v>45397</v>
      </c>
      <c r="M112" s="17">
        <v>2</v>
      </c>
      <c r="N112" s="18">
        <v>90111</v>
      </c>
      <c r="O112" s="18" t="s">
        <v>29</v>
      </c>
      <c r="P112" s="19">
        <v>45352</v>
      </c>
      <c r="Q112" s="20">
        <v>0.67871000000000004</v>
      </c>
      <c r="R112" s="21">
        <v>70111</v>
      </c>
      <c r="S112" s="18" t="s">
        <v>30</v>
      </c>
      <c r="T112" s="20">
        <v>94970.924379999997</v>
      </c>
      <c r="U112" s="18" t="s">
        <v>42</v>
      </c>
      <c r="V112" s="19">
        <v>45444</v>
      </c>
      <c r="W112" s="18" t="s">
        <v>38</v>
      </c>
      <c r="X112" s="19">
        <v>45376</v>
      </c>
      <c r="Y112" s="18" t="s">
        <v>33</v>
      </c>
      <c r="Z112" s="43" t="e">
        <f>TEXT([1]!Table64[[#This Row],[Order date]],"mmm-yyyy")</f>
        <v>#REF!</v>
      </c>
    </row>
    <row r="113" spans="1:26" x14ac:dyDescent="0.3">
      <c r="A113" s="22">
        <v>10112</v>
      </c>
      <c r="B113" s="23">
        <v>6486</v>
      </c>
      <c r="C113" s="23" t="s">
        <v>25</v>
      </c>
      <c r="D113" s="24">
        <v>78772.92</v>
      </c>
      <c r="E113" s="23">
        <v>57</v>
      </c>
      <c r="F113" s="23" t="s">
        <v>35</v>
      </c>
      <c r="G113" s="25">
        <v>45383</v>
      </c>
      <c r="H113" s="24">
        <v>14445.16</v>
      </c>
      <c r="I113" s="26" t="s">
        <v>47</v>
      </c>
      <c r="J113" s="15" t="s">
        <v>49</v>
      </c>
      <c r="K113" s="15">
        <v>535</v>
      </c>
      <c r="L113" s="16">
        <v>45361</v>
      </c>
      <c r="M113" s="17">
        <v>2</v>
      </c>
      <c r="N113" s="27">
        <v>90112</v>
      </c>
      <c r="O113" s="27" t="s">
        <v>29</v>
      </c>
      <c r="P113" s="28">
        <v>45352</v>
      </c>
      <c r="Q113" s="29">
        <v>0.51861000000000002</v>
      </c>
      <c r="R113" s="30">
        <v>70112</v>
      </c>
      <c r="S113" s="27" t="s">
        <v>45</v>
      </c>
      <c r="T113" s="29">
        <v>174780.84471</v>
      </c>
      <c r="U113" s="27" t="s">
        <v>42</v>
      </c>
      <c r="V113" s="28">
        <v>45444</v>
      </c>
      <c r="W113" s="27" t="s">
        <v>38</v>
      </c>
      <c r="X113" s="28">
        <v>45376</v>
      </c>
      <c r="Y113" s="27" t="s">
        <v>39</v>
      </c>
      <c r="Z113" s="43" t="e">
        <f>TEXT([1]!Table64[[#This Row],[Order date]],"mmm-yyyy")</f>
        <v>#REF!</v>
      </c>
    </row>
    <row r="114" spans="1:26" x14ac:dyDescent="0.3">
      <c r="A114" s="10">
        <v>10113</v>
      </c>
      <c r="B114" s="11">
        <v>6751</v>
      </c>
      <c r="C114" s="11" t="s">
        <v>34</v>
      </c>
      <c r="D114" s="12">
        <v>76922.75</v>
      </c>
      <c r="E114" s="11">
        <v>37</v>
      </c>
      <c r="F114" s="11" t="s">
        <v>26</v>
      </c>
      <c r="G114" s="13">
        <v>45383</v>
      </c>
      <c r="H114" s="12">
        <v>140747.03</v>
      </c>
      <c r="I114" s="14" t="s">
        <v>44</v>
      </c>
      <c r="J114" s="15" t="s">
        <v>36</v>
      </c>
      <c r="K114" s="15">
        <v>1437</v>
      </c>
      <c r="L114" s="16">
        <v>45332</v>
      </c>
      <c r="M114" s="17">
        <v>8</v>
      </c>
      <c r="N114" s="18">
        <v>90113</v>
      </c>
      <c r="O114" s="18" t="s">
        <v>37</v>
      </c>
      <c r="P114" s="19">
        <v>45383</v>
      </c>
      <c r="Q114" s="20">
        <v>0.97387999999999997</v>
      </c>
      <c r="R114" s="21">
        <v>70113</v>
      </c>
      <c r="S114" s="18" t="s">
        <v>45</v>
      </c>
      <c r="T114" s="20">
        <v>172185.1029</v>
      </c>
      <c r="U114" s="18" t="s">
        <v>42</v>
      </c>
      <c r="V114" s="19">
        <v>45444</v>
      </c>
      <c r="W114" s="18" t="s">
        <v>32</v>
      </c>
      <c r="X114" s="19">
        <v>45384</v>
      </c>
      <c r="Y114" s="18" t="s">
        <v>33</v>
      </c>
      <c r="Z114" s="43" t="e">
        <f>TEXT([1]!Table64[[#This Row],[Order date]],"mmm-yyyy")</f>
        <v>#REF!</v>
      </c>
    </row>
    <row r="115" spans="1:26" x14ac:dyDescent="0.3">
      <c r="A115" s="22">
        <v>10114</v>
      </c>
      <c r="B115" s="23">
        <v>6276</v>
      </c>
      <c r="C115" s="23" t="s">
        <v>25</v>
      </c>
      <c r="D115" s="24">
        <v>68954.33</v>
      </c>
      <c r="E115" s="23">
        <v>58</v>
      </c>
      <c r="F115" s="23" t="s">
        <v>26</v>
      </c>
      <c r="G115" s="25">
        <v>45361</v>
      </c>
      <c r="H115" s="24">
        <v>104057.08</v>
      </c>
      <c r="I115" s="26" t="s">
        <v>44</v>
      </c>
      <c r="J115" s="15" t="s">
        <v>36</v>
      </c>
      <c r="K115" s="15">
        <v>1185</v>
      </c>
      <c r="L115" s="16">
        <v>45397</v>
      </c>
      <c r="M115" s="17">
        <v>8</v>
      </c>
      <c r="N115" s="27">
        <v>90114</v>
      </c>
      <c r="O115" s="27" t="s">
        <v>37</v>
      </c>
      <c r="P115" s="28">
        <v>45352</v>
      </c>
      <c r="Q115" s="29">
        <v>0.71067999999999998</v>
      </c>
      <c r="R115" s="30">
        <v>70114</v>
      </c>
      <c r="S115" s="27" t="s">
        <v>41</v>
      </c>
      <c r="T115" s="29">
        <v>74106.473629999993</v>
      </c>
      <c r="U115" s="27" t="s">
        <v>42</v>
      </c>
      <c r="V115" s="28">
        <v>45392</v>
      </c>
      <c r="W115" s="27" t="s">
        <v>38</v>
      </c>
      <c r="X115" s="28">
        <v>45376</v>
      </c>
      <c r="Y115" s="27" t="s">
        <v>33</v>
      </c>
      <c r="Z115" s="43" t="e">
        <f>TEXT([1]!Table64[[#This Row],[Order date]],"mmm-yyyy")</f>
        <v>#REF!</v>
      </c>
    </row>
    <row r="116" spans="1:26" x14ac:dyDescent="0.3">
      <c r="A116" s="10">
        <v>10115</v>
      </c>
      <c r="B116" s="11">
        <v>6017</v>
      </c>
      <c r="C116" s="11" t="s">
        <v>25</v>
      </c>
      <c r="D116" s="12">
        <v>81281.570000000007</v>
      </c>
      <c r="E116" s="11">
        <v>21</v>
      </c>
      <c r="F116" s="11" t="s">
        <v>35</v>
      </c>
      <c r="G116" s="13">
        <v>45383</v>
      </c>
      <c r="H116" s="12">
        <v>78200.039999999994</v>
      </c>
      <c r="I116" s="14" t="s">
        <v>44</v>
      </c>
      <c r="J116" s="15" t="s">
        <v>49</v>
      </c>
      <c r="K116" s="15">
        <v>458</v>
      </c>
      <c r="L116" s="16">
        <v>45397</v>
      </c>
      <c r="M116" s="17">
        <v>2</v>
      </c>
      <c r="N116" s="18">
        <v>90115</v>
      </c>
      <c r="O116" s="18" t="s">
        <v>29</v>
      </c>
      <c r="P116" s="19">
        <v>45430</v>
      </c>
      <c r="Q116" s="20">
        <v>0.10907</v>
      </c>
      <c r="R116" s="21">
        <v>70115</v>
      </c>
      <c r="S116" s="18" t="s">
        <v>41</v>
      </c>
      <c r="T116" s="20">
        <v>152819.10019999999</v>
      </c>
      <c r="U116" s="18" t="s">
        <v>31</v>
      </c>
      <c r="V116" s="19">
        <v>45444</v>
      </c>
      <c r="W116" s="18" t="s">
        <v>32</v>
      </c>
      <c r="X116" s="19">
        <v>45384</v>
      </c>
      <c r="Y116" s="18" t="s">
        <v>33</v>
      </c>
      <c r="Z116" s="43" t="e">
        <f>TEXT([1]!Table64[[#This Row],[Order date]],"mmm-yyyy")</f>
        <v>#REF!</v>
      </c>
    </row>
    <row r="117" spans="1:26" x14ac:dyDescent="0.3">
      <c r="A117" s="22">
        <v>10116</v>
      </c>
      <c r="B117" s="23">
        <v>6726</v>
      </c>
      <c r="C117" s="23" t="s">
        <v>34</v>
      </c>
      <c r="D117" s="24">
        <v>94988.23</v>
      </c>
      <c r="E117" s="23">
        <v>82</v>
      </c>
      <c r="F117" s="23" t="s">
        <v>46</v>
      </c>
      <c r="G117" s="25">
        <v>45361</v>
      </c>
      <c r="H117" s="24">
        <v>79527.72</v>
      </c>
      <c r="I117" s="26" t="s">
        <v>44</v>
      </c>
      <c r="J117" s="15" t="s">
        <v>36</v>
      </c>
      <c r="K117" s="15">
        <v>1080</v>
      </c>
      <c r="L117" s="16">
        <v>45361</v>
      </c>
      <c r="M117" s="17">
        <v>13</v>
      </c>
      <c r="N117" s="27">
        <v>90116</v>
      </c>
      <c r="O117" s="27" t="s">
        <v>50</v>
      </c>
      <c r="P117" s="28">
        <v>45352</v>
      </c>
      <c r="Q117" s="29">
        <v>0.53291999999999995</v>
      </c>
      <c r="R117" s="30">
        <v>70116</v>
      </c>
      <c r="S117" s="27" t="s">
        <v>45</v>
      </c>
      <c r="T117" s="29">
        <v>88525.703699999998</v>
      </c>
      <c r="U117" s="27" t="s">
        <v>48</v>
      </c>
      <c r="V117" s="28">
        <v>45444</v>
      </c>
      <c r="W117" s="27" t="s">
        <v>38</v>
      </c>
      <c r="X117" s="28">
        <v>45384</v>
      </c>
      <c r="Y117" s="27" t="s">
        <v>39</v>
      </c>
      <c r="Z117" s="43" t="e">
        <f>TEXT([1]!Table64[[#This Row],[Order date]],"mmm-yyyy")</f>
        <v>#REF!</v>
      </c>
    </row>
    <row r="118" spans="1:26" x14ac:dyDescent="0.3">
      <c r="A118" s="10">
        <v>10117</v>
      </c>
      <c r="B118" s="11">
        <v>5296</v>
      </c>
      <c r="C118" s="11" t="s">
        <v>34</v>
      </c>
      <c r="D118" s="12">
        <v>62893.5</v>
      </c>
      <c r="E118" s="11">
        <v>69</v>
      </c>
      <c r="F118" s="11" t="s">
        <v>43</v>
      </c>
      <c r="G118" s="13">
        <v>45337</v>
      </c>
      <c r="H118" s="12">
        <v>121795.65</v>
      </c>
      <c r="I118" s="14" t="s">
        <v>44</v>
      </c>
      <c r="J118" s="15" t="s">
        <v>28</v>
      </c>
      <c r="K118" s="15">
        <v>717</v>
      </c>
      <c r="L118" s="16">
        <v>45361</v>
      </c>
      <c r="M118" s="17">
        <v>14</v>
      </c>
      <c r="N118" s="18">
        <v>90117</v>
      </c>
      <c r="O118" s="18" t="s">
        <v>37</v>
      </c>
      <c r="P118" s="19">
        <v>45352</v>
      </c>
      <c r="Q118" s="20">
        <v>0.47299999999999998</v>
      </c>
      <c r="R118" s="21">
        <v>70117</v>
      </c>
      <c r="S118" s="18" t="s">
        <v>30</v>
      </c>
      <c r="T118" s="20">
        <v>118082.959</v>
      </c>
      <c r="U118" s="18" t="s">
        <v>31</v>
      </c>
      <c r="V118" s="19">
        <v>45444</v>
      </c>
      <c r="W118" s="18" t="s">
        <v>38</v>
      </c>
      <c r="X118" s="19">
        <v>45376</v>
      </c>
      <c r="Y118" s="18" t="s">
        <v>33</v>
      </c>
      <c r="Z118" s="43" t="e">
        <f>TEXT([1]!Table64[[#This Row],[Order date]],"mmm-yyyy")</f>
        <v>#REF!</v>
      </c>
    </row>
    <row r="119" spans="1:26" x14ac:dyDescent="0.3">
      <c r="A119" s="22">
        <v>10118</v>
      </c>
      <c r="B119" s="23">
        <v>6749</v>
      </c>
      <c r="C119" s="23" t="s">
        <v>34</v>
      </c>
      <c r="D119" s="24">
        <v>45661.39</v>
      </c>
      <c r="E119" s="23">
        <v>3</v>
      </c>
      <c r="F119" s="23" t="s">
        <v>43</v>
      </c>
      <c r="G119" s="25">
        <v>45306</v>
      </c>
      <c r="H119" s="24">
        <v>10328.15</v>
      </c>
      <c r="I119" s="26" t="s">
        <v>44</v>
      </c>
      <c r="J119" s="15" t="s">
        <v>36</v>
      </c>
      <c r="K119" s="15">
        <v>1270</v>
      </c>
      <c r="L119" s="16">
        <v>45397</v>
      </c>
      <c r="M119" s="17">
        <v>6</v>
      </c>
      <c r="N119" s="27">
        <v>90118</v>
      </c>
      <c r="O119" s="27" t="s">
        <v>50</v>
      </c>
      <c r="P119" s="28">
        <v>45430</v>
      </c>
      <c r="Q119" s="29">
        <v>0.19603999999999999</v>
      </c>
      <c r="R119" s="30">
        <v>70118</v>
      </c>
      <c r="S119" s="27" t="s">
        <v>30</v>
      </c>
      <c r="T119" s="29">
        <v>166408.65495</v>
      </c>
      <c r="U119" s="27" t="s">
        <v>42</v>
      </c>
      <c r="V119" s="28">
        <v>45444</v>
      </c>
      <c r="W119" s="27" t="s">
        <v>38</v>
      </c>
      <c r="X119" s="28">
        <v>45376</v>
      </c>
      <c r="Y119" s="27" t="s">
        <v>39</v>
      </c>
      <c r="Z119" s="43" t="e">
        <f>TEXT([1]!Table64[[#This Row],[Order date]],"mmm-yyyy")</f>
        <v>#REF!</v>
      </c>
    </row>
    <row r="120" spans="1:26" x14ac:dyDescent="0.3">
      <c r="A120" s="10">
        <v>10119</v>
      </c>
      <c r="B120" s="11">
        <v>5720</v>
      </c>
      <c r="C120" s="11" t="s">
        <v>34</v>
      </c>
      <c r="D120" s="12">
        <v>10350.92</v>
      </c>
      <c r="E120" s="11">
        <v>87</v>
      </c>
      <c r="F120" s="11" t="s">
        <v>46</v>
      </c>
      <c r="G120" s="13">
        <v>45306</v>
      </c>
      <c r="H120" s="12">
        <v>142828.57</v>
      </c>
      <c r="I120" s="14" t="s">
        <v>44</v>
      </c>
      <c r="J120" s="15" t="s">
        <v>36</v>
      </c>
      <c r="K120" s="15">
        <v>884</v>
      </c>
      <c r="L120" s="16">
        <v>45361</v>
      </c>
      <c r="M120" s="17">
        <v>5</v>
      </c>
      <c r="N120" s="18">
        <v>90119</v>
      </c>
      <c r="O120" s="18" t="s">
        <v>40</v>
      </c>
      <c r="P120" s="19">
        <v>45383</v>
      </c>
      <c r="Q120" s="20">
        <v>0.93089</v>
      </c>
      <c r="R120" s="21">
        <v>70119</v>
      </c>
      <c r="S120" s="18" t="s">
        <v>30</v>
      </c>
      <c r="T120" s="20">
        <v>52187.43518</v>
      </c>
      <c r="U120" s="18" t="s">
        <v>42</v>
      </c>
      <c r="V120" s="19">
        <v>45422</v>
      </c>
      <c r="W120" s="18" t="s">
        <v>38</v>
      </c>
      <c r="X120" s="19">
        <v>45376</v>
      </c>
      <c r="Y120" s="18" t="s">
        <v>33</v>
      </c>
      <c r="Z120" s="43" t="e">
        <f>TEXT([1]!Table64[[#This Row],[Order date]],"mmm-yyyy")</f>
        <v>#REF!</v>
      </c>
    </row>
    <row r="121" spans="1:26" x14ac:dyDescent="0.3">
      <c r="A121" s="22">
        <v>10120</v>
      </c>
      <c r="B121" s="23">
        <v>6773</v>
      </c>
      <c r="C121" s="23" t="s">
        <v>34</v>
      </c>
      <c r="D121" s="24">
        <v>39767.72</v>
      </c>
      <c r="E121" s="23">
        <v>90</v>
      </c>
      <c r="F121" s="23" t="s">
        <v>35</v>
      </c>
      <c r="G121" s="25">
        <v>45361</v>
      </c>
      <c r="H121" s="24">
        <v>16556.04</v>
      </c>
      <c r="I121" s="26" t="s">
        <v>44</v>
      </c>
      <c r="J121" s="15" t="s">
        <v>28</v>
      </c>
      <c r="K121" s="15">
        <v>925</v>
      </c>
      <c r="L121" s="16">
        <v>45332</v>
      </c>
      <c r="M121" s="17">
        <v>3</v>
      </c>
      <c r="N121" s="27">
        <v>90120</v>
      </c>
      <c r="O121" s="27" t="s">
        <v>37</v>
      </c>
      <c r="P121" s="28">
        <v>45383</v>
      </c>
      <c r="Q121" s="29">
        <v>0.82450999999999997</v>
      </c>
      <c r="R121" s="30">
        <v>70120</v>
      </c>
      <c r="S121" s="27" t="s">
        <v>30</v>
      </c>
      <c r="T121" s="29">
        <v>178563.06718000001</v>
      </c>
      <c r="U121" s="27" t="s">
        <v>48</v>
      </c>
      <c r="V121" s="28">
        <v>45392</v>
      </c>
      <c r="W121" s="27" t="s">
        <v>38</v>
      </c>
      <c r="X121" s="28">
        <v>45376</v>
      </c>
      <c r="Y121" s="27" t="s">
        <v>39</v>
      </c>
      <c r="Z121" s="43" t="e">
        <f>TEXT([1]!Table64[[#This Row],[Order date]],"mmm-yyyy")</f>
        <v>#REF!</v>
      </c>
    </row>
    <row r="122" spans="1:26" x14ac:dyDescent="0.3">
      <c r="A122" s="10">
        <v>10121</v>
      </c>
      <c r="B122" s="11">
        <v>5338</v>
      </c>
      <c r="C122" s="11" t="s">
        <v>34</v>
      </c>
      <c r="D122" s="12">
        <v>93783.7</v>
      </c>
      <c r="E122" s="11">
        <v>37</v>
      </c>
      <c r="F122" s="11" t="s">
        <v>46</v>
      </c>
      <c r="G122" s="13">
        <v>45337</v>
      </c>
      <c r="H122" s="12">
        <v>142095.04999999999</v>
      </c>
      <c r="I122" s="14" t="s">
        <v>44</v>
      </c>
      <c r="J122" s="15" t="s">
        <v>36</v>
      </c>
      <c r="K122" s="15">
        <v>416</v>
      </c>
      <c r="L122" s="16">
        <v>45361</v>
      </c>
      <c r="M122" s="17">
        <v>5</v>
      </c>
      <c r="N122" s="18">
        <v>90121</v>
      </c>
      <c r="O122" s="18" t="s">
        <v>40</v>
      </c>
      <c r="P122" s="19">
        <v>45352</v>
      </c>
      <c r="Q122" s="20">
        <v>0.30708000000000002</v>
      </c>
      <c r="R122" s="21">
        <v>70121</v>
      </c>
      <c r="S122" s="18" t="s">
        <v>41</v>
      </c>
      <c r="T122" s="20">
        <v>65210.88508</v>
      </c>
      <c r="U122" s="18" t="s">
        <v>31</v>
      </c>
      <c r="V122" s="19">
        <v>45392</v>
      </c>
      <c r="W122" s="18" t="s">
        <v>38</v>
      </c>
      <c r="X122" s="19">
        <v>45376</v>
      </c>
      <c r="Y122" s="18" t="s">
        <v>39</v>
      </c>
      <c r="Z122" s="43" t="e">
        <f>TEXT([1]!Table64[[#This Row],[Order date]],"mmm-yyyy")</f>
        <v>#REF!</v>
      </c>
    </row>
    <row r="123" spans="1:26" x14ac:dyDescent="0.3">
      <c r="A123" s="22">
        <v>10122</v>
      </c>
      <c r="B123" s="23">
        <v>5879</v>
      </c>
      <c r="C123" s="23" t="s">
        <v>34</v>
      </c>
      <c r="D123" s="24">
        <v>25011.84</v>
      </c>
      <c r="E123" s="23">
        <v>88</v>
      </c>
      <c r="F123" s="23" t="s">
        <v>26</v>
      </c>
      <c r="G123" s="25">
        <v>45361</v>
      </c>
      <c r="H123" s="24">
        <v>139804.51</v>
      </c>
      <c r="I123" s="26" t="s">
        <v>27</v>
      </c>
      <c r="J123" s="15" t="s">
        <v>49</v>
      </c>
      <c r="K123" s="15">
        <v>1051</v>
      </c>
      <c r="L123" s="16">
        <v>45361</v>
      </c>
      <c r="M123" s="17">
        <v>5</v>
      </c>
      <c r="N123" s="27">
        <v>90122</v>
      </c>
      <c r="O123" s="27" t="s">
        <v>37</v>
      </c>
      <c r="P123" s="28">
        <v>45430</v>
      </c>
      <c r="Q123" s="29">
        <v>0.33038000000000001</v>
      </c>
      <c r="R123" s="30">
        <v>70122</v>
      </c>
      <c r="S123" s="27" t="s">
        <v>45</v>
      </c>
      <c r="T123" s="29">
        <v>71025.847999999998</v>
      </c>
      <c r="U123" s="27" t="s">
        <v>48</v>
      </c>
      <c r="V123" s="28">
        <v>45444</v>
      </c>
      <c r="W123" s="27" t="s">
        <v>38</v>
      </c>
      <c r="X123" s="28">
        <v>45384</v>
      </c>
      <c r="Y123" s="27" t="s">
        <v>33</v>
      </c>
      <c r="Z123" s="43" t="e">
        <f>TEXT([1]!Table64[[#This Row],[Order date]],"mmm-yyyy")</f>
        <v>#REF!</v>
      </c>
    </row>
    <row r="124" spans="1:26" x14ac:dyDescent="0.3">
      <c r="A124" s="10">
        <v>10123</v>
      </c>
      <c r="B124" s="11">
        <v>6077</v>
      </c>
      <c r="C124" s="11" t="s">
        <v>34</v>
      </c>
      <c r="D124" s="12">
        <v>87841.52</v>
      </c>
      <c r="E124" s="11">
        <v>49</v>
      </c>
      <c r="F124" s="11" t="s">
        <v>35</v>
      </c>
      <c r="G124" s="13">
        <v>45337</v>
      </c>
      <c r="H124" s="12">
        <v>72703.22</v>
      </c>
      <c r="I124" s="14" t="s">
        <v>47</v>
      </c>
      <c r="J124" s="15" t="s">
        <v>28</v>
      </c>
      <c r="K124" s="15">
        <v>299</v>
      </c>
      <c r="L124" s="16">
        <v>45397</v>
      </c>
      <c r="M124" s="17">
        <v>5</v>
      </c>
      <c r="N124" s="18">
        <v>90123</v>
      </c>
      <c r="O124" s="18" t="s">
        <v>40</v>
      </c>
      <c r="P124" s="19">
        <v>45383</v>
      </c>
      <c r="Q124" s="20">
        <v>0.12881999999999999</v>
      </c>
      <c r="R124" s="21">
        <v>70123</v>
      </c>
      <c r="S124" s="18" t="s">
        <v>41</v>
      </c>
      <c r="T124" s="20">
        <v>100894.04062</v>
      </c>
      <c r="U124" s="18" t="s">
        <v>48</v>
      </c>
      <c r="V124" s="19">
        <v>45392</v>
      </c>
      <c r="W124" s="18" t="s">
        <v>32</v>
      </c>
      <c r="X124" s="19">
        <v>45384</v>
      </c>
      <c r="Y124" s="18" t="s">
        <v>33</v>
      </c>
      <c r="Z124" s="43" t="e">
        <f>TEXT([1]!Table64[[#This Row],[Order date]],"mmm-yyyy")</f>
        <v>#REF!</v>
      </c>
    </row>
    <row r="125" spans="1:26" x14ac:dyDescent="0.3">
      <c r="A125" s="22">
        <v>10124</v>
      </c>
      <c r="B125" s="23">
        <v>5792</v>
      </c>
      <c r="C125" s="23" t="s">
        <v>34</v>
      </c>
      <c r="D125" s="24">
        <v>63052.800000000003</v>
      </c>
      <c r="E125" s="23">
        <v>19</v>
      </c>
      <c r="F125" s="23" t="s">
        <v>35</v>
      </c>
      <c r="G125" s="25">
        <v>45383</v>
      </c>
      <c r="H125" s="24">
        <v>84275.839999999997</v>
      </c>
      <c r="I125" s="26" t="s">
        <v>27</v>
      </c>
      <c r="J125" s="15" t="s">
        <v>49</v>
      </c>
      <c r="K125" s="15">
        <v>1313</v>
      </c>
      <c r="L125" s="16">
        <v>45361</v>
      </c>
      <c r="M125" s="17">
        <v>3</v>
      </c>
      <c r="N125" s="27">
        <v>90124</v>
      </c>
      <c r="O125" s="27" t="s">
        <v>37</v>
      </c>
      <c r="P125" s="28">
        <v>45383</v>
      </c>
      <c r="Q125" s="29">
        <v>0.36704999999999999</v>
      </c>
      <c r="R125" s="30">
        <v>70124</v>
      </c>
      <c r="S125" s="27" t="s">
        <v>30</v>
      </c>
      <c r="T125" s="29">
        <v>116819.50946</v>
      </c>
      <c r="U125" s="27" t="s">
        <v>31</v>
      </c>
      <c r="V125" s="28">
        <v>45392</v>
      </c>
      <c r="W125" s="27" t="s">
        <v>38</v>
      </c>
      <c r="X125" s="28">
        <v>45384</v>
      </c>
      <c r="Y125" s="27" t="s">
        <v>33</v>
      </c>
      <c r="Z125" s="43" t="e">
        <f>TEXT([1]!Table64[[#This Row],[Order date]],"mmm-yyyy")</f>
        <v>#REF!</v>
      </c>
    </row>
    <row r="126" spans="1:26" x14ac:dyDescent="0.3">
      <c r="A126" s="10">
        <v>10125</v>
      </c>
      <c r="B126" s="11">
        <v>6946</v>
      </c>
      <c r="C126" s="11" t="s">
        <v>34</v>
      </c>
      <c r="D126" s="12">
        <v>72368.539999999994</v>
      </c>
      <c r="E126" s="11">
        <v>89</v>
      </c>
      <c r="F126" s="11" t="s">
        <v>35</v>
      </c>
      <c r="G126" s="13">
        <v>45337</v>
      </c>
      <c r="H126" s="12">
        <v>88420.41</v>
      </c>
      <c r="I126" s="14" t="s">
        <v>44</v>
      </c>
      <c r="J126" s="15" t="s">
        <v>28</v>
      </c>
      <c r="K126" s="15">
        <v>429</v>
      </c>
      <c r="L126" s="16">
        <v>45361</v>
      </c>
      <c r="M126" s="17">
        <v>3</v>
      </c>
      <c r="N126" s="18">
        <v>90125</v>
      </c>
      <c r="O126" s="18" t="s">
        <v>50</v>
      </c>
      <c r="P126" s="19">
        <v>45383</v>
      </c>
      <c r="Q126" s="20">
        <v>0.62616000000000005</v>
      </c>
      <c r="R126" s="21">
        <v>70125</v>
      </c>
      <c r="S126" s="18" t="s">
        <v>30</v>
      </c>
      <c r="T126" s="20">
        <v>62246.931400000001</v>
      </c>
      <c r="U126" s="18" t="s">
        <v>48</v>
      </c>
      <c r="V126" s="19">
        <v>45422</v>
      </c>
      <c r="W126" s="18" t="s">
        <v>32</v>
      </c>
      <c r="X126" s="19">
        <v>45376</v>
      </c>
      <c r="Y126" s="18" t="s">
        <v>33</v>
      </c>
      <c r="Z126" s="43" t="e">
        <f>TEXT([1]!Table64[[#This Row],[Order date]],"mmm-yyyy")</f>
        <v>#REF!</v>
      </c>
    </row>
    <row r="127" spans="1:26" x14ac:dyDescent="0.3">
      <c r="A127" s="22">
        <v>10126</v>
      </c>
      <c r="B127" s="23">
        <v>5217</v>
      </c>
      <c r="C127" s="23" t="s">
        <v>34</v>
      </c>
      <c r="D127" s="24">
        <v>92967.74</v>
      </c>
      <c r="E127" s="23">
        <v>85</v>
      </c>
      <c r="F127" s="23" t="s">
        <v>43</v>
      </c>
      <c r="G127" s="25">
        <v>45337</v>
      </c>
      <c r="H127" s="24">
        <v>53526.239999999998</v>
      </c>
      <c r="I127" s="26" t="s">
        <v>44</v>
      </c>
      <c r="J127" s="15" t="s">
        <v>49</v>
      </c>
      <c r="K127" s="15">
        <v>921</v>
      </c>
      <c r="L127" s="16">
        <v>45361</v>
      </c>
      <c r="M127" s="17">
        <v>4</v>
      </c>
      <c r="N127" s="27">
        <v>90126</v>
      </c>
      <c r="O127" s="27" t="s">
        <v>50</v>
      </c>
      <c r="P127" s="28">
        <v>45352</v>
      </c>
      <c r="Q127" s="29">
        <v>0.47876000000000002</v>
      </c>
      <c r="R127" s="30">
        <v>70126</v>
      </c>
      <c r="S127" s="27" t="s">
        <v>30</v>
      </c>
      <c r="T127" s="29">
        <v>166613.7126</v>
      </c>
      <c r="U127" s="27" t="s">
        <v>31</v>
      </c>
      <c r="V127" s="28">
        <v>45392</v>
      </c>
      <c r="W127" s="27" t="s">
        <v>38</v>
      </c>
      <c r="X127" s="28">
        <v>45384</v>
      </c>
      <c r="Y127" s="27" t="s">
        <v>33</v>
      </c>
      <c r="Z127" s="43" t="e">
        <f>TEXT([1]!Table64[[#This Row],[Order date]],"mmm-yyyy")</f>
        <v>#REF!</v>
      </c>
    </row>
    <row r="128" spans="1:26" x14ac:dyDescent="0.3">
      <c r="A128" s="10">
        <v>10127</v>
      </c>
      <c r="B128" s="11">
        <v>5764</v>
      </c>
      <c r="C128" s="11" t="s">
        <v>34</v>
      </c>
      <c r="D128" s="12">
        <v>56391.72</v>
      </c>
      <c r="E128" s="11">
        <v>12</v>
      </c>
      <c r="F128" s="11" t="s">
        <v>46</v>
      </c>
      <c r="G128" s="13">
        <v>45337</v>
      </c>
      <c r="H128" s="12">
        <v>101568.24</v>
      </c>
      <c r="I128" s="14" t="s">
        <v>27</v>
      </c>
      <c r="J128" s="15" t="s">
        <v>49</v>
      </c>
      <c r="K128" s="15">
        <v>884</v>
      </c>
      <c r="L128" s="16">
        <v>45332</v>
      </c>
      <c r="M128" s="17">
        <v>7</v>
      </c>
      <c r="N128" s="18">
        <v>90127</v>
      </c>
      <c r="O128" s="18" t="s">
        <v>50</v>
      </c>
      <c r="P128" s="19">
        <v>45430</v>
      </c>
      <c r="Q128" s="20">
        <v>0.97233000000000003</v>
      </c>
      <c r="R128" s="21">
        <v>70127</v>
      </c>
      <c r="S128" s="18" t="s">
        <v>41</v>
      </c>
      <c r="T128" s="20">
        <v>68695.481599999999</v>
      </c>
      <c r="U128" s="18" t="s">
        <v>31</v>
      </c>
      <c r="V128" s="19">
        <v>45422</v>
      </c>
      <c r="W128" s="18" t="s">
        <v>32</v>
      </c>
      <c r="X128" s="19">
        <v>45384</v>
      </c>
      <c r="Y128" s="18" t="s">
        <v>39</v>
      </c>
      <c r="Z128" s="43" t="e">
        <f>TEXT([1]!Table64[[#This Row],[Order date]],"mmm-yyyy")</f>
        <v>#REF!</v>
      </c>
    </row>
    <row r="129" spans="1:26" x14ac:dyDescent="0.3">
      <c r="A129" s="22">
        <v>10128</v>
      </c>
      <c r="B129" s="23">
        <v>5188</v>
      </c>
      <c r="C129" s="23" t="s">
        <v>25</v>
      </c>
      <c r="D129" s="24">
        <v>68568.929999999993</v>
      </c>
      <c r="E129" s="23">
        <v>61</v>
      </c>
      <c r="F129" s="23" t="s">
        <v>35</v>
      </c>
      <c r="G129" s="25">
        <v>45306</v>
      </c>
      <c r="H129" s="24">
        <v>43839.519999999997</v>
      </c>
      <c r="I129" s="26" t="s">
        <v>44</v>
      </c>
      <c r="J129" s="15" t="s">
        <v>36</v>
      </c>
      <c r="K129" s="15">
        <v>824</v>
      </c>
      <c r="L129" s="16">
        <v>45361</v>
      </c>
      <c r="M129" s="17">
        <v>12</v>
      </c>
      <c r="N129" s="27">
        <v>90128</v>
      </c>
      <c r="O129" s="27" t="s">
        <v>40</v>
      </c>
      <c r="P129" s="28">
        <v>45352</v>
      </c>
      <c r="Q129" s="29">
        <v>0.15046999999999999</v>
      </c>
      <c r="R129" s="30">
        <v>70128</v>
      </c>
      <c r="S129" s="27" t="s">
        <v>30</v>
      </c>
      <c r="T129" s="29">
        <v>156539.24919999999</v>
      </c>
      <c r="U129" s="27" t="s">
        <v>42</v>
      </c>
      <c r="V129" s="28">
        <v>45392</v>
      </c>
      <c r="W129" s="27" t="s">
        <v>38</v>
      </c>
      <c r="X129" s="28">
        <v>45376</v>
      </c>
      <c r="Y129" s="27" t="s">
        <v>39</v>
      </c>
      <c r="Z129" s="43" t="e">
        <f>TEXT([1]!Table64[[#This Row],[Order date]],"mmm-yyyy")</f>
        <v>#REF!</v>
      </c>
    </row>
    <row r="130" spans="1:26" x14ac:dyDescent="0.3">
      <c r="A130" s="10">
        <v>10129</v>
      </c>
      <c r="B130" s="11">
        <v>5380</v>
      </c>
      <c r="C130" s="11" t="s">
        <v>34</v>
      </c>
      <c r="D130" s="12">
        <v>56420.18</v>
      </c>
      <c r="E130" s="11">
        <v>41</v>
      </c>
      <c r="F130" s="11" t="s">
        <v>35</v>
      </c>
      <c r="G130" s="13">
        <v>45337</v>
      </c>
      <c r="H130" s="12">
        <v>19954.89</v>
      </c>
      <c r="I130" s="14" t="s">
        <v>47</v>
      </c>
      <c r="J130" s="15" t="s">
        <v>49</v>
      </c>
      <c r="K130" s="15">
        <v>968</v>
      </c>
      <c r="L130" s="16">
        <v>45332</v>
      </c>
      <c r="M130" s="17">
        <v>12</v>
      </c>
      <c r="N130" s="18">
        <v>90129</v>
      </c>
      <c r="O130" s="18" t="s">
        <v>50</v>
      </c>
      <c r="P130" s="19">
        <v>45383</v>
      </c>
      <c r="Q130" s="20">
        <v>0.63229000000000002</v>
      </c>
      <c r="R130" s="21">
        <v>70129</v>
      </c>
      <c r="S130" s="18" t="s">
        <v>45</v>
      </c>
      <c r="T130" s="20">
        <v>72467.263290000003</v>
      </c>
      <c r="U130" s="18" t="s">
        <v>48</v>
      </c>
      <c r="V130" s="19">
        <v>45422</v>
      </c>
      <c r="W130" s="18" t="s">
        <v>32</v>
      </c>
      <c r="X130" s="19">
        <v>45376</v>
      </c>
      <c r="Y130" s="18" t="s">
        <v>39</v>
      </c>
      <c r="Z130" s="43" t="e">
        <f>TEXT([1]!Table64[[#This Row],[Order date]],"mmm-yyyy")</f>
        <v>#REF!</v>
      </c>
    </row>
    <row r="131" spans="1:26" x14ac:dyDescent="0.3">
      <c r="A131" s="22">
        <v>10130</v>
      </c>
      <c r="B131" s="23">
        <v>5493</v>
      </c>
      <c r="C131" s="23" t="s">
        <v>34</v>
      </c>
      <c r="D131" s="24">
        <v>9323.33</v>
      </c>
      <c r="E131" s="23">
        <v>33</v>
      </c>
      <c r="F131" s="23" t="s">
        <v>35</v>
      </c>
      <c r="G131" s="25">
        <v>45383</v>
      </c>
      <c r="H131" s="24">
        <v>15000.05</v>
      </c>
      <c r="I131" s="26" t="s">
        <v>44</v>
      </c>
      <c r="J131" s="15" t="s">
        <v>36</v>
      </c>
      <c r="K131" s="15">
        <v>504</v>
      </c>
      <c r="L131" s="16">
        <v>45332</v>
      </c>
      <c r="M131" s="17">
        <v>12</v>
      </c>
      <c r="N131" s="27">
        <v>90130</v>
      </c>
      <c r="O131" s="27" t="s">
        <v>40</v>
      </c>
      <c r="P131" s="28">
        <v>45430</v>
      </c>
      <c r="Q131" s="29">
        <v>0.87248000000000003</v>
      </c>
      <c r="R131" s="30">
        <v>70130</v>
      </c>
      <c r="S131" s="27" t="s">
        <v>30</v>
      </c>
      <c r="T131" s="29">
        <v>191263.94289999999</v>
      </c>
      <c r="U131" s="27" t="s">
        <v>42</v>
      </c>
      <c r="V131" s="28">
        <v>45422</v>
      </c>
      <c r="W131" s="27" t="s">
        <v>32</v>
      </c>
      <c r="X131" s="28">
        <v>45376</v>
      </c>
      <c r="Y131" s="27" t="s">
        <v>39</v>
      </c>
      <c r="Z131" s="43" t="e">
        <f>TEXT([1]!Table64[[#This Row],[Order date]],"mmm-yyyy")</f>
        <v>#REF!</v>
      </c>
    </row>
    <row r="132" spans="1:26" x14ac:dyDescent="0.3">
      <c r="A132" s="10">
        <v>10131</v>
      </c>
      <c r="B132" s="11">
        <v>6065</v>
      </c>
      <c r="C132" s="11" t="s">
        <v>34</v>
      </c>
      <c r="D132" s="12">
        <v>99632.39</v>
      </c>
      <c r="E132" s="11">
        <v>50</v>
      </c>
      <c r="F132" s="11" t="s">
        <v>46</v>
      </c>
      <c r="G132" s="13">
        <v>45383</v>
      </c>
      <c r="H132" s="12">
        <v>75542.78</v>
      </c>
      <c r="I132" s="14" t="s">
        <v>47</v>
      </c>
      <c r="J132" s="15" t="s">
        <v>28</v>
      </c>
      <c r="K132" s="15">
        <v>415</v>
      </c>
      <c r="L132" s="16">
        <v>45332</v>
      </c>
      <c r="M132" s="17">
        <v>14</v>
      </c>
      <c r="N132" s="18">
        <v>90131</v>
      </c>
      <c r="O132" s="18" t="s">
        <v>37</v>
      </c>
      <c r="P132" s="19">
        <v>45352</v>
      </c>
      <c r="Q132" s="20">
        <v>0.53266999999999998</v>
      </c>
      <c r="R132" s="21">
        <v>70131</v>
      </c>
      <c r="S132" s="18" t="s">
        <v>45</v>
      </c>
      <c r="T132" s="20">
        <v>118519.03431</v>
      </c>
      <c r="U132" s="18" t="s">
        <v>48</v>
      </c>
      <c r="V132" s="19">
        <v>45392</v>
      </c>
      <c r="W132" s="18" t="s">
        <v>38</v>
      </c>
      <c r="X132" s="19">
        <v>45384</v>
      </c>
      <c r="Y132" s="18" t="s">
        <v>39</v>
      </c>
      <c r="Z132" s="43" t="e">
        <f>TEXT([1]!Table64[[#This Row],[Order date]],"mmm-yyyy")</f>
        <v>#REF!</v>
      </c>
    </row>
    <row r="133" spans="1:26" x14ac:dyDescent="0.3">
      <c r="A133" s="22">
        <v>10132</v>
      </c>
      <c r="B133" s="23">
        <v>6181</v>
      </c>
      <c r="C133" s="23" t="s">
        <v>34</v>
      </c>
      <c r="D133" s="24">
        <v>58624.06</v>
      </c>
      <c r="E133" s="23">
        <v>68</v>
      </c>
      <c r="F133" s="23" t="s">
        <v>43</v>
      </c>
      <c r="G133" s="25">
        <v>45383</v>
      </c>
      <c r="H133" s="24">
        <v>104582.04</v>
      </c>
      <c r="I133" s="26" t="s">
        <v>27</v>
      </c>
      <c r="J133" s="15" t="s">
        <v>49</v>
      </c>
      <c r="K133" s="15">
        <v>1363</v>
      </c>
      <c r="L133" s="16">
        <v>45332</v>
      </c>
      <c r="M133" s="17">
        <v>2</v>
      </c>
      <c r="N133" s="27">
        <v>90132</v>
      </c>
      <c r="O133" s="27" t="s">
        <v>40</v>
      </c>
      <c r="P133" s="28">
        <v>45383</v>
      </c>
      <c r="Q133" s="29">
        <v>0.10267</v>
      </c>
      <c r="R133" s="30">
        <v>70132</v>
      </c>
      <c r="S133" s="27" t="s">
        <v>45</v>
      </c>
      <c r="T133" s="29">
        <v>105744.75629999999</v>
      </c>
      <c r="U133" s="27" t="s">
        <v>48</v>
      </c>
      <c r="V133" s="28">
        <v>45422</v>
      </c>
      <c r="W133" s="27" t="s">
        <v>38</v>
      </c>
      <c r="X133" s="28">
        <v>45376</v>
      </c>
      <c r="Y133" s="27" t="s">
        <v>33</v>
      </c>
      <c r="Z133" s="43" t="e">
        <f>TEXT([1]!Table64[[#This Row],[Order date]],"mmm-yyyy")</f>
        <v>#REF!</v>
      </c>
    </row>
    <row r="134" spans="1:26" x14ac:dyDescent="0.3">
      <c r="A134" s="10">
        <v>10133</v>
      </c>
      <c r="B134" s="11">
        <v>5015</v>
      </c>
      <c r="C134" s="11" t="s">
        <v>34</v>
      </c>
      <c r="D134" s="12">
        <v>56817.15</v>
      </c>
      <c r="E134" s="11">
        <v>71</v>
      </c>
      <c r="F134" s="11" t="s">
        <v>26</v>
      </c>
      <c r="G134" s="13">
        <v>45337</v>
      </c>
      <c r="H134" s="12">
        <v>28089.08</v>
      </c>
      <c r="I134" s="14" t="s">
        <v>27</v>
      </c>
      <c r="J134" s="15" t="s">
        <v>49</v>
      </c>
      <c r="K134" s="15">
        <v>452</v>
      </c>
      <c r="L134" s="16">
        <v>45397</v>
      </c>
      <c r="M134" s="17">
        <v>10</v>
      </c>
      <c r="N134" s="18">
        <v>90133</v>
      </c>
      <c r="O134" s="18" t="s">
        <v>37</v>
      </c>
      <c r="P134" s="19">
        <v>45383</v>
      </c>
      <c r="Q134" s="20">
        <v>0.31852000000000003</v>
      </c>
      <c r="R134" s="21">
        <v>70133</v>
      </c>
      <c r="S134" s="18" t="s">
        <v>30</v>
      </c>
      <c r="T134" s="20">
        <v>110632.27701999999</v>
      </c>
      <c r="U134" s="18" t="s">
        <v>42</v>
      </c>
      <c r="V134" s="19">
        <v>45422</v>
      </c>
      <c r="W134" s="18" t="s">
        <v>38</v>
      </c>
      <c r="X134" s="19">
        <v>45376</v>
      </c>
      <c r="Y134" s="18" t="s">
        <v>33</v>
      </c>
      <c r="Z134" s="43" t="e">
        <f>TEXT([1]!Table64[[#This Row],[Order date]],"mmm-yyyy")</f>
        <v>#REF!</v>
      </c>
    </row>
    <row r="135" spans="1:26" x14ac:dyDescent="0.3">
      <c r="A135" s="22">
        <v>10134</v>
      </c>
      <c r="B135" s="23">
        <v>6837</v>
      </c>
      <c r="C135" s="23" t="s">
        <v>34</v>
      </c>
      <c r="D135" s="24">
        <v>45341.4</v>
      </c>
      <c r="E135" s="23">
        <v>86</v>
      </c>
      <c r="F135" s="23" t="s">
        <v>43</v>
      </c>
      <c r="G135" s="25">
        <v>45361</v>
      </c>
      <c r="H135" s="24">
        <v>94790.58</v>
      </c>
      <c r="I135" s="26" t="s">
        <v>44</v>
      </c>
      <c r="J135" s="15" t="s">
        <v>28</v>
      </c>
      <c r="K135" s="15">
        <v>107</v>
      </c>
      <c r="L135" s="16">
        <v>45332</v>
      </c>
      <c r="M135" s="17">
        <v>4</v>
      </c>
      <c r="N135" s="27">
        <v>90134</v>
      </c>
      <c r="O135" s="27" t="s">
        <v>29</v>
      </c>
      <c r="P135" s="28">
        <v>45352</v>
      </c>
      <c r="Q135" s="29">
        <v>0.39139000000000002</v>
      </c>
      <c r="R135" s="30">
        <v>70134</v>
      </c>
      <c r="S135" s="27" t="s">
        <v>41</v>
      </c>
      <c r="T135" s="29">
        <v>156378.90590000001</v>
      </c>
      <c r="U135" s="27" t="s">
        <v>42</v>
      </c>
      <c r="V135" s="28">
        <v>45392</v>
      </c>
      <c r="W135" s="27" t="s">
        <v>38</v>
      </c>
      <c r="X135" s="28">
        <v>45376</v>
      </c>
      <c r="Y135" s="27" t="s">
        <v>33</v>
      </c>
      <c r="Z135" s="43" t="e">
        <f>TEXT([1]!Table64[[#This Row],[Order date]],"mmm-yyyy")</f>
        <v>#REF!</v>
      </c>
    </row>
    <row r="136" spans="1:26" x14ac:dyDescent="0.3">
      <c r="A136" s="10">
        <v>10135</v>
      </c>
      <c r="B136" s="11">
        <v>5065</v>
      </c>
      <c r="C136" s="11" t="s">
        <v>34</v>
      </c>
      <c r="D136" s="12">
        <v>33507.519999999997</v>
      </c>
      <c r="E136" s="11">
        <v>33</v>
      </c>
      <c r="F136" s="11" t="s">
        <v>35</v>
      </c>
      <c r="G136" s="13">
        <v>45361</v>
      </c>
      <c r="H136" s="12">
        <v>75868.52</v>
      </c>
      <c r="I136" s="14" t="s">
        <v>47</v>
      </c>
      <c r="J136" s="15" t="s">
        <v>28</v>
      </c>
      <c r="K136" s="15">
        <v>570</v>
      </c>
      <c r="L136" s="16">
        <v>45361</v>
      </c>
      <c r="M136" s="17">
        <v>4</v>
      </c>
      <c r="N136" s="18">
        <v>90135</v>
      </c>
      <c r="O136" s="18" t="s">
        <v>29</v>
      </c>
      <c r="P136" s="19">
        <v>45383</v>
      </c>
      <c r="Q136" s="20">
        <v>0.96940000000000004</v>
      </c>
      <c r="R136" s="21">
        <v>70135</v>
      </c>
      <c r="S136" s="18" t="s">
        <v>41</v>
      </c>
      <c r="T136" s="20">
        <v>127096.18101</v>
      </c>
      <c r="U136" s="18" t="s">
        <v>42</v>
      </c>
      <c r="V136" s="19">
        <v>45422</v>
      </c>
      <c r="W136" s="18" t="s">
        <v>38</v>
      </c>
      <c r="X136" s="19">
        <v>45376</v>
      </c>
      <c r="Y136" s="18" t="s">
        <v>33</v>
      </c>
      <c r="Z136" s="43" t="e">
        <f>TEXT([1]!Table64[[#This Row],[Order date]],"mmm-yyyy")</f>
        <v>#REF!</v>
      </c>
    </row>
    <row r="137" spans="1:26" x14ac:dyDescent="0.3">
      <c r="A137" s="22">
        <v>10136</v>
      </c>
      <c r="B137" s="23">
        <v>6881</v>
      </c>
      <c r="C137" s="23" t="s">
        <v>34</v>
      </c>
      <c r="D137" s="24">
        <v>39271.449999999997</v>
      </c>
      <c r="E137" s="23">
        <v>81</v>
      </c>
      <c r="F137" s="23" t="s">
        <v>43</v>
      </c>
      <c r="G137" s="25">
        <v>45383</v>
      </c>
      <c r="H137" s="24">
        <v>93249.4</v>
      </c>
      <c r="I137" s="26" t="s">
        <v>44</v>
      </c>
      <c r="J137" s="15" t="s">
        <v>49</v>
      </c>
      <c r="K137" s="15">
        <v>1377</v>
      </c>
      <c r="L137" s="16">
        <v>45332</v>
      </c>
      <c r="M137" s="17">
        <v>1</v>
      </c>
      <c r="N137" s="27">
        <v>90136</v>
      </c>
      <c r="O137" s="27" t="s">
        <v>29</v>
      </c>
      <c r="P137" s="28">
        <v>45383</v>
      </c>
      <c r="Q137" s="29">
        <v>0.92059999999999997</v>
      </c>
      <c r="R137" s="30">
        <v>70136</v>
      </c>
      <c r="S137" s="27" t="s">
        <v>41</v>
      </c>
      <c r="T137" s="29">
        <v>191206.0993</v>
      </c>
      <c r="U137" s="27" t="s">
        <v>31</v>
      </c>
      <c r="V137" s="28">
        <v>45422</v>
      </c>
      <c r="W137" s="27" t="s">
        <v>32</v>
      </c>
      <c r="X137" s="28">
        <v>45384</v>
      </c>
      <c r="Y137" s="27" t="s">
        <v>39</v>
      </c>
      <c r="Z137" s="43" t="e">
        <f>TEXT([1]!Table64[[#This Row],[Order date]],"mmm-yyyy")</f>
        <v>#REF!</v>
      </c>
    </row>
    <row r="138" spans="1:26" x14ac:dyDescent="0.3">
      <c r="A138" s="10">
        <v>10137</v>
      </c>
      <c r="B138" s="11">
        <v>6863</v>
      </c>
      <c r="C138" s="11" t="s">
        <v>34</v>
      </c>
      <c r="D138" s="12">
        <v>82911.94</v>
      </c>
      <c r="E138" s="11">
        <v>24</v>
      </c>
      <c r="F138" s="11" t="s">
        <v>43</v>
      </c>
      <c r="G138" s="13">
        <v>45306</v>
      </c>
      <c r="H138" s="12">
        <v>46707.27</v>
      </c>
      <c r="I138" s="14" t="s">
        <v>44</v>
      </c>
      <c r="J138" s="15" t="s">
        <v>28</v>
      </c>
      <c r="K138" s="15">
        <v>1188</v>
      </c>
      <c r="L138" s="16">
        <v>45361</v>
      </c>
      <c r="M138" s="17">
        <v>10</v>
      </c>
      <c r="N138" s="18">
        <v>90137</v>
      </c>
      <c r="O138" s="18" t="s">
        <v>40</v>
      </c>
      <c r="P138" s="19">
        <v>45430</v>
      </c>
      <c r="Q138" s="20">
        <v>0.95425000000000004</v>
      </c>
      <c r="R138" s="21">
        <v>70137</v>
      </c>
      <c r="S138" s="18" t="s">
        <v>45</v>
      </c>
      <c r="T138" s="20">
        <v>212319.9449</v>
      </c>
      <c r="U138" s="18" t="s">
        <v>48</v>
      </c>
      <c r="V138" s="19">
        <v>45422</v>
      </c>
      <c r="W138" s="18" t="s">
        <v>38</v>
      </c>
      <c r="X138" s="19">
        <v>45376</v>
      </c>
      <c r="Y138" s="18" t="s">
        <v>33</v>
      </c>
      <c r="Z138" s="43" t="e">
        <f>TEXT([1]!Table64[[#This Row],[Order date]],"mmm-yyyy")</f>
        <v>#REF!</v>
      </c>
    </row>
    <row r="139" spans="1:26" x14ac:dyDescent="0.3">
      <c r="A139" s="22">
        <v>10138</v>
      </c>
      <c r="B139" s="23">
        <v>5521</v>
      </c>
      <c r="C139" s="23" t="s">
        <v>25</v>
      </c>
      <c r="D139" s="24">
        <v>88485.15</v>
      </c>
      <c r="E139" s="23">
        <v>61</v>
      </c>
      <c r="F139" s="23" t="s">
        <v>26</v>
      </c>
      <c r="G139" s="25">
        <v>45361</v>
      </c>
      <c r="H139" s="24">
        <v>135167.49</v>
      </c>
      <c r="I139" s="26" t="s">
        <v>44</v>
      </c>
      <c r="J139" s="15" t="s">
        <v>36</v>
      </c>
      <c r="K139" s="15">
        <v>259</v>
      </c>
      <c r="L139" s="16">
        <v>45332</v>
      </c>
      <c r="M139" s="17">
        <v>8</v>
      </c>
      <c r="N139" s="27">
        <v>90138</v>
      </c>
      <c r="O139" s="27" t="s">
        <v>29</v>
      </c>
      <c r="P139" s="28">
        <v>45383</v>
      </c>
      <c r="Q139" s="29">
        <v>0.84318000000000004</v>
      </c>
      <c r="R139" s="30">
        <v>70138</v>
      </c>
      <c r="S139" s="27" t="s">
        <v>41</v>
      </c>
      <c r="T139" s="29">
        <v>176040.98371</v>
      </c>
      <c r="U139" s="27" t="s">
        <v>31</v>
      </c>
      <c r="V139" s="28">
        <v>45422</v>
      </c>
      <c r="W139" s="27" t="s">
        <v>32</v>
      </c>
      <c r="X139" s="28">
        <v>45384</v>
      </c>
      <c r="Y139" s="27" t="s">
        <v>33</v>
      </c>
      <c r="Z139" s="43" t="e">
        <f>TEXT([1]!Table64[[#This Row],[Order date]],"mmm-yyyy")</f>
        <v>#REF!</v>
      </c>
    </row>
    <row r="140" spans="1:26" x14ac:dyDescent="0.3">
      <c r="A140" s="10">
        <v>10139</v>
      </c>
      <c r="B140" s="11">
        <v>6368</v>
      </c>
      <c r="C140" s="11" t="s">
        <v>34</v>
      </c>
      <c r="D140" s="12">
        <v>90447.61</v>
      </c>
      <c r="E140" s="11">
        <v>61</v>
      </c>
      <c r="F140" s="11" t="s">
        <v>46</v>
      </c>
      <c r="G140" s="13">
        <v>45337</v>
      </c>
      <c r="H140" s="12">
        <v>106683.97</v>
      </c>
      <c r="I140" s="14" t="s">
        <v>44</v>
      </c>
      <c r="J140" s="15" t="s">
        <v>28</v>
      </c>
      <c r="K140" s="15">
        <v>1114</v>
      </c>
      <c r="L140" s="16">
        <v>45397</v>
      </c>
      <c r="M140" s="17">
        <v>1</v>
      </c>
      <c r="N140" s="18">
        <v>90139</v>
      </c>
      <c r="O140" s="18" t="s">
        <v>29</v>
      </c>
      <c r="P140" s="19">
        <v>45352</v>
      </c>
      <c r="Q140" s="20">
        <v>0.41648000000000002</v>
      </c>
      <c r="R140" s="21">
        <v>70139</v>
      </c>
      <c r="S140" s="18" t="s">
        <v>41</v>
      </c>
      <c r="T140" s="20">
        <v>132371.80416</v>
      </c>
      <c r="U140" s="18" t="s">
        <v>48</v>
      </c>
      <c r="V140" s="19">
        <v>45422</v>
      </c>
      <c r="W140" s="18" t="s">
        <v>38</v>
      </c>
      <c r="X140" s="19">
        <v>45376</v>
      </c>
      <c r="Y140" s="18" t="s">
        <v>33</v>
      </c>
      <c r="Z140" s="43" t="e">
        <f>TEXT([1]!Table64[[#This Row],[Order date]],"mmm-yyyy")</f>
        <v>#REF!</v>
      </c>
    </row>
    <row r="141" spans="1:26" x14ac:dyDescent="0.3">
      <c r="A141" s="22">
        <v>10140</v>
      </c>
      <c r="B141" s="23">
        <v>6153</v>
      </c>
      <c r="C141" s="23" t="s">
        <v>34</v>
      </c>
      <c r="D141" s="24">
        <v>83194.94</v>
      </c>
      <c r="E141" s="23">
        <v>98</v>
      </c>
      <c r="F141" s="23" t="s">
        <v>46</v>
      </c>
      <c r="G141" s="25">
        <v>45361</v>
      </c>
      <c r="H141" s="24">
        <v>66704.490000000005</v>
      </c>
      <c r="I141" s="26" t="s">
        <v>44</v>
      </c>
      <c r="J141" s="15" t="s">
        <v>28</v>
      </c>
      <c r="K141" s="15">
        <v>865</v>
      </c>
      <c r="L141" s="16">
        <v>45332</v>
      </c>
      <c r="M141" s="17">
        <v>8</v>
      </c>
      <c r="N141" s="27">
        <v>90140</v>
      </c>
      <c r="O141" s="27" t="s">
        <v>29</v>
      </c>
      <c r="P141" s="28">
        <v>45430</v>
      </c>
      <c r="Q141" s="29">
        <v>0.91529000000000005</v>
      </c>
      <c r="R141" s="30">
        <v>70140</v>
      </c>
      <c r="S141" s="27" t="s">
        <v>30</v>
      </c>
      <c r="T141" s="29">
        <v>60927.02405</v>
      </c>
      <c r="U141" s="27" t="s">
        <v>48</v>
      </c>
      <c r="V141" s="28">
        <v>45444</v>
      </c>
      <c r="W141" s="27" t="s">
        <v>38</v>
      </c>
      <c r="X141" s="28">
        <v>45376</v>
      </c>
      <c r="Y141" s="27" t="s">
        <v>39</v>
      </c>
      <c r="Z141" s="43" t="e">
        <f>TEXT([1]!Table64[[#This Row],[Order date]],"mmm-yyyy")</f>
        <v>#REF!</v>
      </c>
    </row>
    <row r="142" spans="1:26" x14ac:dyDescent="0.3">
      <c r="A142" s="10">
        <v>10141</v>
      </c>
      <c r="B142" s="11">
        <v>5648</v>
      </c>
      <c r="C142" s="11" t="s">
        <v>34</v>
      </c>
      <c r="D142" s="12">
        <v>39363.46</v>
      </c>
      <c r="E142" s="11">
        <v>28</v>
      </c>
      <c r="F142" s="11" t="s">
        <v>43</v>
      </c>
      <c r="G142" s="13">
        <v>45383</v>
      </c>
      <c r="H142" s="12">
        <v>134403.37</v>
      </c>
      <c r="I142" s="14" t="s">
        <v>44</v>
      </c>
      <c r="J142" s="15" t="s">
        <v>49</v>
      </c>
      <c r="K142" s="15">
        <v>222</v>
      </c>
      <c r="L142" s="16">
        <v>45332</v>
      </c>
      <c r="M142" s="17">
        <v>7</v>
      </c>
      <c r="N142" s="18">
        <v>90141</v>
      </c>
      <c r="O142" s="18" t="s">
        <v>37</v>
      </c>
      <c r="P142" s="19">
        <v>45352</v>
      </c>
      <c r="Q142" s="20">
        <v>0.98351999999999995</v>
      </c>
      <c r="R142" s="21">
        <v>70141</v>
      </c>
      <c r="S142" s="18" t="s">
        <v>30</v>
      </c>
      <c r="T142" s="20">
        <v>116862.68859999999</v>
      </c>
      <c r="U142" s="18" t="s">
        <v>31</v>
      </c>
      <c r="V142" s="19">
        <v>45422</v>
      </c>
      <c r="W142" s="18" t="s">
        <v>32</v>
      </c>
      <c r="X142" s="19">
        <v>45376</v>
      </c>
      <c r="Y142" s="18" t="s">
        <v>33</v>
      </c>
      <c r="Z142" s="43" t="e">
        <f>TEXT([1]!Table64[[#This Row],[Order date]],"mmm-yyyy")</f>
        <v>#REF!</v>
      </c>
    </row>
    <row r="143" spans="1:26" x14ac:dyDescent="0.3">
      <c r="A143" s="22">
        <v>10142</v>
      </c>
      <c r="B143" s="23">
        <v>6496</v>
      </c>
      <c r="C143" s="23" t="s">
        <v>34</v>
      </c>
      <c r="D143" s="24">
        <v>86814.93</v>
      </c>
      <c r="E143" s="23">
        <v>58</v>
      </c>
      <c r="F143" s="23" t="s">
        <v>43</v>
      </c>
      <c r="G143" s="25">
        <v>45306</v>
      </c>
      <c r="H143" s="24">
        <v>117866.49</v>
      </c>
      <c r="I143" s="26" t="s">
        <v>44</v>
      </c>
      <c r="J143" s="15" t="s">
        <v>36</v>
      </c>
      <c r="K143" s="15">
        <v>283</v>
      </c>
      <c r="L143" s="16">
        <v>45397</v>
      </c>
      <c r="M143" s="17">
        <v>9</v>
      </c>
      <c r="N143" s="27">
        <v>90142</v>
      </c>
      <c r="O143" s="27" t="s">
        <v>50</v>
      </c>
      <c r="P143" s="28">
        <v>45383</v>
      </c>
      <c r="Q143" s="29">
        <v>0.41505999999999998</v>
      </c>
      <c r="R143" s="30">
        <v>70142</v>
      </c>
      <c r="S143" s="27" t="s">
        <v>45</v>
      </c>
      <c r="T143" s="29">
        <v>81242.620110000003</v>
      </c>
      <c r="U143" s="27" t="s">
        <v>31</v>
      </c>
      <c r="V143" s="28">
        <v>45422</v>
      </c>
      <c r="W143" s="27" t="s">
        <v>32</v>
      </c>
      <c r="X143" s="28">
        <v>45376</v>
      </c>
      <c r="Y143" s="27" t="s">
        <v>33</v>
      </c>
      <c r="Z143" s="43" t="e">
        <f>TEXT([1]!Table64[[#This Row],[Order date]],"mmm-yyyy")</f>
        <v>#REF!</v>
      </c>
    </row>
    <row r="144" spans="1:26" x14ac:dyDescent="0.3">
      <c r="A144" s="10">
        <v>10143</v>
      </c>
      <c r="B144" s="11">
        <v>6087</v>
      </c>
      <c r="C144" s="11" t="s">
        <v>25</v>
      </c>
      <c r="D144" s="12">
        <v>34557.269999999997</v>
      </c>
      <c r="E144" s="11">
        <v>43</v>
      </c>
      <c r="F144" s="11" t="s">
        <v>46</v>
      </c>
      <c r="G144" s="13">
        <v>45361</v>
      </c>
      <c r="H144" s="12">
        <v>59580.18</v>
      </c>
      <c r="I144" s="14" t="s">
        <v>47</v>
      </c>
      <c r="J144" s="15" t="s">
        <v>28</v>
      </c>
      <c r="K144" s="15">
        <v>842</v>
      </c>
      <c r="L144" s="16">
        <v>45332</v>
      </c>
      <c r="M144" s="17">
        <v>8</v>
      </c>
      <c r="N144" s="18">
        <v>90143</v>
      </c>
      <c r="O144" s="18" t="s">
        <v>40</v>
      </c>
      <c r="P144" s="19">
        <v>45430</v>
      </c>
      <c r="Q144" s="20">
        <v>0.33450000000000002</v>
      </c>
      <c r="R144" s="21">
        <v>70143</v>
      </c>
      <c r="S144" s="18" t="s">
        <v>41</v>
      </c>
      <c r="T144" s="20">
        <v>191207.37356000001</v>
      </c>
      <c r="U144" s="18" t="s">
        <v>48</v>
      </c>
      <c r="V144" s="19">
        <v>45422</v>
      </c>
      <c r="W144" s="18" t="s">
        <v>38</v>
      </c>
      <c r="X144" s="19">
        <v>45376</v>
      </c>
      <c r="Y144" s="18" t="s">
        <v>33</v>
      </c>
      <c r="Z144" s="43" t="e">
        <f>TEXT([1]!Table64[[#This Row],[Order date]],"mmm-yyyy")</f>
        <v>#REF!</v>
      </c>
    </row>
    <row r="145" spans="1:26" x14ac:dyDescent="0.3">
      <c r="A145" s="22">
        <v>10144</v>
      </c>
      <c r="B145" s="23">
        <v>6163</v>
      </c>
      <c r="C145" s="23" t="s">
        <v>34</v>
      </c>
      <c r="D145" s="24">
        <v>18577.36</v>
      </c>
      <c r="E145" s="23">
        <v>41</v>
      </c>
      <c r="F145" s="23" t="s">
        <v>46</v>
      </c>
      <c r="G145" s="25">
        <v>45361</v>
      </c>
      <c r="H145" s="24">
        <v>134101.65</v>
      </c>
      <c r="I145" s="26" t="s">
        <v>27</v>
      </c>
      <c r="J145" s="15" t="s">
        <v>36</v>
      </c>
      <c r="K145" s="15">
        <v>842</v>
      </c>
      <c r="L145" s="16">
        <v>45361</v>
      </c>
      <c r="M145" s="17">
        <v>5</v>
      </c>
      <c r="N145" s="27">
        <v>90144</v>
      </c>
      <c r="O145" s="27" t="s">
        <v>29</v>
      </c>
      <c r="P145" s="28">
        <v>45430</v>
      </c>
      <c r="Q145" s="29">
        <v>0.59221999999999997</v>
      </c>
      <c r="R145" s="30">
        <v>70144</v>
      </c>
      <c r="S145" s="27" t="s">
        <v>41</v>
      </c>
      <c r="T145" s="29">
        <v>166474.86611999999</v>
      </c>
      <c r="U145" s="27" t="s">
        <v>42</v>
      </c>
      <c r="V145" s="28">
        <v>45422</v>
      </c>
      <c r="W145" s="27" t="s">
        <v>38</v>
      </c>
      <c r="X145" s="28">
        <v>45384</v>
      </c>
      <c r="Y145" s="27" t="s">
        <v>39</v>
      </c>
      <c r="Z145" s="43" t="e">
        <f>TEXT([1]!Table64[[#This Row],[Order date]],"mmm-yyyy")</f>
        <v>#REF!</v>
      </c>
    </row>
    <row r="146" spans="1:26" x14ac:dyDescent="0.3">
      <c r="A146" s="10">
        <v>10145</v>
      </c>
      <c r="B146" s="11">
        <v>6523</v>
      </c>
      <c r="C146" s="11" t="s">
        <v>25</v>
      </c>
      <c r="D146" s="12">
        <v>31968.38</v>
      </c>
      <c r="E146" s="11">
        <v>39</v>
      </c>
      <c r="F146" s="11" t="s">
        <v>26</v>
      </c>
      <c r="G146" s="13">
        <v>45383</v>
      </c>
      <c r="H146" s="12">
        <v>129436.98</v>
      </c>
      <c r="I146" s="14" t="s">
        <v>27</v>
      </c>
      <c r="J146" s="15" t="s">
        <v>36</v>
      </c>
      <c r="K146" s="15">
        <v>1476</v>
      </c>
      <c r="L146" s="16">
        <v>45332</v>
      </c>
      <c r="M146" s="17">
        <v>8</v>
      </c>
      <c r="N146" s="18">
        <v>90145</v>
      </c>
      <c r="O146" s="18" t="s">
        <v>37</v>
      </c>
      <c r="P146" s="19">
        <v>45430</v>
      </c>
      <c r="Q146" s="20">
        <v>0.26844000000000001</v>
      </c>
      <c r="R146" s="21">
        <v>70145</v>
      </c>
      <c r="S146" s="18" t="s">
        <v>41</v>
      </c>
      <c r="T146" s="20">
        <v>178160.19162</v>
      </c>
      <c r="U146" s="18" t="s">
        <v>42</v>
      </c>
      <c r="V146" s="19">
        <v>45392</v>
      </c>
      <c r="W146" s="18" t="s">
        <v>32</v>
      </c>
      <c r="X146" s="19">
        <v>45376</v>
      </c>
      <c r="Y146" s="18" t="s">
        <v>33</v>
      </c>
      <c r="Z146" s="43" t="e">
        <f>TEXT([1]!Table64[[#This Row],[Order date]],"mmm-yyyy")</f>
        <v>#REF!</v>
      </c>
    </row>
    <row r="147" spans="1:26" x14ac:dyDescent="0.3">
      <c r="A147" s="22">
        <v>10146</v>
      </c>
      <c r="B147" s="23">
        <v>5593</v>
      </c>
      <c r="C147" s="23" t="s">
        <v>34</v>
      </c>
      <c r="D147" s="24">
        <v>85271.55</v>
      </c>
      <c r="E147" s="23">
        <v>86</v>
      </c>
      <c r="F147" s="23" t="s">
        <v>35</v>
      </c>
      <c r="G147" s="25">
        <v>45306</v>
      </c>
      <c r="H147" s="24">
        <v>110620.85</v>
      </c>
      <c r="I147" s="26" t="s">
        <v>44</v>
      </c>
      <c r="J147" s="15" t="s">
        <v>36</v>
      </c>
      <c r="K147" s="15">
        <v>1112</v>
      </c>
      <c r="L147" s="16">
        <v>45332</v>
      </c>
      <c r="M147" s="17">
        <v>14</v>
      </c>
      <c r="N147" s="27">
        <v>90146</v>
      </c>
      <c r="O147" s="27" t="s">
        <v>50</v>
      </c>
      <c r="P147" s="28">
        <v>45430</v>
      </c>
      <c r="Q147" s="29">
        <v>0.12936</v>
      </c>
      <c r="R147" s="30">
        <v>70146</v>
      </c>
      <c r="S147" s="27" t="s">
        <v>41</v>
      </c>
      <c r="T147" s="29">
        <v>122101.9192</v>
      </c>
      <c r="U147" s="27" t="s">
        <v>42</v>
      </c>
      <c r="V147" s="28">
        <v>45444</v>
      </c>
      <c r="W147" s="27" t="s">
        <v>38</v>
      </c>
      <c r="X147" s="28">
        <v>45376</v>
      </c>
      <c r="Y147" s="27" t="s">
        <v>33</v>
      </c>
      <c r="Z147" s="43" t="e">
        <f>TEXT([1]!Table64[[#This Row],[Order date]],"mmm-yyyy")</f>
        <v>#REF!</v>
      </c>
    </row>
    <row r="148" spans="1:26" x14ac:dyDescent="0.3">
      <c r="A148" s="10">
        <v>10147</v>
      </c>
      <c r="B148" s="11">
        <v>5392</v>
      </c>
      <c r="C148" s="11" t="s">
        <v>34</v>
      </c>
      <c r="D148" s="12">
        <v>56951.59</v>
      </c>
      <c r="E148" s="11">
        <v>49</v>
      </c>
      <c r="F148" s="11" t="s">
        <v>43</v>
      </c>
      <c r="G148" s="13">
        <v>45306</v>
      </c>
      <c r="H148" s="12">
        <v>51351.03</v>
      </c>
      <c r="I148" s="14" t="s">
        <v>44</v>
      </c>
      <c r="J148" s="15" t="s">
        <v>49</v>
      </c>
      <c r="K148" s="15">
        <v>168</v>
      </c>
      <c r="L148" s="16">
        <v>45332</v>
      </c>
      <c r="M148" s="17">
        <v>11</v>
      </c>
      <c r="N148" s="18">
        <v>90147</v>
      </c>
      <c r="O148" s="18" t="s">
        <v>50</v>
      </c>
      <c r="P148" s="19">
        <v>45352</v>
      </c>
      <c r="Q148" s="20">
        <v>0.95125000000000004</v>
      </c>
      <c r="R148" s="21">
        <v>70147</v>
      </c>
      <c r="S148" s="18" t="s">
        <v>30</v>
      </c>
      <c r="T148" s="20">
        <v>160763.81959999999</v>
      </c>
      <c r="U148" s="18" t="s">
        <v>42</v>
      </c>
      <c r="V148" s="19">
        <v>45392</v>
      </c>
      <c r="W148" s="18" t="s">
        <v>38</v>
      </c>
      <c r="X148" s="19">
        <v>45376</v>
      </c>
      <c r="Y148" s="18" t="s">
        <v>39</v>
      </c>
      <c r="Z148" s="43" t="e">
        <f>TEXT([1]!Table64[[#This Row],[Order date]],"mmm-yyyy")</f>
        <v>#REF!</v>
      </c>
    </row>
    <row r="149" spans="1:26" x14ac:dyDescent="0.3">
      <c r="A149" s="22">
        <v>10148</v>
      </c>
      <c r="B149" s="23">
        <v>6699</v>
      </c>
      <c r="C149" s="23" t="s">
        <v>34</v>
      </c>
      <c r="D149" s="24">
        <v>70479.789999999994</v>
      </c>
      <c r="E149" s="23">
        <v>17</v>
      </c>
      <c r="F149" s="23" t="s">
        <v>46</v>
      </c>
      <c r="G149" s="25">
        <v>45383</v>
      </c>
      <c r="H149" s="24">
        <v>73987.509999999995</v>
      </c>
      <c r="I149" s="26" t="s">
        <v>44</v>
      </c>
      <c r="J149" s="15" t="s">
        <v>28</v>
      </c>
      <c r="K149" s="15">
        <v>384</v>
      </c>
      <c r="L149" s="16">
        <v>45397</v>
      </c>
      <c r="M149" s="17">
        <v>10</v>
      </c>
      <c r="N149" s="27">
        <v>90148</v>
      </c>
      <c r="O149" s="27" t="s">
        <v>50</v>
      </c>
      <c r="P149" s="28">
        <v>45383</v>
      </c>
      <c r="Q149" s="29">
        <v>0.93317000000000005</v>
      </c>
      <c r="R149" s="30">
        <v>70148</v>
      </c>
      <c r="S149" s="27" t="s">
        <v>45</v>
      </c>
      <c r="T149" s="29">
        <v>218262.44349999999</v>
      </c>
      <c r="U149" s="27" t="s">
        <v>48</v>
      </c>
      <c r="V149" s="28">
        <v>45444</v>
      </c>
      <c r="W149" s="27" t="s">
        <v>32</v>
      </c>
      <c r="X149" s="28">
        <v>45376</v>
      </c>
      <c r="Y149" s="27" t="s">
        <v>33</v>
      </c>
      <c r="Z149" s="43" t="e">
        <f>TEXT([1]!Table64[[#This Row],[Order date]],"mmm-yyyy")</f>
        <v>#REF!</v>
      </c>
    </row>
    <row r="150" spans="1:26" x14ac:dyDescent="0.3">
      <c r="A150" s="10">
        <v>10149</v>
      </c>
      <c r="B150" s="11">
        <v>5419</v>
      </c>
      <c r="C150" s="11" t="s">
        <v>34</v>
      </c>
      <c r="D150" s="12">
        <v>86012.94</v>
      </c>
      <c r="E150" s="11">
        <v>98</v>
      </c>
      <c r="F150" s="11" t="s">
        <v>43</v>
      </c>
      <c r="G150" s="13">
        <v>45337</v>
      </c>
      <c r="H150" s="12">
        <v>61545.88</v>
      </c>
      <c r="I150" s="14" t="s">
        <v>44</v>
      </c>
      <c r="J150" s="15" t="s">
        <v>49</v>
      </c>
      <c r="K150" s="15">
        <v>1409</v>
      </c>
      <c r="L150" s="16">
        <v>45332</v>
      </c>
      <c r="M150" s="17">
        <v>12</v>
      </c>
      <c r="N150" s="18">
        <v>90149</v>
      </c>
      <c r="O150" s="18" t="s">
        <v>37</v>
      </c>
      <c r="P150" s="19">
        <v>45383</v>
      </c>
      <c r="Q150" s="20">
        <v>0.24639</v>
      </c>
      <c r="R150" s="21">
        <v>70149</v>
      </c>
      <c r="S150" s="18" t="s">
        <v>41</v>
      </c>
      <c r="T150" s="20">
        <v>215649.7714</v>
      </c>
      <c r="U150" s="18" t="s">
        <v>42</v>
      </c>
      <c r="V150" s="19">
        <v>45422</v>
      </c>
      <c r="W150" s="18" t="s">
        <v>32</v>
      </c>
      <c r="X150" s="19">
        <v>45384</v>
      </c>
      <c r="Y150" s="18" t="s">
        <v>39</v>
      </c>
      <c r="Z150" s="43" t="e">
        <f>TEXT([1]!Table64[[#This Row],[Order date]],"mmm-yyyy")</f>
        <v>#REF!</v>
      </c>
    </row>
    <row r="151" spans="1:26" x14ac:dyDescent="0.3">
      <c r="A151" s="22">
        <v>10150</v>
      </c>
      <c r="B151" s="23">
        <v>5289</v>
      </c>
      <c r="C151" s="23" t="s">
        <v>34</v>
      </c>
      <c r="D151" s="24">
        <v>62229.120000000003</v>
      </c>
      <c r="E151" s="23">
        <v>70</v>
      </c>
      <c r="F151" s="23" t="s">
        <v>43</v>
      </c>
      <c r="G151" s="25">
        <v>45361</v>
      </c>
      <c r="H151" s="24">
        <v>121706.49</v>
      </c>
      <c r="I151" s="26" t="s">
        <v>27</v>
      </c>
      <c r="J151" s="15" t="s">
        <v>28</v>
      </c>
      <c r="K151" s="15">
        <v>1147</v>
      </c>
      <c r="L151" s="16">
        <v>45332</v>
      </c>
      <c r="M151" s="17">
        <v>12</v>
      </c>
      <c r="N151" s="27">
        <v>90150</v>
      </c>
      <c r="O151" s="27" t="s">
        <v>29</v>
      </c>
      <c r="P151" s="28">
        <v>45430</v>
      </c>
      <c r="Q151" s="29">
        <v>0.46697</v>
      </c>
      <c r="R151" s="30">
        <v>70150</v>
      </c>
      <c r="S151" s="27" t="s">
        <v>41</v>
      </c>
      <c r="T151" s="29">
        <v>91895.799100000004</v>
      </c>
      <c r="U151" s="27" t="s">
        <v>42</v>
      </c>
      <c r="V151" s="28">
        <v>45422</v>
      </c>
      <c r="W151" s="27" t="s">
        <v>32</v>
      </c>
      <c r="X151" s="28">
        <v>45376</v>
      </c>
      <c r="Y151" s="27" t="s">
        <v>33</v>
      </c>
      <c r="Z151" s="43" t="e">
        <f>TEXT([1]!Table64[[#This Row],[Order date]],"mmm-yyyy")</f>
        <v>#REF!</v>
      </c>
    </row>
    <row r="152" spans="1:26" x14ac:dyDescent="0.3">
      <c r="A152" s="10">
        <v>10151</v>
      </c>
      <c r="B152" s="11">
        <v>5379</v>
      </c>
      <c r="C152" s="11" t="s">
        <v>34</v>
      </c>
      <c r="D152" s="12">
        <v>70503.81</v>
      </c>
      <c r="E152" s="11">
        <v>70</v>
      </c>
      <c r="F152" s="11" t="s">
        <v>46</v>
      </c>
      <c r="G152" s="13">
        <v>45337</v>
      </c>
      <c r="H152" s="12">
        <v>38256.36</v>
      </c>
      <c r="I152" s="14" t="s">
        <v>44</v>
      </c>
      <c r="J152" s="15" t="s">
        <v>28</v>
      </c>
      <c r="K152" s="15">
        <v>1264</v>
      </c>
      <c r="L152" s="16">
        <v>45361</v>
      </c>
      <c r="M152" s="17">
        <v>3</v>
      </c>
      <c r="N152" s="18">
        <v>90151</v>
      </c>
      <c r="O152" s="18" t="s">
        <v>50</v>
      </c>
      <c r="P152" s="19">
        <v>45383</v>
      </c>
      <c r="Q152" s="20">
        <v>0.84792999999999996</v>
      </c>
      <c r="R152" s="21">
        <v>70151</v>
      </c>
      <c r="S152" s="18" t="s">
        <v>41</v>
      </c>
      <c r="T152" s="20">
        <v>76134.3413</v>
      </c>
      <c r="U152" s="18" t="s">
        <v>42</v>
      </c>
      <c r="V152" s="19">
        <v>45444</v>
      </c>
      <c r="W152" s="18" t="s">
        <v>38</v>
      </c>
      <c r="X152" s="19">
        <v>45376</v>
      </c>
      <c r="Y152" s="18" t="s">
        <v>39</v>
      </c>
      <c r="Z152" s="43" t="e">
        <f>TEXT([1]!Table64[[#This Row],[Order date]],"mmm-yyyy")</f>
        <v>#REF!</v>
      </c>
    </row>
    <row r="153" spans="1:26" x14ac:dyDescent="0.3">
      <c r="A153" s="22">
        <v>10152</v>
      </c>
      <c r="B153" s="23">
        <v>6797</v>
      </c>
      <c r="C153" s="23" t="s">
        <v>34</v>
      </c>
      <c r="D153" s="24">
        <v>24507.81</v>
      </c>
      <c r="E153" s="23">
        <v>98</v>
      </c>
      <c r="F153" s="23" t="s">
        <v>26</v>
      </c>
      <c r="G153" s="25">
        <v>45361</v>
      </c>
      <c r="H153" s="24">
        <v>46254.48</v>
      </c>
      <c r="I153" s="26" t="s">
        <v>47</v>
      </c>
      <c r="J153" s="15" t="s">
        <v>49</v>
      </c>
      <c r="K153" s="15">
        <v>373</v>
      </c>
      <c r="L153" s="16">
        <v>45332</v>
      </c>
      <c r="M153" s="17">
        <v>10</v>
      </c>
      <c r="N153" s="27">
        <v>90152</v>
      </c>
      <c r="O153" s="27" t="s">
        <v>37</v>
      </c>
      <c r="P153" s="28">
        <v>45352</v>
      </c>
      <c r="Q153" s="29">
        <v>0.69489999999999996</v>
      </c>
      <c r="R153" s="30">
        <v>70152</v>
      </c>
      <c r="S153" s="27" t="s">
        <v>45</v>
      </c>
      <c r="T153" s="29">
        <v>124260.56299999999</v>
      </c>
      <c r="U153" s="27" t="s">
        <v>48</v>
      </c>
      <c r="V153" s="28">
        <v>45444</v>
      </c>
      <c r="W153" s="27" t="s">
        <v>32</v>
      </c>
      <c r="X153" s="28">
        <v>45376</v>
      </c>
      <c r="Y153" s="27" t="s">
        <v>39</v>
      </c>
      <c r="Z153" s="43" t="e">
        <f>TEXT([1]!Table64[[#This Row],[Order date]],"mmm-yyyy")</f>
        <v>#REF!</v>
      </c>
    </row>
    <row r="154" spans="1:26" x14ac:dyDescent="0.3">
      <c r="A154" s="10">
        <v>10153</v>
      </c>
      <c r="B154" s="11">
        <v>6514</v>
      </c>
      <c r="C154" s="11" t="s">
        <v>34</v>
      </c>
      <c r="D154" s="12">
        <v>65767.570000000007</v>
      </c>
      <c r="E154" s="11">
        <v>65</v>
      </c>
      <c r="F154" s="11" t="s">
        <v>43</v>
      </c>
      <c r="G154" s="13">
        <v>45361</v>
      </c>
      <c r="H154" s="12">
        <v>96626.96</v>
      </c>
      <c r="I154" s="14" t="s">
        <v>44</v>
      </c>
      <c r="J154" s="15" t="s">
        <v>36</v>
      </c>
      <c r="K154" s="15">
        <v>1060</v>
      </c>
      <c r="L154" s="16">
        <v>45332</v>
      </c>
      <c r="M154" s="17">
        <v>7</v>
      </c>
      <c r="N154" s="18">
        <v>90153</v>
      </c>
      <c r="O154" s="18" t="s">
        <v>37</v>
      </c>
      <c r="P154" s="19">
        <v>45383</v>
      </c>
      <c r="Q154" s="20">
        <v>0.45530999999999999</v>
      </c>
      <c r="R154" s="21">
        <v>70153</v>
      </c>
      <c r="S154" s="18" t="s">
        <v>45</v>
      </c>
      <c r="T154" s="20">
        <v>119004.21334</v>
      </c>
      <c r="U154" s="18" t="s">
        <v>31</v>
      </c>
      <c r="V154" s="19">
        <v>45392</v>
      </c>
      <c r="W154" s="18" t="s">
        <v>32</v>
      </c>
      <c r="X154" s="19">
        <v>45376</v>
      </c>
      <c r="Y154" s="18" t="s">
        <v>39</v>
      </c>
      <c r="Z154" s="43" t="e">
        <f>TEXT([1]!Table64[[#This Row],[Order date]],"mmm-yyyy")</f>
        <v>#REF!</v>
      </c>
    </row>
    <row r="155" spans="1:26" x14ac:dyDescent="0.3">
      <c r="A155" s="22">
        <v>10154</v>
      </c>
      <c r="B155" s="23">
        <v>5231</v>
      </c>
      <c r="C155" s="23" t="s">
        <v>34</v>
      </c>
      <c r="D155" s="24">
        <v>50968.18</v>
      </c>
      <c r="E155" s="23">
        <v>74</v>
      </c>
      <c r="F155" s="23" t="s">
        <v>26</v>
      </c>
      <c r="G155" s="25">
        <v>45337</v>
      </c>
      <c r="H155" s="24">
        <v>62300.93</v>
      </c>
      <c r="I155" s="26" t="s">
        <v>27</v>
      </c>
      <c r="J155" s="15" t="s">
        <v>36</v>
      </c>
      <c r="K155" s="15">
        <v>1220</v>
      </c>
      <c r="L155" s="16">
        <v>45332</v>
      </c>
      <c r="M155" s="17">
        <v>12</v>
      </c>
      <c r="N155" s="27">
        <v>90154</v>
      </c>
      <c r="O155" s="27" t="s">
        <v>40</v>
      </c>
      <c r="P155" s="28">
        <v>45352</v>
      </c>
      <c r="Q155" s="29">
        <v>0.76975000000000005</v>
      </c>
      <c r="R155" s="30">
        <v>70154</v>
      </c>
      <c r="S155" s="27" t="s">
        <v>30</v>
      </c>
      <c r="T155" s="29">
        <v>194161.62940000001</v>
      </c>
      <c r="U155" s="27" t="s">
        <v>42</v>
      </c>
      <c r="V155" s="28">
        <v>45444</v>
      </c>
      <c r="W155" s="27" t="s">
        <v>38</v>
      </c>
      <c r="X155" s="28">
        <v>45384</v>
      </c>
      <c r="Y155" s="27" t="s">
        <v>33</v>
      </c>
      <c r="Z155" s="43" t="e">
        <f>TEXT([1]!Table64[[#This Row],[Order date]],"mmm-yyyy")</f>
        <v>#REF!</v>
      </c>
    </row>
    <row r="156" spans="1:26" x14ac:dyDescent="0.3">
      <c r="A156" s="10">
        <v>10155</v>
      </c>
      <c r="B156" s="11">
        <v>6018</v>
      </c>
      <c r="C156" s="11" t="s">
        <v>25</v>
      </c>
      <c r="D156" s="12">
        <v>30454.07</v>
      </c>
      <c r="E156" s="11">
        <v>85</v>
      </c>
      <c r="F156" s="11" t="s">
        <v>46</v>
      </c>
      <c r="G156" s="13">
        <v>45383</v>
      </c>
      <c r="H156" s="12">
        <v>54999.33</v>
      </c>
      <c r="I156" s="14" t="s">
        <v>44</v>
      </c>
      <c r="J156" s="15" t="s">
        <v>28</v>
      </c>
      <c r="K156" s="15">
        <v>333</v>
      </c>
      <c r="L156" s="16">
        <v>45332</v>
      </c>
      <c r="M156" s="17">
        <v>4</v>
      </c>
      <c r="N156" s="18">
        <v>90155</v>
      </c>
      <c r="O156" s="18" t="s">
        <v>37</v>
      </c>
      <c r="P156" s="19">
        <v>45352</v>
      </c>
      <c r="Q156" s="20">
        <v>0.90734000000000004</v>
      </c>
      <c r="R156" s="21">
        <v>70155</v>
      </c>
      <c r="S156" s="18" t="s">
        <v>45</v>
      </c>
      <c r="T156" s="20">
        <v>78346.470140000005</v>
      </c>
      <c r="U156" s="18" t="s">
        <v>48</v>
      </c>
      <c r="V156" s="19">
        <v>45422</v>
      </c>
      <c r="W156" s="18" t="s">
        <v>32</v>
      </c>
      <c r="X156" s="19">
        <v>45384</v>
      </c>
      <c r="Y156" s="18" t="s">
        <v>39</v>
      </c>
      <c r="Z156" s="43" t="e">
        <f>TEXT([1]!Table64[[#This Row],[Order date]],"mmm-yyyy")</f>
        <v>#REF!</v>
      </c>
    </row>
    <row r="157" spans="1:26" x14ac:dyDescent="0.3">
      <c r="A157" s="22">
        <v>10156</v>
      </c>
      <c r="B157" s="23">
        <v>5041</v>
      </c>
      <c r="C157" s="23" t="s">
        <v>25</v>
      </c>
      <c r="D157" s="24">
        <v>21414.7</v>
      </c>
      <c r="E157" s="23">
        <v>5</v>
      </c>
      <c r="F157" s="23" t="s">
        <v>35</v>
      </c>
      <c r="G157" s="25">
        <v>45383</v>
      </c>
      <c r="H157" s="24">
        <v>22711.69</v>
      </c>
      <c r="I157" s="26" t="s">
        <v>27</v>
      </c>
      <c r="J157" s="15" t="s">
        <v>49</v>
      </c>
      <c r="K157" s="15">
        <v>262</v>
      </c>
      <c r="L157" s="16">
        <v>45361</v>
      </c>
      <c r="M157" s="17">
        <v>5</v>
      </c>
      <c r="N157" s="27">
        <v>90156</v>
      </c>
      <c r="O157" s="27" t="s">
        <v>50</v>
      </c>
      <c r="P157" s="28">
        <v>45383</v>
      </c>
      <c r="Q157" s="29">
        <v>0.93354000000000004</v>
      </c>
      <c r="R157" s="30">
        <v>70156</v>
      </c>
      <c r="S157" s="27" t="s">
        <v>30</v>
      </c>
      <c r="T157" s="29">
        <v>148152.63935000001</v>
      </c>
      <c r="U157" s="27" t="s">
        <v>48</v>
      </c>
      <c r="V157" s="28">
        <v>45392</v>
      </c>
      <c r="W157" s="27" t="s">
        <v>38</v>
      </c>
      <c r="X157" s="28">
        <v>45384</v>
      </c>
      <c r="Y157" s="27" t="s">
        <v>33</v>
      </c>
      <c r="Z157" s="43" t="e">
        <f>TEXT([1]!Table64[[#This Row],[Order date]],"mmm-yyyy")</f>
        <v>#REF!</v>
      </c>
    </row>
    <row r="158" spans="1:26" x14ac:dyDescent="0.3">
      <c r="A158" s="10">
        <v>10157</v>
      </c>
      <c r="B158" s="11">
        <v>6052</v>
      </c>
      <c r="C158" s="11" t="s">
        <v>34</v>
      </c>
      <c r="D158" s="12">
        <v>45338.3</v>
      </c>
      <c r="E158" s="11">
        <v>2</v>
      </c>
      <c r="F158" s="11" t="s">
        <v>35</v>
      </c>
      <c r="G158" s="13">
        <v>45361</v>
      </c>
      <c r="H158" s="12">
        <v>96846.71</v>
      </c>
      <c r="I158" s="14" t="s">
        <v>44</v>
      </c>
      <c r="J158" s="15" t="s">
        <v>36</v>
      </c>
      <c r="K158" s="15">
        <v>978</v>
      </c>
      <c r="L158" s="16">
        <v>45361</v>
      </c>
      <c r="M158" s="17">
        <v>9</v>
      </c>
      <c r="N158" s="18">
        <v>90157</v>
      </c>
      <c r="O158" s="18" t="s">
        <v>50</v>
      </c>
      <c r="P158" s="19">
        <v>45352</v>
      </c>
      <c r="Q158" s="20">
        <v>0.44096000000000002</v>
      </c>
      <c r="R158" s="21">
        <v>70157</v>
      </c>
      <c r="S158" s="18" t="s">
        <v>30</v>
      </c>
      <c r="T158" s="20">
        <v>198124.15401999999</v>
      </c>
      <c r="U158" s="18" t="s">
        <v>42</v>
      </c>
      <c r="V158" s="19">
        <v>45444</v>
      </c>
      <c r="W158" s="18" t="s">
        <v>38</v>
      </c>
      <c r="X158" s="19">
        <v>45384</v>
      </c>
      <c r="Y158" s="18" t="s">
        <v>39</v>
      </c>
      <c r="Z158" s="43" t="e">
        <f>TEXT([1]!Table64[[#This Row],[Order date]],"mmm-yyyy")</f>
        <v>#REF!</v>
      </c>
    </row>
    <row r="159" spans="1:26" x14ac:dyDescent="0.3">
      <c r="A159" s="22">
        <v>10158</v>
      </c>
      <c r="B159" s="23">
        <v>5135</v>
      </c>
      <c r="C159" s="23" t="s">
        <v>34</v>
      </c>
      <c r="D159" s="24">
        <v>35250.480000000003</v>
      </c>
      <c r="E159" s="23">
        <v>22</v>
      </c>
      <c r="F159" s="23" t="s">
        <v>43</v>
      </c>
      <c r="G159" s="25">
        <v>45383</v>
      </c>
      <c r="H159" s="24">
        <v>14184.66</v>
      </c>
      <c r="I159" s="26" t="s">
        <v>47</v>
      </c>
      <c r="J159" s="15" t="s">
        <v>36</v>
      </c>
      <c r="K159" s="15">
        <v>801</v>
      </c>
      <c r="L159" s="16">
        <v>45397</v>
      </c>
      <c r="M159" s="17">
        <v>7</v>
      </c>
      <c r="N159" s="27">
        <v>90158</v>
      </c>
      <c r="O159" s="27" t="s">
        <v>37</v>
      </c>
      <c r="P159" s="28">
        <v>45352</v>
      </c>
      <c r="Q159" s="29">
        <v>0.25619999999999998</v>
      </c>
      <c r="R159" s="30">
        <v>70158</v>
      </c>
      <c r="S159" s="27" t="s">
        <v>45</v>
      </c>
      <c r="T159" s="29">
        <v>162047.49950000001</v>
      </c>
      <c r="U159" s="27" t="s">
        <v>31</v>
      </c>
      <c r="V159" s="28">
        <v>45444</v>
      </c>
      <c r="W159" s="27" t="s">
        <v>38</v>
      </c>
      <c r="X159" s="28">
        <v>45376</v>
      </c>
      <c r="Y159" s="27" t="s">
        <v>39</v>
      </c>
      <c r="Z159" s="43" t="e">
        <f>TEXT([1]!Table64[[#This Row],[Order date]],"mmm-yyyy")</f>
        <v>#REF!</v>
      </c>
    </row>
    <row r="160" spans="1:26" x14ac:dyDescent="0.3">
      <c r="A160" s="10">
        <v>10159</v>
      </c>
      <c r="B160" s="11">
        <v>5201</v>
      </c>
      <c r="C160" s="11" t="s">
        <v>34</v>
      </c>
      <c r="D160" s="12">
        <v>12600.8</v>
      </c>
      <c r="E160" s="11">
        <v>57</v>
      </c>
      <c r="F160" s="11" t="s">
        <v>46</v>
      </c>
      <c r="G160" s="13">
        <v>45361</v>
      </c>
      <c r="H160" s="12">
        <v>139007.18</v>
      </c>
      <c r="I160" s="14" t="s">
        <v>44</v>
      </c>
      <c r="J160" s="15" t="s">
        <v>28</v>
      </c>
      <c r="K160" s="15">
        <v>1467</v>
      </c>
      <c r="L160" s="16">
        <v>45332</v>
      </c>
      <c r="M160" s="17">
        <v>4</v>
      </c>
      <c r="N160" s="18">
        <v>90159</v>
      </c>
      <c r="O160" s="18" t="s">
        <v>50</v>
      </c>
      <c r="P160" s="19">
        <v>45352</v>
      </c>
      <c r="Q160" s="20">
        <v>0.92154999999999998</v>
      </c>
      <c r="R160" s="21">
        <v>70159</v>
      </c>
      <c r="S160" s="18" t="s">
        <v>45</v>
      </c>
      <c r="T160" s="20">
        <v>162998.24846999999</v>
      </c>
      <c r="U160" s="18" t="s">
        <v>31</v>
      </c>
      <c r="V160" s="19">
        <v>45392</v>
      </c>
      <c r="W160" s="18" t="s">
        <v>32</v>
      </c>
      <c r="X160" s="19">
        <v>45376</v>
      </c>
      <c r="Y160" s="18" t="s">
        <v>33</v>
      </c>
      <c r="Z160" s="43" t="e">
        <f>TEXT([1]!Table64[[#This Row],[Order date]],"mmm-yyyy")</f>
        <v>#REF!</v>
      </c>
    </row>
    <row r="161" spans="1:26" x14ac:dyDescent="0.3">
      <c r="A161" s="22">
        <v>10160</v>
      </c>
      <c r="B161" s="23">
        <v>6864</v>
      </c>
      <c r="C161" s="23" t="s">
        <v>25</v>
      </c>
      <c r="D161" s="24">
        <v>67360.37</v>
      </c>
      <c r="E161" s="23">
        <v>66</v>
      </c>
      <c r="F161" s="23" t="s">
        <v>26</v>
      </c>
      <c r="G161" s="25">
        <v>45383</v>
      </c>
      <c r="H161" s="24">
        <v>133837.97</v>
      </c>
      <c r="I161" s="26" t="s">
        <v>47</v>
      </c>
      <c r="J161" s="15" t="s">
        <v>28</v>
      </c>
      <c r="K161" s="15">
        <v>388</v>
      </c>
      <c r="L161" s="16">
        <v>45397</v>
      </c>
      <c r="M161" s="17">
        <v>6</v>
      </c>
      <c r="N161" s="27">
        <v>90160</v>
      </c>
      <c r="O161" s="27" t="s">
        <v>37</v>
      </c>
      <c r="P161" s="28">
        <v>45352</v>
      </c>
      <c r="Q161" s="29">
        <v>0.18329999999999999</v>
      </c>
      <c r="R161" s="30">
        <v>70160</v>
      </c>
      <c r="S161" s="27" t="s">
        <v>45</v>
      </c>
      <c r="T161" s="29">
        <v>175756.33413</v>
      </c>
      <c r="U161" s="27" t="s">
        <v>31</v>
      </c>
      <c r="V161" s="28">
        <v>45444</v>
      </c>
      <c r="W161" s="27" t="s">
        <v>38</v>
      </c>
      <c r="X161" s="28">
        <v>45376</v>
      </c>
      <c r="Y161" s="27" t="s">
        <v>33</v>
      </c>
      <c r="Z161" s="43" t="e">
        <f>TEXT([1]!Table64[[#This Row],[Order date]],"mmm-yyyy")</f>
        <v>#REF!</v>
      </c>
    </row>
    <row r="162" spans="1:26" x14ac:dyDescent="0.3">
      <c r="A162" s="10">
        <v>10161</v>
      </c>
      <c r="B162" s="11">
        <v>5780</v>
      </c>
      <c r="C162" s="11" t="s">
        <v>34</v>
      </c>
      <c r="D162" s="12">
        <v>31571.59</v>
      </c>
      <c r="E162" s="11">
        <v>74</v>
      </c>
      <c r="F162" s="11" t="s">
        <v>43</v>
      </c>
      <c r="G162" s="13">
        <v>45361</v>
      </c>
      <c r="H162" s="12">
        <v>27486.45</v>
      </c>
      <c r="I162" s="14" t="s">
        <v>47</v>
      </c>
      <c r="J162" s="15" t="s">
        <v>49</v>
      </c>
      <c r="K162" s="15">
        <v>1095</v>
      </c>
      <c r="L162" s="16">
        <v>45397</v>
      </c>
      <c r="M162" s="17">
        <v>10</v>
      </c>
      <c r="N162" s="18">
        <v>90161</v>
      </c>
      <c r="O162" s="18" t="s">
        <v>50</v>
      </c>
      <c r="P162" s="19">
        <v>45430</v>
      </c>
      <c r="Q162" s="20">
        <v>0.74951999999999996</v>
      </c>
      <c r="R162" s="21">
        <v>70161</v>
      </c>
      <c r="S162" s="18" t="s">
        <v>45</v>
      </c>
      <c r="T162" s="20">
        <v>61835.252</v>
      </c>
      <c r="U162" s="18" t="s">
        <v>48</v>
      </c>
      <c r="V162" s="19">
        <v>45422</v>
      </c>
      <c r="W162" s="18" t="s">
        <v>32</v>
      </c>
      <c r="X162" s="19">
        <v>45384</v>
      </c>
      <c r="Y162" s="18" t="s">
        <v>33</v>
      </c>
      <c r="Z162" s="43" t="e">
        <f>TEXT([1]!Table64[[#This Row],[Order date]],"mmm-yyyy")</f>
        <v>#REF!</v>
      </c>
    </row>
    <row r="163" spans="1:26" x14ac:dyDescent="0.3">
      <c r="A163" s="22">
        <v>10162</v>
      </c>
      <c r="B163" s="23">
        <v>5930</v>
      </c>
      <c r="C163" s="23" t="s">
        <v>25</v>
      </c>
      <c r="D163" s="24">
        <v>46888.42</v>
      </c>
      <c r="E163" s="23">
        <v>98</v>
      </c>
      <c r="F163" s="23" t="s">
        <v>46</v>
      </c>
      <c r="G163" s="25">
        <v>45383</v>
      </c>
      <c r="H163" s="24">
        <v>78272.87</v>
      </c>
      <c r="I163" s="26" t="s">
        <v>44</v>
      </c>
      <c r="J163" s="15" t="s">
        <v>28</v>
      </c>
      <c r="K163" s="15">
        <v>154</v>
      </c>
      <c r="L163" s="16">
        <v>45332</v>
      </c>
      <c r="M163" s="17">
        <v>14</v>
      </c>
      <c r="N163" s="27">
        <v>90162</v>
      </c>
      <c r="O163" s="27" t="s">
        <v>40</v>
      </c>
      <c r="P163" s="28">
        <v>45383</v>
      </c>
      <c r="Q163" s="29">
        <v>0.22645000000000001</v>
      </c>
      <c r="R163" s="30">
        <v>70162</v>
      </c>
      <c r="S163" s="27" t="s">
        <v>45</v>
      </c>
      <c r="T163" s="29">
        <v>86039.747900000002</v>
      </c>
      <c r="U163" s="27" t="s">
        <v>42</v>
      </c>
      <c r="V163" s="28">
        <v>45392</v>
      </c>
      <c r="W163" s="27" t="s">
        <v>38</v>
      </c>
      <c r="X163" s="28">
        <v>45376</v>
      </c>
      <c r="Y163" s="27" t="s">
        <v>33</v>
      </c>
      <c r="Z163" s="43" t="e">
        <f>TEXT([1]!Table64[[#This Row],[Order date]],"mmm-yyyy")</f>
        <v>#REF!</v>
      </c>
    </row>
    <row r="164" spans="1:26" x14ac:dyDescent="0.3">
      <c r="A164" s="10">
        <v>10163</v>
      </c>
      <c r="B164" s="11">
        <v>6057</v>
      </c>
      <c r="C164" s="11" t="s">
        <v>34</v>
      </c>
      <c r="D164" s="12">
        <v>71263.33</v>
      </c>
      <c r="E164" s="11">
        <v>16</v>
      </c>
      <c r="F164" s="11" t="s">
        <v>46</v>
      </c>
      <c r="G164" s="13">
        <v>45306</v>
      </c>
      <c r="H164" s="12">
        <v>65404.59</v>
      </c>
      <c r="I164" s="14" t="s">
        <v>47</v>
      </c>
      <c r="J164" s="15" t="s">
        <v>36</v>
      </c>
      <c r="K164" s="15">
        <v>819</v>
      </c>
      <c r="L164" s="16">
        <v>45361</v>
      </c>
      <c r="M164" s="17">
        <v>11</v>
      </c>
      <c r="N164" s="18">
        <v>90163</v>
      </c>
      <c r="O164" s="18" t="s">
        <v>29</v>
      </c>
      <c r="P164" s="19">
        <v>45430</v>
      </c>
      <c r="Q164" s="20">
        <v>0.45045000000000002</v>
      </c>
      <c r="R164" s="21">
        <v>70163</v>
      </c>
      <c r="S164" s="18" t="s">
        <v>30</v>
      </c>
      <c r="T164" s="20">
        <v>148212.51579999999</v>
      </c>
      <c r="U164" s="18" t="s">
        <v>42</v>
      </c>
      <c r="V164" s="19">
        <v>45444</v>
      </c>
      <c r="W164" s="18" t="s">
        <v>38</v>
      </c>
      <c r="X164" s="19">
        <v>45376</v>
      </c>
      <c r="Y164" s="18" t="s">
        <v>33</v>
      </c>
      <c r="Z164" s="43" t="e">
        <f>TEXT([1]!Table64[[#This Row],[Order date]],"mmm-yyyy")</f>
        <v>#REF!</v>
      </c>
    </row>
    <row r="165" spans="1:26" x14ac:dyDescent="0.3">
      <c r="A165" s="22">
        <v>10164</v>
      </c>
      <c r="B165" s="23">
        <v>6072</v>
      </c>
      <c r="C165" s="23" t="s">
        <v>34</v>
      </c>
      <c r="D165" s="24">
        <v>45696.44</v>
      </c>
      <c r="E165" s="23">
        <v>51</v>
      </c>
      <c r="F165" s="23" t="s">
        <v>26</v>
      </c>
      <c r="G165" s="25">
        <v>45337</v>
      </c>
      <c r="H165" s="24">
        <v>92167.54</v>
      </c>
      <c r="I165" s="26" t="s">
        <v>44</v>
      </c>
      <c r="J165" s="15" t="s">
        <v>36</v>
      </c>
      <c r="K165" s="15">
        <v>765</v>
      </c>
      <c r="L165" s="16">
        <v>45361</v>
      </c>
      <c r="M165" s="17">
        <v>7</v>
      </c>
      <c r="N165" s="27">
        <v>90164</v>
      </c>
      <c r="O165" s="27" t="s">
        <v>40</v>
      </c>
      <c r="P165" s="28">
        <v>45352</v>
      </c>
      <c r="Q165" s="29">
        <v>0.47039999999999998</v>
      </c>
      <c r="R165" s="30">
        <v>70164</v>
      </c>
      <c r="S165" s="27" t="s">
        <v>41</v>
      </c>
      <c r="T165" s="29">
        <v>73856.680399999997</v>
      </c>
      <c r="U165" s="27" t="s">
        <v>48</v>
      </c>
      <c r="V165" s="28">
        <v>45422</v>
      </c>
      <c r="W165" s="27" t="s">
        <v>32</v>
      </c>
      <c r="X165" s="28">
        <v>45376</v>
      </c>
      <c r="Y165" s="27" t="s">
        <v>33</v>
      </c>
      <c r="Z165" s="43" t="e">
        <f>TEXT([1]!Table64[[#This Row],[Order date]],"mmm-yyyy")</f>
        <v>#REF!</v>
      </c>
    </row>
    <row r="166" spans="1:26" x14ac:dyDescent="0.3">
      <c r="A166" s="10">
        <v>10165</v>
      </c>
      <c r="B166" s="11">
        <v>5503</v>
      </c>
      <c r="C166" s="11" t="s">
        <v>25</v>
      </c>
      <c r="D166" s="12">
        <v>22307.03</v>
      </c>
      <c r="E166" s="11">
        <v>39</v>
      </c>
      <c r="F166" s="11" t="s">
        <v>43</v>
      </c>
      <c r="G166" s="13">
        <v>45306</v>
      </c>
      <c r="H166" s="12">
        <v>54928.91</v>
      </c>
      <c r="I166" s="14" t="s">
        <v>44</v>
      </c>
      <c r="J166" s="15" t="s">
        <v>36</v>
      </c>
      <c r="K166" s="15">
        <v>812</v>
      </c>
      <c r="L166" s="16">
        <v>45332</v>
      </c>
      <c r="M166" s="17">
        <v>13</v>
      </c>
      <c r="N166" s="18">
        <v>90165</v>
      </c>
      <c r="O166" s="18" t="s">
        <v>40</v>
      </c>
      <c r="P166" s="19">
        <v>45383</v>
      </c>
      <c r="Q166" s="20">
        <v>0.24288000000000001</v>
      </c>
      <c r="R166" s="21">
        <v>70165</v>
      </c>
      <c r="S166" s="18" t="s">
        <v>41</v>
      </c>
      <c r="T166" s="20">
        <v>96482.715500000006</v>
      </c>
      <c r="U166" s="18" t="s">
        <v>42</v>
      </c>
      <c r="V166" s="19">
        <v>45444</v>
      </c>
      <c r="W166" s="18" t="s">
        <v>38</v>
      </c>
      <c r="X166" s="19">
        <v>45384</v>
      </c>
      <c r="Y166" s="18" t="s">
        <v>39</v>
      </c>
      <c r="Z166" s="43" t="e">
        <f>TEXT([1]!Table64[[#This Row],[Order date]],"mmm-yyyy")</f>
        <v>#REF!</v>
      </c>
    </row>
    <row r="167" spans="1:26" x14ac:dyDescent="0.3">
      <c r="A167" s="22">
        <v>10166</v>
      </c>
      <c r="B167" s="23">
        <v>5407</v>
      </c>
      <c r="C167" s="23" t="s">
        <v>34</v>
      </c>
      <c r="D167" s="24">
        <v>63438.34</v>
      </c>
      <c r="E167" s="23">
        <v>86</v>
      </c>
      <c r="F167" s="23" t="s">
        <v>46</v>
      </c>
      <c r="G167" s="25">
        <v>45337</v>
      </c>
      <c r="H167" s="24">
        <v>114620.89</v>
      </c>
      <c r="I167" s="26" t="s">
        <v>44</v>
      </c>
      <c r="J167" s="15" t="s">
        <v>36</v>
      </c>
      <c r="K167" s="15">
        <v>1294</v>
      </c>
      <c r="L167" s="16">
        <v>45332</v>
      </c>
      <c r="M167" s="17">
        <v>10</v>
      </c>
      <c r="N167" s="27">
        <v>90166</v>
      </c>
      <c r="O167" s="27" t="s">
        <v>29</v>
      </c>
      <c r="P167" s="28">
        <v>45352</v>
      </c>
      <c r="Q167" s="29">
        <v>0.93040999999999996</v>
      </c>
      <c r="R167" s="30">
        <v>70166</v>
      </c>
      <c r="S167" s="27" t="s">
        <v>41</v>
      </c>
      <c r="T167" s="29">
        <v>104701.12136</v>
      </c>
      <c r="U167" s="27" t="s">
        <v>42</v>
      </c>
      <c r="V167" s="28">
        <v>45392</v>
      </c>
      <c r="W167" s="27" t="s">
        <v>32</v>
      </c>
      <c r="X167" s="28">
        <v>45384</v>
      </c>
      <c r="Y167" s="27" t="s">
        <v>33</v>
      </c>
      <c r="Z167" s="43" t="e">
        <f>TEXT([1]!Table64[[#This Row],[Order date]],"mmm-yyyy")</f>
        <v>#REF!</v>
      </c>
    </row>
    <row r="168" spans="1:26" x14ac:dyDescent="0.3">
      <c r="A168" s="10">
        <v>10167</v>
      </c>
      <c r="B168" s="11">
        <v>6598</v>
      </c>
      <c r="C168" s="11" t="s">
        <v>34</v>
      </c>
      <c r="D168" s="12">
        <v>43704.92</v>
      </c>
      <c r="E168" s="11">
        <v>76</v>
      </c>
      <c r="F168" s="11" t="s">
        <v>46</v>
      </c>
      <c r="G168" s="13">
        <v>45337</v>
      </c>
      <c r="H168" s="12">
        <v>139460.07</v>
      </c>
      <c r="I168" s="14" t="s">
        <v>47</v>
      </c>
      <c r="J168" s="15" t="s">
        <v>49</v>
      </c>
      <c r="K168" s="15">
        <v>428</v>
      </c>
      <c r="L168" s="16">
        <v>45361</v>
      </c>
      <c r="M168" s="17">
        <v>13</v>
      </c>
      <c r="N168" s="18">
        <v>90167</v>
      </c>
      <c r="O168" s="18" t="s">
        <v>50</v>
      </c>
      <c r="P168" s="19">
        <v>45383</v>
      </c>
      <c r="Q168" s="20">
        <v>0.1024</v>
      </c>
      <c r="R168" s="21">
        <v>70167</v>
      </c>
      <c r="S168" s="18" t="s">
        <v>30</v>
      </c>
      <c r="T168" s="20">
        <v>83029.268670000005</v>
      </c>
      <c r="U168" s="18" t="s">
        <v>31</v>
      </c>
      <c r="V168" s="19">
        <v>45444</v>
      </c>
      <c r="W168" s="18" t="s">
        <v>38</v>
      </c>
      <c r="X168" s="19">
        <v>45376</v>
      </c>
      <c r="Y168" s="18" t="s">
        <v>33</v>
      </c>
      <c r="Z168" s="43" t="e">
        <f>TEXT([1]!Table64[[#This Row],[Order date]],"mmm-yyyy")</f>
        <v>#REF!</v>
      </c>
    </row>
    <row r="169" spans="1:26" x14ac:dyDescent="0.3">
      <c r="A169" s="22">
        <v>10168</v>
      </c>
      <c r="B169" s="23">
        <v>6752</v>
      </c>
      <c r="C169" s="23" t="s">
        <v>34</v>
      </c>
      <c r="D169" s="24">
        <v>45844.05</v>
      </c>
      <c r="E169" s="23">
        <v>88</v>
      </c>
      <c r="F169" s="23" t="s">
        <v>46</v>
      </c>
      <c r="G169" s="25">
        <v>45361</v>
      </c>
      <c r="H169" s="24">
        <v>65208.27</v>
      </c>
      <c r="I169" s="26" t="s">
        <v>47</v>
      </c>
      <c r="J169" s="15" t="s">
        <v>49</v>
      </c>
      <c r="K169" s="15">
        <v>1295</v>
      </c>
      <c r="L169" s="16">
        <v>45332</v>
      </c>
      <c r="M169" s="17">
        <v>9</v>
      </c>
      <c r="N169" s="27">
        <v>90168</v>
      </c>
      <c r="O169" s="27" t="s">
        <v>29</v>
      </c>
      <c r="P169" s="28">
        <v>45430</v>
      </c>
      <c r="Q169" s="29">
        <v>0.90442999999999996</v>
      </c>
      <c r="R169" s="30">
        <v>70168</v>
      </c>
      <c r="S169" s="27" t="s">
        <v>30</v>
      </c>
      <c r="T169" s="29">
        <v>99357.821800000005</v>
      </c>
      <c r="U169" s="27" t="s">
        <v>42</v>
      </c>
      <c r="V169" s="28">
        <v>45444</v>
      </c>
      <c r="W169" s="27" t="s">
        <v>38</v>
      </c>
      <c r="X169" s="28">
        <v>45376</v>
      </c>
      <c r="Y169" s="27" t="s">
        <v>33</v>
      </c>
      <c r="Z169" s="43" t="e">
        <f>TEXT([1]!Table64[[#This Row],[Order date]],"mmm-yyyy")</f>
        <v>#REF!</v>
      </c>
    </row>
    <row r="170" spans="1:26" x14ac:dyDescent="0.3">
      <c r="A170" s="10">
        <v>10169</v>
      </c>
      <c r="B170" s="11">
        <v>5805</v>
      </c>
      <c r="C170" s="11" t="s">
        <v>34</v>
      </c>
      <c r="D170" s="12">
        <v>57080.7</v>
      </c>
      <c r="E170" s="11">
        <v>40</v>
      </c>
      <c r="F170" s="11" t="s">
        <v>26</v>
      </c>
      <c r="G170" s="13">
        <v>45337</v>
      </c>
      <c r="H170" s="12">
        <v>91333.440000000002</v>
      </c>
      <c r="I170" s="14" t="s">
        <v>44</v>
      </c>
      <c r="J170" s="15" t="s">
        <v>28</v>
      </c>
      <c r="K170" s="15">
        <v>1331</v>
      </c>
      <c r="L170" s="16">
        <v>45332</v>
      </c>
      <c r="M170" s="17">
        <v>4</v>
      </c>
      <c r="N170" s="18">
        <v>90169</v>
      </c>
      <c r="O170" s="18" t="s">
        <v>37</v>
      </c>
      <c r="P170" s="19">
        <v>45383</v>
      </c>
      <c r="Q170" s="20">
        <v>0.89544999999999997</v>
      </c>
      <c r="R170" s="21">
        <v>70169</v>
      </c>
      <c r="S170" s="18" t="s">
        <v>41</v>
      </c>
      <c r="T170" s="20">
        <v>194138.95963999999</v>
      </c>
      <c r="U170" s="18" t="s">
        <v>42</v>
      </c>
      <c r="V170" s="19">
        <v>45444</v>
      </c>
      <c r="W170" s="18" t="s">
        <v>38</v>
      </c>
      <c r="X170" s="19">
        <v>45384</v>
      </c>
      <c r="Y170" s="18" t="s">
        <v>33</v>
      </c>
      <c r="Z170" s="43" t="e">
        <f>TEXT([1]!Table64[[#This Row],[Order date]],"mmm-yyyy")</f>
        <v>#REF!</v>
      </c>
    </row>
    <row r="171" spans="1:26" x14ac:dyDescent="0.3">
      <c r="A171" s="22">
        <v>10170</v>
      </c>
      <c r="B171" s="23">
        <v>5099</v>
      </c>
      <c r="C171" s="23" t="s">
        <v>25</v>
      </c>
      <c r="D171" s="24">
        <v>89246.26</v>
      </c>
      <c r="E171" s="23">
        <v>38</v>
      </c>
      <c r="F171" s="23" t="s">
        <v>43</v>
      </c>
      <c r="G171" s="25">
        <v>45306</v>
      </c>
      <c r="H171" s="24">
        <v>161561.89000000001</v>
      </c>
      <c r="I171" s="26" t="s">
        <v>44</v>
      </c>
      <c r="J171" s="15" t="s">
        <v>28</v>
      </c>
      <c r="K171" s="15">
        <v>762</v>
      </c>
      <c r="L171" s="16">
        <v>45332</v>
      </c>
      <c r="M171" s="17">
        <v>10</v>
      </c>
      <c r="N171" s="27">
        <v>90170</v>
      </c>
      <c r="O171" s="27" t="s">
        <v>29</v>
      </c>
      <c r="P171" s="28">
        <v>45352</v>
      </c>
      <c r="Q171" s="29">
        <v>0.38527</v>
      </c>
      <c r="R171" s="30">
        <v>70170</v>
      </c>
      <c r="S171" s="27" t="s">
        <v>45</v>
      </c>
      <c r="T171" s="29">
        <v>55254.901700000002</v>
      </c>
      <c r="U171" s="27" t="s">
        <v>48</v>
      </c>
      <c r="V171" s="28">
        <v>45422</v>
      </c>
      <c r="W171" s="27" t="s">
        <v>32</v>
      </c>
      <c r="X171" s="28">
        <v>45376</v>
      </c>
      <c r="Y171" s="27" t="s">
        <v>39</v>
      </c>
      <c r="Z171" s="43" t="e">
        <f>TEXT([1]!Table64[[#This Row],[Order date]],"mmm-yyyy")</f>
        <v>#REF!</v>
      </c>
    </row>
    <row r="172" spans="1:26" x14ac:dyDescent="0.3">
      <c r="A172" s="10">
        <v>10171</v>
      </c>
      <c r="B172" s="11">
        <v>5684</v>
      </c>
      <c r="C172" s="11" t="s">
        <v>34</v>
      </c>
      <c r="D172" s="12">
        <v>20679.79</v>
      </c>
      <c r="E172" s="11">
        <v>60</v>
      </c>
      <c r="F172" s="11" t="s">
        <v>43</v>
      </c>
      <c r="G172" s="13">
        <v>45306</v>
      </c>
      <c r="H172" s="12">
        <v>141045.16</v>
      </c>
      <c r="I172" s="14" t="s">
        <v>47</v>
      </c>
      <c r="J172" s="15" t="s">
        <v>28</v>
      </c>
      <c r="K172" s="15">
        <v>1440</v>
      </c>
      <c r="L172" s="16">
        <v>45361</v>
      </c>
      <c r="M172" s="17">
        <v>3</v>
      </c>
      <c r="N172" s="18">
        <v>90171</v>
      </c>
      <c r="O172" s="18" t="s">
        <v>40</v>
      </c>
      <c r="P172" s="19">
        <v>45383</v>
      </c>
      <c r="Q172" s="20">
        <v>0.73385999999999996</v>
      </c>
      <c r="R172" s="21">
        <v>70171</v>
      </c>
      <c r="S172" s="18" t="s">
        <v>30</v>
      </c>
      <c r="T172" s="20">
        <v>103075.48360000001</v>
      </c>
      <c r="U172" s="18" t="s">
        <v>48</v>
      </c>
      <c r="V172" s="19">
        <v>45422</v>
      </c>
      <c r="W172" s="18" t="s">
        <v>38</v>
      </c>
      <c r="X172" s="19">
        <v>45384</v>
      </c>
      <c r="Y172" s="18" t="s">
        <v>39</v>
      </c>
      <c r="Z172" s="43" t="e">
        <f>TEXT([1]!Table64[[#This Row],[Order date]],"mmm-yyyy")</f>
        <v>#REF!</v>
      </c>
    </row>
    <row r="173" spans="1:26" x14ac:dyDescent="0.3">
      <c r="A173" s="22">
        <v>10172</v>
      </c>
      <c r="B173" s="23">
        <v>6896</v>
      </c>
      <c r="C173" s="23" t="s">
        <v>34</v>
      </c>
      <c r="D173" s="24">
        <v>79220.539999999994</v>
      </c>
      <c r="E173" s="23">
        <v>59</v>
      </c>
      <c r="F173" s="23" t="s">
        <v>43</v>
      </c>
      <c r="G173" s="25">
        <v>45383</v>
      </c>
      <c r="H173" s="24">
        <v>99759.87</v>
      </c>
      <c r="I173" s="26" t="s">
        <v>47</v>
      </c>
      <c r="J173" s="15" t="s">
        <v>49</v>
      </c>
      <c r="K173" s="15">
        <v>1422</v>
      </c>
      <c r="L173" s="16">
        <v>45397</v>
      </c>
      <c r="M173" s="17">
        <v>8</v>
      </c>
      <c r="N173" s="27">
        <v>90172</v>
      </c>
      <c r="O173" s="27" t="s">
        <v>29</v>
      </c>
      <c r="P173" s="28">
        <v>45383</v>
      </c>
      <c r="Q173" s="29">
        <v>0.32752999999999999</v>
      </c>
      <c r="R173" s="30">
        <v>70172</v>
      </c>
      <c r="S173" s="27" t="s">
        <v>41</v>
      </c>
      <c r="T173" s="29">
        <v>193119.28700000001</v>
      </c>
      <c r="U173" s="27" t="s">
        <v>31</v>
      </c>
      <c r="V173" s="28">
        <v>45444</v>
      </c>
      <c r="W173" s="27" t="s">
        <v>38</v>
      </c>
      <c r="X173" s="28">
        <v>45376</v>
      </c>
      <c r="Y173" s="27" t="s">
        <v>33</v>
      </c>
      <c r="Z173" s="43" t="e">
        <f>TEXT([1]!Table64[[#This Row],[Order date]],"mmm-yyyy")</f>
        <v>#REF!</v>
      </c>
    </row>
    <row r="174" spans="1:26" x14ac:dyDescent="0.3">
      <c r="A174" s="10">
        <v>10173</v>
      </c>
      <c r="B174" s="11">
        <v>5726</v>
      </c>
      <c r="C174" s="11" t="s">
        <v>34</v>
      </c>
      <c r="D174" s="12">
        <v>48332.18</v>
      </c>
      <c r="E174" s="11">
        <v>10</v>
      </c>
      <c r="F174" s="11" t="s">
        <v>43</v>
      </c>
      <c r="G174" s="13">
        <v>45306</v>
      </c>
      <c r="H174" s="12">
        <v>84773.15</v>
      </c>
      <c r="I174" s="14" t="s">
        <v>27</v>
      </c>
      <c r="J174" s="15" t="s">
        <v>36</v>
      </c>
      <c r="K174" s="15">
        <v>274</v>
      </c>
      <c r="L174" s="16">
        <v>45397</v>
      </c>
      <c r="M174" s="17">
        <v>1</v>
      </c>
      <c r="N174" s="18">
        <v>90173</v>
      </c>
      <c r="O174" s="18" t="s">
        <v>50</v>
      </c>
      <c r="P174" s="19">
        <v>45430</v>
      </c>
      <c r="Q174" s="20">
        <v>0.78290000000000004</v>
      </c>
      <c r="R174" s="21">
        <v>70173</v>
      </c>
      <c r="S174" s="18" t="s">
        <v>45</v>
      </c>
      <c r="T174" s="20">
        <v>144900.9785</v>
      </c>
      <c r="U174" s="18" t="s">
        <v>48</v>
      </c>
      <c r="V174" s="19">
        <v>45444</v>
      </c>
      <c r="W174" s="18" t="s">
        <v>32</v>
      </c>
      <c r="X174" s="19">
        <v>45376</v>
      </c>
      <c r="Y174" s="18" t="s">
        <v>33</v>
      </c>
      <c r="Z174" s="43" t="e">
        <f>TEXT([1]!Table64[[#This Row],[Order date]],"mmm-yyyy")</f>
        <v>#REF!</v>
      </c>
    </row>
    <row r="175" spans="1:26" x14ac:dyDescent="0.3">
      <c r="A175" s="22">
        <v>10174</v>
      </c>
      <c r="B175" s="23">
        <v>6571</v>
      </c>
      <c r="C175" s="23" t="s">
        <v>34</v>
      </c>
      <c r="D175" s="24">
        <v>68441.61</v>
      </c>
      <c r="E175" s="23">
        <v>99</v>
      </c>
      <c r="F175" s="23" t="s">
        <v>35</v>
      </c>
      <c r="G175" s="25">
        <v>45383</v>
      </c>
      <c r="H175" s="24">
        <v>65546.33</v>
      </c>
      <c r="I175" s="26" t="s">
        <v>44</v>
      </c>
      <c r="J175" s="15" t="s">
        <v>28</v>
      </c>
      <c r="K175" s="15">
        <v>787</v>
      </c>
      <c r="L175" s="16">
        <v>45332</v>
      </c>
      <c r="M175" s="17">
        <v>9</v>
      </c>
      <c r="N175" s="27">
        <v>90174</v>
      </c>
      <c r="O175" s="27" t="s">
        <v>40</v>
      </c>
      <c r="P175" s="28">
        <v>45352</v>
      </c>
      <c r="Q175" s="29">
        <v>0.60501000000000005</v>
      </c>
      <c r="R175" s="30">
        <v>70174</v>
      </c>
      <c r="S175" s="27" t="s">
        <v>30</v>
      </c>
      <c r="T175" s="29">
        <v>143109.83480000001</v>
      </c>
      <c r="U175" s="27" t="s">
        <v>31</v>
      </c>
      <c r="V175" s="28">
        <v>45392</v>
      </c>
      <c r="W175" s="27" t="s">
        <v>38</v>
      </c>
      <c r="X175" s="28">
        <v>45384</v>
      </c>
      <c r="Y175" s="27" t="s">
        <v>39</v>
      </c>
      <c r="Z175" s="43" t="e">
        <f>TEXT([1]!Table64[[#This Row],[Order date]],"mmm-yyyy")</f>
        <v>#REF!</v>
      </c>
    </row>
    <row r="176" spans="1:26" x14ac:dyDescent="0.3">
      <c r="A176" s="10">
        <v>10175</v>
      </c>
      <c r="B176" s="11">
        <v>5961</v>
      </c>
      <c r="C176" s="11" t="s">
        <v>34</v>
      </c>
      <c r="D176" s="12">
        <v>68977.53</v>
      </c>
      <c r="E176" s="11">
        <v>64</v>
      </c>
      <c r="F176" s="11" t="s">
        <v>35</v>
      </c>
      <c r="G176" s="13">
        <v>45337</v>
      </c>
      <c r="H176" s="12">
        <v>129151.48</v>
      </c>
      <c r="I176" s="14" t="s">
        <v>44</v>
      </c>
      <c r="J176" s="15" t="s">
        <v>36</v>
      </c>
      <c r="K176" s="15">
        <v>285</v>
      </c>
      <c r="L176" s="16">
        <v>45361</v>
      </c>
      <c r="M176" s="17">
        <v>13</v>
      </c>
      <c r="N176" s="18">
        <v>90175</v>
      </c>
      <c r="O176" s="18" t="s">
        <v>37</v>
      </c>
      <c r="P176" s="19">
        <v>45383</v>
      </c>
      <c r="Q176" s="20">
        <v>0.37019999999999997</v>
      </c>
      <c r="R176" s="21">
        <v>70175</v>
      </c>
      <c r="S176" s="18" t="s">
        <v>45</v>
      </c>
      <c r="T176" s="20">
        <v>149679.29199999999</v>
      </c>
      <c r="U176" s="18" t="s">
        <v>31</v>
      </c>
      <c r="V176" s="19">
        <v>45444</v>
      </c>
      <c r="W176" s="18" t="s">
        <v>38</v>
      </c>
      <c r="X176" s="19">
        <v>45376</v>
      </c>
      <c r="Y176" s="18" t="s">
        <v>33</v>
      </c>
      <c r="Z176" s="43" t="e">
        <f>TEXT([1]!Table64[[#This Row],[Order date]],"mmm-yyyy")</f>
        <v>#REF!</v>
      </c>
    </row>
    <row r="177" spans="1:26" x14ac:dyDescent="0.3">
      <c r="A177" s="22">
        <v>10176</v>
      </c>
      <c r="B177" s="23">
        <v>6763</v>
      </c>
      <c r="C177" s="23" t="s">
        <v>34</v>
      </c>
      <c r="D177" s="24">
        <v>17721.400000000001</v>
      </c>
      <c r="E177" s="23">
        <v>63</v>
      </c>
      <c r="F177" s="23" t="s">
        <v>43</v>
      </c>
      <c r="G177" s="25">
        <v>45306</v>
      </c>
      <c r="H177" s="24">
        <v>84458.43</v>
      </c>
      <c r="I177" s="26" t="s">
        <v>44</v>
      </c>
      <c r="J177" s="15" t="s">
        <v>28</v>
      </c>
      <c r="K177" s="15">
        <v>232</v>
      </c>
      <c r="L177" s="16">
        <v>45332</v>
      </c>
      <c r="M177" s="17">
        <v>1</v>
      </c>
      <c r="N177" s="27">
        <v>90176</v>
      </c>
      <c r="O177" s="27" t="s">
        <v>50</v>
      </c>
      <c r="P177" s="28">
        <v>45430</v>
      </c>
      <c r="Q177" s="29">
        <v>0.46021000000000001</v>
      </c>
      <c r="R177" s="30">
        <v>70176</v>
      </c>
      <c r="S177" s="27" t="s">
        <v>41</v>
      </c>
      <c r="T177" s="29">
        <v>64034.060899999997</v>
      </c>
      <c r="U177" s="27" t="s">
        <v>42</v>
      </c>
      <c r="V177" s="28">
        <v>45392</v>
      </c>
      <c r="W177" s="27" t="s">
        <v>38</v>
      </c>
      <c r="X177" s="28">
        <v>45376</v>
      </c>
      <c r="Y177" s="27" t="s">
        <v>33</v>
      </c>
      <c r="Z177" s="43" t="e">
        <f>TEXT([1]!Table64[[#This Row],[Order date]],"mmm-yyyy")</f>
        <v>#REF!</v>
      </c>
    </row>
    <row r="178" spans="1:26" x14ac:dyDescent="0.3">
      <c r="A178" s="10">
        <v>10177</v>
      </c>
      <c r="B178" s="11">
        <v>5613</v>
      </c>
      <c r="C178" s="11" t="s">
        <v>34</v>
      </c>
      <c r="D178" s="12">
        <v>40838.06</v>
      </c>
      <c r="E178" s="11">
        <v>49</v>
      </c>
      <c r="F178" s="11" t="s">
        <v>26</v>
      </c>
      <c r="G178" s="13">
        <v>45337</v>
      </c>
      <c r="H178" s="12">
        <v>64727.87</v>
      </c>
      <c r="I178" s="14" t="s">
        <v>44</v>
      </c>
      <c r="J178" s="15" t="s">
        <v>28</v>
      </c>
      <c r="K178" s="15">
        <v>761</v>
      </c>
      <c r="L178" s="16">
        <v>45361</v>
      </c>
      <c r="M178" s="17">
        <v>2</v>
      </c>
      <c r="N178" s="18">
        <v>90177</v>
      </c>
      <c r="O178" s="18" t="s">
        <v>40</v>
      </c>
      <c r="P178" s="19">
        <v>45383</v>
      </c>
      <c r="Q178" s="20">
        <v>0.72089999999999999</v>
      </c>
      <c r="R178" s="21">
        <v>70177</v>
      </c>
      <c r="S178" s="18" t="s">
        <v>45</v>
      </c>
      <c r="T178" s="20">
        <v>139474.0276</v>
      </c>
      <c r="U178" s="18" t="s">
        <v>31</v>
      </c>
      <c r="V178" s="19">
        <v>45422</v>
      </c>
      <c r="W178" s="18" t="s">
        <v>38</v>
      </c>
      <c r="X178" s="19">
        <v>45376</v>
      </c>
      <c r="Y178" s="18" t="s">
        <v>33</v>
      </c>
      <c r="Z178" s="43" t="e">
        <f>TEXT([1]!Table64[[#This Row],[Order date]],"mmm-yyyy")</f>
        <v>#REF!</v>
      </c>
    </row>
    <row r="179" spans="1:26" x14ac:dyDescent="0.3">
      <c r="A179" s="22">
        <v>10178</v>
      </c>
      <c r="B179" s="23">
        <v>6967</v>
      </c>
      <c r="C179" s="23" t="s">
        <v>25</v>
      </c>
      <c r="D179" s="24">
        <v>72202.740000000005</v>
      </c>
      <c r="E179" s="23">
        <v>64</v>
      </c>
      <c r="F179" s="23" t="s">
        <v>35</v>
      </c>
      <c r="G179" s="25">
        <v>45306</v>
      </c>
      <c r="H179" s="24">
        <v>108302.95</v>
      </c>
      <c r="I179" s="26" t="s">
        <v>44</v>
      </c>
      <c r="J179" s="15" t="s">
        <v>28</v>
      </c>
      <c r="K179" s="15">
        <v>493</v>
      </c>
      <c r="L179" s="16">
        <v>45332</v>
      </c>
      <c r="M179" s="17">
        <v>13</v>
      </c>
      <c r="N179" s="27">
        <v>90178</v>
      </c>
      <c r="O179" s="27" t="s">
        <v>37</v>
      </c>
      <c r="P179" s="28">
        <v>45352</v>
      </c>
      <c r="Q179" s="29">
        <v>0.91549000000000003</v>
      </c>
      <c r="R179" s="30">
        <v>70178</v>
      </c>
      <c r="S179" s="27" t="s">
        <v>30</v>
      </c>
      <c r="T179" s="29">
        <v>58967.771639999999</v>
      </c>
      <c r="U179" s="27" t="s">
        <v>42</v>
      </c>
      <c r="V179" s="28">
        <v>45444</v>
      </c>
      <c r="W179" s="27" t="s">
        <v>38</v>
      </c>
      <c r="X179" s="28">
        <v>45376</v>
      </c>
      <c r="Y179" s="27" t="s">
        <v>33</v>
      </c>
      <c r="Z179" s="43" t="e">
        <f>TEXT([1]!Table64[[#This Row],[Order date]],"mmm-yyyy")</f>
        <v>#REF!</v>
      </c>
    </row>
    <row r="180" spans="1:26" x14ac:dyDescent="0.3">
      <c r="A180" s="10">
        <v>10179</v>
      </c>
      <c r="B180" s="11">
        <v>6486</v>
      </c>
      <c r="C180" s="11" t="s">
        <v>25</v>
      </c>
      <c r="D180" s="12">
        <v>41541.589999999997</v>
      </c>
      <c r="E180" s="11">
        <v>32</v>
      </c>
      <c r="F180" s="11" t="s">
        <v>46</v>
      </c>
      <c r="G180" s="13">
        <v>45306</v>
      </c>
      <c r="H180" s="12">
        <v>97384.46</v>
      </c>
      <c r="I180" s="14" t="s">
        <v>27</v>
      </c>
      <c r="J180" s="15" t="s">
        <v>28</v>
      </c>
      <c r="K180" s="15">
        <v>672</v>
      </c>
      <c r="L180" s="16">
        <v>45361</v>
      </c>
      <c r="M180" s="17">
        <v>8</v>
      </c>
      <c r="N180" s="18">
        <v>90179</v>
      </c>
      <c r="O180" s="18" t="s">
        <v>50</v>
      </c>
      <c r="P180" s="19">
        <v>45383</v>
      </c>
      <c r="Q180" s="20">
        <v>0.21765000000000001</v>
      </c>
      <c r="R180" s="21">
        <v>70179</v>
      </c>
      <c r="S180" s="18" t="s">
        <v>30</v>
      </c>
      <c r="T180" s="20">
        <v>114172.83755</v>
      </c>
      <c r="U180" s="18" t="s">
        <v>31</v>
      </c>
      <c r="V180" s="19">
        <v>45392</v>
      </c>
      <c r="W180" s="18" t="s">
        <v>38</v>
      </c>
      <c r="X180" s="19">
        <v>45376</v>
      </c>
      <c r="Y180" s="18" t="s">
        <v>39</v>
      </c>
      <c r="Z180" s="43" t="e">
        <f>TEXT([1]!Table64[[#This Row],[Order date]],"mmm-yyyy")</f>
        <v>#REF!</v>
      </c>
    </row>
    <row r="181" spans="1:26" x14ac:dyDescent="0.3">
      <c r="A181" s="22">
        <v>10180</v>
      </c>
      <c r="B181" s="23">
        <v>5643</v>
      </c>
      <c r="C181" s="23" t="s">
        <v>34</v>
      </c>
      <c r="D181" s="24">
        <v>99826.66</v>
      </c>
      <c r="E181" s="23">
        <v>7</v>
      </c>
      <c r="F181" s="23" t="s">
        <v>35</v>
      </c>
      <c r="G181" s="25">
        <v>45383</v>
      </c>
      <c r="H181" s="24">
        <v>133246.69</v>
      </c>
      <c r="I181" s="26" t="s">
        <v>44</v>
      </c>
      <c r="J181" s="15" t="s">
        <v>28</v>
      </c>
      <c r="K181" s="15">
        <v>1079</v>
      </c>
      <c r="L181" s="16">
        <v>45361</v>
      </c>
      <c r="M181" s="17">
        <v>9</v>
      </c>
      <c r="N181" s="27">
        <v>90180</v>
      </c>
      <c r="O181" s="27" t="s">
        <v>37</v>
      </c>
      <c r="P181" s="28">
        <v>45383</v>
      </c>
      <c r="Q181" s="29">
        <v>0.61423000000000005</v>
      </c>
      <c r="R181" s="30">
        <v>70180</v>
      </c>
      <c r="S181" s="27" t="s">
        <v>41</v>
      </c>
      <c r="T181" s="29">
        <v>74823.715500000006</v>
      </c>
      <c r="U181" s="27" t="s">
        <v>48</v>
      </c>
      <c r="V181" s="28">
        <v>45422</v>
      </c>
      <c r="W181" s="27" t="s">
        <v>38</v>
      </c>
      <c r="X181" s="28">
        <v>45376</v>
      </c>
      <c r="Y181" s="27" t="s">
        <v>33</v>
      </c>
      <c r="Z181" s="43" t="e">
        <f>TEXT([1]!Table64[[#This Row],[Order date]],"mmm-yyyy")</f>
        <v>#REF!</v>
      </c>
    </row>
    <row r="182" spans="1:26" x14ac:dyDescent="0.3">
      <c r="A182" s="10">
        <v>10181</v>
      </c>
      <c r="B182" s="11">
        <v>6793</v>
      </c>
      <c r="C182" s="11" t="s">
        <v>34</v>
      </c>
      <c r="D182" s="12">
        <v>70273.509999999995</v>
      </c>
      <c r="E182" s="11">
        <v>21</v>
      </c>
      <c r="F182" s="11" t="s">
        <v>46</v>
      </c>
      <c r="G182" s="13">
        <v>45337</v>
      </c>
      <c r="H182" s="12">
        <v>84777.47</v>
      </c>
      <c r="I182" s="14" t="s">
        <v>47</v>
      </c>
      <c r="J182" s="15" t="s">
        <v>36</v>
      </c>
      <c r="K182" s="15">
        <v>1309</v>
      </c>
      <c r="L182" s="16">
        <v>45397</v>
      </c>
      <c r="M182" s="17">
        <v>7</v>
      </c>
      <c r="N182" s="18">
        <v>90181</v>
      </c>
      <c r="O182" s="18" t="s">
        <v>29</v>
      </c>
      <c r="P182" s="19">
        <v>45383</v>
      </c>
      <c r="Q182" s="20">
        <v>0.32835999999999999</v>
      </c>
      <c r="R182" s="21">
        <v>70181</v>
      </c>
      <c r="S182" s="18" t="s">
        <v>41</v>
      </c>
      <c r="T182" s="20">
        <v>62165.830099999999</v>
      </c>
      <c r="U182" s="18" t="s">
        <v>48</v>
      </c>
      <c r="V182" s="19">
        <v>45392</v>
      </c>
      <c r="W182" s="18" t="s">
        <v>38</v>
      </c>
      <c r="X182" s="19">
        <v>45376</v>
      </c>
      <c r="Y182" s="18" t="s">
        <v>39</v>
      </c>
      <c r="Z182" s="43" t="e">
        <f>TEXT([1]!Table64[[#This Row],[Order date]],"mmm-yyyy")</f>
        <v>#REF!</v>
      </c>
    </row>
    <row r="183" spans="1:26" x14ac:dyDescent="0.3">
      <c r="A183" s="22">
        <v>10182</v>
      </c>
      <c r="B183" s="23">
        <v>6029</v>
      </c>
      <c r="C183" s="23" t="s">
        <v>25</v>
      </c>
      <c r="D183" s="24">
        <v>10178.51</v>
      </c>
      <c r="E183" s="23">
        <v>20</v>
      </c>
      <c r="F183" s="23" t="s">
        <v>43</v>
      </c>
      <c r="G183" s="25">
        <v>45306</v>
      </c>
      <c r="H183" s="24">
        <v>59815.5</v>
      </c>
      <c r="I183" s="26" t="s">
        <v>27</v>
      </c>
      <c r="J183" s="15" t="s">
        <v>28</v>
      </c>
      <c r="K183" s="15">
        <v>1200</v>
      </c>
      <c r="L183" s="16">
        <v>45332</v>
      </c>
      <c r="M183" s="17">
        <v>3</v>
      </c>
      <c r="N183" s="27">
        <v>90182</v>
      </c>
      <c r="O183" s="27" t="s">
        <v>29</v>
      </c>
      <c r="P183" s="28">
        <v>45383</v>
      </c>
      <c r="Q183" s="29">
        <v>0.82123999999999997</v>
      </c>
      <c r="R183" s="30">
        <v>70182</v>
      </c>
      <c r="S183" s="27" t="s">
        <v>41</v>
      </c>
      <c r="T183" s="29">
        <v>148029.47299000001</v>
      </c>
      <c r="U183" s="27" t="s">
        <v>48</v>
      </c>
      <c r="V183" s="28">
        <v>45422</v>
      </c>
      <c r="W183" s="27" t="s">
        <v>32</v>
      </c>
      <c r="X183" s="28">
        <v>45376</v>
      </c>
      <c r="Y183" s="27" t="s">
        <v>39</v>
      </c>
      <c r="Z183" s="43" t="e">
        <f>TEXT([1]!Table64[[#This Row],[Order date]],"mmm-yyyy")</f>
        <v>#REF!</v>
      </c>
    </row>
    <row r="184" spans="1:26" x14ac:dyDescent="0.3">
      <c r="A184" s="10">
        <v>10183</v>
      </c>
      <c r="B184" s="11">
        <v>6242</v>
      </c>
      <c r="C184" s="11" t="s">
        <v>34</v>
      </c>
      <c r="D184" s="12">
        <v>8611.19</v>
      </c>
      <c r="E184" s="11">
        <v>26</v>
      </c>
      <c r="F184" s="11" t="s">
        <v>35</v>
      </c>
      <c r="G184" s="13">
        <v>45361</v>
      </c>
      <c r="H184" s="12">
        <v>120099.41</v>
      </c>
      <c r="I184" s="14" t="s">
        <v>44</v>
      </c>
      <c r="J184" s="15" t="s">
        <v>36</v>
      </c>
      <c r="K184" s="15">
        <v>1177</v>
      </c>
      <c r="L184" s="16">
        <v>45397</v>
      </c>
      <c r="M184" s="17">
        <v>7</v>
      </c>
      <c r="N184" s="18">
        <v>90183</v>
      </c>
      <c r="O184" s="18" t="s">
        <v>37</v>
      </c>
      <c r="P184" s="19">
        <v>45352</v>
      </c>
      <c r="Q184" s="20">
        <v>0.16320999999999999</v>
      </c>
      <c r="R184" s="21">
        <v>70183</v>
      </c>
      <c r="S184" s="18" t="s">
        <v>45</v>
      </c>
      <c r="T184" s="20">
        <v>116092.67857</v>
      </c>
      <c r="U184" s="18" t="s">
        <v>31</v>
      </c>
      <c r="V184" s="19">
        <v>45444</v>
      </c>
      <c r="W184" s="18" t="s">
        <v>38</v>
      </c>
      <c r="X184" s="19">
        <v>45376</v>
      </c>
      <c r="Y184" s="18" t="s">
        <v>33</v>
      </c>
      <c r="Z184" s="43" t="e">
        <f>TEXT([1]!Table64[[#This Row],[Order date]],"mmm-yyyy")</f>
        <v>#REF!</v>
      </c>
    </row>
    <row r="185" spans="1:26" x14ac:dyDescent="0.3">
      <c r="A185" s="22">
        <v>10184</v>
      </c>
      <c r="B185" s="23">
        <v>5503</v>
      </c>
      <c r="C185" s="23" t="s">
        <v>34</v>
      </c>
      <c r="D185" s="24">
        <v>41912.42</v>
      </c>
      <c r="E185" s="23">
        <v>68</v>
      </c>
      <c r="F185" s="23" t="s">
        <v>26</v>
      </c>
      <c r="G185" s="25">
        <v>45337</v>
      </c>
      <c r="H185" s="24">
        <v>36953.81</v>
      </c>
      <c r="I185" s="26" t="s">
        <v>27</v>
      </c>
      <c r="J185" s="15" t="s">
        <v>49</v>
      </c>
      <c r="K185" s="15">
        <v>798</v>
      </c>
      <c r="L185" s="16">
        <v>45397</v>
      </c>
      <c r="M185" s="17">
        <v>6</v>
      </c>
      <c r="N185" s="27">
        <v>90184</v>
      </c>
      <c r="O185" s="27" t="s">
        <v>29</v>
      </c>
      <c r="P185" s="28">
        <v>45430</v>
      </c>
      <c r="Q185" s="29">
        <v>0.72006000000000003</v>
      </c>
      <c r="R185" s="30">
        <v>70184</v>
      </c>
      <c r="S185" s="27" t="s">
        <v>30</v>
      </c>
      <c r="T185" s="29">
        <v>163373.51269</v>
      </c>
      <c r="U185" s="27" t="s">
        <v>31</v>
      </c>
      <c r="V185" s="28">
        <v>45392</v>
      </c>
      <c r="W185" s="27" t="s">
        <v>38</v>
      </c>
      <c r="X185" s="28">
        <v>45376</v>
      </c>
      <c r="Y185" s="27" t="s">
        <v>39</v>
      </c>
      <c r="Z185" s="43" t="e">
        <f>TEXT([1]!Table64[[#This Row],[Order date]],"mmm-yyyy")</f>
        <v>#REF!</v>
      </c>
    </row>
    <row r="186" spans="1:26" x14ac:dyDescent="0.3">
      <c r="A186" s="10">
        <v>10185</v>
      </c>
      <c r="B186" s="11">
        <v>5767</v>
      </c>
      <c r="C186" s="11" t="s">
        <v>34</v>
      </c>
      <c r="D186" s="12">
        <v>48745.07</v>
      </c>
      <c r="E186" s="11">
        <v>86</v>
      </c>
      <c r="F186" s="11" t="s">
        <v>35</v>
      </c>
      <c r="G186" s="13">
        <v>45337</v>
      </c>
      <c r="H186" s="12">
        <v>28938.43</v>
      </c>
      <c r="I186" s="14" t="s">
        <v>44</v>
      </c>
      <c r="J186" s="15" t="s">
        <v>28</v>
      </c>
      <c r="K186" s="15">
        <v>204</v>
      </c>
      <c r="L186" s="16">
        <v>45361</v>
      </c>
      <c r="M186" s="17">
        <v>2</v>
      </c>
      <c r="N186" s="18">
        <v>90185</v>
      </c>
      <c r="O186" s="18" t="s">
        <v>37</v>
      </c>
      <c r="P186" s="19">
        <v>45430</v>
      </c>
      <c r="Q186" s="20">
        <v>0.25745000000000001</v>
      </c>
      <c r="R186" s="21">
        <v>70185</v>
      </c>
      <c r="S186" s="18" t="s">
        <v>30</v>
      </c>
      <c r="T186" s="20">
        <v>194167.0018</v>
      </c>
      <c r="U186" s="18" t="s">
        <v>42</v>
      </c>
      <c r="V186" s="19">
        <v>45444</v>
      </c>
      <c r="W186" s="18" t="s">
        <v>32</v>
      </c>
      <c r="X186" s="19">
        <v>45376</v>
      </c>
      <c r="Y186" s="18" t="s">
        <v>39</v>
      </c>
      <c r="Z186" s="43" t="e">
        <f>TEXT([1]!Table64[[#This Row],[Order date]],"mmm-yyyy")</f>
        <v>#REF!</v>
      </c>
    </row>
    <row r="187" spans="1:26" x14ac:dyDescent="0.3">
      <c r="A187" s="22">
        <v>10186</v>
      </c>
      <c r="B187" s="23">
        <v>5398</v>
      </c>
      <c r="C187" s="23" t="s">
        <v>34</v>
      </c>
      <c r="D187" s="24">
        <v>13680.2</v>
      </c>
      <c r="E187" s="23">
        <v>15</v>
      </c>
      <c r="F187" s="23" t="s">
        <v>35</v>
      </c>
      <c r="G187" s="25">
        <v>45337</v>
      </c>
      <c r="H187" s="24">
        <v>93192.14</v>
      </c>
      <c r="I187" s="26" t="s">
        <v>27</v>
      </c>
      <c r="J187" s="15" t="s">
        <v>36</v>
      </c>
      <c r="K187" s="15">
        <v>306</v>
      </c>
      <c r="L187" s="16">
        <v>45332</v>
      </c>
      <c r="M187" s="17">
        <v>3</v>
      </c>
      <c r="N187" s="27">
        <v>90186</v>
      </c>
      <c r="O187" s="27" t="s">
        <v>50</v>
      </c>
      <c r="P187" s="28">
        <v>45383</v>
      </c>
      <c r="Q187" s="29">
        <v>0.63675000000000004</v>
      </c>
      <c r="R187" s="30">
        <v>70186</v>
      </c>
      <c r="S187" s="27" t="s">
        <v>41</v>
      </c>
      <c r="T187" s="29">
        <v>187977.59349999999</v>
      </c>
      <c r="U187" s="27" t="s">
        <v>42</v>
      </c>
      <c r="V187" s="28">
        <v>45392</v>
      </c>
      <c r="W187" s="27" t="s">
        <v>32</v>
      </c>
      <c r="X187" s="28">
        <v>45376</v>
      </c>
      <c r="Y187" s="27" t="s">
        <v>33</v>
      </c>
      <c r="Z187" s="43" t="e">
        <f>TEXT([1]!Table64[[#This Row],[Order date]],"mmm-yyyy")</f>
        <v>#REF!</v>
      </c>
    </row>
    <row r="188" spans="1:26" x14ac:dyDescent="0.3">
      <c r="A188" s="10">
        <v>10187</v>
      </c>
      <c r="B188" s="11">
        <v>5871</v>
      </c>
      <c r="C188" s="11" t="s">
        <v>34</v>
      </c>
      <c r="D188" s="12">
        <v>68777.06</v>
      </c>
      <c r="E188" s="11">
        <v>85</v>
      </c>
      <c r="F188" s="11" t="s">
        <v>35</v>
      </c>
      <c r="G188" s="13">
        <v>45383</v>
      </c>
      <c r="H188" s="12">
        <v>121673.66</v>
      </c>
      <c r="I188" s="14" t="s">
        <v>44</v>
      </c>
      <c r="J188" s="15" t="s">
        <v>49</v>
      </c>
      <c r="K188" s="15">
        <v>284</v>
      </c>
      <c r="L188" s="16">
        <v>45361</v>
      </c>
      <c r="M188" s="17">
        <v>11</v>
      </c>
      <c r="N188" s="18">
        <v>90187</v>
      </c>
      <c r="O188" s="18" t="s">
        <v>40</v>
      </c>
      <c r="P188" s="19">
        <v>45352</v>
      </c>
      <c r="Q188" s="20">
        <v>0.85211999999999999</v>
      </c>
      <c r="R188" s="21">
        <v>70187</v>
      </c>
      <c r="S188" s="18" t="s">
        <v>41</v>
      </c>
      <c r="T188" s="20">
        <v>52608.173560000003</v>
      </c>
      <c r="U188" s="18" t="s">
        <v>42</v>
      </c>
      <c r="V188" s="19">
        <v>45422</v>
      </c>
      <c r="W188" s="18" t="s">
        <v>38</v>
      </c>
      <c r="X188" s="19">
        <v>45384</v>
      </c>
      <c r="Y188" s="18" t="s">
        <v>39</v>
      </c>
      <c r="Z188" s="43" t="e">
        <f>TEXT([1]!Table64[[#This Row],[Order date]],"mmm-yyyy")</f>
        <v>#REF!</v>
      </c>
    </row>
    <row r="189" spans="1:26" x14ac:dyDescent="0.3">
      <c r="A189" s="22">
        <v>10188</v>
      </c>
      <c r="B189" s="23">
        <v>5795</v>
      </c>
      <c r="C189" s="23" t="s">
        <v>34</v>
      </c>
      <c r="D189" s="24">
        <v>17211.38</v>
      </c>
      <c r="E189" s="23">
        <v>79</v>
      </c>
      <c r="F189" s="23" t="s">
        <v>43</v>
      </c>
      <c r="G189" s="25">
        <v>45361</v>
      </c>
      <c r="H189" s="24">
        <v>121814.39</v>
      </c>
      <c r="I189" s="26" t="s">
        <v>44</v>
      </c>
      <c r="J189" s="15" t="s">
        <v>49</v>
      </c>
      <c r="K189" s="15">
        <v>549</v>
      </c>
      <c r="L189" s="16">
        <v>45361</v>
      </c>
      <c r="M189" s="17">
        <v>13</v>
      </c>
      <c r="N189" s="27">
        <v>90188</v>
      </c>
      <c r="O189" s="27" t="s">
        <v>37</v>
      </c>
      <c r="P189" s="28">
        <v>45352</v>
      </c>
      <c r="Q189" s="29">
        <v>0.77956999999999999</v>
      </c>
      <c r="R189" s="30">
        <v>70188</v>
      </c>
      <c r="S189" s="27" t="s">
        <v>30</v>
      </c>
      <c r="T189" s="29">
        <v>153234.87479999999</v>
      </c>
      <c r="U189" s="27" t="s">
        <v>42</v>
      </c>
      <c r="V189" s="28">
        <v>45392</v>
      </c>
      <c r="W189" s="27" t="s">
        <v>38</v>
      </c>
      <c r="X189" s="28">
        <v>45384</v>
      </c>
      <c r="Y189" s="27" t="s">
        <v>33</v>
      </c>
      <c r="Z189" s="43" t="e">
        <f>TEXT([1]!Table64[[#This Row],[Order date]],"mmm-yyyy")</f>
        <v>#REF!</v>
      </c>
    </row>
    <row r="190" spans="1:26" x14ac:dyDescent="0.3">
      <c r="A190" s="10">
        <v>10189</v>
      </c>
      <c r="B190" s="11">
        <v>5393</v>
      </c>
      <c r="C190" s="11" t="s">
        <v>34</v>
      </c>
      <c r="D190" s="12">
        <v>23511.78</v>
      </c>
      <c r="E190" s="11">
        <v>86</v>
      </c>
      <c r="F190" s="11" t="s">
        <v>26</v>
      </c>
      <c r="G190" s="13">
        <v>45337</v>
      </c>
      <c r="H190" s="12">
        <v>97122.13</v>
      </c>
      <c r="I190" s="14" t="s">
        <v>47</v>
      </c>
      <c r="J190" s="15" t="s">
        <v>49</v>
      </c>
      <c r="K190" s="15">
        <v>338</v>
      </c>
      <c r="L190" s="16">
        <v>45361</v>
      </c>
      <c r="M190" s="17">
        <v>12</v>
      </c>
      <c r="N190" s="18">
        <v>90189</v>
      </c>
      <c r="O190" s="18" t="s">
        <v>40</v>
      </c>
      <c r="P190" s="19">
        <v>45352</v>
      </c>
      <c r="Q190" s="20">
        <v>0.77764999999999995</v>
      </c>
      <c r="R190" s="21">
        <v>70189</v>
      </c>
      <c r="S190" s="18" t="s">
        <v>41</v>
      </c>
      <c r="T190" s="20">
        <v>71792.936079999999</v>
      </c>
      <c r="U190" s="18" t="s">
        <v>31</v>
      </c>
      <c r="V190" s="19">
        <v>45392</v>
      </c>
      <c r="W190" s="18" t="s">
        <v>38</v>
      </c>
      <c r="X190" s="19">
        <v>45376</v>
      </c>
      <c r="Y190" s="18" t="s">
        <v>39</v>
      </c>
      <c r="Z190" s="43" t="e">
        <f>TEXT([1]!Table64[[#This Row],[Order date]],"mmm-yyyy")</f>
        <v>#REF!</v>
      </c>
    </row>
    <row r="191" spans="1:26" x14ac:dyDescent="0.3">
      <c r="A191" s="22">
        <v>10190</v>
      </c>
      <c r="B191" s="23">
        <v>5207</v>
      </c>
      <c r="C191" s="23" t="s">
        <v>34</v>
      </c>
      <c r="D191" s="24">
        <v>61844.15</v>
      </c>
      <c r="E191" s="23">
        <v>92</v>
      </c>
      <c r="F191" s="23" t="s">
        <v>35</v>
      </c>
      <c r="G191" s="25">
        <v>45306</v>
      </c>
      <c r="H191" s="24">
        <v>84163.02</v>
      </c>
      <c r="I191" s="26" t="s">
        <v>44</v>
      </c>
      <c r="J191" s="15" t="s">
        <v>36</v>
      </c>
      <c r="K191" s="15">
        <v>559</v>
      </c>
      <c r="L191" s="16">
        <v>45332</v>
      </c>
      <c r="M191" s="17">
        <v>13</v>
      </c>
      <c r="N191" s="27">
        <v>90190</v>
      </c>
      <c r="O191" s="27" t="s">
        <v>40</v>
      </c>
      <c r="P191" s="28">
        <v>45352</v>
      </c>
      <c r="Q191" s="29">
        <v>0.56606000000000001</v>
      </c>
      <c r="R191" s="30">
        <v>70190</v>
      </c>
      <c r="S191" s="27" t="s">
        <v>41</v>
      </c>
      <c r="T191" s="29">
        <v>104510.86990999999</v>
      </c>
      <c r="U191" s="27" t="s">
        <v>31</v>
      </c>
      <c r="V191" s="28">
        <v>45444</v>
      </c>
      <c r="W191" s="27" t="s">
        <v>32</v>
      </c>
      <c r="X191" s="28">
        <v>45376</v>
      </c>
      <c r="Y191" s="27" t="s">
        <v>33</v>
      </c>
      <c r="Z191" s="43" t="e">
        <f>TEXT([1]!Table64[[#This Row],[Order date]],"mmm-yyyy")</f>
        <v>#REF!</v>
      </c>
    </row>
    <row r="192" spans="1:26" x14ac:dyDescent="0.3">
      <c r="A192" s="10">
        <v>10191</v>
      </c>
      <c r="B192" s="11">
        <v>6039</v>
      </c>
      <c r="C192" s="11" t="s">
        <v>34</v>
      </c>
      <c r="D192" s="12">
        <v>78392.149999999994</v>
      </c>
      <c r="E192" s="11">
        <v>14</v>
      </c>
      <c r="F192" s="11" t="s">
        <v>26</v>
      </c>
      <c r="G192" s="13">
        <v>45306</v>
      </c>
      <c r="H192" s="12">
        <v>171960.14</v>
      </c>
      <c r="I192" s="14" t="s">
        <v>27</v>
      </c>
      <c r="J192" s="15" t="s">
        <v>28</v>
      </c>
      <c r="K192" s="15">
        <v>758</v>
      </c>
      <c r="L192" s="16">
        <v>45332</v>
      </c>
      <c r="M192" s="17">
        <v>10</v>
      </c>
      <c r="N192" s="18">
        <v>90191</v>
      </c>
      <c r="O192" s="18" t="s">
        <v>37</v>
      </c>
      <c r="P192" s="19">
        <v>45352</v>
      </c>
      <c r="Q192" s="20">
        <v>0.90166999999999997</v>
      </c>
      <c r="R192" s="21">
        <v>70191</v>
      </c>
      <c r="S192" s="18" t="s">
        <v>41</v>
      </c>
      <c r="T192" s="20">
        <v>68570.267099999997</v>
      </c>
      <c r="U192" s="18" t="s">
        <v>42</v>
      </c>
      <c r="V192" s="19">
        <v>45444</v>
      </c>
      <c r="W192" s="18" t="s">
        <v>32</v>
      </c>
      <c r="X192" s="19">
        <v>45376</v>
      </c>
      <c r="Y192" s="18" t="s">
        <v>33</v>
      </c>
      <c r="Z192" s="43" t="e">
        <f>TEXT([1]!Table64[[#This Row],[Order date]],"mmm-yyyy")</f>
        <v>#REF!</v>
      </c>
    </row>
    <row r="193" spans="1:26" x14ac:dyDescent="0.3">
      <c r="A193" s="22">
        <v>10192</v>
      </c>
      <c r="B193" s="23">
        <v>6882</v>
      </c>
      <c r="C193" s="23" t="s">
        <v>34</v>
      </c>
      <c r="D193" s="24">
        <v>18429.099999999999</v>
      </c>
      <c r="E193" s="23">
        <v>27</v>
      </c>
      <c r="F193" s="23" t="s">
        <v>43</v>
      </c>
      <c r="G193" s="25">
        <v>45383</v>
      </c>
      <c r="H193" s="24">
        <v>27129.62</v>
      </c>
      <c r="I193" s="26" t="s">
        <v>44</v>
      </c>
      <c r="J193" s="15" t="s">
        <v>28</v>
      </c>
      <c r="K193" s="15">
        <v>834</v>
      </c>
      <c r="L193" s="16">
        <v>45361</v>
      </c>
      <c r="M193" s="17">
        <v>10</v>
      </c>
      <c r="N193" s="27">
        <v>90192</v>
      </c>
      <c r="O193" s="27" t="s">
        <v>29</v>
      </c>
      <c r="P193" s="28">
        <v>45352</v>
      </c>
      <c r="Q193" s="29">
        <v>0.62929000000000002</v>
      </c>
      <c r="R193" s="30">
        <v>70192</v>
      </c>
      <c r="S193" s="27" t="s">
        <v>45</v>
      </c>
      <c r="T193" s="29">
        <v>78077.623000000007</v>
      </c>
      <c r="U193" s="27" t="s">
        <v>31</v>
      </c>
      <c r="V193" s="28">
        <v>45444</v>
      </c>
      <c r="W193" s="27" t="s">
        <v>38</v>
      </c>
      <c r="X193" s="28">
        <v>45376</v>
      </c>
      <c r="Y193" s="27" t="s">
        <v>33</v>
      </c>
      <c r="Z193" s="43" t="e">
        <f>TEXT([1]!Table64[[#This Row],[Order date]],"mmm-yyyy")</f>
        <v>#REF!</v>
      </c>
    </row>
    <row r="194" spans="1:26" x14ac:dyDescent="0.3">
      <c r="A194" s="10">
        <v>10193</v>
      </c>
      <c r="B194" s="11">
        <v>6578</v>
      </c>
      <c r="C194" s="11" t="s">
        <v>34</v>
      </c>
      <c r="D194" s="12">
        <v>44049.91</v>
      </c>
      <c r="E194" s="11">
        <v>40</v>
      </c>
      <c r="F194" s="11" t="s">
        <v>46</v>
      </c>
      <c r="G194" s="13">
        <v>45306</v>
      </c>
      <c r="H194" s="12">
        <v>109650.28</v>
      </c>
      <c r="I194" s="14" t="s">
        <v>44</v>
      </c>
      <c r="J194" s="15" t="s">
        <v>36</v>
      </c>
      <c r="K194" s="15">
        <v>943</v>
      </c>
      <c r="L194" s="16">
        <v>45332</v>
      </c>
      <c r="M194" s="17">
        <v>13</v>
      </c>
      <c r="N194" s="18">
        <v>90193</v>
      </c>
      <c r="O194" s="18" t="s">
        <v>50</v>
      </c>
      <c r="P194" s="19">
        <v>45383</v>
      </c>
      <c r="Q194" s="20">
        <v>0.92576999999999998</v>
      </c>
      <c r="R194" s="21">
        <v>70193</v>
      </c>
      <c r="S194" s="18" t="s">
        <v>41</v>
      </c>
      <c r="T194" s="20">
        <v>187954.0661</v>
      </c>
      <c r="U194" s="18" t="s">
        <v>31</v>
      </c>
      <c r="V194" s="19">
        <v>45422</v>
      </c>
      <c r="W194" s="18" t="s">
        <v>38</v>
      </c>
      <c r="X194" s="19">
        <v>45384</v>
      </c>
      <c r="Y194" s="18" t="s">
        <v>39</v>
      </c>
      <c r="Z194" s="43" t="e">
        <f>TEXT([1]!Table64[[#This Row],[Order date]],"mmm-yyyy")</f>
        <v>#REF!</v>
      </c>
    </row>
    <row r="195" spans="1:26" x14ac:dyDescent="0.3">
      <c r="A195" s="22">
        <v>10194</v>
      </c>
      <c r="B195" s="23">
        <v>5892</v>
      </c>
      <c r="C195" s="23" t="s">
        <v>34</v>
      </c>
      <c r="D195" s="24">
        <v>87922.82</v>
      </c>
      <c r="E195" s="23">
        <v>58</v>
      </c>
      <c r="F195" s="23" t="s">
        <v>35</v>
      </c>
      <c r="G195" s="25">
        <v>45337</v>
      </c>
      <c r="H195" s="24">
        <v>74074.929999999993</v>
      </c>
      <c r="I195" s="26" t="s">
        <v>44</v>
      </c>
      <c r="J195" s="15" t="s">
        <v>28</v>
      </c>
      <c r="K195" s="15">
        <v>825</v>
      </c>
      <c r="L195" s="16">
        <v>45361</v>
      </c>
      <c r="M195" s="17">
        <v>12</v>
      </c>
      <c r="N195" s="27">
        <v>90194</v>
      </c>
      <c r="O195" s="27" t="s">
        <v>40</v>
      </c>
      <c r="P195" s="28">
        <v>45430</v>
      </c>
      <c r="Q195" s="29">
        <v>0.59187000000000001</v>
      </c>
      <c r="R195" s="30">
        <v>70194</v>
      </c>
      <c r="S195" s="27" t="s">
        <v>45</v>
      </c>
      <c r="T195" s="29">
        <v>133163.03713000001</v>
      </c>
      <c r="U195" s="27" t="s">
        <v>31</v>
      </c>
      <c r="V195" s="28">
        <v>45444</v>
      </c>
      <c r="W195" s="27" t="s">
        <v>38</v>
      </c>
      <c r="X195" s="28">
        <v>45376</v>
      </c>
      <c r="Y195" s="27" t="s">
        <v>39</v>
      </c>
      <c r="Z195" s="43" t="e">
        <f>TEXT([1]!Table64[[#This Row],[Order date]],"mmm-yyyy")</f>
        <v>#REF!</v>
      </c>
    </row>
    <row r="196" spans="1:26" x14ac:dyDescent="0.3">
      <c r="A196" s="10">
        <v>10195</v>
      </c>
      <c r="B196" s="11">
        <v>6485</v>
      </c>
      <c r="C196" s="11" t="s">
        <v>34</v>
      </c>
      <c r="D196" s="12">
        <v>40510.22</v>
      </c>
      <c r="E196" s="11">
        <v>28</v>
      </c>
      <c r="F196" s="11" t="s">
        <v>26</v>
      </c>
      <c r="G196" s="13">
        <v>45306</v>
      </c>
      <c r="H196" s="12">
        <v>126044.19</v>
      </c>
      <c r="I196" s="14" t="s">
        <v>27</v>
      </c>
      <c r="J196" s="15" t="s">
        <v>36</v>
      </c>
      <c r="K196" s="15">
        <v>347</v>
      </c>
      <c r="L196" s="16">
        <v>45332</v>
      </c>
      <c r="M196" s="17">
        <v>5</v>
      </c>
      <c r="N196" s="18">
        <v>90195</v>
      </c>
      <c r="O196" s="18" t="s">
        <v>50</v>
      </c>
      <c r="P196" s="19">
        <v>45430</v>
      </c>
      <c r="Q196" s="20">
        <v>0.55537000000000003</v>
      </c>
      <c r="R196" s="21">
        <v>70195</v>
      </c>
      <c r="S196" s="18" t="s">
        <v>41</v>
      </c>
      <c r="T196" s="20">
        <v>101865.8596</v>
      </c>
      <c r="U196" s="18" t="s">
        <v>31</v>
      </c>
      <c r="V196" s="19">
        <v>45392</v>
      </c>
      <c r="W196" s="18" t="s">
        <v>32</v>
      </c>
      <c r="X196" s="19">
        <v>45376</v>
      </c>
      <c r="Y196" s="18" t="s">
        <v>33</v>
      </c>
      <c r="Z196" s="43" t="e">
        <f>TEXT([1]!Table64[[#This Row],[Order date]],"mmm-yyyy")</f>
        <v>#REF!</v>
      </c>
    </row>
    <row r="197" spans="1:26" x14ac:dyDescent="0.3">
      <c r="A197" s="22">
        <v>10196</v>
      </c>
      <c r="B197" s="23">
        <v>6715</v>
      </c>
      <c r="C197" s="23" t="s">
        <v>34</v>
      </c>
      <c r="D197" s="24">
        <v>15960.7</v>
      </c>
      <c r="E197" s="23">
        <v>26</v>
      </c>
      <c r="F197" s="23" t="s">
        <v>26</v>
      </c>
      <c r="G197" s="25">
        <v>45337</v>
      </c>
      <c r="H197" s="24">
        <v>21690.6</v>
      </c>
      <c r="I197" s="26" t="s">
        <v>47</v>
      </c>
      <c r="J197" s="15" t="s">
        <v>28</v>
      </c>
      <c r="K197" s="15">
        <v>186</v>
      </c>
      <c r="L197" s="16">
        <v>45332</v>
      </c>
      <c r="M197" s="17">
        <v>10</v>
      </c>
      <c r="N197" s="27">
        <v>90196</v>
      </c>
      <c r="O197" s="27" t="s">
        <v>40</v>
      </c>
      <c r="P197" s="28">
        <v>45383</v>
      </c>
      <c r="Q197" s="29">
        <v>0.30012</v>
      </c>
      <c r="R197" s="30">
        <v>70196</v>
      </c>
      <c r="S197" s="27" t="s">
        <v>41</v>
      </c>
      <c r="T197" s="29">
        <v>71530.350619999997</v>
      </c>
      <c r="U197" s="27" t="s">
        <v>42</v>
      </c>
      <c r="V197" s="28">
        <v>45422</v>
      </c>
      <c r="W197" s="27" t="s">
        <v>38</v>
      </c>
      <c r="X197" s="28">
        <v>45376</v>
      </c>
      <c r="Y197" s="27" t="s">
        <v>33</v>
      </c>
      <c r="Z197" s="43" t="e">
        <f>TEXT([1]!Table64[[#This Row],[Order date]],"mmm-yyyy")</f>
        <v>#REF!</v>
      </c>
    </row>
    <row r="198" spans="1:26" x14ac:dyDescent="0.3">
      <c r="A198" s="10">
        <v>10197</v>
      </c>
      <c r="B198" s="11">
        <v>6599</v>
      </c>
      <c r="C198" s="11" t="s">
        <v>25</v>
      </c>
      <c r="D198" s="12">
        <v>53282.48</v>
      </c>
      <c r="E198" s="11">
        <v>63</v>
      </c>
      <c r="F198" s="11" t="s">
        <v>43</v>
      </c>
      <c r="G198" s="13">
        <v>45306</v>
      </c>
      <c r="H198" s="12">
        <v>76981.97</v>
      </c>
      <c r="I198" s="14" t="s">
        <v>44</v>
      </c>
      <c r="J198" s="15" t="s">
        <v>49</v>
      </c>
      <c r="K198" s="15">
        <v>425</v>
      </c>
      <c r="L198" s="16">
        <v>45397</v>
      </c>
      <c r="M198" s="17">
        <v>4</v>
      </c>
      <c r="N198" s="18">
        <v>90197</v>
      </c>
      <c r="O198" s="18" t="s">
        <v>37</v>
      </c>
      <c r="P198" s="19">
        <v>45430</v>
      </c>
      <c r="Q198" s="20">
        <v>0.59031</v>
      </c>
      <c r="R198" s="21">
        <v>70197</v>
      </c>
      <c r="S198" s="18" t="s">
        <v>41</v>
      </c>
      <c r="T198" s="20">
        <v>76381.361319999996</v>
      </c>
      <c r="U198" s="18" t="s">
        <v>42</v>
      </c>
      <c r="V198" s="19">
        <v>45444</v>
      </c>
      <c r="W198" s="18" t="s">
        <v>38</v>
      </c>
      <c r="X198" s="19">
        <v>45376</v>
      </c>
      <c r="Y198" s="18" t="s">
        <v>33</v>
      </c>
      <c r="Z198" s="43" t="e">
        <f>TEXT([1]!Table64[[#This Row],[Order date]],"mmm-yyyy")</f>
        <v>#REF!</v>
      </c>
    </row>
    <row r="199" spans="1:26" x14ac:dyDescent="0.3">
      <c r="A199" s="22">
        <v>10198</v>
      </c>
      <c r="B199" s="23">
        <v>5864</v>
      </c>
      <c r="C199" s="23" t="s">
        <v>34</v>
      </c>
      <c r="D199" s="24">
        <v>15559.16</v>
      </c>
      <c r="E199" s="23">
        <v>66</v>
      </c>
      <c r="F199" s="23" t="s">
        <v>35</v>
      </c>
      <c r="G199" s="25">
        <v>45361</v>
      </c>
      <c r="H199" s="24">
        <v>30410.94</v>
      </c>
      <c r="I199" s="26" t="s">
        <v>47</v>
      </c>
      <c r="J199" s="15" t="s">
        <v>28</v>
      </c>
      <c r="K199" s="15">
        <v>136</v>
      </c>
      <c r="L199" s="16">
        <v>45361</v>
      </c>
      <c r="M199" s="17">
        <v>2</v>
      </c>
      <c r="N199" s="27">
        <v>90198</v>
      </c>
      <c r="O199" s="27" t="s">
        <v>29</v>
      </c>
      <c r="P199" s="28">
        <v>45352</v>
      </c>
      <c r="Q199" s="29">
        <v>0.22653000000000001</v>
      </c>
      <c r="R199" s="30">
        <v>70198</v>
      </c>
      <c r="S199" s="27" t="s">
        <v>30</v>
      </c>
      <c r="T199" s="29">
        <v>206427.8456</v>
      </c>
      <c r="U199" s="27" t="s">
        <v>31</v>
      </c>
      <c r="V199" s="28">
        <v>45392</v>
      </c>
      <c r="W199" s="27" t="s">
        <v>32</v>
      </c>
      <c r="X199" s="28">
        <v>45376</v>
      </c>
      <c r="Y199" s="27" t="s">
        <v>33</v>
      </c>
      <c r="Z199" s="43" t="e">
        <f>TEXT([1]!Table64[[#This Row],[Order date]],"mmm-yyyy")</f>
        <v>#REF!</v>
      </c>
    </row>
    <row r="200" spans="1:26" x14ac:dyDescent="0.3">
      <c r="A200" s="10">
        <v>10199</v>
      </c>
      <c r="B200" s="11">
        <v>5743</v>
      </c>
      <c r="C200" s="11" t="s">
        <v>34</v>
      </c>
      <c r="D200" s="12">
        <v>75450.42</v>
      </c>
      <c r="E200" s="11">
        <v>25</v>
      </c>
      <c r="F200" s="11" t="s">
        <v>46</v>
      </c>
      <c r="G200" s="13">
        <v>45383</v>
      </c>
      <c r="H200" s="12">
        <v>162123.01</v>
      </c>
      <c r="I200" s="14" t="s">
        <v>44</v>
      </c>
      <c r="J200" s="15" t="s">
        <v>36</v>
      </c>
      <c r="K200" s="15">
        <v>1492</v>
      </c>
      <c r="L200" s="16">
        <v>45397</v>
      </c>
      <c r="M200" s="17">
        <v>4</v>
      </c>
      <c r="N200" s="18">
        <v>90199</v>
      </c>
      <c r="O200" s="18" t="s">
        <v>50</v>
      </c>
      <c r="P200" s="19">
        <v>45352</v>
      </c>
      <c r="Q200" s="20">
        <v>0.88271999999999995</v>
      </c>
      <c r="R200" s="21">
        <v>70199</v>
      </c>
      <c r="S200" s="18" t="s">
        <v>41</v>
      </c>
      <c r="T200" s="20">
        <v>193704.41696</v>
      </c>
      <c r="U200" s="18" t="s">
        <v>48</v>
      </c>
      <c r="V200" s="19">
        <v>45392</v>
      </c>
      <c r="W200" s="18" t="s">
        <v>38</v>
      </c>
      <c r="X200" s="19">
        <v>45376</v>
      </c>
      <c r="Y200" s="18" t="s">
        <v>33</v>
      </c>
      <c r="Z200" s="43" t="e">
        <f>TEXT([1]!Table64[[#This Row],[Order date]],"mmm-yyyy")</f>
        <v>#REF!</v>
      </c>
    </row>
    <row r="201" spans="1:26" x14ac:dyDescent="0.3">
      <c r="A201" s="22">
        <v>10200</v>
      </c>
      <c r="B201" s="23">
        <v>6265</v>
      </c>
      <c r="C201" s="23" t="s">
        <v>34</v>
      </c>
      <c r="D201" s="24">
        <v>26334.99</v>
      </c>
      <c r="E201" s="23">
        <v>3</v>
      </c>
      <c r="F201" s="23" t="s">
        <v>26</v>
      </c>
      <c r="G201" s="25">
        <v>45383</v>
      </c>
      <c r="H201" s="24">
        <v>62722.57</v>
      </c>
      <c r="I201" s="26" t="s">
        <v>27</v>
      </c>
      <c r="J201" s="15" t="s">
        <v>36</v>
      </c>
      <c r="K201" s="15">
        <v>1272</v>
      </c>
      <c r="L201" s="16">
        <v>45397</v>
      </c>
      <c r="M201" s="17">
        <v>12</v>
      </c>
      <c r="N201" s="27">
        <v>90200</v>
      </c>
      <c r="O201" s="27" t="s">
        <v>40</v>
      </c>
      <c r="P201" s="28">
        <v>45430</v>
      </c>
      <c r="Q201" s="29">
        <v>0.70830000000000004</v>
      </c>
      <c r="R201" s="30">
        <v>70200</v>
      </c>
      <c r="S201" s="27" t="s">
        <v>41</v>
      </c>
      <c r="T201" s="29">
        <v>124885.53780000001</v>
      </c>
      <c r="U201" s="27" t="s">
        <v>42</v>
      </c>
      <c r="V201" s="28">
        <v>45422</v>
      </c>
      <c r="W201" s="27" t="s">
        <v>38</v>
      </c>
      <c r="X201" s="28">
        <v>45384</v>
      </c>
      <c r="Y201" s="27" t="s">
        <v>33</v>
      </c>
      <c r="Z201" s="43" t="e">
        <f>TEXT([1]!Table64[[#This Row],[Order date]],"mmm-yyyy")</f>
        <v>#REF!</v>
      </c>
    </row>
    <row r="202" spans="1:26" x14ac:dyDescent="0.3">
      <c r="A202" s="10">
        <v>10201</v>
      </c>
      <c r="B202" s="11">
        <v>5564</v>
      </c>
      <c r="C202" s="11" t="s">
        <v>34</v>
      </c>
      <c r="D202" s="12">
        <v>87373.72</v>
      </c>
      <c r="E202" s="11">
        <v>72</v>
      </c>
      <c r="F202" s="11" t="s">
        <v>35</v>
      </c>
      <c r="G202" s="13">
        <v>45361</v>
      </c>
      <c r="H202" s="12">
        <v>127914.06</v>
      </c>
      <c r="I202" s="14" t="s">
        <v>47</v>
      </c>
      <c r="J202" s="15" t="s">
        <v>49</v>
      </c>
      <c r="K202" s="15">
        <v>486</v>
      </c>
      <c r="L202" s="16">
        <v>45361</v>
      </c>
      <c r="M202" s="17">
        <v>8</v>
      </c>
      <c r="N202" s="18">
        <v>90201</v>
      </c>
      <c r="O202" s="18" t="s">
        <v>37</v>
      </c>
      <c r="P202" s="19">
        <v>45352</v>
      </c>
      <c r="Q202" s="20">
        <v>0.99426999999999999</v>
      </c>
      <c r="R202" s="21">
        <v>70201</v>
      </c>
      <c r="S202" s="18" t="s">
        <v>41</v>
      </c>
      <c r="T202" s="20">
        <v>155417.94232</v>
      </c>
      <c r="U202" s="18" t="s">
        <v>42</v>
      </c>
      <c r="V202" s="19">
        <v>45392</v>
      </c>
      <c r="W202" s="18" t="s">
        <v>38</v>
      </c>
      <c r="X202" s="19">
        <v>45376</v>
      </c>
      <c r="Y202" s="18" t="s">
        <v>33</v>
      </c>
      <c r="Z202" s="43" t="e">
        <f>TEXT([1]!Table64[[#This Row],[Order date]],"mmm-yyyy")</f>
        <v>#REF!</v>
      </c>
    </row>
    <row r="203" spans="1:26" x14ac:dyDescent="0.3">
      <c r="A203" s="22">
        <v>10202</v>
      </c>
      <c r="B203" s="23">
        <v>6021</v>
      </c>
      <c r="C203" s="23" t="s">
        <v>34</v>
      </c>
      <c r="D203" s="24">
        <v>23459.41</v>
      </c>
      <c r="E203" s="23">
        <v>44</v>
      </c>
      <c r="F203" s="23" t="s">
        <v>46</v>
      </c>
      <c r="G203" s="25">
        <v>45361</v>
      </c>
      <c r="H203" s="24">
        <v>17464.53</v>
      </c>
      <c r="I203" s="26" t="s">
        <v>44</v>
      </c>
      <c r="J203" s="15" t="s">
        <v>36</v>
      </c>
      <c r="K203" s="15">
        <v>1383</v>
      </c>
      <c r="L203" s="16">
        <v>45361</v>
      </c>
      <c r="M203" s="17">
        <v>5</v>
      </c>
      <c r="N203" s="27">
        <v>90202</v>
      </c>
      <c r="O203" s="27" t="s">
        <v>37</v>
      </c>
      <c r="P203" s="28">
        <v>45352</v>
      </c>
      <c r="Q203" s="29">
        <v>0.18289</v>
      </c>
      <c r="R203" s="30">
        <v>70202</v>
      </c>
      <c r="S203" s="27" t="s">
        <v>30</v>
      </c>
      <c r="T203" s="29">
        <v>142412.20300000001</v>
      </c>
      <c r="U203" s="27" t="s">
        <v>48</v>
      </c>
      <c r="V203" s="28">
        <v>45444</v>
      </c>
      <c r="W203" s="27" t="s">
        <v>32</v>
      </c>
      <c r="X203" s="28">
        <v>45376</v>
      </c>
      <c r="Y203" s="27" t="s">
        <v>33</v>
      </c>
      <c r="Z203" s="43" t="e">
        <f>TEXT([1]!Table64[[#This Row],[Order date]],"mmm-yyyy")</f>
        <v>#REF!</v>
      </c>
    </row>
    <row r="204" spans="1:26" x14ac:dyDescent="0.3">
      <c r="A204" s="10">
        <v>10203</v>
      </c>
      <c r="B204" s="11">
        <v>5096</v>
      </c>
      <c r="C204" s="11" t="s">
        <v>34</v>
      </c>
      <c r="D204" s="12">
        <v>31512.18</v>
      </c>
      <c r="E204" s="11">
        <v>97</v>
      </c>
      <c r="F204" s="11" t="s">
        <v>26</v>
      </c>
      <c r="G204" s="13">
        <v>45383</v>
      </c>
      <c r="H204" s="12">
        <v>19864.27</v>
      </c>
      <c r="I204" s="14" t="s">
        <v>44</v>
      </c>
      <c r="J204" s="15" t="s">
        <v>28</v>
      </c>
      <c r="K204" s="15">
        <v>1354</v>
      </c>
      <c r="L204" s="16">
        <v>45332</v>
      </c>
      <c r="M204" s="17">
        <v>5</v>
      </c>
      <c r="N204" s="18">
        <v>90203</v>
      </c>
      <c r="O204" s="18" t="s">
        <v>40</v>
      </c>
      <c r="P204" s="19">
        <v>45430</v>
      </c>
      <c r="Q204" s="20">
        <v>0.31661</v>
      </c>
      <c r="R204" s="21">
        <v>70203</v>
      </c>
      <c r="S204" s="18" t="s">
        <v>45</v>
      </c>
      <c r="T204" s="20">
        <v>180283.69959999999</v>
      </c>
      <c r="U204" s="18" t="s">
        <v>42</v>
      </c>
      <c r="V204" s="19">
        <v>45392</v>
      </c>
      <c r="W204" s="18" t="s">
        <v>38</v>
      </c>
      <c r="X204" s="19">
        <v>45384</v>
      </c>
      <c r="Y204" s="18" t="s">
        <v>39</v>
      </c>
      <c r="Z204" s="43" t="e">
        <f>TEXT([1]!Table64[[#This Row],[Order date]],"mmm-yyyy")</f>
        <v>#REF!</v>
      </c>
    </row>
    <row r="205" spans="1:26" x14ac:dyDescent="0.3">
      <c r="A205" s="22">
        <v>10204</v>
      </c>
      <c r="B205" s="23">
        <v>6924</v>
      </c>
      <c r="C205" s="23" t="s">
        <v>25</v>
      </c>
      <c r="D205" s="24">
        <v>33443.919999999998</v>
      </c>
      <c r="E205" s="23">
        <v>42</v>
      </c>
      <c r="F205" s="23" t="s">
        <v>26</v>
      </c>
      <c r="G205" s="25">
        <v>45361</v>
      </c>
      <c r="H205" s="24">
        <v>20904.95</v>
      </c>
      <c r="I205" s="26" t="s">
        <v>44</v>
      </c>
      <c r="J205" s="15" t="s">
        <v>28</v>
      </c>
      <c r="K205" s="15">
        <v>1396</v>
      </c>
      <c r="L205" s="16">
        <v>45361</v>
      </c>
      <c r="M205" s="17">
        <v>13</v>
      </c>
      <c r="N205" s="27">
        <v>90204</v>
      </c>
      <c r="O205" s="27" t="s">
        <v>40</v>
      </c>
      <c r="P205" s="28">
        <v>45383</v>
      </c>
      <c r="Q205" s="29">
        <v>0.88944000000000001</v>
      </c>
      <c r="R205" s="30">
        <v>70204</v>
      </c>
      <c r="S205" s="27" t="s">
        <v>45</v>
      </c>
      <c r="T205" s="29">
        <v>67740.209130000003</v>
      </c>
      <c r="U205" s="27" t="s">
        <v>48</v>
      </c>
      <c r="V205" s="28">
        <v>45444</v>
      </c>
      <c r="W205" s="27" t="s">
        <v>38</v>
      </c>
      <c r="X205" s="28">
        <v>45376</v>
      </c>
      <c r="Y205" s="27" t="s">
        <v>33</v>
      </c>
      <c r="Z205" s="43" t="e">
        <f>TEXT([1]!Table64[[#This Row],[Order date]],"mmm-yyyy")</f>
        <v>#REF!</v>
      </c>
    </row>
    <row r="206" spans="1:26" x14ac:dyDescent="0.3">
      <c r="A206" s="10">
        <v>10205</v>
      </c>
      <c r="B206" s="11">
        <v>6758</v>
      </c>
      <c r="C206" s="11" t="s">
        <v>25</v>
      </c>
      <c r="D206" s="12">
        <v>33859.980000000003</v>
      </c>
      <c r="E206" s="11">
        <v>99</v>
      </c>
      <c r="F206" s="11" t="s">
        <v>46</v>
      </c>
      <c r="G206" s="13">
        <v>45337</v>
      </c>
      <c r="H206" s="12">
        <v>85958.9</v>
      </c>
      <c r="I206" s="14" t="s">
        <v>44</v>
      </c>
      <c r="J206" s="15" t="s">
        <v>49</v>
      </c>
      <c r="K206" s="15">
        <v>813</v>
      </c>
      <c r="L206" s="16">
        <v>45397</v>
      </c>
      <c r="M206" s="17">
        <v>12</v>
      </c>
      <c r="N206" s="18">
        <v>90205</v>
      </c>
      <c r="O206" s="18" t="s">
        <v>40</v>
      </c>
      <c r="P206" s="19">
        <v>45430</v>
      </c>
      <c r="Q206" s="20">
        <v>0.45573000000000002</v>
      </c>
      <c r="R206" s="21">
        <v>70205</v>
      </c>
      <c r="S206" s="18" t="s">
        <v>41</v>
      </c>
      <c r="T206" s="20">
        <v>80624.577210000003</v>
      </c>
      <c r="U206" s="18" t="s">
        <v>48</v>
      </c>
      <c r="V206" s="19">
        <v>45444</v>
      </c>
      <c r="W206" s="18" t="s">
        <v>38</v>
      </c>
      <c r="X206" s="19">
        <v>45376</v>
      </c>
      <c r="Y206" s="18" t="s">
        <v>33</v>
      </c>
      <c r="Z206" s="43" t="e">
        <f>TEXT([1]!Table64[[#This Row],[Order date]],"mmm-yyyy")</f>
        <v>#REF!</v>
      </c>
    </row>
    <row r="207" spans="1:26" x14ac:dyDescent="0.3">
      <c r="A207" s="22">
        <v>10206</v>
      </c>
      <c r="B207" s="23">
        <v>5485</v>
      </c>
      <c r="C207" s="23" t="s">
        <v>34</v>
      </c>
      <c r="D207" s="24">
        <v>26980.97</v>
      </c>
      <c r="E207" s="23">
        <v>6</v>
      </c>
      <c r="F207" s="23" t="s">
        <v>46</v>
      </c>
      <c r="G207" s="25">
        <v>45306</v>
      </c>
      <c r="H207" s="24">
        <v>142516.35</v>
      </c>
      <c r="I207" s="26" t="s">
        <v>44</v>
      </c>
      <c r="J207" s="15" t="s">
        <v>36</v>
      </c>
      <c r="K207" s="15">
        <v>751</v>
      </c>
      <c r="L207" s="16">
        <v>45397</v>
      </c>
      <c r="M207" s="17">
        <v>12</v>
      </c>
      <c r="N207" s="27">
        <v>90206</v>
      </c>
      <c r="O207" s="27" t="s">
        <v>29</v>
      </c>
      <c r="P207" s="28">
        <v>45430</v>
      </c>
      <c r="Q207" s="29">
        <v>0.51966999999999997</v>
      </c>
      <c r="R207" s="30">
        <v>70206</v>
      </c>
      <c r="S207" s="27" t="s">
        <v>41</v>
      </c>
      <c r="T207" s="29">
        <v>63827.49884</v>
      </c>
      <c r="U207" s="27" t="s">
        <v>31</v>
      </c>
      <c r="V207" s="28">
        <v>45422</v>
      </c>
      <c r="W207" s="27" t="s">
        <v>38</v>
      </c>
      <c r="X207" s="28">
        <v>45384</v>
      </c>
      <c r="Y207" s="27" t="s">
        <v>39</v>
      </c>
      <c r="Z207" s="43" t="e">
        <f>TEXT([1]!Table64[[#This Row],[Order date]],"mmm-yyyy")</f>
        <v>#REF!</v>
      </c>
    </row>
    <row r="208" spans="1:26" x14ac:dyDescent="0.3">
      <c r="A208" s="10">
        <v>10207</v>
      </c>
      <c r="B208" s="11">
        <v>6431</v>
      </c>
      <c r="C208" s="11" t="s">
        <v>25</v>
      </c>
      <c r="D208" s="12">
        <v>17556.240000000002</v>
      </c>
      <c r="E208" s="11">
        <v>39</v>
      </c>
      <c r="F208" s="11" t="s">
        <v>43</v>
      </c>
      <c r="G208" s="13">
        <v>45383</v>
      </c>
      <c r="H208" s="12">
        <v>165724.37</v>
      </c>
      <c r="I208" s="14" t="s">
        <v>27</v>
      </c>
      <c r="J208" s="15" t="s">
        <v>49</v>
      </c>
      <c r="K208" s="15">
        <v>991</v>
      </c>
      <c r="L208" s="16">
        <v>45361</v>
      </c>
      <c r="M208" s="17">
        <v>10</v>
      </c>
      <c r="N208" s="18">
        <v>90207</v>
      </c>
      <c r="O208" s="18" t="s">
        <v>40</v>
      </c>
      <c r="P208" s="19">
        <v>45430</v>
      </c>
      <c r="Q208" s="20">
        <v>0.87458999999999998</v>
      </c>
      <c r="R208" s="21">
        <v>70207</v>
      </c>
      <c r="S208" s="18" t="s">
        <v>45</v>
      </c>
      <c r="T208" s="20">
        <v>187172.72510000001</v>
      </c>
      <c r="U208" s="18" t="s">
        <v>42</v>
      </c>
      <c r="V208" s="19">
        <v>45392</v>
      </c>
      <c r="W208" s="18" t="s">
        <v>38</v>
      </c>
      <c r="X208" s="19">
        <v>45376</v>
      </c>
      <c r="Y208" s="18" t="s">
        <v>39</v>
      </c>
      <c r="Z208" s="43" t="e">
        <f>TEXT([1]!Table64[[#This Row],[Order date]],"mmm-yyyy")</f>
        <v>#REF!</v>
      </c>
    </row>
    <row r="209" spans="1:26" x14ac:dyDescent="0.3">
      <c r="A209" s="22">
        <v>10208</v>
      </c>
      <c r="B209" s="23">
        <v>5231</v>
      </c>
      <c r="C209" s="23" t="s">
        <v>34</v>
      </c>
      <c r="D209" s="24">
        <v>21081.58</v>
      </c>
      <c r="E209" s="23">
        <v>52</v>
      </c>
      <c r="F209" s="23" t="s">
        <v>35</v>
      </c>
      <c r="G209" s="25">
        <v>45361</v>
      </c>
      <c r="H209" s="24">
        <v>81779.360000000001</v>
      </c>
      <c r="I209" s="26" t="s">
        <v>47</v>
      </c>
      <c r="J209" s="15" t="s">
        <v>28</v>
      </c>
      <c r="K209" s="15">
        <v>201</v>
      </c>
      <c r="L209" s="16">
        <v>45397</v>
      </c>
      <c r="M209" s="17">
        <v>3</v>
      </c>
      <c r="N209" s="27">
        <v>90208</v>
      </c>
      <c r="O209" s="27" t="s">
        <v>40</v>
      </c>
      <c r="P209" s="28">
        <v>45430</v>
      </c>
      <c r="Q209" s="29">
        <v>0.56964000000000004</v>
      </c>
      <c r="R209" s="30">
        <v>70208</v>
      </c>
      <c r="S209" s="27" t="s">
        <v>45</v>
      </c>
      <c r="T209" s="29">
        <v>178404.22787999999</v>
      </c>
      <c r="U209" s="27" t="s">
        <v>48</v>
      </c>
      <c r="V209" s="28">
        <v>45422</v>
      </c>
      <c r="W209" s="27" t="s">
        <v>32</v>
      </c>
      <c r="X209" s="28">
        <v>45376</v>
      </c>
      <c r="Y209" s="27" t="s">
        <v>39</v>
      </c>
      <c r="Z209" s="43" t="e">
        <f>TEXT([1]!Table64[[#This Row],[Order date]],"mmm-yyyy")</f>
        <v>#REF!</v>
      </c>
    </row>
    <row r="210" spans="1:26" x14ac:dyDescent="0.3">
      <c r="A210" s="10">
        <v>10209</v>
      </c>
      <c r="B210" s="11">
        <v>5749</v>
      </c>
      <c r="C210" s="11" t="s">
        <v>34</v>
      </c>
      <c r="D210" s="12">
        <v>77602.34</v>
      </c>
      <c r="E210" s="11">
        <v>23</v>
      </c>
      <c r="F210" s="11" t="s">
        <v>35</v>
      </c>
      <c r="G210" s="13">
        <v>45337</v>
      </c>
      <c r="H210" s="12">
        <v>140996.92000000001</v>
      </c>
      <c r="I210" s="14" t="s">
        <v>44</v>
      </c>
      <c r="J210" s="15" t="s">
        <v>49</v>
      </c>
      <c r="K210" s="15">
        <v>1375</v>
      </c>
      <c r="L210" s="16">
        <v>45332</v>
      </c>
      <c r="M210" s="17">
        <v>13</v>
      </c>
      <c r="N210" s="18">
        <v>90209</v>
      </c>
      <c r="O210" s="18" t="s">
        <v>29</v>
      </c>
      <c r="P210" s="19">
        <v>45383</v>
      </c>
      <c r="Q210" s="20">
        <v>0.27412999999999998</v>
      </c>
      <c r="R210" s="21">
        <v>70209</v>
      </c>
      <c r="S210" s="18" t="s">
        <v>41</v>
      </c>
      <c r="T210" s="20">
        <v>90977.213699999993</v>
      </c>
      <c r="U210" s="18" t="s">
        <v>31</v>
      </c>
      <c r="V210" s="19">
        <v>45422</v>
      </c>
      <c r="W210" s="18" t="s">
        <v>32</v>
      </c>
      <c r="X210" s="19">
        <v>45376</v>
      </c>
      <c r="Y210" s="18" t="s">
        <v>39</v>
      </c>
      <c r="Z210" s="43" t="e">
        <f>TEXT([1]!Table64[[#This Row],[Order date]],"mmm-yyyy")</f>
        <v>#REF!</v>
      </c>
    </row>
    <row r="211" spans="1:26" x14ac:dyDescent="0.3">
      <c r="A211" s="22">
        <v>10210</v>
      </c>
      <c r="B211" s="23">
        <v>6679</v>
      </c>
      <c r="C211" s="23" t="s">
        <v>25</v>
      </c>
      <c r="D211" s="24">
        <v>27148.92</v>
      </c>
      <c r="E211" s="23">
        <v>89</v>
      </c>
      <c r="F211" s="23" t="s">
        <v>43</v>
      </c>
      <c r="G211" s="25">
        <v>45383</v>
      </c>
      <c r="H211" s="24">
        <v>103310.96</v>
      </c>
      <c r="I211" s="26" t="s">
        <v>44</v>
      </c>
      <c r="J211" s="15" t="s">
        <v>36</v>
      </c>
      <c r="K211" s="15">
        <v>1351</v>
      </c>
      <c r="L211" s="16">
        <v>45397</v>
      </c>
      <c r="M211" s="17">
        <v>8</v>
      </c>
      <c r="N211" s="27">
        <v>90210</v>
      </c>
      <c r="O211" s="27" t="s">
        <v>37</v>
      </c>
      <c r="P211" s="28">
        <v>45383</v>
      </c>
      <c r="Q211" s="29">
        <v>0.90283000000000002</v>
      </c>
      <c r="R211" s="30">
        <v>70210</v>
      </c>
      <c r="S211" s="27" t="s">
        <v>41</v>
      </c>
      <c r="T211" s="29">
        <v>110008.33443</v>
      </c>
      <c r="U211" s="27" t="s">
        <v>42</v>
      </c>
      <c r="V211" s="28">
        <v>45422</v>
      </c>
      <c r="W211" s="27" t="s">
        <v>32</v>
      </c>
      <c r="X211" s="28">
        <v>45376</v>
      </c>
      <c r="Y211" s="27" t="s">
        <v>33</v>
      </c>
      <c r="Z211" s="43" t="e">
        <f>TEXT([1]!Table64[[#This Row],[Order date]],"mmm-yyyy")</f>
        <v>#REF!</v>
      </c>
    </row>
    <row r="212" spans="1:26" x14ac:dyDescent="0.3">
      <c r="A212" s="10">
        <v>10211</v>
      </c>
      <c r="B212" s="11">
        <v>6195</v>
      </c>
      <c r="C212" s="11" t="s">
        <v>34</v>
      </c>
      <c r="D212" s="12">
        <v>68361.100000000006</v>
      </c>
      <c r="E212" s="11">
        <v>50</v>
      </c>
      <c r="F212" s="11" t="s">
        <v>26</v>
      </c>
      <c r="G212" s="13">
        <v>45361</v>
      </c>
      <c r="H212" s="12">
        <v>90132.57</v>
      </c>
      <c r="I212" s="14" t="s">
        <v>44</v>
      </c>
      <c r="J212" s="15" t="s">
        <v>49</v>
      </c>
      <c r="K212" s="15">
        <v>1081</v>
      </c>
      <c r="L212" s="16">
        <v>45332</v>
      </c>
      <c r="M212" s="17">
        <v>6</v>
      </c>
      <c r="N212" s="18">
        <v>90211</v>
      </c>
      <c r="O212" s="18" t="s">
        <v>40</v>
      </c>
      <c r="P212" s="19">
        <v>45352</v>
      </c>
      <c r="Q212" s="20">
        <v>0.12795999999999999</v>
      </c>
      <c r="R212" s="21">
        <v>70211</v>
      </c>
      <c r="S212" s="18" t="s">
        <v>45</v>
      </c>
      <c r="T212" s="20">
        <v>176861.20472000001</v>
      </c>
      <c r="U212" s="18" t="s">
        <v>31</v>
      </c>
      <c r="V212" s="19">
        <v>45444</v>
      </c>
      <c r="W212" s="18" t="s">
        <v>38</v>
      </c>
      <c r="X212" s="19">
        <v>45384</v>
      </c>
      <c r="Y212" s="18" t="s">
        <v>33</v>
      </c>
      <c r="Z212" s="43" t="e">
        <f>TEXT([1]!Table64[[#This Row],[Order date]],"mmm-yyyy")</f>
        <v>#REF!</v>
      </c>
    </row>
    <row r="213" spans="1:26" x14ac:dyDescent="0.3">
      <c r="A213" s="22">
        <v>10212</v>
      </c>
      <c r="B213" s="23">
        <v>5541</v>
      </c>
      <c r="C213" s="23" t="s">
        <v>34</v>
      </c>
      <c r="D213" s="24">
        <v>32646.74</v>
      </c>
      <c r="E213" s="23">
        <v>43</v>
      </c>
      <c r="F213" s="23" t="s">
        <v>46</v>
      </c>
      <c r="G213" s="25">
        <v>45383</v>
      </c>
      <c r="H213" s="24">
        <v>95828.55</v>
      </c>
      <c r="I213" s="26" t="s">
        <v>47</v>
      </c>
      <c r="J213" s="15" t="s">
        <v>36</v>
      </c>
      <c r="K213" s="15">
        <v>856</v>
      </c>
      <c r="L213" s="16">
        <v>45397</v>
      </c>
      <c r="M213" s="17">
        <v>2</v>
      </c>
      <c r="N213" s="27">
        <v>90212</v>
      </c>
      <c r="O213" s="27" t="s">
        <v>50</v>
      </c>
      <c r="P213" s="28">
        <v>45352</v>
      </c>
      <c r="Q213" s="29">
        <v>0.90586</v>
      </c>
      <c r="R213" s="30">
        <v>70212</v>
      </c>
      <c r="S213" s="27" t="s">
        <v>41</v>
      </c>
      <c r="T213" s="29">
        <v>178102.16425999999</v>
      </c>
      <c r="U213" s="27" t="s">
        <v>31</v>
      </c>
      <c r="V213" s="28">
        <v>45444</v>
      </c>
      <c r="W213" s="27" t="s">
        <v>38</v>
      </c>
      <c r="X213" s="28">
        <v>45376</v>
      </c>
      <c r="Y213" s="27" t="s">
        <v>39</v>
      </c>
      <c r="Z213" s="43" t="e">
        <f>TEXT([1]!Table64[[#This Row],[Order date]],"mmm-yyyy")</f>
        <v>#REF!</v>
      </c>
    </row>
    <row r="214" spans="1:26" x14ac:dyDescent="0.3">
      <c r="A214" s="10">
        <v>10213</v>
      </c>
      <c r="B214" s="11">
        <v>6060</v>
      </c>
      <c r="C214" s="11" t="s">
        <v>34</v>
      </c>
      <c r="D214" s="12">
        <v>57407.24</v>
      </c>
      <c r="E214" s="11">
        <v>19</v>
      </c>
      <c r="F214" s="11" t="s">
        <v>46</v>
      </c>
      <c r="G214" s="13">
        <v>45361</v>
      </c>
      <c r="H214" s="12">
        <v>64189.79</v>
      </c>
      <c r="I214" s="14" t="s">
        <v>44</v>
      </c>
      <c r="J214" s="15" t="s">
        <v>36</v>
      </c>
      <c r="K214" s="15">
        <v>284</v>
      </c>
      <c r="L214" s="16">
        <v>45332</v>
      </c>
      <c r="M214" s="17">
        <v>2</v>
      </c>
      <c r="N214" s="18">
        <v>90213</v>
      </c>
      <c r="O214" s="18" t="s">
        <v>37</v>
      </c>
      <c r="P214" s="19">
        <v>45430</v>
      </c>
      <c r="Q214" s="20">
        <v>0.14546999999999999</v>
      </c>
      <c r="R214" s="21">
        <v>70213</v>
      </c>
      <c r="S214" s="18" t="s">
        <v>30</v>
      </c>
      <c r="T214" s="20">
        <v>124799.9329</v>
      </c>
      <c r="U214" s="18" t="s">
        <v>48</v>
      </c>
      <c r="V214" s="19">
        <v>45444</v>
      </c>
      <c r="W214" s="18" t="s">
        <v>32</v>
      </c>
      <c r="X214" s="19">
        <v>45376</v>
      </c>
      <c r="Y214" s="18" t="s">
        <v>39</v>
      </c>
      <c r="Z214" s="43" t="e">
        <f>TEXT([1]!Table64[[#This Row],[Order date]],"mmm-yyyy")</f>
        <v>#REF!</v>
      </c>
    </row>
    <row r="215" spans="1:26" x14ac:dyDescent="0.3">
      <c r="A215" s="22">
        <v>10214</v>
      </c>
      <c r="B215" s="23">
        <v>5525</v>
      </c>
      <c r="C215" s="23" t="s">
        <v>34</v>
      </c>
      <c r="D215" s="24">
        <v>9144.77</v>
      </c>
      <c r="E215" s="23">
        <v>69</v>
      </c>
      <c r="F215" s="23" t="s">
        <v>46</v>
      </c>
      <c r="G215" s="25">
        <v>45383</v>
      </c>
      <c r="H215" s="24">
        <v>57188.38</v>
      </c>
      <c r="I215" s="26" t="s">
        <v>44</v>
      </c>
      <c r="J215" s="15" t="s">
        <v>28</v>
      </c>
      <c r="K215" s="15">
        <v>724</v>
      </c>
      <c r="L215" s="16">
        <v>45332</v>
      </c>
      <c r="M215" s="17">
        <v>9</v>
      </c>
      <c r="N215" s="27">
        <v>90214</v>
      </c>
      <c r="O215" s="27" t="s">
        <v>50</v>
      </c>
      <c r="P215" s="28">
        <v>45352</v>
      </c>
      <c r="Q215" s="29">
        <v>0.69925999999999999</v>
      </c>
      <c r="R215" s="30">
        <v>70214</v>
      </c>
      <c r="S215" s="27" t="s">
        <v>41</v>
      </c>
      <c r="T215" s="29">
        <v>130753.2534</v>
      </c>
      <c r="U215" s="27" t="s">
        <v>42</v>
      </c>
      <c r="V215" s="28">
        <v>45444</v>
      </c>
      <c r="W215" s="27" t="s">
        <v>38</v>
      </c>
      <c r="X215" s="28">
        <v>45384</v>
      </c>
      <c r="Y215" s="27" t="s">
        <v>33</v>
      </c>
      <c r="Z215" s="43" t="e">
        <f>TEXT([1]!Table64[[#This Row],[Order date]],"mmm-yyyy")</f>
        <v>#REF!</v>
      </c>
    </row>
    <row r="216" spans="1:26" x14ac:dyDescent="0.3">
      <c r="A216" s="10">
        <v>10215</v>
      </c>
      <c r="B216" s="11">
        <v>6184</v>
      </c>
      <c r="C216" s="11" t="s">
        <v>34</v>
      </c>
      <c r="D216" s="12">
        <v>19647.22</v>
      </c>
      <c r="E216" s="11">
        <v>51</v>
      </c>
      <c r="F216" s="11" t="s">
        <v>26</v>
      </c>
      <c r="G216" s="13">
        <v>45337</v>
      </c>
      <c r="H216" s="12">
        <v>63944.49</v>
      </c>
      <c r="I216" s="14" t="s">
        <v>47</v>
      </c>
      <c r="J216" s="15" t="s">
        <v>28</v>
      </c>
      <c r="K216" s="15">
        <v>610</v>
      </c>
      <c r="L216" s="16">
        <v>45361</v>
      </c>
      <c r="M216" s="17">
        <v>13</v>
      </c>
      <c r="N216" s="18">
        <v>90215</v>
      </c>
      <c r="O216" s="18" t="s">
        <v>40</v>
      </c>
      <c r="P216" s="19">
        <v>45383</v>
      </c>
      <c r="Q216" s="20">
        <v>0.16450999999999999</v>
      </c>
      <c r="R216" s="21">
        <v>70215</v>
      </c>
      <c r="S216" s="18" t="s">
        <v>45</v>
      </c>
      <c r="T216" s="20">
        <v>169468.29517</v>
      </c>
      <c r="U216" s="18" t="s">
        <v>31</v>
      </c>
      <c r="V216" s="19">
        <v>45392</v>
      </c>
      <c r="W216" s="18" t="s">
        <v>38</v>
      </c>
      <c r="X216" s="19">
        <v>45376</v>
      </c>
      <c r="Y216" s="18" t="s">
        <v>39</v>
      </c>
      <c r="Z216" s="43" t="e">
        <f>TEXT([1]!Table64[[#This Row],[Order date]],"mmm-yyyy")</f>
        <v>#REF!</v>
      </c>
    </row>
    <row r="217" spans="1:26" x14ac:dyDescent="0.3">
      <c r="A217" s="22">
        <v>10216</v>
      </c>
      <c r="B217" s="23">
        <v>6863</v>
      </c>
      <c r="C217" s="23" t="s">
        <v>25</v>
      </c>
      <c r="D217" s="24">
        <v>80684.77</v>
      </c>
      <c r="E217" s="23">
        <v>11</v>
      </c>
      <c r="F217" s="23" t="s">
        <v>46</v>
      </c>
      <c r="G217" s="25">
        <v>45337</v>
      </c>
      <c r="H217" s="24">
        <v>21488.15</v>
      </c>
      <c r="I217" s="26" t="s">
        <v>27</v>
      </c>
      <c r="J217" s="15" t="s">
        <v>28</v>
      </c>
      <c r="K217" s="15">
        <v>1375</v>
      </c>
      <c r="L217" s="16">
        <v>45332</v>
      </c>
      <c r="M217" s="17">
        <v>7</v>
      </c>
      <c r="N217" s="27">
        <v>90216</v>
      </c>
      <c r="O217" s="27" t="s">
        <v>29</v>
      </c>
      <c r="P217" s="28">
        <v>45352</v>
      </c>
      <c r="Q217" s="29">
        <v>0.73558999999999997</v>
      </c>
      <c r="R217" s="30">
        <v>70216</v>
      </c>
      <c r="S217" s="27" t="s">
        <v>41</v>
      </c>
      <c r="T217" s="29">
        <v>173992.83979999999</v>
      </c>
      <c r="U217" s="27" t="s">
        <v>48</v>
      </c>
      <c r="V217" s="28">
        <v>45392</v>
      </c>
      <c r="W217" s="27" t="s">
        <v>38</v>
      </c>
      <c r="X217" s="28">
        <v>45376</v>
      </c>
      <c r="Y217" s="27" t="s">
        <v>33</v>
      </c>
      <c r="Z217" s="43" t="e">
        <f>TEXT([1]!Table64[[#This Row],[Order date]],"mmm-yyyy")</f>
        <v>#REF!</v>
      </c>
    </row>
    <row r="218" spans="1:26" x14ac:dyDescent="0.3">
      <c r="A218" s="10">
        <v>10217</v>
      </c>
      <c r="B218" s="11">
        <v>6723</v>
      </c>
      <c r="C218" s="11" t="s">
        <v>34</v>
      </c>
      <c r="D218" s="12">
        <v>90640.78</v>
      </c>
      <c r="E218" s="11">
        <v>12</v>
      </c>
      <c r="F218" s="11" t="s">
        <v>46</v>
      </c>
      <c r="G218" s="13">
        <v>45306</v>
      </c>
      <c r="H218" s="12">
        <v>122412.98</v>
      </c>
      <c r="I218" s="14" t="s">
        <v>27</v>
      </c>
      <c r="J218" s="15" t="s">
        <v>36</v>
      </c>
      <c r="K218" s="15">
        <v>87</v>
      </c>
      <c r="L218" s="16">
        <v>45361</v>
      </c>
      <c r="M218" s="17">
        <v>10</v>
      </c>
      <c r="N218" s="18">
        <v>90217</v>
      </c>
      <c r="O218" s="18" t="s">
        <v>29</v>
      </c>
      <c r="P218" s="19">
        <v>45352</v>
      </c>
      <c r="Q218" s="20">
        <v>0.13056999999999999</v>
      </c>
      <c r="R218" s="21">
        <v>70217</v>
      </c>
      <c r="S218" s="18" t="s">
        <v>41</v>
      </c>
      <c r="T218" s="20">
        <v>207877.24780000001</v>
      </c>
      <c r="U218" s="18" t="s">
        <v>48</v>
      </c>
      <c r="V218" s="19">
        <v>45444</v>
      </c>
      <c r="W218" s="18" t="s">
        <v>38</v>
      </c>
      <c r="X218" s="19">
        <v>45376</v>
      </c>
      <c r="Y218" s="18" t="s">
        <v>33</v>
      </c>
      <c r="Z218" s="43" t="e">
        <f>TEXT([1]!Table64[[#This Row],[Order date]],"mmm-yyyy")</f>
        <v>#REF!</v>
      </c>
    </row>
    <row r="219" spans="1:26" x14ac:dyDescent="0.3">
      <c r="A219" s="22">
        <v>10218</v>
      </c>
      <c r="B219" s="23">
        <v>6267</v>
      </c>
      <c r="C219" s="23" t="s">
        <v>34</v>
      </c>
      <c r="D219" s="24">
        <v>51994.68</v>
      </c>
      <c r="E219" s="23">
        <v>74</v>
      </c>
      <c r="F219" s="23" t="s">
        <v>43</v>
      </c>
      <c r="G219" s="25">
        <v>45383</v>
      </c>
      <c r="H219" s="24">
        <v>14504.2</v>
      </c>
      <c r="I219" s="26" t="s">
        <v>27</v>
      </c>
      <c r="J219" s="15" t="s">
        <v>49</v>
      </c>
      <c r="K219" s="15">
        <v>1209</v>
      </c>
      <c r="L219" s="16">
        <v>45397</v>
      </c>
      <c r="M219" s="17">
        <v>9</v>
      </c>
      <c r="N219" s="27">
        <v>90218</v>
      </c>
      <c r="O219" s="27" t="s">
        <v>29</v>
      </c>
      <c r="P219" s="28">
        <v>45352</v>
      </c>
      <c r="Q219" s="29">
        <v>0.85821000000000003</v>
      </c>
      <c r="R219" s="30">
        <v>70218</v>
      </c>
      <c r="S219" s="27" t="s">
        <v>45</v>
      </c>
      <c r="T219" s="29">
        <v>168490.97169000001</v>
      </c>
      <c r="U219" s="27" t="s">
        <v>31</v>
      </c>
      <c r="V219" s="28">
        <v>45444</v>
      </c>
      <c r="W219" s="27" t="s">
        <v>38</v>
      </c>
      <c r="X219" s="28">
        <v>45384</v>
      </c>
      <c r="Y219" s="27" t="s">
        <v>33</v>
      </c>
      <c r="Z219" s="43" t="e">
        <f>TEXT([1]!Table64[[#This Row],[Order date]],"mmm-yyyy")</f>
        <v>#REF!</v>
      </c>
    </row>
    <row r="220" spans="1:26" x14ac:dyDescent="0.3">
      <c r="A220" s="10">
        <v>10219</v>
      </c>
      <c r="B220" s="11">
        <v>6110</v>
      </c>
      <c r="C220" s="11" t="s">
        <v>34</v>
      </c>
      <c r="D220" s="12">
        <v>25642.82</v>
      </c>
      <c r="E220" s="11">
        <v>8</v>
      </c>
      <c r="F220" s="11" t="s">
        <v>26</v>
      </c>
      <c r="G220" s="13">
        <v>45306</v>
      </c>
      <c r="H220" s="12">
        <v>41413.54</v>
      </c>
      <c r="I220" s="14" t="s">
        <v>44</v>
      </c>
      <c r="J220" s="15" t="s">
        <v>36</v>
      </c>
      <c r="K220" s="15">
        <v>871</v>
      </c>
      <c r="L220" s="16">
        <v>45397</v>
      </c>
      <c r="M220" s="17">
        <v>14</v>
      </c>
      <c r="N220" s="18">
        <v>90219</v>
      </c>
      <c r="O220" s="18" t="s">
        <v>40</v>
      </c>
      <c r="P220" s="19">
        <v>45430</v>
      </c>
      <c r="Q220" s="20">
        <v>0.51934999999999998</v>
      </c>
      <c r="R220" s="21">
        <v>70219</v>
      </c>
      <c r="S220" s="18" t="s">
        <v>30</v>
      </c>
      <c r="T220" s="20">
        <v>120999.30220000001</v>
      </c>
      <c r="U220" s="18" t="s">
        <v>31</v>
      </c>
      <c r="V220" s="19">
        <v>45392</v>
      </c>
      <c r="W220" s="18" t="s">
        <v>38</v>
      </c>
      <c r="X220" s="19">
        <v>45376</v>
      </c>
      <c r="Y220" s="18" t="s">
        <v>39</v>
      </c>
      <c r="Z220" s="43" t="e">
        <f>TEXT([1]!Table64[[#This Row],[Order date]],"mmm-yyyy")</f>
        <v>#REF!</v>
      </c>
    </row>
    <row r="221" spans="1:26" x14ac:dyDescent="0.3">
      <c r="A221" s="22">
        <v>10220</v>
      </c>
      <c r="B221" s="23">
        <v>6820</v>
      </c>
      <c r="C221" s="23" t="s">
        <v>25</v>
      </c>
      <c r="D221" s="24">
        <v>13598.96</v>
      </c>
      <c r="E221" s="23">
        <v>24</v>
      </c>
      <c r="F221" s="23" t="s">
        <v>35</v>
      </c>
      <c r="G221" s="25">
        <v>45383</v>
      </c>
      <c r="H221" s="24">
        <v>118196.56</v>
      </c>
      <c r="I221" s="26" t="s">
        <v>47</v>
      </c>
      <c r="J221" s="15" t="s">
        <v>28</v>
      </c>
      <c r="K221" s="15">
        <v>470</v>
      </c>
      <c r="L221" s="16">
        <v>45397</v>
      </c>
      <c r="M221" s="17">
        <v>6</v>
      </c>
      <c r="N221" s="27">
        <v>90220</v>
      </c>
      <c r="O221" s="27" t="s">
        <v>40</v>
      </c>
      <c r="P221" s="28">
        <v>45352</v>
      </c>
      <c r="Q221" s="29">
        <v>0.18411</v>
      </c>
      <c r="R221" s="30">
        <v>70220</v>
      </c>
      <c r="S221" s="27" t="s">
        <v>30</v>
      </c>
      <c r="T221" s="29">
        <v>182654.7506</v>
      </c>
      <c r="U221" s="27" t="s">
        <v>48</v>
      </c>
      <c r="V221" s="28">
        <v>45422</v>
      </c>
      <c r="W221" s="27" t="s">
        <v>38</v>
      </c>
      <c r="X221" s="28">
        <v>45376</v>
      </c>
      <c r="Y221" s="27" t="s">
        <v>33</v>
      </c>
      <c r="Z221" s="43" t="e">
        <f>TEXT([1]!Table64[[#This Row],[Order date]],"mmm-yyyy")</f>
        <v>#REF!</v>
      </c>
    </row>
    <row r="222" spans="1:26" x14ac:dyDescent="0.3">
      <c r="A222" s="10">
        <v>10221</v>
      </c>
      <c r="B222" s="11">
        <v>5578</v>
      </c>
      <c r="C222" s="11" t="s">
        <v>34</v>
      </c>
      <c r="D222" s="12">
        <v>93358.2</v>
      </c>
      <c r="E222" s="11">
        <v>92</v>
      </c>
      <c r="F222" s="11" t="s">
        <v>43</v>
      </c>
      <c r="G222" s="13">
        <v>45361</v>
      </c>
      <c r="H222" s="12">
        <v>146184.85</v>
      </c>
      <c r="I222" s="14" t="s">
        <v>47</v>
      </c>
      <c r="J222" s="15" t="s">
        <v>28</v>
      </c>
      <c r="K222" s="15">
        <v>1292</v>
      </c>
      <c r="L222" s="16">
        <v>45332</v>
      </c>
      <c r="M222" s="17">
        <v>5</v>
      </c>
      <c r="N222" s="18">
        <v>90221</v>
      </c>
      <c r="O222" s="18" t="s">
        <v>50</v>
      </c>
      <c r="P222" s="19">
        <v>45383</v>
      </c>
      <c r="Q222" s="20">
        <v>0.73614000000000002</v>
      </c>
      <c r="R222" s="21">
        <v>70221</v>
      </c>
      <c r="S222" s="18" t="s">
        <v>41</v>
      </c>
      <c r="T222" s="20">
        <v>76908.381670000002</v>
      </c>
      <c r="U222" s="18" t="s">
        <v>31</v>
      </c>
      <c r="V222" s="19">
        <v>45422</v>
      </c>
      <c r="W222" s="18" t="s">
        <v>32</v>
      </c>
      <c r="X222" s="19">
        <v>45384</v>
      </c>
      <c r="Y222" s="18" t="s">
        <v>33</v>
      </c>
      <c r="Z222" s="43" t="e">
        <f>TEXT([1]!Table64[[#This Row],[Order date]],"mmm-yyyy")</f>
        <v>#REF!</v>
      </c>
    </row>
    <row r="223" spans="1:26" x14ac:dyDescent="0.3">
      <c r="A223" s="22">
        <v>10222</v>
      </c>
      <c r="B223" s="23">
        <v>5682</v>
      </c>
      <c r="C223" s="23" t="s">
        <v>25</v>
      </c>
      <c r="D223" s="24">
        <v>70996.070000000007</v>
      </c>
      <c r="E223" s="23">
        <v>41</v>
      </c>
      <c r="F223" s="23" t="s">
        <v>43</v>
      </c>
      <c r="G223" s="25">
        <v>45361</v>
      </c>
      <c r="H223" s="24">
        <v>136508.85999999999</v>
      </c>
      <c r="I223" s="26" t="s">
        <v>44</v>
      </c>
      <c r="J223" s="15" t="s">
        <v>49</v>
      </c>
      <c r="K223" s="15">
        <v>397</v>
      </c>
      <c r="L223" s="16">
        <v>45397</v>
      </c>
      <c r="M223" s="17">
        <v>12</v>
      </c>
      <c r="N223" s="27">
        <v>90222</v>
      </c>
      <c r="O223" s="27" t="s">
        <v>29</v>
      </c>
      <c r="P223" s="28">
        <v>45383</v>
      </c>
      <c r="Q223" s="29">
        <v>0.54035999999999995</v>
      </c>
      <c r="R223" s="30">
        <v>70222</v>
      </c>
      <c r="S223" s="27" t="s">
        <v>30</v>
      </c>
      <c r="T223" s="29">
        <v>88139.716</v>
      </c>
      <c r="U223" s="27" t="s">
        <v>31</v>
      </c>
      <c r="V223" s="28">
        <v>45444</v>
      </c>
      <c r="W223" s="27" t="s">
        <v>38</v>
      </c>
      <c r="X223" s="28">
        <v>45384</v>
      </c>
      <c r="Y223" s="27" t="s">
        <v>39</v>
      </c>
      <c r="Z223" s="43" t="e">
        <f>TEXT([1]!Table64[[#This Row],[Order date]],"mmm-yyyy")</f>
        <v>#REF!</v>
      </c>
    </row>
    <row r="224" spans="1:26" x14ac:dyDescent="0.3">
      <c r="A224" s="10">
        <v>10223</v>
      </c>
      <c r="B224" s="11">
        <v>5557</v>
      </c>
      <c r="C224" s="11" t="s">
        <v>34</v>
      </c>
      <c r="D224" s="12">
        <v>71334.679999999993</v>
      </c>
      <c r="E224" s="11">
        <v>36</v>
      </c>
      <c r="F224" s="11" t="s">
        <v>35</v>
      </c>
      <c r="G224" s="13">
        <v>45306</v>
      </c>
      <c r="H224" s="12">
        <v>55805.62</v>
      </c>
      <c r="I224" s="14" t="s">
        <v>44</v>
      </c>
      <c r="J224" s="15" t="s">
        <v>28</v>
      </c>
      <c r="K224" s="15">
        <v>1152</v>
      </c>
      <c r="L224" s="16">
        <v>45397</v>
      </c>
      <c r="M224" s="17">
        <v>1</v>
      </c>
      <c r="N224" s="18">
        <v>90223</v>
      </c>
      <c r="O224" s="18" t="s">
        <v>40</v>
      </c>
      <c r="P224" s="19">
        <v>45383</v>
      </c>
      <c r="Q224" s="20">
        <v>0.27184999999999998</v>
      </c>
      <c r="R224" s="21">
        <v>70223</v>
      </c>
      <c r="S224" s="18" t="s">
        <v>30</v>
      </c>
      <c r="T224" s="20">
        <v>195704.66566</v>
      </c>
      <c r="U224" s="18" t="s">
        <v>42</v>
      </c>
      <c r="V224" s="19">
        <v>45422</v>
      </c>
      <c r="W224" s="18" t="s">
        <v>32</v>
      </c>
      <c r="X224" s="19">
        <v>45376</v>
      </c>
      <c r="Y224" s="18" t="s">
        <v>33</v>
      </c>
      <c r="Z224" s="43" t="e">
        <f>TEXT([1]!Table64[[#This Row],[Order date]],"mmm-yyyy")</f>
        <v>#REF!</v>
      </c>
    </row>
    <row r="225" spans="1:26" x14ac:dyDescent="0.3">
      <c r="A225" s="22">
        <v>10224</v>
      </c>
      <c r="B225" s="23">
        <v>6598</v>
      </c>
      <c r="C225" s="23" t="s">
        <v>34</v>
      </c>
      <c r="D225" s="24">
        <v>88923.98</v>
      </c>
      <c r="E225" s="23">
        <v>85</v>
      </c>
      <c r="F225" s="23" t="s">
        <v>43</v>
      </c>
      <c r="G225" s="25">
        <v>45383</v>
      </c>
      <c r="H225" s="24">
        <v>14214.36</v>
      </c>
      <c r="I225" s="26" t="s">
        <v>44</v>
      </c>
      <c r="J225" s="15" t="s">
        <v>28</v>
      </c>
      <c r="K225" s="15">
        <v>797</v>
      </c>
      <c r="L225" s="16">
        <v>45361</v>
      </c>
      <c r="M225" s="17">
        <v>12</v>
      </c>
      <c r="N225" s="27">
        <v>90224</v>
      </c>
      <c r="O225" s="27" t="s">
        <v>37</v>
      </c>
      <c r="P225" s="28">
        <v>45383</v>
      </c>
      <c r="Q225" s="29">
        <v>0.11411</v>
      </c>
      <c r="R225" s="30">
        <v>70224</v>
      </c>
      <c r="S225" s="27" t="s">
        <v>30</v>
      </c>
      <c r="T225" s="29">
        <v>101639.32769999999</v>
      </c>
      <c r="U225" s="27" t="s">
        <v>48</v>
      </c>
      <c r="V225" s="28">
        <v>45444</v>
      </c>
      <c r="W225" s="27" t="s">
        <v>32</v>
      </c>
      <c r="X225" s="28">
        <v>45384</v>
      </c>
      <c r="Y225" s="27" t="s">
        <v>33</v>
      </c>
      <c r="Z225" s="43" t="e">
        <f>TEXT([1]!Table64[[#This Row],[Order date]],"mmm-yyyy")</f>
        <v>#REF!</v>
      </c>
    </row>
    <row r="226" spans="1:26" x14ac:dyDescent="0.3">
      <c r="A226" s="10">
        <v>10225</v>
      </c>
      <c r="B226" s="11">
        <v>6977</v>
      </c>
      <c r="C226" s="11" t="s">
        <v>34</v>
      </c>
      <c r="D226" s="12">
        <v>53117.62</v>
      </c>
      <c r="E226" s="11">
        <v>72</v>
      </c>
      <c r="F226" s="11" t="s">
        <v>26</v>
      </c>
      <c r="G226" s="13">
        <v>45306</v>
      </c>
      <c r="H226" s="12">
        <v>60436.6</v>
      </c>
      <c r="I226" s="14" t="s">
        <v>47</v>
      </c>
      <c r="J226" s="15" t="s">
        <v>28</v>
      </c>
      <c r="K226" s="15">
        <v>322</v>
      </c>
      <c r="L226" s="16">
        <v>45361</v>
      </c>
      <c r="M226" s="17">
        <v>6</v>
      </c>
      <c r="N226" s="18">
        <v>90225</v>
      </c>
      <c r="O226" s="18" t="s">
        <v>40</v>
      </c>
      <c r="P226" s="19">
        <v>45352</v>
      </c>
      <c r="Q226" s="20">
        <v>0.47620000000000001</v>
      </c>
      <c r="R226" s="21">
        <v>70225</v>
      </c>
      <c r="S226" s="18" t="s">
        <v>30</v>
      </c>
      <c r="T226" s="20">
        <v>118777.51422</v>
      </c>
      <c r="U226" s="18" t="s">
        <v>31</v>
      </c>
      <c r="V226" s="19">
        <v>45444</v>
      </c>
      <c r="W226" s="18" t="s">
        <v>32</v>
      </c>
      <c r="X226" s="19">
        <v>45376</v>
      </c>
      <c r="Y226" s="18" t="s">
        <v>33</v>
      </c>
      <c r="Z226" s="43" t="e">
        <f>TEXT([1]!Table64[[#This Row],[Order date]],"mmm-yyyy")</f>
        <v>#REF!</v>
      </c>
    </row>
    <row r="227" spans="1:26" x14ac:dyDescent="0.3">
      <c r="A227" s="22">
        <v>10226</v>
      </c>
      <c r="B227" s="23">
        <v>6013</v>
      </c>
      <c r="C227" s="23" t="s">
        <v>34</v>
      </c>
      <c r="D227" s="24">
        <v>28633.759999999998</v>
      </c>
      <c r="E227" s="23">
        <v>55</v>
      </c>
      <c r="F227" s="23" t="s">
        <v>46</v>
      </c>
      <c r="G227" s="25">
        <v>45337</v>
      </c>
      <c r="H227" s="24">
        <v>84027.23</v>
      </c>
      <c r="I227" s="26" t="s">
        <v>44</v>
      </c>
      <c r="J227" s="15" t="s">
        <v>49</v>
      </c>
      <c r="K227" s="15">
        <v>1234</v>
      </c>
      <c r="L227" s="16">
        <v>45397</v>
      </c>
      <c r="M227" s="17">
        <v>6</v>
      </c>
      <c r="N227" s="27">
        <v>90226</v>
      </c>
      <c r="O227" s="27" t="s">
        <v>40</v>
      </c>
      <c r="P227" s="28">
        <v>45430</v>
      </c>
      <c r="Q227" s="29">
        <v>0.17707000000000001</v>
      </c>
      <c r="R227" s="30">
        <v>70226</v>
      </c>
      <c r="S227" s="27" t="s">
        <v>30</v>
      </c>
      <c r="T227" s="29">
        <v>115440.2187</v>
      </c>
      <c r="U227" s="27" t="s">
        <v>48</v>
      </c>
      <c r="V227" s="28">
        <v>45444</v>
      </c>
      <c r="W227" s="27" t="s">
        <v>38</v>
      </c>
      <c r="X227" s="28">
        <v>45384</v>
      </c>
      <c r="Y227" s="27" t="s">
        <v>39</v>
      </c>
      <c r="Z227" s="43" t="e">
        <f>TEXT([1]!Table64[[#This Row],[Order date]],"mmm-yyyy")</f>
        <v>#REF!</v>
      </c>
    </row>
    <row r="228" spans="1:26" x14ac:dyDescent="0.3">
      <c r="A228" s="10">
        <v>10227</v>
      </c>
      <c r="B228" s="11">
        <v>5646</v>
      </c>
      <c r="C228" s="11" t="s">
        <v>34</v>
      </c>
      <c r="D228" s="12">
        <v>59846.61</v>
      </c>
      <c r="E228" s="11">
        <v>9</v>
      </c>
      <c r="F228" s="11" t="s">
        <v>26</v>
      </c>
      <c r="G228" s="13">
        <v>45306</v>
      </c>
      <c r="H228" s="12">
        <v>159307.81</v>
      </c>
      <c r="I228" s="14" t="s">
        <v>47</v>
      </c>
      <c r="J228" s="15" t="s">
        <v>36</v>
      </c>
      <c r="K228" s="15">
        <v>357</v>
      </c>
      <c r="L228" s="16">
        <v>45397</v>
      </c>
      <c r="M228" s="17">
        <v>3</v>
      </c>
      <c r="N228" s="18">
        <v>90227</v>
      </c>
      <c r="O228" s="18" t="s">
        <v>37</v>
      </c>
      <c r="P228" s="19">
        <v>45383</v>
      </c>
      <c r="Q228" s="20">
        <v>0.18475</v>
      </c>
      <c r="R228" s="21">
        <v>70227</v>
      </c>
      <c r="S228" s="18" t="s">
        <v>30</v>
      </c>
      <c r="T228" s="20">
        <v>145012.71715000001</v>
      </c>
      <c r="U228" s="18" t="s">
        <v>42</v>
      </c>
      <c r="V228" s="19">
        <v>45392</v>
      </c>
      <c r="W228" s="18" t="s">
        <v>32</v>
      </c>
      <c r="X228" s="19">
        <v>45376</v>
      </c>
      <c r="Y228" s="18" t="s">
        <v>33</v>
      </c>
      <c r="Z228" s="43" t="e">
        <f>TEXT([1]!Table64[[#This Row],[Order date]],"mmm-yyyy")</f>
        <v>#REF!</v>
      </c>
    </row>
    <row r="229" spans="1:26" x14ac:dyDescent="0.3">
      <c r="A229" s="22">
        <v>10228</v>
      </c>
      <c r="B229" s="23">
        <v>5796</v>
      </c>
      <c r="C229" s="23" t="s">
        <v>25</v>
      </c>
      <c r="D229" s="24">
        <v>14957.19</v>
      </c>
      <c r="E229" s="23">
        <v>47</v>
      </c>
      <c r="F229" s="23" t="s">
        <v>35</v>
      </c>
      <c r="G229" s="25">
        <v>45306</v>
      </c>
      <c r="H229" s="24">
        <v>49851.81</v>
      </c>
      <c r="I229" s="26" t="s">
        <v>47</v>
      </c>
      <c r="J229" s="15" t="s">
        <v>28</v>
      </c>
      <c r="K229" s="15">
        <v>1447</v>
      </c>
      <c r="L229" s="16">
        <v>45332</v>
      </c>
      <c r="M229" s="17">
        <v>3</v>
      </c>
      <c r="N229" s="27">
        <v>90228</v>
      </c>
      <c r="O229" s="27" t="s">
        <v>29</v>
      </c>
      <c r="P229" s="28">
        <v>45383</v>
      </c>
      <c r="Q229" s="29">
        <v>0.34060000000000001</v>
      </c>
      <c r="R229" s="30">
        <v>70228</v>
      </c>
      <c r="S229" s="27" t="s">
        <v>30</v>
      </c>
      <c r="T229" s="29">
        <v>149630.9087</v>
      </c>
      <c r="U229" s="27" t="s">
        <v>48</v>
      </c>
      <c r="V229" s="28">
        <v>45422</v>
      </c>
      <c r="W229" s="27" t="s">
        <v>38</v>
      </c>
      <c r="X229" s="28">
        <v>45376</v>
      </c>
      <c r="Y229" s="27" t="s">
        <v>33</v>
      </c>
      <c r="Z229" s="43" t="e">
        <f>TEXT([1]!Table64[[#This Row],[Order date]],"mmm-yyyy")</f>
        <v>#REF!</v>
      </c>
    </row>
    <row r="230" spans="1:26" x14ac:dyDescent="0.3">
      <c r="A230" s="10">
        <v>10229</v>
      </c>
      <c r="B230" s="11">
        <v>6052</v>
      </c>
      <c r="C230" s="11" t="s">
        <v>34</v>
      </c>
      <c r="D230" s="12">
        <v>35662.47</v>
      </c>
      <c r="E230" s="11">
        <v>15</v>
      </c>
      <c r="F230" s="11" t="s">
        <v>35</v>
      </c>
      <c r="G230" s="13">
        <v>45361</v>
      </c>
      <c r="H230" s="12">
        <v>87552.22</v>
      </c>
      <c r="I230" s="14" t="s">
        <v>27</v>
      </c>
      <c r="J230" s="15" t="s">
        <v>49</v>
      </c>
      <c r="K230" s="15">
        <v>1025</v>
      </c>
      <c r="L230" s="16">
        <v>45332</v>
      </c>
      <c r="M230" s="17">
        <v>3</v>
      </c>
      <c r="N230" s="18">
        <v>90229</v>
      </c>
      <c r="O230" s="18" t="s">
        <v>37</v>
      </c>
      <c r="P230" s="19">
        <v>45430</v>
      </c>
      <c r="Q230" s="20">
        <v>0.66740999999999995</v>
      </c>
      <c r="R230" s="21">
        <v>70229</v>
      </c>
      <c r="S230" s="18" t="s">
        <v>45</v>
      </c>
      <c r="T230" s="20">
        <v>55713.523330000004</v>
      </c>
      <c r="U230" s="18" t="s">
        <v>48</v>
      </c>
      <c r="V230" s="19">
        <v>45392</v>
      </c>
      <c r="W230" s="18" t="s">
        <v>38</v>
      </c>
      <c r="X230" s="19">
        <v>45384</v>
      </c>
      <c r="Y230" s="18" t="s">
        <v>39</v>
      </c>
      <c r="Z230" s="43" t="e">
        <f>TEXT([1]!Table64[[#This Row],[Order date]],"mmm-yyyy")</f>
        <v>#REF!</v>
      </c>
    </row>
    <row r="231" spans="1:26" x14ac:dyDescent="0.3">
      <c r="A231" s="22">
        <v>10230</v>
      </c>
      <c r="B231" s="23">
        <v>6644</v>
      </c>
      <c r="C231" s="23" t="s">
        <v>25</v>
      </c>
      <c r="D231" s="24">
        <v>39420.58</v>
      </c>
      <c r="E231" s="23">
        <v>48</v>
      </c>
      <c r="F231" s="23" t="s">
        <v>43</v>
      </c>
      <c r="G231" s="25">
        <v>45306</v>
      </c>
      <c r="H231" s="24">
        <v>140696.75</v>
      </c>
      <c r="I231" s="26" t="s">
        <v>44</v>
      </c>
      <c r="J231" s="15" t="s">
        <v>28</v>
      </c>
      <c r="K231" s="15">
        <v>782</v>
      </c>
      <c r="L231" s="16">
        <v>45397</v>
      </c>
      <c r="M231" s="17">
        <v>3</v>
      </c>
      <c r="N231" s="27">
        <v>90230</v>
      </c>
      <c r="O231" s="27" t="s">
        <v>29</v>
      </c>
      <c r="P231" s="28">
        <v>45430</v>
      </c>
      <c r="Q231" s="29">
        <v>0.57691999999999999</v>
      </c>
      <c r="R231" s="30">
        <v>70230</v>
      </c>
      <c r="S231" s="27" t="s">
        <v>30</v>
      </c>
      <c r="T231" s="29">
        <v>156784.7739</v>
      </c>
      <c r="U231" s="27" t="s">
        <v>48</v>
      </c>
      <c r="V231" s="28">
        <v>45422</v>
      </c>
      <c r="W231" s="27" t="s">
        <v>32</v>
      </c>
      <c r="X231" s="28">
        <v>45376</v>
      </c>
      <c r="Y231" s="27" t="s">
        <v>33</v>
      </c>
      <c r="Z231" s="43" t="e">
        <f>TEXT([1]!Table64[[#This Row],[Order date]],"mmm-yyyy")</f>
        <v>#REF!</v>
      </c>
    </row>
    <row r="232" spans="1:26" x14ac:dyDescent="0.3">
      <c r="A232" s="10">
        <v>10231</v>
      </c>
      <c r="B232" s="11">
        <v>6580</v>
      </c>
      <c r="C232" s="11" t="s">
        <v>34</v>
      </c>
      <c r="D232" s="12">
        <v>72658.880000000005</v>
      </c>
      <c r="E232" s="11">
        <v>82</v>
      </c>
      <c r="F232" s="11" t="s">
        <v>26</v>
      </c>
      <c r="G232" s="13">
        <v>45383</v>
      </c>
      <c r="H232" s="12">
        <v>53726.49</v>
      </c>
      <c r="I232" s="14" t="s">
        <v>27</v>
      </c>
      <c r="J232" s="15" t="s">
        <v>49</v>
      </c>
      <c r="K232" s="15">
        <v>1082</v>
      </c>
      <c r="L232" s="16">
        <v>45361</v>
      </c>
      <c r="M232" s="17">
        <v>7</v>
      </c>
      <c r="N232" s="18">
        <v>90231</v>
      </c>
      <c r="O232" s="18" t="s">
        <v>37</v>
      </c>
      <c r="P232" s="19">
        <v>45383</v>
      </c>
      <c r="Q232" s="20">
        <v>0.16209000000000001</v>
      </c>
      <c r="R232" s="21">
        <v>70231</v>
      </c>
      <c r="S232" s="18" t="s">
        <v>45</v>
      </c>
      <c r="T232" s="20">
        <v>129989.85830000001</v>
      </c>
      <c r="U232" s="18" t="s">
        <v>42</v>
      </c>
      <c r="V232" s="19">
        <v>45392</v>
      </c>
      <c r="W232" s="18" t="s">
        <v>32</v>
      </c>
      <c r="X232" s="19">
        <v>45376</v>
      </c>
      <c r="Y232" s="18" t="s">
        <v>33</v>
      </c>
      <c r="Z232" s="43" t="e">
        <f>TEXT([1]!Table64[[#This Row],[Order date]],"mmm-yyyy")</f>
        <v>#REF!</v>
      </c>
    </row>
    <row r="233" spans="1:26" x14ac:dyDescent="0.3">
      <c r="A233" s="22">
        <v>10232</v>
      </c>
      <c r="B233" s="23">
        <v>6364</v>
      </c>
      <c r="C233" s="23" t="s">
        <v>25</v>
      </c>
      <c r="D233" s="24">
        <v>39656.57</v>
      </c>
      <c r="E233" s="23">
        <v>42</v>
      </c>
      <c r="F233" s="23" t="s">
        <v>26</v>
      </c>
      <c r="G233" s="25">
        <v>45361</v>
      </c>
      <c r="H233" s="24">
        <v>84637.86</v>
      </c>
      <c r="I233" s="26" t="s">
        <v>44</v>
      </c>
      <c r="J233" s="15" t="s">
        <v>28</v>
      </c>
      <c r="K233" s="15">
        <v>493</v>
      </c>
      <c r="L233" s="16">
        <v>45397</v>
      </c>
      <c r="M233" s="17">
        <v>10</v>
      </c>
      <c r="N233" s="27">
        <v>90232</v>
      </c>
      <c r="O233" s="27" t="s">
        <v>50</v>
      </c>
      <c r="P233" s="28">
        <v>45383</v>
      </c>
      <c r="Q233" s="29">
        <v>0.97158999999999995</v>
      </c>
      <c r="R233" s="30">
        <v>70232</v>
      </c>
      <c r="S233" s="27" t="s">
        <v>41</v>
      </c>
      <c r="T233" s="29">
        <v>172618.93851000001</v>
      </c>
      <c r="U233" s="27" t="s">
        <v>42</v>
      </c>
      <c r="V233" s="28">
        <v>45392</v>
      </c>
      <c r="W233" s="27" t="s">
        <v>32</v>
      </c>
      <c r="X233" s="28">
        <v>45376</v>
      </c>
      <c r="Y233" s="27" t="s">
        <v>33</v>
      </c>
      <c r="Z233" s="43" t="e">
        <f>TEXT([1]!Table64[[#This Row],[Order date]],"mmm-yyyy")</f>
        <v>#REF!</v>
      </c>
    </row>
    <row r="234" spans="1:26" x14ac:dyDescent="0.3">
      <c r="A234" s="10">
        <v>10233</v>
      </c>
      <c r="B234" s="11">
        <v>6822</v>
      </c>
      <c r="C234" s="11" t="s">
        <v>34</v>
      </c>
      <c r="D234" s="12">
        <v>43456.36</v>
      </c>
      <c r="E234" s="11">
        <v>60</v>
      </c>
      <c r="F234" s="11" t="s">
        <v>35</v>
      </c>
      <c r="G234" s="13">
        <v>45306</v>
      </c>
      <c r="H234" s="12">
        <v>117895.19</v>
      </c>
      <c r="I234" s="14" t="s">
        <v>44</v>
      </c>
      <c r="J234" s="15" t="s">
        <v>49</v>
      </c>
      <c r="K234" s="15">
        <v>1186</v>
      </c>
      <c r="L234" s="16">
        <v>45332</v>
      </c>
      <c r="M234" s="17">
        <v>11</v>
      </c>
      <c r="N234" s="18">
        <v>90233</v>
      </c>
      <c r="O234" s="18" t="s">
        <v>29</v>
      </c>
      <c r="P234" s="19">
        <v>45430</v>
      </c>
      <c r="Q234" s="20">
        <v>0.89844999999999997</v>
      </c>
      <c r="R234" s="21">
        <v>70233</v>
      </c>
      <c r="S234" s="18" t="s">
        <v>41</v>
      </c>
      <c r="T234" s="20">
        <v>102999.01287999999</v>
      </c>
      <c r="U234" s="18" t="s">
        <v>48</v>
      </c>
      <c r="V234" s="19">
        <v>45444</v>
      </c>
      <c r="W234" s="18" t="s">
        <v>38</v>
      </c>
      <c r="X234" s="19">
        <v>45384</v>
      </c>
      <c r="Y234" s="18" t="s">
        <v>33</v>
      </c>
      <c r="Z234" s="43" t="e">
        <f>TEXT([1]!Table64[[#This Row],[Order date]],"mmm-yyyy")</f>
        <v>#REF!</v>
      </c>
    </row>
    <row r="235" spans="1:26" x14ac:dyDescent="0.3">
      <c r="A235" s="22">
        <v>10234</v>
      </c>
      <c r="B235" s="23">
        <v>6982</v>
      </c>
      <c r="C235" s="23" t="s">
        <v>34</v>
      </c>
      <c r="D235" s="24">
        <v>31986.25</v>
      </c>
      <c r="E235" s="23">
        <v>84</v>
      </c>
      <c r="F235" s="23" t="s">
        <v>26</v>
      </c>
      <c r="G235" s="25">
        <v>45337</v>
      </c>
      <c r="H235" s="24">
        <v>80804.009999999995</v>
      </c>
      <c r="I235" s="26" t="s">
        <v>44</v>
      </c>
      <c r="J235" s="15" t="s">
        <v>28</v>
      </c>
      <c r="K235" s="15">
        <v>1278</v>
      </c>
      <c r="L235" s="16">
        <v>45361</v>
      </c>
      <c r="M235" s="17">
        <v>2</v>
      </c>
      <c r="N235" s="27">
        <v>90234</v>
      </c>
      <c r="O235" s="27" t="s">
        <v>40</v>
      </c>
      <c r="P235" s="28">
        <v>45383</v>
      </c>
      <c r="Q235" s="29">
        <v>0.33329999999999999</v>
      </c>
      <c r="R235" s="30">
        <v>70234</v>
      </c>
      <c r="S235" s="27" t="s">
        <v>30</v>
      </c>
      <c r="T235" s="29">
        <v>108353.87790000001</v>
      </c>
      <c r="U235" s="27" t="s">
        <v>48</v>
      </c>
      <c r="V235" s="28">
        <v>45444</v>
      </c>
      <c r="W235" s="27" t="s">
        <v>38</v>
      </c>
      <c r="X235" s="28">
        <v>45384</v>
      </c>
      <c r="Y235" s="27" t="s">
        <v>33</v>
      </c>
      <c r="Z235" s="43" t="e">
        <f>TEXT([1]!Table64[[#This Row],[Order date]],"mmm-yyyy")</f>
        <v>#REF!</v>
      </c>
    </row>
    <row r="236" spans="1:26" x14ac:dyDescent="0.3">
      <c r="A236" s="10">
        <v>10235</v>
      </c>
      <c r="B236" s="11">
        <v>6355</v>
      </c>
      <c r="C236" s="11" t="s">
        <v>25</v>
      </c>
      <c r="D236" s="12">
        <v>46883.07</v>
      </c>
      <c r="E236" s="11">
        <v>70</v>
      </c>
      <c r="F236" s="11" t="s">
        <v>35</v>
      </c>
      <c r="G236" s="13">
        <v>45306</v>
      </c>
      <c r="H236" s="12">
        <v>103931.33</v>
      </c>
      <c r="I236" s="14" t="s">
        <v>47</v>
      </c>
      <c r="J236" s="15" t="s">
        <v>36</v>
      </c>
      <c r="K236" s="15">
        <v>454</v>
      </c>
      <c r="L236" s="16">
        <v>45361</v>
      </c>
      <c r="M236" s="17">
        <v>10</v>
      </c>
      <c r="N236" s="18">
        <v>90235</v>
      </c>
      <c r="O236" s="18" t="s">
        <v>50</v>
      </c>
      <c r="P236" s="19">
        <v>45383</v>
      </c>
      <c r="Q236" s="20">
        <v>0.21010000000000001</v>
      </c>
      <c r="R236" s="21">
        <v>70235</v>
      </c>
      <c r="S236" s="18" t="s">
        <v>41</v>
      </c>
      <c r="T236" s="20">
        <v>77084.813869999998</v>
      </c>
      <c r="U236" s="18" t="s">
        <v>42</v>
      </c>
      <c r="V236" s="19">
        <v>45392</v>
      </c>
      <c r="W236" s="18" t="s">
        <v>32</v>
      </c>
      <c r="X236" s="19">
        <v>45376</v>
      </c>
      <c r="Y236" s="18" t="s">
        <v>33</v>
      </c>
      <c r="Z236" s="43" t="e">
        <f>TEXT([1]!Table64[[#This Row],[Order date]],"mmm-yyyy")</f>
        <v>#REF!</v>
      </c>
    </row>
    <row r="237" spans="1:26" x14ac:dyDescent="0.3">
      <c r="A237" s="22">
        <v>10236</v>
      </c>
      <c r="B237" s="23">
        <v>6664</v>
      </c>
      <c r="C237" s="23" t="s">
        <v>34</v>
      </c>
      <c r="D237" s="24">
        <v>60198.9</v>
      </c>
      <c r="E237" s="23">
        <v>12</v>
      </c>
      <c r="F237" s="23" t="s">
        <v>26</v>
      </c>
      <c r="G237" s="25">
        <v>45306</v>
      </c>
      <c r="H237" s="24">
        <v>170121.37</v>
      </c>
      <c r="I237" s="26" t="s">
        <v>47</v>
      </c>
      <c r="J237" s="15" t="s">
        <v>28</v>
      </c>
      <c r="K237" s="15">
        <v>902</v>
      </c>
      <c r="L237" s="16">
        <v>45332</v>
      </c>
      <c r="M237" s="17">
        <v>13</v>
      </c>
      <c r="N237" s="27">
        <v>90236</v>
      </c>
      <c r="O237" s="27" t="s">
        <v>29</v>
      </c>
      <c r="P237" s="28">
        <v>45352</v>
      </c>
      <c r="Q237" s="29">
        <v>0.94816</v>
      </c>
      <c r="R237" s="30">
        <v>70236</v>
      </c>
      <c r="S237" s="27" t="s">
        <v>30</v>
      </c>
      <c r="T237" s="29">
        <v>111572.39290000001</v>
      </c>
      <c r="U237" s="27" t="s">
        <v>31</v>
      </c>
      <c r="V237" s="28">
        <v>45422</v>
      </c>
      <c r="W237" s="27" t="s">
        <v>32</v>
      </c>
      <c r="X237" s="28">
        <v>45376</v>
      </c>
      <c r="Y237" s="27" t="s">
        <v>33</v>
      </c>
      <c r="Z237" s="43" t="e">
        <f>TEXT([1]!Table64[[#This Row],[Order date]],"mmm-yyyy")</f>
        <v>#REF!</v>
      </c>
    </row>
    <row r="238" spans="1:26" x14ac:dyDescent="0.3">
      <c r="A238" s="10">
        <v>10237</v>
      </c>
      <c r="B238" s="11">
        <v>6530</v>
      </c>
      <c r="C238" s="11" t="s">
        <v>34</v>
      </c>
      <c r="D238" s="12">
        <v>65839.5</v>
      </c>
      <c r="E238" s="11">
        <v>2</v>
      </c>
      <c r="F238" s="11" t="s">
        <v>26</v>
      </c>
      <c r="G238" s="13">
        <v>45306</v>
      </c>
      <c r="H238" s="12">
        <v>126438.86</v>
      </c>
      <c r="I238" s="14" t="s">
        <v>47</v>
      </c>
      <c r="J238" s="15" t="s">
        <v>49</v>
      </c>
      <c r="K238" s="15">
        <v>1270</v>
      </c>
      <c r="L238" s="16">
        <v>45397</v>
      </c>
      <c r="M238" s="17">
        <v>10</v>
      </c>
      <c r="N238" s="18">
        <v>90237</v>
      </c>
      <c r="O238" s="18" t="s">
        <v>29</v>
      </c>
      <c r="P238" s="19">
        <v>45430</v>
      </c>
      <c r="Q238" s="20">
        <v>0.51502999999999999</v>
      </c>
      <c r="R238" s="21">
        <v>70237</v>
      </c>
      <c r="S238" s="18" t="s">
        <v>45</v>
      </c>
      <c r="T238" s="20">
        <v>65383.164819999998</v>
      </c>
      <c r="U238" s="18" t="s">
        <v>42</v>
      </c>
      <c r="V238" s="19">
        <v>45422</v>
      </c>
      <c r="W238" s="18" t="s">
        <v>38</v>
      </c>
      <c r="X238" s="19">
        <v>45376</v>
      </c>
      <c r="Y238" s="18" t="s">
        <v>33</v>
      </c>
      <c r="Z238" s="43" t="e">
        <f>TEXT([1]!Table64[[#This Row],[Order date]],"mmm-yyyy")</f>
        <v>#REF!</v>
      </c>
    </row>
    <row r="239" spans="1:26" x14ac:dyDescent="0.3">
      <c r="A239" s="22">
        <v>10238</v>
      </c>
      <c r="B239" s="23">
        <v>6372</v>
      </c>
      <c r="C239" s="23" t="s">
        <v>34</v>
      </c>
      <c r="D239" s="24">
        <v>29707.01</v>
      </c>
      <c r="E239" s="23">
        <v>7</v>
      </c>
      <c r="F239" s="23" t="s">
        <v>26</v>
      </c>
      <c r="G239" s="25">
        <v>45361</v>
      </c>
      <c r="H239" s="24">
        <v>61838.49</v>
      </c>
      <c r="I239" s="26" t="s">
        <v>44</v>
      </c>
      <c r="J239" s="15" t="s">
        <v>28</v>
      </c>
      <c r="K239" s="15">
        <v>827</v>
      </c>
      <c r="L239" s="16">
        <v>45397</v>
      </c>
      <c r="M239" s="17">
        <v>2</v>
      </c>
      <c r="N239" s="27">
        <v>90238</v>
      </c>
      <c r="O239" s="27" t="s">
        <v>29</v>
      </c>
      <c r="P239" s="28">
        <v>45352</v>
      </c>
      <c r="Q239" s="29">
        <v>0.38005</v>
      </c>
      <c r="R239" s="30">
        <v>70238</v>
      </c>
      <c r="S239" s="27" t="s">
        <v>30</v>
      </c>
      <c r="T239" s="29">
        <v>136064.3463</v>
      </c>
      <c r="U239" s="27" t="s">
        <v>48</v>
      </c>
      <c r="V239" s="28">
        <v>45444</v>
      </c>
      <c r="W239" s="27" t="s">
        <v>32</v>
      </c>
      <c r="X239" s="28">
        <v>45376</v>
      </c>
      <c r="Y239" s="27" t="s">
        <v>39</v>
      </c>
      <c r="Z239" s="43" t="e">
        <f>TEXT([1]!Table64[[#This Row],[Order date]],"mmm-yyyy")</f>
        <v>#REF!</v>
      </c>
    </row>
    <row r="240" spans="1:26" x14ac:dyDescent="0.3">
      <c r="A240" s="10">
        <v>10239</v>
      </c>
      <c r="B240" s="11">
        <v>6497</v>
      </c>
      <c r="C240" s="11" t="s">
        <v>34</v>
      </c>
      <c r="D240" s="12">
        <v>64444.54</v>
      </c>
      <c r="E240" s="11">
        <v>80</v>
      </c>
      <c r="F240" s="11" t="s">
        <v>35</v>
      </c>
      <c r="G240" s="13">
        <v>45383</v>
      </c>
      <c r="H240" s="12">
        <v>128465.96</v>
      </c>
      <c r="I240" s="14" t="s">
        <v>27</v>
      </c>
      <c r="J240" s="15" t="s">
        <v>36</v>
      </c>
      <c r="K240" s="15">
        <v>164</v>
      </c>
      <c r="L240" s="16">
        <v>45397</v>
      </c>
      <c r="M240" s="17">
        <v>3</v>
      </c>
      <c r="N240" s="18">
        <v>90239</v>
      </c>
      <c r="O240" s="18" t="s">
        <v>37</v>
      </c>
      <c r="P240" s="19">
        <v>45352</v>
      </c>
      <c r="Q240" s="20">
        <v>0.54132000000000002</v>
      </c>
      <c r="R240" s="21">
        <v>70239</v>
      </c>
      <c r="S240" s="18" t="s">
        <v>41</v>
      </c>
      <c r="T240" s="20">
        <v>75772.647639999996</v>
      </c>
      <c r="U240" s="18" t="s">
        <v>31</v>
      </c>
      <c r="V240" s="19">
        <v>45444</v>
      </c>
      <c r="W240" s="18" t="s">
        <v>38</v>
      </c>
      <c r="X240" s="19">
        <v>45376</v>
      </c>
      <c r="Y240" s="18" t="s">
        <v>39</v>
      </c>
      <c r="Z240" s="43" t="e">
        <f>TEXT([1]!Table64[[#This Row],[Order date]],"mmm-yyyy")</f>
        <v>#REF!</v>
      </c>
    </row>
    <row r="241" spans="1:26" x14ac:dyDescent="0.3">
      <c r="A241" s="22">
        <v>10240</v>
      </c>
      <c r="B241" s="23">
        <v>6255</v>
      </c>
      <c r="C241" s="23" t="s">
        <v>34</v>
      </c>
      <c r="D241" s="24">
        <v>85451.05</v>
      </c>
      <c r="E241" s="23">
        <v>3</v>
      </c>
      <c r="F241" s="23" t="s">
        <v>43</v>
      </c>
      <c r="G241" s="25">
        <v>45337</v>
      </c>
      <c r="H241" s="24">
        <v>62200.87</v>
      </c>
      <c r="I241" s="26" t="s">
        <v>47</v>
      </c>
      <c r="J241" s="15" t="s">
        <v>28</v>
      </c>
      <c r="K241" s="15">
        <v>1194</v>
      </c>
      <c r="L241" s="16">
        <v>45332</v>
      </c>
      <c r="M241" s="17">
        <v>10</v>
      </c>
      <c r="N241" s="27">
        <v>90240</v>
      </c>
      <c r="O241" s="27" t="s">
        <v>29</v>
      </c>
      <c r="P241" s="28">
        <v>45430</v>
      </c>
      <c r="Q241" s="29">
        <v>0.79547000000000001</v>
      </c>
      <c r="R241" s="30">
        <v>70240</v>
      </c>
      <c r="S241" s="27" t="s">
        <v>41</v>
      </c>
      <c r="T241" s="29">
        <v>85417.289180000007</v>
      </c>
      <c r="U241" s="27" t="s">
        <v>31</v>
      </c>
      <c r="V241" s="28">
        <v>45422</v>
      </c>
      <c r="W241" s="27" t="s">
        <v>38</v>
      </c>
      <c r="X241" s="28">
        <v>45376</v>
      </c>
      <c r="Y241" s="27" t="s">
        <v>33</v>
      </c>
      <c r="Z241" s="43" t="e">
        <f>TEXT([1]!Table64[[#This Row],[Order date]],"mmm-yyyy")</f>
        <v>#REF!</v>
      </c>
    </row>
    <row r="242" spans="1:26" x14ac:dyDescent="0.3">
      <c r="A242" s="10">
        <v>10241</v>
      </c>
      <c r="B242" s="11">
        <v>5190</v>
      </c>
      <c r="C242" s="11" t="s">
        <v>34</v>
      </c>
      <c r="D242" s="12">
        <v>90138.09</v>
      </c>
      <c r="E242" s="11">
        <v>3</v>
      </c>
      <c r="F242" s="11" t="s">
        <v>26</v>
      </c>
      <c r="G242" s="13">
        <v>45306</v>
      </c>
      <c r="H242" s="12">
        <v>60922.38</v>
      </c>
      <c r="I242" s="14" t="s">
        <v>27</v>
      </c>
      <c r="J242" s="15" t="s">
        <v>49</v>
      </c>
      <c r="K242" s="15">
        <v>114</v>
      </c>
      <c r="L242" s="16">
        <v>45361</v>
      </c>
      <c r="M242" s="17">
        <v>12</v>
      </c>
      <c r="N242" s="18">
        <v>90241</v>
      </c>
      <c r="O242" s="18" t="s">
        <v>40</v>
      </c>
      <c r="P242" s="19">
        <v>45352</v>
      </c>
      <c r="Q242" s="20">
        <v>0.25155</v>
      </c>
      <c r="R242" s="21">
        <v>70241</v>
      </c>
      <c r="S242" s="18" t="s">
        <v>41</v>
      </c>
      <c r="T242" s="20">
        <v>139573.75055999999</v>
      </c>
      <c r="U242" s="18" t="s">
        <v>31</v>
      </c>
      <c r="V242" s="19">
        <v>45422</v>
      </c>
      <c r="W242" s="18" t="s">
        <v>38</v>
      </c>
      <c r="X242" s="19">
        <v>45384</v>
      </c>
      <c r="Y242" s="18" t="s">
        <v>39</v>
      </c>
      <c r="Z242" s="43" t="e">
        <f>TEXT([1]!Table64[[#This Row],[Order date]],"mmm-yyyy")</f>
        <v>#REF!</v>
      </c>
    </row>
    <row r="243" spans="1:26" x14ac:dyDescent="0.3">
      <c r="A243" s="22">
        <v>10242</v>
      </c>
      <c r="B243" s="23">
        <v>6249</v>
      </c>
      <c r="C243" s="23" t="s">
        <v>34</v>
      </c>
      <c r="D243" s="24">
        <v>58093.760000000002</v>
      </c>
      <c r="E243" s="23">
        <v>27</v>
      </c>
      <c r="F243" s="23" t="s">
        <v>35</v>
      </c>
      <c r="G243" s="25">
        <v>45383</v>
      </c>
      <c r="H243" s="24">
        <v>26138.32</v>
      </c>
      <c r="I243" s="26" t="s">
        <v>27</v>
      </c>
      <c r="J243" s="15" t="s">
        <v>49</v>
      </c>
      <c r="K243" s="15">
        <v>1349</v>
      </c>
      <c r="L243" s="16">
        <v>45332</v>
      </c>
      <c r="M243" s="17">
        <v>7</v>
      </c>
      <c r="N243" s="27">
        <v>90242</v>
      </c>
      <c r="O243" s="27" t="s">
        <v>29</v>
      </c>
      <c r="P243" s="28">
        <v>45383</v>
      </c>
      <c r="Q243" s="29">
        <v>0.79074999999999995</v>
      </c>
      <c r="R243" s="30">
        <v>70242</v>
      </c>
      <c r="S243" s="27" t="s">
        <v>41</v>
      </c>
      <c r="T243" s="29">
        <v>175984.7022</v>
      </c>
      <c r="U243" s="27" t="s">
        <v>42</v>
      </c>
      <c r="V243" s="28">
        <v>45422</v>
      </c>
      <c r="W243" s="27" t="s">
        <v>38</v>
      </c>
      <c r="X243" s="28">
        <v>45376</v>
      </c>
      <c r="Y243" s="27" t="s">
        <v>39</v>
      </c>
      <c r="Z243" s="43" t="e">
        <f>TEXT([1]!Table64[[#This Row],[Order date]],"mmm-yyyy")</f>
        <v>#REF!</v>
      </c>
    </row>
    <row r="244" spans="1:26" x14ac:dyDescent="0.3">
      <c r="A244" s="10">
        <v>10243</v>
      </c>
      <c r="B244" s="11">
        <v>6409</v>
      </c>
      <c r="C244" s="11" t="s">
        <v>25</v>
      </c>
      <c r="D244" s="12">
        <v>65067.56</v>
      </c>
      <c r="E244" s="11">
        <v>40</v>
      </c>
      <c r="F244" s="11" t="s">
        <v>35</v>
      </c>
      <c r="G244" s="13">
        <v>45383</v>
      </c>
      <c r="H244" s="12">
        <v>62454.19</v>
      </c>
      <c r="I244" s="14" t="s">
        <v>27</v>
      </c>
      <c r="J244" s="15" t="s">
        <v>36</v>
      </c>
      <c r="K244" s="15">
        <v>874</v>
      </c>
      <c r="L244" s="16">
        <v>45397</v>
      </c>
      <c r="M244" s="17">
        <v>3</v>
      </c>
      <c r="N244" s="18">
        <v>90243</v>
      </c>
      <c r="O244" s="18" t="s">
        <v>40</v>
      </c>
      <c r="P244" s="19">
        <v>45352</v>
      </c>
      <c r="Q244" s="20">
        <v>0.77449999999999997</v>
      </c>
      <c r="R244" s="21">
        <v>70243</v>
      </c>
      <c r="S244" s="18" t="s">
        <v>45</v>
      </c>
      <c r="T244" s="20">
        <v>70795.967399999994</v>
      </c>
      <c r="U244" s="18" t="s">
        <v>42</v>
      </c>
      <c r="V244" s="19">
        <v>45444</v>
      </c>
      <c r="W244" s="18" t="s">
        <v>38</v>
      </c>
      <c r="X244" s="19">
        <v>45384</v>
      </c>
      <c r="Y244" s="18" t="s">
        <v>33</v>
      </c>
      <c r="Z244" s="43" t="e">
        <f>TEXT([1]!Table64[[#This Row],[Order date]],"mmm-yyyy")</f>
        <v>#REF!</v>
      </c>
    </row>
    <row r="245" spans="1:26" x14ac:dyDescent="0.3">
      <c r="A245" s="22">
        <v>10244</v>
      </c>
      <c r="B245" s="23">
        <v>6401</v>
      </c>
      <c r="C245" s="23" t="s">
        <v>34</v>
      </c>
      <c r="D245" s="24">
        <v>32880.720000000001</v>
      </c>
      <c r="E245" s="23">
        <v>33</v>
      </c>
      <c r="F245" s="23" t="s">
        <v>26</v>
      </c>
      <c r="G245" s="25">
        <v>45361</v>
      </c>
      <c r="H245" s="24">
        <v>29596.46</v>
      </c>
      <c r="I245" s="26" t="s">
        <v>44</v>
      </c>
      <c r="J245" s="15" t="s">
        <v>49</v>
      </c>
      <c r="K245" s="15">
        <v>288</v>
      </c>
      <c r="L245" s="16">
        <v>45332</v>
      </c>
      <c r="M245" s="17">
        <v>7</v>
      </c>
      <c r="N245" s="27">
        <v>90244</v>
      </c>
      <c r="O245" s="27" t="s">
        <v>40</v>
      </c>
      <c r="P245" s="28">
        <v>45430</v>
      </c>
      <c r="Q245" s="29">
        <v>0.58540999999999999</v>
      </c>
      <c r="R245" s="30">
        <v>70244</v>
      </c>
      <c r="S245" s="27" t="s">
        <v>45</v>
      </c>
      <c r="T245" s="29">
        <v>67918.010039999994</v>
      </c>
      <c r="U245" s="27" t="s">
        <v>42</v>
      </c>
      <c r="V245" s="28">
        <v>45422</v>
      </c>
      <c r="W245" s="27" t="s">
        <v>38</v>
      </c>
      <c r="X245" s="28">
        <v>45384</v>
      </c>
      <c r="Y245" s="27" t="s">
        <v>33</v>
      </c>
      <c r="Z245" s="43" t="e">
        <f>TEXT([1]!Table64[[#This Row],[Order date]],"mmm-yyyy")</f>
        <v>#REF!</v>
      </c>
    </row>
    <row r="246" spans="1:26" x14ac:dyDescent="0.3">
      <c r="A246" s="10">
        <v>10245</v>
      </c>
      <c r="B246" s="11">
        <v>6307</v>
      </c>
      <c r="C246" s="11" t="s">
        <v>34</v>
      </c>
      <c r="D246" s="12">
        <v>91260.28</v>
      </c>
      <c r="E246" s="11">
        <v>92</v>
      </c>
      <c r="F246" s="11" t="s">
        <v>26</v>
      </c>
      <c r="G246" s="13">
        <v>45337</v>
      </c>
      <c r="H246" s="12">
        <v>87813.74</v>
      </c>
      <c r="I246" s="14" t="s">
        <v>44</v>
      </c>
      <c r="J246" s="15" t="s">
        <v>28</v>
      </c>
      <c r="K246" s="15">
        <v>351</v>
      </c>
      <c r="L246" s="16">
        <v>45361</v>
      </c>
      <c r="M246" s="17">
        <v>9</v>
      </c>
      <c r="N246" s="18">
        <v>90245</v>
      </c>
      <c r="O246" s="18" t="s">
        <v>40</v>
      </c>
      <c r="P246" s="19">
        <v>45383</v>
      </c>
      <c r="Q246" s="20">
        <v>0.87926000000000004</v>
      </c>
      <c r="R246" s="21">
        <v>70245</v>
      </c>
      <c r="S246" s="18" t="s">
        <v>41</v>
      </c>
      <c r="T246" s="20">
        <v>161585.43350000001</v>
      </c>
      <c r="U246" s="18" t="s">
        <v>42</v>
      </c>
      <c r="V246" s="19">
        <v>45444</v>
      </c>
      <c r="W246" s="18" t="s">
        <v>32</v>
      </c>
      <c r="X246" s="19">
        <v>45376</v>
      </c>
      <c r="Y246" s="18" t="s">
        <v>33</v>
      </c>
      <c r="Z246" s="43" t="e">
        <f>TEXT([1]!Table64[[#This Row],[Order date]],"mmm-yyyy")</f>
        <v>#REF!</v>
      </c>
    </row>
    <row r="247" spans="1:26" x14ac:dyDescent="0.3">
      <c r="A247" s="22">
        <v>10246</v>
      </c>
      <c r="B247" s="23">
        <v>6982</v>
      </c>
      <c r="C247" s="23" t="s">
        <v>34</v>
      </c>
      <c r="D247" s="24">
        <v>46670.25</v>
      </c>
      <c r="E247" s="23">
        <v>1</v>
      </c>
      <c r="F247" s="23" t="s">
        <v>43</v>
      </c>
      <c r="G247" s="25">
        <v>45361</v>
      </c>
      <c r="H247" s="24">
        <v>42906.84</v>
      </c>
      <c r="I247" s="26" t="s">
        <v>44</v>
      </c>
      <c r="J247" s="15" t="s">
        <v>28</v>
      </c>
      <c r="K247" s="15">
        <v>1465</v>
      </c>
      <c r="L247" s="16">
        <v>45332</v>
      </c>
      <c r="M247" s="17">
        <v>11</v>
      </c>
      <c r="N247" s="27">
        <v>90246</v>
      </c>
      <c r="O247" s="27" t="s">
        <v>50</v>
      </c>
      <c r="P247" s="28">
        <v>45383</v>
      </c>
      <c r="Q247" s="29">
        <v>0.21893000000000001</v>
      </c>
      <c r="R247" s="30">
        <v>70246</v>
      </c>
      <c r="S247" s="27" t="s">
        <v>41</v>
      </c>
      <c r="T247" s="29">
        <v>61971.66302</v>
      </c>
      <c r="U247" s="27" t="s">
        <v>48</v>
      </c>
      <c r="V247" s="28">
        <v>45392</v>
      </c>
      <c r="W247" s="27" t="s">
        <v>38</v>
      </c>
      <c r="X247" s="28">
        <v>45376</v>
      </c>
      <c r="Y247" s="27" t="s">
        <v>39</v>
      </c>
      <c r="Z247" s="43" t="e">
        <f>TEXT([1]!Table64[[#This Row],[Order date]],"mmm-yyyy")</f>
        <v>#REF!</v>
      </c>
    </row>
    <row r="248" spans="1:26" x14ac:dyDescent="0.3">
      <c r="A248" s="10">
        <v>10247</v>
      </c>
      <c r="B248" s="11">
        <v>5633</v>
      </c>
      <c r="C248" s="11" t="s">
        <v>25</v>
      </c>
      <c r="D248" s="12">
        <v>14005.86</v>
      </c>
      <c r="E248" s="11">
        <v>8</v>
      </c>
      <c r="F248" s="11" t="s">
        <v>35</v>
      </c>
      <c r="G248" s="13">
        <v>45383</v>
      </c>
      <c r="H248" s="12">
        <v>79834.64</v>
      </c>
      <c r="I248" s="14" t="s">
        <v>44</v>
      </c>
      <c r="J248" s="15" t="s">
        <v>28</v>
      </c>
      <c r="K248" s="15">
        <v>1018</v>
      </c>
      <c r="L248" s="16">
        <v>45397</v>
      </c>
      <c r="M248" s="17">
        <v>10</v>
      </c>
      <c r="N248" s="18">
        <v>90247</v>
      </c>
      <c r="O248" s="18" t="s">
        <v>40</v>
      </c>
      <c r="P248" s="19">
        <v>45383</v>
      </c>
      <c r="Q248" s="20">
        <v>0.63593</v>
      </c>
      <c r="R248" s="21">
        <v>70247</v>
      </c>
      <c r="S248" s="18" t="s">
        <v>30</v>
      </c>
      <c r="T248" s="20">
        <v>97924.785000000003</v>
      </c>
      <c r="U248" s="18" t="s">
        <v>31</v>
      </c>
      <c r="V248" s="19">
        <v>45392</v>
      </c>
      <c r="W248" s="18" t="s">
        <v>32</v>
      </c>
      <c r="X248" s="19">
        <v>45376</v>
      </c>
      <c r="Y248" s="18" t="s">
        <v>33</v>
      </c>
      <c r="Z248" s="43" t="e">
        <f>TEXT([1]!Table64[[#This Row],[Order date]],"mmm-yyyy")</f>
        <v>#REF!</v>
      </c>
    </row>
    <row r="249" spans="1:26" x14ac:dyDescent="0.3">
      <c r="A249" s="22">
        <v>10248</v>
      </c>
      <c r="B249" s="23">
        <v>5628</v>
      </c>
      <c r="C249" s="23" t="s">
        <v>25</v>
      </c>
      <c r="D249" s="24">
        <v>89827.9</v>
      </c>
      <c r="E249" s="23">
        <v>32</v>
      </c>
      <c r="F249" s="23" t="s">
        <v>35</v>
      </c>
      <c r="G249" s="25">
        <v>45383</v>
      </c>
      <c r="H249" s="24">
        <v>22007.83</v>
      </c>
      <c r="I249" s="26" t="s">
        <v>27</v>
      </c>
      <c r="J249" s="15" t="s">
        <v>49</v>
      </c>
      <c r="K249" s="15">
        <v>418</v>
      </c>
      <c r="L249" s="16">
        <v>45361</v>
      </c>
      <c r="M249" s="17">
        <v>12</v>
      </c>
      <c r="N249" s="27">
        <v>90248</v>
      </c>
      <c r="O249" s="27" t="s">
        <v>37</v>
      </c>
      <c r="P249" s="28">
        <v>45383</v>
      </c>
      <c r="Q249" s="29">
        <v>0.50441000000000003</v>
      </c>
      <c r="R249" s="30">
        <v>70248</v>
      </c>
      <c r="S249" s="27" t="s">
        <v>45</v>
      </c>
      <c r="T249" s="29">
        <v>70743.436499999996</v>
      </c>
      <c r="U249" s="27" t="s">
        <v>48</v>
      </c>
      <c r="V249" s="28">
        <v>45392</v>
      </c>
      <c r="W249" s="27" t="s">
        <v>38</v>
      </c>
      <c r="X249" s="28">
        <v>45384</v>
      </c>
      <c r="Y249" s="27" t="s">
        <v>39</v>
      </c>
      <c r="Z249" s="43" t="e">
        <f>TEXT([1]!Table64[[#This Row],[Order date]],"mmm-yyyy")</f>
        <v>#REF!</v>
      </c>
    </row>
    <row r="250" spans="1:26" x14ac:dyDescent="0.3">
      <c r="A250" s="10">
        <v>10249</v>
      </c>
      <c r="B250" s="11">
        <v>5973</v>
      </c>
      <c r="C250" s="11" t="s">
        <v>34</v>
      </c>
      <c r="D250" s="12">
        <v>71165.600000000006</v>
      </c>
      <c r="E250" s="11">
        <v>48</v>
      </c>
      <c r="F250" s="11" t="s">
        <v>46</v>
      </c>
      <c r="G250" s="13">
        <v>45383</v>
      </c>
      <c r="H250" s="12">
        <v>147171.1</v>
      </c>
      <c r="I250" s="14" t="s">
        <v>44</v>
      </c>
      <c r="J250" s="15" t="s">
        <v>28</v>
      </c>
      <c r="K250" s="15">
        <v>282</v>
      </c>
      <c r="L250" s="16">
        <v>45332</v>
      </c>
      <c r="M250" s="17">
        <v>11</v>
      </c>
      <c r="N250" s="18">
        <v>90249</v>
      </c>
      <c r="O250" s="18" t="s">
        <v>29</v>
      </c>
      <c r="P250" s="19">
        <v>45352</v>
      </c>
      <c r="Q250" s="20">
        <v>0.48005999999999999</v>
      </c>
      <c r="R250" s="21">
        <v>70249</v>
      </c>
      <c r="S250" s="18" t="s">
        <v>30</v>
      </c>
      <c r="T250" s="20">
        <v>172979.5226</v>
      </c>
      <c r="U250" s="18" t="s">
        <v>42</v>
      </c>
      <c r="V250" s="19">
        <v>45422</v>
      </c>
      <c r="W250" s="18" t="s">
        <v>32</v>
      </c>
      <c r="X250" s="19">
        <v>45376</v>
      </c>
      <c r="Y250" s="18" t="s">
        <v>39</v>
      </c>
      <c r="Z250" s="43" t="e">
        <f>TEXT([1]!Table64[[#This Row],[Order date]],"mmm-yyyy")</f>
        <v>#REF!</v>
      </c>
    </row>
    <row r="251" spans="1:26" x14ac:dyDescent="0.3">
      <c r="A251" s="22">
        <v>10250</v>
      </c>
      <c r="B251" s="23">
        <v>6769</v>
      </c>
      <c r="C251" s="23" t="s">
        <v>34</v>
      </c>
      <c r="D251" s="24">
        <v>26758.58</v>
      </c>
      <c r="E251" s="23">
        <v>4</v>
      </c>
      <c r="F251" s="23" t="s">
        <v>35</v>
      </c>
      <c r="G251" s="25">
        <v>45361</v>
      </c>
      <c r="H251" s="24">
        <v>51850.33</v>
      </c>
      <c r="I251" s="26" t="s">
        <v>27</v>
      </c>
      <c r="J251" s="15" t="s">
        <v>28</v>
      </c>
      <c r="K251" s="15">
        <v>244</v>
      </c>
      <c r="L251" s="16">
        <v>45332</v>
      </c>
      <c r="M251" s="17">
        <v>4</v>
      </c>
      <c r="N251" s="27">
        <v>90250</v>
      </c>
      <c r="O251" s="27" t="s">
        <v>37</v>
      </c>
      <c r="P251" s="28">
        <v>45352</v>
      </c>
      <c r="Q251" s="29">
        <v>0.32729999999999998</v>
      </c>
      <c r="R251" s="30">
        <v>70250</v>
      </c>
      <c r="S251" s="27" t="s">
        <v>41</v>
      </c>
      <c r="T251" s="29">
        <v>152496.21090000001</v>
      </c>
      <c r="U251" s="27" t="s">
        <v>42</v>
      </c>
      <c r="V251" s="28">
        <v>45444</v>
      </c>
      <c r="W251" s="27" t="s">
        <v>38</v>
      </c>
      <c r="X251" s="28">
        <v>45376</v>
      </c>
      <c r="Y251" s="27" t="s">
        <v>39</v>
      </c>
      <c r="Z251" s="43" t="e">
        <f>TEXT([1]!Table64[[#This Row],[Order date]],"mmm-yyyy")</f>
        <v>#REF!</v>
      </c>
    </row>
    <row r="252" spans="1:26" x14ac:dyDescent="0.3">
      <c r="A252" s="10">
        <v>10251</v>
      </c>
      <c r="B252" s="11">
        <v>6283</v>
      </c>
      <c r="C252" s="11" t="s">
        <v>34</v>
      </c>
      <c r="D252" s="12">
        <v>54803.360000000001</v>
      </c>
      <c r="E252" s="11">
        <v>94</v>
      </c>
      <c r="F252" s="11" t="s">
        <v>43</v>
      </c>
      <c r="G252" s="13">
        <v>45337</v>
      </c>
      <c r="H252" s="12">
        <v>83306.38</v>
      </c>
      <c r="I252" s="14" t="s">
        <v>44</v>
      </c>
      <c r="J252" s="15" t="s">
        <v>28</v>
      </c>
      <c r="K252" s="15">
        <v>956</v>
      </c>
      <c r="L252" s="16">
        <v>45361</v>
      </c>
      <c r="M252" s="17">
        <v>7</v>
      </c>
      <c r="N252" s="18">
        <v>90251</v>
      </c>
      <c r="O252" s="18" t="s">
        <v>50</v>
      </c>
      <c r="P252" s="19">
        <v>45383</v>
      </c>
      <c r="Q252" s="20">
        <v>0.43504999999999999</v>
      </c>
      <c r="R252" s="21">
        <v>70251</v>
      </c>
      <c r="S252" s="18" t="s">
        <v>30</v>
      </c>
      <c r="T252" s="20">
        <v>175983.43700000001</v>
      </c>
      <c r="U252" s="18" t="s">
        <v>48</v>
      </c>
      <c r="V252" s="19">
        <v>45422</v>
      </c>
      <c r="W252" s="18" t="s">
        <v>38</v>
      </c>
      <c r="X252" s="19">
        <v>45376</v>
      </c>
      <c r="Y252" s="18" t="s">
        <v>33</v>
      </c>
      <c r="Z252" s="43" t="e">
        <f>TEXT([1]!Table64[[#This Row],[Order date]],"mmm-yyyy")</f>
        <v>#REF!</v>
      </c>
    </row>
    <row r="253" spans="1:26" x14ac:dyDescent="0.3">
      <c r="A253" s="22">
        <v>10252</v>
      </c>
      <c r="B253" s="23">
        <v>6383</v>
      </c>
      <c r="C253" s="23" t="s">
        <v>34</v>
      </c>
      <c r="D253" s="24">
        <v>24990.12</v>
      </c>
      <c r="E253" s="23">
        <v>70</v>
      </c>
      <c r="F253" s="23" t="s">
        <v>46</v>
      </c>
      <c r="G253" s="25">
        <v>45306</v>
      </c>
      <c r="H253" s="24">
        <v>85614.43</v>
      </c>
      <c r="I253" s="26" t="s">
        <v>44</v>
      </c>
      <c r="J253" s="15" t="s">
        <v>36</v>
      </c>
      <c r="K253" s="15">
        <v>1085</v>
      </c>
      <c r="L253" s="16">
        <v>45361</v>
      </c>
      <c r="M253" s="17">
        <v>9</v>
      </c>
      <c r="N253" s="27">
        <v>90252</v>
      </c>
      <c r="O253" s="27" t="s">
        <v>29</v>
      </c>
      <c r="P253" s="28">
        <v>45430</v>
      </c>
      <c r="Q253" s="29">
        <v>0.19733999999999999</v>
      </c>
      <c r="R253" s="30">
        <v>70252</v>
      </c>
      <c r="S253" s="27" t="s">
        <v>41</v>
      </c>
      <c r="T253" s="29">
        <v>212838.92319999999</v>
      </c>
      <c r="U253" s="27" t="s">
        <v>31</v>
      </c>
      <c r="V253" s="28">
        <v>45444</v>
      </c>
      <c r="W253" s="27" t="s">
        <v>38</v>
      </c>
      <c r="X253" s="28">
        <v>45376</v>
      </c>
      <c r="Y253" s="27" t="s">
        <v>33</v>
      </c>
      <c r="Z253" s="43" t="e">
        <f>TEXT([1]!Table64[[#This Row],[Order date]],"mmm-yyyy")</f>
        <v>#REF!</v>
      </c>
    </row>
    <row r="254" spans="1:26" x14ac:dyDescent="0.3">
      <c r="A254" s="10">
        <v>10253</v>
      </c>
      <c r="B254" s="11">
        <v>5710</v>
      </c>
      <c r="C254" s="11" t="s">
        <v>34</v>
      </c>
      <c r="D254" s="12">
        <v>17296.29</v>
      </c>
      <c r="E254" s="11">
        <v>19</v>
      </c>
      <c r="F254" s="11" t="s">
        <v>46</v>
      </c>
      <c r="G254" s="13">
        <v>45361</v>
      </c>
      <c r="H254" s="12">
        <v>151512.57</v>
      </c>
      <c r="I254" s="14" t="s">
        <v>44</v>
      </c>
      <c r="J254" s="15" t="s">
        <v>49</v>
      </c>
      <c r="K254" s="15">
        <v>970</v>
      </c>
      <c r="L254" s="16">
        <v>45397</v>
      </c>
      <c r="M254" s="17">
        <v>14</v>
      </c>
      <c r="N254" s="18">
        <v>90253</v>
      </c>
      <c r="O254" s="18" t="s">
        <v>40</v>
      </c>
      <c r="P254" s="19">
        <v>45383</v>
      </c>
      <c r="Q254" s="20">
        <v>0.32644000000000001</v>
      </c>
      <c r="R254" s="21">
        <v>70253</v>
      </c>
      <c r="S254" s="18" t="s">
        <v>45</v>
      </c>
      <c r="T254" s="20">
        <v>161727.80439999999</v>
      </c>
      <c r="U254" s="18" t="s">
        <v>31</v>
      </c>
      <c r="V254" s="19">
        <v>45422</v>
      </c>
      <c r="W254" s="18" t="s">
        <v>38</v>
      </c>
      <c r="X254" s="19">
        <v>45376</v>
      </c>
      <c r="Y254" s="18" t="s">
        <v>39</v>
      </c>
      <c r="Z254" s="43" t="e">
        <f>TEXT([1]!Table64[[#This Row],[Order date]],"mmm-yyyy")</f>
        <v>#REF!</v>
      </c>
    </row>
    <row r="255" spans="1:26" x14ac:dyDescent="0.3">
      <c r="A255" s="22">
        <v>10254</v>
      </c>
      <c r="B255" s="23">
        <v>6480</v>
      </c>
      <c r="C255" s="23" t="s">
        <v>34</v>
      </c>
      <c r="D255" s="24">
        <v>82532.350000000006</v>
      </c>
      <c r="E255" s="23">
        <v>32</v>
      </c>
      <c r="F255" s="23" t="s">
        <v>46</v>
      </c>
      <c r="G255" s="25">
        <v>45383</v>
      </c>
      <c r="H255" s="24">
        <v>176931.34</v>
      </c>
      <c r="I255" s="26" t="s">
        <v>47</v>
      </c>
      <c r="J255" s="15" t="s">
        <v>49</v>
      </c>
      <c r="K255" s="15">
        <v>738</v>
      </c>
      <c r="L255" s="16">
        <v>45361</v>
      </c>
      <c r="M255" s="17">
        <v>8</v>
      </c>
      <c r="N255" s="27">
        <v>90254</v>
      </c>
      <c r="O255" s="27" t="s">
        <v>29</v>
      </c>
      <c r="P255" s="28">
        <v>45352</v>
      </c>
      <c r="Q255" s="29">
        <v>0.34477000000000002</v>
      </c>
      <c r="R255" s="30">
        <v>70254</v>
      </c>
      <c r="S255" s="27" t="s">
        <v>45</v>
      </c>
      <c r="T255" s="29">
        <v>75042.936419999998</v>
      </c>
      <c r="U255" s="27" t="s">
        <v>42</v>
      </c>
      <c r="V255" s="28">
        <v>45392</v>
      </c>
      <c r="W255" s="27" t="s">
        <v>32</v>
      </c>
      <c r="X255" s="28">
        <v>45376</v>
      </c>
      <c r="Y255" s="27" t="s">
        <v>33</v>
      </c>
      <c r="Z255" s="43" t="e">
        <f>TEXT([1]!Table64[[#This Row],[Order date]],"mmm-yyyy")</f>
        <v>#REF!</v>
      </c>
    </row>
    <row r="256" spans="1:26" x14ac:dyDescent="0.3">
      <c r="A256" s="10">
        <v>10255</v>
      </c>
      <c r="B256" s="11">
        <v>6435</v>
      </c>
      <c r="C256" s="11" t="s">
        <v>34</v>
      </c>
      <c r="D256" s="12">
        <v>78717.8</v>
      </c>
      <c r="E256" s="11">
        <v>9</v>
      </c>
      <c r="F256" s="11" t="s">
        <v>26</v>
      </c>
      <c r="G256" s="13">
        <v>45361</v>
      </c>
      <c r="H256" s="12">
        <v>128870.44</v>
      </c>
      <c r="I256" s="14" t="s">
        <v>27</v>
      </c>
      <c r="J256" s="15" t="s">
        <v>49</v>
      </c>
      <c r="K256" s="15">
        <v>226</v>
      </c>
      <c r="L256" s="16">
        <v>45397</v>
      </c>
      <c r="M256" s="17">
        <v>8</v>
      </c>
      <c r="N256" s="18">
        <v>90255</v>
      </c>
      <c r="O256" s="18" t="s">
        <v>50</v>
      </c>
      <c r="P256" s="19">
        <v>45383</v>
      </c>
      <c r="Q256" s="20">
        <v>0.74860000000000004</v>
      </c>
      <c r="R256" s="21">
        <v>70255</v>
      </c>
      <c r="S256" s="18" t="s">
        <v>41</v>
      </c>
      <c r="T256" s="20">
        <v>180897.6599</v>
      </c>
      <c r="U256" s="18" t="s">
        <v>42</v>
      </c>
      <c r="V256" s="19">
        <v>45444</v>
      </c>
      <c r="W256" s="18" t="s">
        <v>38</v>
      </c>
      <c r="X256" s="19">
        <v>45376</v>
      </c>
      <c r="Y256" s="18" t="s">
        <v>39</v>
      </c>
      <c r="Z256" s="43" t="e">
        <f>TEXT([1]!Table64[[#This Row],[Order date]],"mmm-yyyy")</f>
        <v>#REF!</v>
      </c>
    </row>
    <row r="257" spans="1:26" x14ac:dyDescent="0.3">
      <c r="A257" s="22">
        <v>10256</v>
      </c>
      <c r="B257" s="23">
        <v>5649</v>
      </c>
      <c r="C257" s="23" t="s">
        <v>25</v>
      </c>
      <c r="D257" s="24">
        <v>30828.799999999999</v>
      </c>
      <c r="E257" s="23">
        <v>12</v>
      </c>
      <c r="F257" s="23" t="s">
        <v>26</v>
      </c>
      <c r="G257" s="25">
        <v>45383</v>
      </c>
      <c r="H257" s="24">
        <v>105314.07</v>
      </c>
      <c r="I257" s="26" t="s">
        <v>44</v>
      </c>
      <c r="J257" s="15" t="s">
        <v>36</v>
      </c>
      <c r="K257" s="15">
        <v>266</v>
      </c>
      <c r="L257" s="16">
        <v>45332</v>
      </c>
      <c r="M257" s="17">
        <v>9</v>
      </c>
      <c r="N257" s="27">
        <v>90256</v>
      </c>
      <c r="O257" s="27" t="s">
        <v>50</v>
      </c>
      <c r="P257" s="28">
        <v>45352</v>
      </c>
      <c r="Q257" s="29">
        <v>0.14369999999999999</v>
      </c>
      <c r="R257" s="30">
        <v>70256</v>
      </c>
      <c r="S257" s="27" t="s">
        <v>41</v>
      </c>
      <c r="T257" s="29">
        <v>81053.131399999998</v>
      </c>
      <c r="U257" s="27" t="s">
        <v>42</v>
      </c>
      <c r="V257" s="28">
        <v>45422</v>
      </c>
      <c r="W257" s="27" t="s">
        <v>38</v>
      </c>
      <c r="X257" s="28">
        <v>45376</v>
      </c>
      <c r="Y257" s="27" t="s">
        <v>33</v>
      </c>
      <c r="Z257" s="43" t="e">
        <f>TEXT([1]!Table64[[#This Row],[Order date]],"mmm-yyyy")</f>
        <v>#REF!</v>
      </c>
    </row>
    <row r="258" spans="1:26" x14ac:dyDescent="0.3">
      <c r="A258" s="10">
        <v>10257</v>
      </c>
      <c r="B258" s="11">
        <v>5318</v>
      </c>
      <c r="C258" s="11" t="s">
        <v>34</v>
      </c>
      <c r="D258" s="12">
        <v>87726.8</v>
      </c>
      <c r="E258" s="11">
        <v>11</v>
      </c>
      <c r="F258" s="11" t="s">
        <v>35</v>
      </c>
      <c r="G258" s="13">
        <v>45306</v>
      </c>
      <c r="H258" s="12">
        <v>29312.23</v>
      </c>
      <c r="I258" s="14" t="s">
        <v>27</v>
      </c>
      <c r="J258" s="15" t="s">
        <v>49</v>
      </c>
      <c r="K258" s="15">
        <v>1084</v>
      </c>
      <c r="L258" s="16">
        <v>45397</v>
      </c>
      <c r="M258" s="17">
        <v>14</v>
      </c>
      <c r="N258" s="18">
        <v>90257</v>
      </c>
      <c r="O258" s="18" t="s">
        <v>37</v>
      </c>
      <c r="P258" s="19">
        <v>45383</v>
      </c>
      <c r="Q258" s="20">
        <v>0.68606999999999996</v>
      </c>
      <c r="R258" s="21">
        <v>70257</v>
      </c>
      <c r="S258" s="18" t="s">
        <v>45</v>
      </c>
      <c r="T258" s="20">
        <v>117629.3849</v>
      </c>
      <c r="U258" s="18" t="s">
        <v>42</v>
      </c>
      <c r="V258" s="19">
        <v>45444</v>
      </c>
      <c r="W258" s="18" t="s">
        <v>38</v>
      </c>
      <c r="X258" s="19">
        <v>45376</v>
      </c>
      <c r="Y258" s="18" t="s">
        <v>33</v>
      </c>
      <c r="Z258" s="43" t="e">
        <f>TEXT([1]!Table64[[#This Row],[Order date]],"mmm-yyyy")</f>
        <v>#REF!</v>
      </c>
    </row>
    <row r="259" spans="1:26" x14ac:dyDescent="0.3">
      <c r="A259" s="22">
        <v>10258</v>
      </c>
      <c r="B259" s="23">
        <v>6701</v>
      </c>
      <c r="C259" s="23" t="s">
        <v>34</v>
      </c>
      <c r="D259" s="24">
        <v>50828.21</v>
      </c>
      <c r="E259" s="23">
        <v>46</v>
      </c>
      <c r="F259" s="23" t="s">
        <v>46</v>
      </c>
      <c r="G259" s="25">
        <v>45306</v>
      </c>
      <c r="H259" s="24">
        <v>85539.25</v>
      </c>
      <c r="I259" s="26" t="s">
        <v>44</v>
      </c>
      <c r="J259" s="15" t="s">
        <v>36</v>
      </c>
      <c r="K259" s="15">
        <v>679</v>
      </c>
      <c r="L259" s="16">
        <v>45332</v>
      </c>
      <c r="M259" s="17">
        <v>5</v>
      </c>
      <c r="N259" s="27">
        <v>90258</v>
      </c>
      <c r="O259" s="27" t="s">
        <v>29</v>
      </c>
      <c r="P259" s="28">
        <v>45430</v>
      </c>
      <c r="Q259" s="29">
        <v>0.29926999999999998</v>
      </c>
      <c r="R259" s="30">
        <v>70258</v>
      </c>
      <c r="S259" s="27" t="s">
        <v>45</v>
      </c>
      <c r="T259" s="29">
        <v>147693.69099</v>
      </c>
      <c r="U259" s="27" t="s">
        <v>31</v>
      </c>
      <c r="V259" s="28">
        <v>45444</v>
      </c>
      <c r="W259" s="27" t="s">
        <v>38</v>
      </c>
      <c r="X259" s="28">
        <v>45376</v>
      </c>
      <c r="Y259" s="27" t="s">
        <v>33</v>
      </c>
      <c r="Z259" s="43" t="e">
        <f>TEXT([1]!Table64[[#This Row],[Order date]],"mmm-yyyy")</f>
        <v>#REF!</v>
      </c>
    </row>
    <row r="260" spans="1:26" x14ac:dyDescent="0.3">
      <c r="A260" s="10">
        <v>10259</v>
      </c>
      <c r="B260" s="11">
        <v>6249</v>
      </c>
      <c r="C260" s="11" t="s">
        <v>34</v>
      </c>
      <c r="D260" s="12">
        <v>48039.43</v>
      </c>
      <c r="E260" s="11">
        <v>16</v>
      </c>
      <c r="F260" s="11" t="s">
        <v>43</v>
      </c>
      <c r="G260" s="13">
        <v>45337</v>
      </c>
      <c r="H260" s="12">
        <v>127930.26</v>
      </c>
      <c r="I260" s="14" t="s">
        <v>44</v>
      </c>
      <c r="J260" s="15" t="s">
        <v>36</v>
      </c>
      <c r="K260" s="15">
        <v>213</v>
      </c>
      <c r="L260" s="16">
        <v>45361</v>
      </c>
      <c r="M260" s="17">
        <v>14</v>
      </c>
      <c r="N260" s="18">
        <v>90259</v>
      </c>
      <c r="O260" s="18" t="s">
        <v>29</v>
      </c>
      <c r="P260" s="19">
        <v>45383</v>
      </c>
      <c r="Q260" s="20">
        <v>0.17368</v>
      </c>
      <c r="R260" s="21">
        <v>70259</v>
      </c>
      <c r="S260" s="18" t="s">
        <v>45</v>
      </c>
      <c r="T260" s="20">
        <v>219596.15979999999</v>
      </c>
      <c r="U260" s="18" t="s">
        <v>48</v>
      </c>
      <c r="V260" s="19">
        <v>45422</v>
      </c>
      <c r="W260" s="18" t="s">
        <v>38</v>
      </c>
      <c r="X260" s="19">
        <v>45376</v>
      </c>
      <c r="Y260" s="18" t="s">
        <v>39</v>
      </c>
      <c r="Z260" s="43" t="e">
        <f>TEXT([1]!Table64[[#This Row],[Order date]],"mmm-yyyy")</f>
        <v>#REF!</v>
      </c>
    </row>
    <row r="261" spans="1:26" x14ac:dyDescent="0.3">
      <c r="A261" s="22">
        <v>10260</v>
      </c>
      <c r="B261" s="23">
        <v>6843</v>
      </c>
      <c r="C261" s="23" t="s">
        <v>34</v>
      </c>
      <c r="D261" s="24">
        <v>89560.86</v>
      </c>
      <c r="E261" s="23">
        <v>1</v>
      </c>
      <c r="F261" s="23" t="s">
        <v>26</v>
      </c>
      <c r="G261" s="25">
        <v>45383</v>
      </c>
      <c r="H261" s="24">
        <v>52908.73</v>
      </c>
      <c r="I261" s="26" t="s">
        <v>44</v>
      </c>
      <c r="J261" s="15" t="s">
        <v>49</v>
      </c>
      <c r="K261" s="15">
        <v>102</v>
      </c>
      <c r="L261" s="16">
        <v>45332</v>
      </c>
      <c r="M261" s="17">
        <v>5</v>
      </c>
      <c r="N261" s="27">
        <v>90260</v>
      </c>
      <c r="O261" s="27" t="s">
        <v>29</v>
      </c>
      <c r="P261" s="28">
        <v>45430</v>
      </c>
      <c r="Q261" s="29">
        <v>0.37073</v>
      </c>
      <c r="R261" s="30">
        <v>70260</v>
      </c>
      <c r="S261" s="27" t="s">
        <v>41</v>
      </c>
      <c r="T261" s="29">
        <v>159785.53</v>
      </c>
      <c r="U261" s="27" t="s">
        <v>31</v>
      </c>
      <c r="V261" s="28">
        <v>45422</v>
      </c>
      <c r="W261" s="27" t="s">
        <v>32</v>
      </c>
      <c r="X261" s="28">
        <v>45376</v>
      </c>
      <c r="Y261" s="27" t="s">
        <v>33</v>
      </c>
      <c r="Z261" s="43" t="e">
        <f>TEXT([1]!Table64[[#This Row],[Order date]],"mmm-yyyy")</f>
        <v>#REF!</v>
      </c>
    </row>
    <row r="262" spans="1:26" x14ac:dyDescent="0.3">
      <c r="A262" s="10">
        <v>10261</v>
      </c>
      <c r="B262" s="11">
        <v>6258</v>
      </c>
      <c r="C262" s="11" t="s">
        <v>34</v>
      </c>
      <c r="D262" s="12">
        <v>38985.86</v>
      </c>
      <c r="E262" s="11">
        <v>63</v>
      </c>
      <c r="F262" s="11" t="s">
        <v>43</v>
      </c>
      <c r="G262" s="13">
        <v>45337</v>
      </c>
      <c r="H262" s="12">
        <v>36882.89</v>
      </c>
      <c r="I262" s="14" t="s">
        <v>27</v>
      </c>
      <c r="J262" s="15" t="s">
        <v>28</v>
      </c>
      <c r="K262" s="15">
        <v>267</v>
      </c>
      <c r="L262" s="16">
        <v>45361</v>
      </c>
      <c r="M262" s="17">
        <v>3</v>
      </c>
      <c r="N262" s="18">
        <v>90261</v>
      </c>
      <c r="O262" s="18" t="s">
        <v>37</v>
      </c>
      <c r="P262" s="19">
        <v>45430</v>
      </c>
      <c r="Q262" s="20">
        <v>0.30203000000000002</v>
      </c>
      <c r="R262" s="21">
        <v>70261</v>
      </c>
      <c r="S262" s="18" t="s">
        <v>41</v>
      </c>
      <c r="T262" s="20">
        <v>139146.7157</v>
      </c>
      <c r="U262" s="18" t="s">
        <v>48</v>
      </c>
      <c r="V262" s="19">
        <v>45444</v>
      </c>
      <c r="W262" s="18" t="s">
        <v>38</v>
      </c>
      <c r="X262" s="19">
        <v>45384</v>
      </c>
      <c r="Y262" s="18" t="s">
        <v>33</v>
      </c>
      <c r="Z262" s="43" t="e">
        <f>TEXT([1]!Table64[[#This Row],[Order date]],"mmm-yyyy")</f>
        <v>#REF!</v>
      </c>
    </row>
    <row r="263" spans="1:26" x14ac:dyDescent="0.3">
      <c r="A263" s="22">
        <v>10262</v>
      </c>
      <c r="B263" s="23">
        <v>5684</v>
      </c>
      <c r="C263" s="23" t="s">
        <v>34</v>
      </c>
      <c r="D263" s="24">
        <v>64579.54</v>
      </c>
      <c r="E263" s="23">
        <v>21</v>
      </c>
      <c r="F263" s="23" t="s">
        <v>43</v>
      </c>
      <c r="G263" s="25">
        <v>45337</v>
      </c>
      <c r="H263" s="24">
        <v>157603.16</v>
      </c>
      <c r="I263" s="26" t="s">
        <v>44</v>
      </c>
      <c r="J263" s="15" t="s">
        <v>28</v>
      </c>
      <c r="K263" s="15">
        <v>1048</v>
      </c>
      <c r="L263" s="16">
        <v>45332</v>
      </c>
      <c r="M263" s="17">
        <v>5</v>
      </c>
      <c r="N263" s="27">
        <v>90262</v>
      </c>
      <c r="O263" s="27" t="s">
        <v>50</v>
      </c>
      <c r="P263" s="28">
        <v>45383</v>
      </c>
      <c r="Q263" s="29">
        <v>0.59682999999999997</v>
      </c>
      <c r="R263" s="30">
        <v>70262</v>
      </c>
      <c r="S263" s="27" t="s">
        <v>41</v>
      </c>
      <c r="T263" s="29">
        <v>97054.775420000005</v>
      </c>
      <c r="U263" s="27" t="s">
        <v>42</v>
      </c>
      <c r="V263" s="28">
        <v>45444</v>
      </c>
      <c r="W263" s="27" t="s">
        <v>38</v>
      </c>
      <c r="X263" s="28">
        <v>45376</v>
      </c>
      <c r="Y263" s="27" t="s">
        <v>33</v>
      </c>
      <c r="Z263" s="43" t="e">
        <f>TEXT([1]!Table64[[#This Row],[Order date]],"mmm-yyyy")</f>
        <v>#REF!</v>
      </c>
    </row>
    <row r="264" spans="1:26" x14ac:dyDescent="0.3">
      <c r="A264" s="10">
        <v>10263</v>
      </c>
      <c r="B264" s="11">
        <v>5664</v>
      </c>
      <c r="C264" s="11" t="s">
        <v>34</v>
      </c>
      <c r="D264" s="12">
        <v>58634.86</v>
      </c>
      <c r="E264" s="11">
        <v>30</v>
      </c>
      <c r="F264" s="11" t="s">
        <v>26</v>
      </c>
      <c r="G264" s="13">
        <v>45306</v>
      </c>
      <c r="H264" s="12">
        <v>147209.69</v>
      </c>
      <c r="I264" s="14" t="s">
        <v>44</v>
      </c>
      <c r="J264" s="15" t="s">
        <v>49</v>
      </c>
      <c r="K264" s="15">
        <v>873</v>
      </c>
      <c r="L264" s="16">
        <v>45332</v>
      </c>
      <c r="M264" s="17">
        <v>8</v>
      </c>
      <c r="N264" s="18">
        <v>90263</v>
      </c>
      <c r="O264" s="18" t="s">
        <v>40</v>
      </c>
      <c r="P264" s="19">
        <v>45430</v>
      </c>
      <c r="Q264" s="20">
        <v>0.42164000000000001</v>
      </c>
      <c r="R264" s="21">
        <v>70263</v>
      </c>
      <c r="S264" s="18" t="s">
        <v>30</v>
      </c>
      <c r="T264" s="20">
        <v>68445.076629999996</v>
      </c>
      <c r="U264" s="18" t="s">
        <v>42</v>
      </c>
      <c r="V264" s="19">
        <v>45392</v>
      </c>
      <c r="W264" s="18" t="s">
        <v>38</v>
      </c>
      <c r="X264" s="19">
        <v>45384</v>
      </c>
      <c r="Y264" s="18" t="s">
        <v>33</v>
      </c>
      <c r="Z264" s="43" t="e">
        <f>TEXT([1]!Table64[[#This Row],[Order date]],"mmm-yyyy")</f>
        <v>#REF!</v>
      </c>
    </row>
    <row r="265" spans="1:26" x14ac:dyDescent="0.3">
      <c r="A265" s="22">
        <v>10264</v>
      </c>
      <c r="B265" s="23">
        <v>6999</v>
      </c>
      <c r="C265" s="23" t="s">
        <v>34</v>
      </c>
      <c r="D265" s="24">
        <v>42947.78</v>
      </c>
      <c r="E265" s="23">
        <v>13</v>
      </c>
      <c r="F265" s="23" t="s">
        <v>26</v>
      </c>
      <c r="G265" s="25">
        <v>45361</v>
      </c>
      <c r="H265" s="24">
        <v>48270.44</v>
      </c>
      <c r="I265" s="26" t="s">
        <v>44</v>
      </c>
      <c r="J265" s="15" t="s">
        <v>49</v>
      </c>
      <c r="K265" s="15">
        <v>1433</v>
      </c>
      <c r="L265" s="16">
        <v>45332</v>
      </c>
      <c r="M265" s="17">
        <v>12</v>
      </c>
      <c r="N265" s="27">
        <v>90264</v>
      </c>
      <c r="O265" s="27" t="s">
        <v>29</v>
      </c>
      <c r="P265" s="28">
        <v>45430</v>
      </c>
      <c r="Q265" s="29">
        <v>0.96938999999999997</v>
      </c>
      <c r="R265" s="30">
        <v>70264</v>
      </c>
      <c r="S265" s="27" t="s">
        <v>41</v>
      </c>
      <c r="T265" s="29">
        <v>97971.010699999999</v>
      </c>
      <c r="U265" s="27" t="s">
        <v>48</v>
      </c>
      <c r="V265" s="28">
        <v>45444</v>
      </c>
      <c r="W265" s="27" t="s">
        <v>38</v>
      </c>
      <c r="X265" s="28">
        <v>45376</v>
      </c>
      <c r="Y265" s="27" t="s">
        <v>33</v>
      </c>
      <c r="Z265" s="43" t="e">
        <f>TEXT([1]!Table64[[#This Row],[Order date]],"mmm-yyyy")</f>
        <v>#REF!</v>
      </c>
    </row>
    <row r="266" spans="1:26" x14ac:dyDescent="0.3">
      <c r="A266" s="10">
        <v>10265</v>
      </c>
      <c r="B266" s="11">
        <v>6851</v>
      </c>
      <c r="C266" s="11" t="s">
        <v>34</v>
      </c>
      <c r="D266" s="12">
        <v>68952.460000000006</v>
      </c>
      <c r="E266" s="11">
        <v>34</v>
      </c>
      <c r="F266" s="11" t="s">
        <v>26</v>
      </c>
      <c r="G266" s="13">
        <v>45361</v>
      </c>
      <c r="H266" s="12">
        <v>43861.03</v>
      </c>
      <c r="I266" s="14" t="s">
        <v>27</v>
      </c>
      <c r="J266" s="15" t="s">
        <v>36</v>
      </c>
      <c r="K266" s="15">
        <v>434</v>
      </c>
      <c r="L266" s="16">
        <v>45332</v>
      </c>
      <c r="M266" s="17">
        <v>5</v>
      </c>
      <c r="N266" s="18">
        <v>90265</v>
      </c>
      <c r="O266" s="18" t="s">
        <v>37</v>
      </c>
      <c r="P266" s="19">
        <v>45352</v>
      </c>
      <c r="Q266" s="20">
        <v>0.96718999999999999</v>
      </c>
      <c r="R266" s="21">
        <v>70265</v>
      </c>
      <c r="S266" s="18" t="s">
        <v>45</v>
      </c>
      <c r="T266" s="20">
        <v>73548.487089999995</v>
      </c>
      <c r="U266" s="18" t="s">
        <v>42</v>
      </c>
      <c r="V266" s="19">
        <v>45392</v>
      </c>
      <c r="W266" s="18" t="s">
        <v>32</v>
      </c>
      <c r="X266" s="19">
        <v>45376</v>
      </c>
      <c r="Y266" s="18" t="s">
        <v>33</v>
      </c>
      <c r="Z266" s="43" t="e">
        <f>TEXT([1]!Table64[[#This Row],[Order date]],"mmm-yyyy")</f>
        <v>#REF!</v>
      </c>
    </row>
    <row r="267" spans="1:26" x14ac:dyDescent="0.3">
      <c r="A267" s="22">
        <v>10266</v>
      </c>
      <c r="B267" s="23">
        <v>6398</v>
      </c>
      <c r="C267" s="23" t="s">
        <v>34</v>
      </c>
      <c r="D267" s="24">
        <v>30995.22</v>
      </c>
      <c r="E267" s="23">
        <v>4</v>
      </c>
      <c r="F267" s="23" t="s">
        <v>26</v>
      </c>
      <c r="G267" s="25">
        <v>45337</v>
      </c>
      <c r="H267" s="24">
        <v>34081.58</v>
      </c>
      <c r="I267" s="26" t="s">
        <v>44</v>
      </c>
      <c r="J267" s="15" t="s">
        <v>49</v>
      </c>
      <c r="K267" s="15">
        <v>105</v>
      </c>
      <c r="L267" s="16">
        <v>45397</v>
      </c>
      <c r="M267" s="17">
        <v>4</v>
      </c>
      <c r="N267" s="27">
        <v>90266</v>
      </c>
      <c r="O267" s="27" t="s">
        <v>37</v>
      </c>
      <c r="P267" s="28">
        <v>45352</v>
      </c>
      <c r="Q267" s="29">
        <v>0.49934000000000001</v>
      </c>
      <c r="R267" s="30">
        <v>70266</v>
      </c>
      <c r="S267" s="27" t="s">
        <v>41</v>
      </c>
      <c r="T267" s="29">
        <v>102079.51420000001</v>
      </c>
      <c r="U267" s="27" t="s">
        <v>31</v>
      </c>
      <c r="V267" s="28">
        <v>45392</v>
      </c>
      <c r="W267" s="27" t="s">
        <v>32</v>
      </c>
      <c r="X267" s="28">
        <v>45376</v>
      </c>
      <c r="Y267" s="27" t="s">
        <v>33</v>
      </c>
      <c r="Z267" s="43" t="e">
        <f>TEXT([1]!Table64[[#This Row],[Order date]],"mmm-yyyy")</f>
        <v>#REF!</v>
      </c>
    </row>
    <row r="268" spans="1:26" x14ac:dyDescent="0.3">
      <c r="A268" s="10">
        <v>10267</v>
      </c>
      <c r="B268" s="11">
        <v>6696</v>
      </c>
      <c r="C268" s="11" t="s">
        <v>25</v>
      </c>
      <c r="D268" s="12">
        <v>35765.269999999997</v>
      </c>
      <c r="E268" s="11">
        <v>28</v>
      </c>
      <c r="F268" s="11" t="s">
        <v>46</v>
      </c>
      <c r="G268" s="13">
        <v>45306</v>
      </c>
      <c r="H268" s="12">
        <v>142199.79</v>
      </c>
      <c r="I268" s="14" t="s">
        <v>47</v>
      </c>
      <c r="J268" s="15" t="s">
        <v>36</v>
      </c>
      <c r="K268" s="15">
        <v>167</v>
      </c>
      <c r="L268" s="16">
        <v>45332</v>
      </c>
      <c r="M268" s="17">
        <v>8</v>
      </c>
      <c r="N268" s="18">
        <v>90267</v>
      </c>
      <c r="O268" s="18" t="s">
        <v>40</v>
      </c>
      <c r="P268" s="19">
        <v>45430</v>
      </c>
      <c r="Q268" s="20">
        <v>0.81557999999999997</v>
      </c>
      <c r="R268" s="21">
        <v>70267</v>
      </c>
      <c r="S268" s="18" t="s">
        <v>45</v>
      </c>
      <c r="T268" s="20">
        <v>154307.24650000001</v>
      </c>
      <c r="U268" s="18" t="s">
        <v>42</v>
      </c>
      <c r="V268" s="19">
        <v>45392</v>
      </c>
      <c r="W268" s="18" t="s">
        <v>38</v>
      </c>
      <c r="X268" s="19">
        <v>45384</v>
      </c>
      <c r="Y268" s="18" t="s">
        <v>33</v>
      </c>
      <c r="Z268" s="43" t="e">
        <f>TEXT([1]!Table64[[#This Row],[Order date]],"mmm-yyyy")</f>
        <v>#REF!</v>
      </c>
    </row>
    <row r="269" spans="1:26" x14ac:dyDescent="0.3">
      <c r="A269" s="22">
        <v>10268</v>
      </c>
      <c r="B269" s="23">
        <v>6632</v>
      </c>
      <c r="C269" s="23" t="s">
        <v>34</v>
      </c>
      <c r="D269" s="24">
        <v>21427.79</v>
      </c>
      <c r="E269" s="23">
        <v>95</v>
      </c>
      <c r="F269" s="23" t="s">
        <v>46</v>
      </c>
      <c r="G269" s="25">
        <v>45383</v>
      </c>
      <c r="H269" s="24">
        <v>99414.56</v>
      </c>
      <c r="I269" s="26" t="s">
        <v>44</v>
      </c>
      <c r="J269" s="15" t="s">
        <v>49</v>
      </c>
      <c r="K269" s="15">
        <v>949</v>
      </c>
      <c r="L269" s="16">
        <v>45397</v>
      </c>
      <c r="M269" s="17">
        <v>7</v>
      </c>
      <c r="N269" s="27">
        <v>90268</v>
      </c>
      <c r="O269" s="27" t="s">
        <v>50</v>
      </c>
      <c r="P269" s="28">
        <v>45383</v>
      </c>
      <c r="Q269" s="29">
        <v>0.11194</v>
      </c>
      <c r="R269" s="30">
        <v>70268</v>
      </c>
      <c r="S269" s="27" t="s">
        <v>41</v>
      </c>
      <c r="T269" s="29">
        <v>170184.63959999999</v>
      </c>
      <c r="U269" s="27" t="s">
        <v>42</v>
      </c>
      <c r="V269" s="28">
        <v>45444</v>
      </c>
      <c r="W269" s="27" t="s">
        <v>38</v>
      </c>
      <c r="X269" s="28">
        <v>45376</v>
      </c>
      <c r="Y269" s="27" t="s">
        <v>33</v>
      </c>
      <c r="Z269" s="43" t="e">
        <f>TEXT([1]!Table64[[#This Row],[Order date]],"mmm-yyyy")</f>
        <v>#REF!</v>
      </c>
    </row>
    <row r="270" spans="1:26" x14ac:dyDescent="0.3">
      <c r="A270" s="10">
        <v>10269</v>
      </c>
      <c r="B270" s="11">
        <v>6496</v>
      </c>
      <c r="C270" s="11" t="s">
        <v>34</v>
      </c>
      <c r="D270" s="12">
        <v>67599.37</v>
      </c>
      <c r="E270" s="11">
        <v>59</v>
      </c>
      <c r="F270" s="11" t="s">
        <v>46</v>
      </c>
      <c r="G270" s="13">
        <v>45361</v>
      </c>
      <c r="H270" s="12">
        <v>167471.26999999999</v>
      </c>
      <c r="I270" s="14" t="s">
        <v>47</v>
      </c>
      <c r="J270" s="15" t="s">
        <v>28</v>
      </c>
      <c r="K270" s="15">
        <v>1326</v>
      </c>
      <c r="L270" s="16">
        <v>45361</v>
      </c>
      <c r="M270" s="17">
        <v>14</v>
      </c>
      <c r="N270" s="18">
        <v>90269</v>
      </c>
      <c r="O270" s="18" t="s">
        <v>29</v>
      </c>
      <c r="P270" s="19">
        <v>45430</v>
      </c>
      <c r="Q270" s="20">
        <v>0.59302999999999995</v>
      </c>
      <c r="R270" s="21">
        <v>70269</v>
      </c>
      <c r="S270" s="18" t="s">
        <v>30</v>
      </c>
      <c r="T270" s="20">
        <v>92257.693299999999</v>
      </c>
      <c r="U270" s="18" t="s">
        <v>42</v>
      </c>
      <c r="V270" s="19">
        <v>45392</v>
      </c>
      <c r="W270" s="18" t="s">
        <v>32</v>
      </c>
      <c r="X270" s="19">
        <v>45376</v>
      </c>
      <c r="Y270" s="18" t="s">
        <v>33</v>
      </c>
      <c r="Z270" s="43" t="e">
        <f>TEXT([1]!Table64[[#This Row],[Order date]],"mmm-yyyy")</f>
        <v>#REF!</v>
      </c>
    </row>
    <row r="271" spans="1:26" x14ac:dyDescent="0.3">
      <c r="A271" s="22">
        <v>10270</v>
      </c>
      <c r="B271" s="23">
        <v>6257</v>
      </c>
      <c r="C271" s="23" t="s">
        <v>34</v>
      </c>
      <c r="D271" s="24">
        <v>10098.719999999999</v>
      </c>
      <c r="E271" s="23">
        <v>27</v>
      </c>
      <c r="F271" s="23" t="s">
        <v>46</v>
      </c>
      <c r="G271" s="25">
        <v>45337</v>
      </c>
      <c r="H271" s="24">
        <v>75407.850000000006</v>
      </c>
      <c r="I271" s="26" t="s">
        <v>44</v>
      </c>
      <c r="J271" s="15" t="s">
        <v>28</v>
      </c>
      <c r="K271" s="15">
        <v>847</v>
      </c>
      <c r="L271" s="16">
        <v>45361</v>
      </c>
      <c r="M271" s="17">
        <v>14</v>
      </c>
      <c r="N271" s="27">
        <v>90270</v>
      </c>
      <c r="O271" s="27" t="s">
        <v>29</v>
      </c>
      <c r="P271" s="28">
        <v>45383</v>
      </c>
      <c r="Q271" s="29">
        <v>0.76897000000000004</v>
      </c>
      <c r="R271" s="30">
        <v>70270</v>
      </c>
      <c r="S271" s="27" t="s">
        <v>30</v>
      </c>
      <c r="T271" s="29">
        <v>144443.15220000001</v>
      </c>
      <c r="U271" s="27" t="s">
        <v>42</v>
      </c>
      <c r="V271" s="28">
        <v>45444</v>
      </c>
      <c r="W271" s="27" t="s">
        <v>32</v>
      </c>
      <c r="X271" s="28">
        <v>45384</v>
      </c>
      <c r="Y271" s="27" t="s">
        <v>33</v>
      </c>
      <c r="Z271" s="43" t="e">
        <f>TEXT([1]!Table64[[#This Row],[Order date]],"mmm-yyyy")</f>
        <v>#REF!</v>
      </c>
    </row>
    <row r="272" spans="1:26" x14ac:dyDescent="0.3">
      <c r="A272" s="10">
        <v>10271</v>
      </c>
      <c r="B272" s="11">
        <v>6716</v>
      </c>
      <c r="C272" s="11" t="s">
        <v>34</v>
      </c>
      <c r="D272" s="12">
        <v>18587.52</v>
      </c>
      <c r="E272" s="11">
        <v>69</v>
      </c>
      <c r="F272" s="11" t="s">
        <v>35</v>
      </c>
      <c r="G272" s="13">
        <v>45361</v>
      </c>
      <c r="H272" s="12">
        <v>143985.35</v>
      </c>
      <c r="I272" s="14" t="s">
        <v>44</v>
      </c>
      <c r="J272" s="15" t="s">
        <v>49</v>
      </c>
      <c r="K272" s="15">
        <v>829</v>
      </c>
      <c r="L272" s="16">
        <v>45397</v>
      </c>
      <c r="M272" s="17">
        <v>6</v>
      </c>
      <c r="N272" s="18">
        <v>90271</v>
      </c>
      <c r="O272" s="18" t="s">
        <v>37</v>
      </c>
      <c r="P272" s="19">
        <v>45352</v>
      </c>
      <c r="Q272" s="20">
        <v>0.29525000000000001</v>
      </c>
      <c r="R272" s="21">
        <v>70271</v>
      </c>
      <c r="S272" s="18" t="s">
        <v>41</v>
      </c>
      <c r="T272" s="20">
        <v>76382.471300000005</v>
      </c>
      <c r="U272" s="18" t="s">
        <v>31</v>
      </c>
      <c r="V272" s="19">
        <v>45444</v>
      </c>
      <c r="W272" s="18" t="s">
        <v>32</v>
      </c>
      <c r="X272" s="19">
        <v>45376</v>
      </c>
      <c r="Y272" s="18" t="s">
        <v>39</v>
      </c>
      <c r="Z272" s="43" t="e">
        <f>TEXT([1]!Table64[[#This Row],[Order date]],"mmm-yyyy")</f>
        <v>#REF!</v>
      </c>
    </row>
    <row r="273" spans="1:26" x14ac:dyDescent="0.3">
      <c r="A273" s="22">
        <v>10272</v>
      </c>
      <c r="B273" s="23">
        <v>6137</v>
      </c>
      <c r="C273" s="23" t="s">
        <v>34</v>
      </c>
      <c r="D273" s="24">
        <v>77508.710000000006</v>
      </c>
      <c r="E273" s="23">
        <v>25</v>
      </c>
      <c r="F273" s="23" t="s">
        <v>46</v>
      </c>
      <c r="G273" s="25">
        <v>45361</v>
      </c>
      <c r="H273" s="24">
        <v>18308.73</v>
      </c>
      <c r="I273" s="26" t="s">
        <v>27</v>
      </c>
      <c r="J273" s="15" t="s">
        <v>36</v>
      </c>
      <c r="K273" s="15">
        <v>1065</v>
      </c>
      <c r="L273" s="16">
        <v>45361</v>
      </c>
      <c r="M273" s="17">
        <v>5</v>
      </c>
      <c r="N273" s="27">
        <v>90272</v>
      </c>
      <c r="O273" s="27" t="s">
        <v>50</v>
      </c>
      <c r="P273" s="28">
        <v>45383</v>
      </c>
      <c r="Q273" s="29">
        <v>0.15504999999999999</v>
      </c>
      <c r="R273" s="30">
        <v>70272</v>
      </c>
      <c r="S273" s="27" t="s">
        <v>45</v>
      </c>
      <c r="T273" s="29">
        <v>99620.077829999995</v>
      </c>
      <c r="U273" s="27" t="s">
        <v>48</v>
      </c>
      <c r="V273" s="28">
        <v>45422</v>
      </c>
      <c r="W273" s="27" t="s">
        <v>38</v>
      </c>
      <c r="X273" s="28">
        <v>45376</v>
      </c>
      <c r="Y273" s="27" t="s">
        <v>33</v>
      </c>
      <c r="Z273" s="43" t="e">
        <f>TEXT([1]!Table64[[#This Row],[Order date]],"mmm-yyyy")</f>
        <v>#REF!</v>
      </c>
    </row>
    <row r="274" spans="1:26" x14ac:dyDescent="0.3">
      <c r="A274" s="10">
        <v>10273</v>
      </c>
      <c r="B274" s="11">
        <v>6854</v>
      </c>
      <c r="C274" s="11" t="s">
        <v>25</v>
      </c>
      <c r="D274" s="12">
        <v>62834.239999999998</v>
      </c>
      <c r="E274" s="11">
        <v>3</v>
      </c>
      <c r="F274" s="11" t="s">
        <v>26</v>
      </c>
      <c r="G274" s="13">
        <v>45383</v>
      </c>
      <c r="H274" s="12">
        <v>115166.52</v>
      </c>
      <c r="I274" s="14" t="s">
        <v>47</v>
      </c>
      <c r="J274" s="15" t="s">
        <v>28</v>
      </c>
      <c r="K274" s="15">
        <v>852</v>
      </c>
      <c r="L274" s="16">
        <v>45361</v>
      </c>
      <c r="M274" s="17">
        <v>14</v>
      </c>
      <c r="N274" s="18">
        <v>90273</v>
      </c>
      <c r="O274" s="18" t="s">
        <v>29</v>
      </c>
      <c r="P274" s="19">
        <v>45430</v>
      </c>
      <c r="Q274" s="20">
        <v>0.24032999999999999</v>
      </c>
      <c r="R274" s="21">
        <v>70273</v>
      </c>
      <c r="S274" s="18" t="s">
        <v>30</v>
      </c>
      <c r="T274" s="20">
        <v>123268.66147000001</v>
      </c>
      <c r="U274" s="18" t="s">
        <v>42</v>
      </c>
      <c r="V274" s="19">
        <v>45444</v>
      </c>
      <c r="W274" s="18" t="s">
        <v>38</v>
      </c>
      <c r="X274" s="19">
        <v>45384</v>
      </c>
      <c r="Y274" s="18" t="s">
        <v>33</v>
      </c>
      <c r="Z274" s="43" t="e">
        <f>TEXT([1]!Table64[[#This Row],[Order date]],"mmm-yyyy")</f>
        <v>#REF!</v>
      </c>
    </row>
    <row r="275" spans="1:26" x14ac:dyDescent="0.3">
      <c r="A275" s="22">
        <v>10274</v>
      </c>
      <c r="B275" s="23">
        <v>6521</v>
      </c>
      <c r="C275" s="23" t="s">
        <v>34</v>
      </c>
      <c r="D275" s="24">
        <v>81163.77</v>
      </c>
      <c r="E275" s="23">
        <v>97</v>
      </c>
      <c r="F275" s="23" t="s">
        <v>43</v>
      </c>
      <c r="G275" s="25">
        <v>45306</v>
      </c>
      <c r="H275" s="24">
        <v>170786.42</v>
      </c>
      <c r="I275" s="26" t="s">
        <v>44</v>
      </c>
      <c r="J275" s="15" t="s">
        <v>36</v>
      </c>
      <c r="K275" s="15">
        <v>894</v>
      </c>
      <c r="L275" s="16">
        <v>45332</v>
      </c>
      <c r="M275" s="17">
        <v>5</v>
      </c>
      <c r="N275" s="27">
        <v>90274</v>
      </c>
      <c r="O275" s="27" t="s">
        <v>40</v>
      </c>
      <c r="P275" s="28">
        <v>45430</v>
      </c>
      <c r="Q275" s="29">
        <v>0.49765999999999999</v>
      </c>
      <c r="R275" s="30">
        <v>70274</v>
      </c>
      <c r="S275" s="27" t="s">
        <v>41</v>
      </c>
      <c r="T275" s="29">
        <v>172634.55001000001</v>
      </c>
      <c r="U275" s="27" t="s">
        <v>42</v>
      </c>
      <c r="V275" s="28">
        <v>45444</v>
      </c>
      <c r="W275" s="27" t="s">
        <v>38</v>
      </c>
      <c r="X275" s="28">
        <v>45376</v>
      </c>
      <c r="Y275" s="27" t="s">
        <v>39</v>
      </c>
      <c r="Z275" s="43" t="e">
        <f>TEXT([1]!Table64[[#This Row],[Order date]],"mmm-yyyy")</f>
        <v>#REF!</v>
      </c>
    </row>
    <row r="276" spans="1:26" x14ac:dyDescent="0.3">
      <c r="A276" s="10">
        <v>10275</v>
      </c>
      <c r="B276" s="11">
        <v>5442</v>
      </c>
      <c r="C276" s="11" t="s">
        <v>34</v>
      </c>
      <c r="D276" s="12">
        <v>38266.89</v>
      </c>
      <c r="E276" s="11">
        <v>68</v>
      </c>
      <c r="F276" s="11" t="s">
        <v>46</v>
      </c>
      <c r="G276" s="13">
        <v>45383</v>
      </c>
      <c r="H276" s="12">
        <v>175710</v>
      </c>
      <c r="I276" s="14" t="s">
        <v>47</v>
      </c>
      <c r="J276" s="15" t="s">
        <v>49</v>
      </c>
      <c r="K276" s="15">
        <v>1253</v>
      </c>
      <c r="L276" s="16">
        <v>45332</v>
      </c>
      <c r="M276" s="17">
        <v>13</v>
      </c>
      <c r="N276" s="18">
        <v>90275</v>
      </c>
      <c r="O276" s="18" t="s">
        <v>50</v>
      </c>
      <c r="P276" s="19">
        <v>45430</v>
      </c>
      <c r="Q276" s="20">
        <v>0.55572999999999995</v>
      </c>
      <c r="R276" s="21">
        <v>70275</v>
      </c>
      <c r="S276" s="18" t="s">
        <v>45</v>
      </c>
      <c r="T276" s="20">
        <v>104722.80349000001</v>
      </c>
      <c r="U276" s="18" t="s">
        <v>31</v>
      </c>
      <c r="V276" s="19">
        <v>45392</v>
      </c>
      <c r="W276" s="18" t="s">
        <v>38</v>
      </c>
      <c r="X276" s="19">
        <v>45376</v>
      </c>
      <c r="Y276" s="18" t="s">
        <v>39</v>
      </c>
      <c r="Z276" s="43" t="e">
        <f>TEXT([1]!Table64[[#This Row],[Order date]],"mmm-yyyy")</f>
        <v>#REF!</v>
      </c>
    </row>
    <row r="277" spans="1:26" x14ac:dyDescent="0.3">
      <c r="A277" s="22">
        <v>10276</v>
      </c>
      <c r="B277" s="23">
        <v>5564</v>
      </c>
      <c r="C277" s="23" t="s">
        <v>34</v>
      </c>
      <c r="D277" s="24">
        <v>17083.23</v>
      </c>
      <c r="E277" s="23">
        <v>25</v>
      </c>
      <c r="F277" s="23" t="s">
        <v>35</v>
      </c>
      <c r="G277" s="25">
        <v>45306</v>
      </c>
      <c r="H277" s="24">
        <v>102401.25</v>
      </c>
      <c r="I277" s="26" t="s">
        <v>44</v>
      </c>
      <c r="J277" s="15" t="s">
        <v>49</v>
      </c>
      <c r="K277" s="15">
        <v>1488</v>
      </c>
      <c r="L277" s="16">
        <v>45332</v>
      </c>
      <c r="M277" s="17">
        <v>10</v>
      </c>
      <c r="N277" s="27">
        <v>90276</v>
      </c>
      <c r="O277" s="27" t="s">
        <v>50</v>
      </c>
      <c r="P277" s="28">
        <v>45430</v>
      </c>
      <c r="Q277" s="29">
        <v>0.44280000000000003</v>
      </c>
      <c r="R277" s="30">
        <v>70276</v>
      </c>
      <c r="S277" s="27" t="s">
        <v>30</v>
      </c>
      <c r="T277" s="29">
        <v>210747.21100000001</v>
      </c>
      <c r="U277" s="27" t="s">
        <v>31</v>
      </c>
      <c r="V277" s="28">
        <v>45444</v>
      </c>
      <c r="W277" s="27" t="s">
        <v>32</v>
      </c>
      <c r="X277" s="28">
        <v>45376</v>
      </c>
      <c r="Y277" s="27" t="s">
        <v>39</v>
      </c>
      <c r="Z277" s="43" t="e">
        <f>TEXT([1]!Table64[[#This Row],[Order date]],"mmm-yyyy")</f>
        <v>#REF!</v>
      </c>
    </row>
    <row r="278" spans="1:26" x14ac:dyDescent="0.3">
      <c r="A278" s="10">
        <v>10277</v>
      </c>
      <c r="B278" s="11">
        <v>6292</v>
      </c>
      <c r="C278" s="11" t="s">
        <v>34</v>
      </c>
      <c r="D278" s="12">
        <v>71629.710000000006</v>
      </c>
      <c r="E278" s="11">
        <v>20</v>
      </c>
      <c r="F278" s="11" t="s">
        <v>26</v>
      </c>
      <c r="G278" s="13">
        <v>45361</v>
      </c>
      <c r="H278" s="12">
        <v>121259.44</v>
      </c>
      <c r="I278" s="14" t="s">
        <v>44</v>
      </c>
      <c r="J278" s="15" t="s">
        <v>28</v>
      </c>
      <c r="K278" s="15">
        <v>1308</v>
      </c>
      <c r="L278" s="16">
        <v>45397</v>
      </c>
      <c r="M278" s="17">
        <v>2</v>
      </c>
      <c r="N278" s="18">
        <v>90277</v>
      </c>
      <c r="O278" s="18" t="s">
        <v>37</v>
      </c>
      <c r="P278" s="19">
        <v>45430</v>
      </c>
      <c r="Q278" s="20">
        <v>0.49597999999999998</v>
      </c>
      <c r="R278" s="21">
        <v>70277</v>
      </c>
      <c r="S278" s="18" t="s">
        <v>41</v>
      </c>
      <c r="T278" s="20">
        <v>102964.61659999999</v>
      </c>
      <c r="U278" s="18" t="s">
        <v>31</v>
      </c>
      <c r="V278" s="19">
        <v>45444</v>
      </c>
      <c r="W278" s="18" t="s">
        <v>38</v>
      </c>
      <c r="X278" s="19">
        <v>45376</v>
      </c>
      <c r="Y278" s="18" t="s">
        <v>33</v>
      </c>
      <c r="Z278" s="43" t="e">
        <f>TEXT([1]!Table64[[#This Row],[Order date]],"mmm-yyyy")</f>
        <v>#REF!</v>
      </c>
    </row>
    <row r="279" spans="1:26" x14ac:dyDescent="0.3">
      <c r="A279" s="22">
        <v>10278</v>
      </c>
      <c r="B279" s="23">
        <v>6534</v>
      </c>
      <c r="C279" s="23" t="s">
        <v>34</v>
      </c>
      <c r="D279" s="24">
        <v>26794.69</v>
      </c>
      <c r="E279" s="23">
        <v>34</v>
      </c>
      <c r="F279" s="23" t="s">
        <v>43</v>
      </c>
      <c r="G279" s="25">
        <v>45337</v>
      </c>
      <c r="H279" s="24">
        <v>27334.07</v>
      </c>
      <c r="I279" s="26" t="s">
        <v>44</v>
      </c>
      <c r="J279" s="15" t="s">
        <v>49</v>
      </c>
      <c r="K279" s="15">
        <v>904</v>
      </c>
      <c r="L279" s="16">
        <v>45397</v>
      </c>
      <c r="M279" s="17">
        <v>13</v>
      </c>
      <c r="N279" s="27">
        <v>90278</v>
      </c>
      <c r="O279" s="27" t="s">
        <v>37</v>
      </c>
      <c r="P279" s="28">
        <v>45383</v>
      </c>
      <c r="Q279" s="29">
        <v>0.52320999999999995</v>
      </c>
      <c r="R279" s="30">
        <v>70278</v>
      </c>
      <c r="S279" s="27" t="s">
        <v>45</v>
      </c>
      <c r="T279" s="29">
        <v>106724.8928</v>
      </c>
      <c r="U279" s="27" t="s">
        <v>42</v>
      </c>
      <c r="V279" s="28">
        <v>45422</v>
      </c>
      <c r="W279" s="27" t="s">
        <v>38</v>
      </c>
      <c r="X279" s="28">
        <v>45384</v>
      </c>
      <c r="Y279" s="27" t="s">
        <v>39</v>
      </c>
      <c r="Z279" s="43" t="e">
        <f>TEXT([1]!Table64[[#This Row],[Order date]],"mmm-yyyy")</f>
        <v>#REF!</v>
      </c>
    </row>
    <row r="280" spans="1:26" x14ac:dyDescent="0.3">
      <c r="A280" s="10">
        <v>10279</v>
      </c>
      <c r="B280" s="11">
        <v>6831</v>
      </c>
      <c r="C280" s="11" t="s">
        <v>25</v>
      </c>
      <c r="D280" s="12">
        <v>39504.1</v>
      </c>
      <c r="E280" s="11">
        <v>26</v>
      </c>
      <c r="F280" s="11" t="s">
        <v>43</v>
      </c>
      <c r="G280" s="13">
        <v>45383</v>
      </c>
      <c r="H280" s="12">
        <v>46035.21</v>
      </c>
      <c r="I280" s="14" t="s">
        <v>27</v>
      </c>
      <c r="J280" s="15" t="s">
        <v>28</v>
      </c>
      <c r="K280" s="15">
        <v>757</v>
      </c>
      <c r="L280" s="16">
        <v>45361</v>
      </c>
      <c r="M280" s="17">
        <v>4</v>
      </c>
      <c r="N280" s="18">
        <v>90279</v>
      </c>
      <c r="O280" s="18" t="s">
        <v>29</v>
      </c>
      <c r="P280" s="19">
        <v>45430</v>
      </c>
      <c r="Q280" s="20">
        <v>0.79249000000000003</v>
      </c>
      <c r="R280" s="21">
        <v>70279</v>
      </c>
      <c r="S280" s="18" t="s">
        <v>30</v>
      </c>
      <c r="T280" s="20">
        <v>114907.8808</v>
      </c>
      <c r="U280" s="18" t="s">
        <v>48</v>
      </c>
      <c r="V280" s="19">
        <v>45422</v>
      </c>
      <c r="W280" s="18" t="s">
        <v>38</v>
      </c>
      <c r="X280" s="19">
        <v>45376</v>
      </c>
      <c r="Y280" s="18" t="s">
        <v>33</v>
      </c>
      <c r="Z280" s="43" t="e">
        <f>TEXT([1]!Table64[[#This Row],[Order date]],"mmm-yyyy")</f>
        <v>#REF!</v>
      </c>
    </row>
    <row r="281" spans="1:26" x14ac:dyDescent="0.3">
      <c r="A281" s="22">
        <v>10280</v>
      </c>
      <c r="B281" s="23">
        <v>6410</v>
      </c>
      <c r="C281" s="23" t="s">
        <v>34</v>
      </c>
      <c r="D281" s="24">
        <v>41249.15</v>
      </c>
      <c r="E281" s="23">
        <v>5</v>
      </c>
      <c r="F281" s="23" t="s">
        <v>46</v>
      </c>
      <c r="G281" s="25">
        <v>45306</v>
      </c>
      <c r="H281" s="24">
        <v>142376.72</v>
      </c>
      <c r="I281" s="26" t="s">
        <v>44</v>
      </c>
      <c r="J281" s="15" t="s">
        <v>36</v>
      </c>
      <c r="K281" s="15">
        <v>1153</v>
      </c>
      <c r="L281" s="16">
        <v>45332</v>
      </c>
      <c r="M281" s="17">
        <v>8</v>
      </c>
      <c r="N281" s="27">
        <v>90280</v>
      </c>
      <c r="O281" s="27" t="s">
        <v>37</v>
      </c>
      <c r="P281" s="28">
        <v>45352</v>
      </c>
      <c r="Q281" s="29">
        <v>0.19472</v>
      </c>
      <c r="R281" s="30">
        <v>70280</v>
      </c>
      <c r="S281" s="27" t="s">
        <v>41</v>
      </c>
      <c r="T281" s="29">
        <v>80158.502800000002</v>
      </c>
      <c r="U281" s="27" t="s">
        <v>31</v>
      </c>
      <c r="V281" s="28">
        <v>45392</v>
      </c>
      <c r="W281" s="27" t="s">
        <v>38</v>
      </c>
      <c r="X281" s="28">
        <v>45376</v>
      </c>
      <c r="Y281" s="27" t="s">
        <v>39</v>
      </c>
      <c r="Z281" s="43" t="e">
        <f>TEXT([1]!Table64[[#This Row],[Order date]],"mmm-yyyy")</f>
        <v>#REF!</v>
      </c>
    </row>
    <row r="282" spans="1:26" x14ac:dyDescent="0.3">
      <c r="A282" s="10">
        <v>10281</v>
      </c>
      <c r="B282" s="11">
        <v>6411</v>
      </c>
      <c r="C282" s="11" t="s">
        <v>34</v>
      </c>
      <c r="D282" s="12">
        <v>62819.99</v>
      </c>
      <c r="E282" s="11">
        <v>99</v>
      </c>
      <c r="F282" s="11" t="s">
        <v>43</v>
      </c>
      <c r="G282" s="13">
        <v>45361</v>
      </c>
      <c r="H282" s="12">
        <v>171467.5</v>
      </c>
      <c r="I282" s="14" t="s">
        <v>27</v>
      </c>
      <c r="J282" s="15" t="s">
        <v>28</v>
      </c>
      <c r="K282" s="15">
        <v>71</v>
      </c>
      <c r="L282" s="16">
        <v>45397</v>
      </c>
      <c r="M282" s="17">
        <v>8</v>
      </c>
      <c r="N282" s="18">
        <v>90281</v>
      </c>
      <c r="O282" s="18" t="s">
        <v>50</v>
      </c>
      <c r="P282" s="19">
        <v>45430</v>
      </c>
      <c r="Q282" s="20">
        <v>0.79205999999999999</v>
      </c>
      <c r="R282" s="21">
        <v>70281</v>
      </c>
      <c r="S282" s="18" t="s">
        <v>45</v>
      </c>
      <c r="T282" s="20">
        <v>137001.8463</v>
      </c>
      <c r="U282" s="18" t="s">
        <v>31</v>
      </c>
      <c r="V282" s="19">
        <v>45392</v>
      </c>
      <c r="W282" s="18" t="s">
        <v>38</v>
      </c>
      <c r="X282" s="19">
        <v>45384</v>
      </c>
      <c r="Y282" s="18" t="s">
        <v>33</v>
      </c>
      <c r="Z282" s="43" t="e">
        <f>TEXT([1]!Table64[[#This Row],[Order date]],"mmm-yyyy")</f>
        <v>#REF!</v>
      </c>
    </row>
    <row r="283" spans="1:26" x14ac:dyDescent="0.3">
      <c r="A283" s="22">
        <v>10282</v>
      </c>
      <c r="B283" s="23">
        <v>6137</v>
      </c>
      <c r="C283" s="23" t="s">
        <v>34</v>
      </c>
      <c r="D283" s="24">
        <v>80285.02</v>
      </c>
      <c r="E283" s="23">
        <v>61</v>
      </c>
      <c r="F283" s="23" t="s">
        <v>46</v>
      </c>
      <c r="G283" s="25">
        <v>45306</v>
      </c>
      <c r="H283" s="24">
        <v>133343.32</v>
      </c>
      <c r="I283" s="26" t="s">
        <v>44</v>
      </c>
      <c r="J283" s="15" t="s">
        <v>28</v>
      </c>
      <c r="K283" s="15">
        <v>892</v>
      </c>
      <c r="L283" s="16">
        <v>45397</v>
      </c>
      <c r="M283" s="17">
        <v>11</v>
      </c>
      <c r="N283" s="27">
        <v>90282</v>
      </c>
      <c r="O283" s="27" t="s">
        <v>29</v>
      </c>
      <c r="P283" s="28">
        <v>45383</v>
      </c>
      <c r="Q283" s="29">
        <v>0.71975999999999996</v>
      </c>
      <c r="R283" s="30">
        <v>70282</v>
      </c>
      <c r="S283" s="27" t="s">
        <v>41</v>
      </c>
      <c r="T283" s="29">
        <v>143615.86707000001</v>
      </c>
      <c r="U283" s="27" t="s">
        <v>31</v>
      </c>
      <c r="V283" s="28">
        <v>45422</v>
      </c>
      <c r="W283" s="27" t="s">
        <v>32</v>
      </c>
      <c r="X283" s="28">
        <v>45376</v>
      </c>
      <c r="Y283" s="27" t="s">
        <v>39</v>
      </c>
      <c r="Z283" s="43" t="e">
        <f>TEXT([1]!Table64[[#This Row],[Order date]],"mmm-yyyy")</f>
        <v>#REF!</v>
      </c>
    </row>
    <row r="284" spans="1:26" x14ac:dyDescent="0.3">
      <c r="A284" s="10">
        <v>10283</v>
      </c>
      <c r="B284" s="11">
        <v>6637</v>
      </c>
      <c r="C284" s="11" t="s">
        <v>34</v>
      </c>
      <c r="D284" s="12">
        <v>52615.53</v>
      </c>
      <c r="E284" s="11">
        <v>92</v>
      </c>
      <c r="F284" s="11" t="s">
        <v>46</v>
      </c>
      <c r="G284" s="13">
        <v>45306</v>
      </c>
      <c r="H284" s="12">
        <v>87949.18</v>
      </c>
      <c r="I284" s="14" t="s">
        <v>47</v>
      </c>
      <c r="J284" s="15" t="s">
        <v>36</v>
      </c>
      <c r="K284" s="15">
        <v>1166</v>
      </c>
      <c r="L284" s="16">
        <v>45332</v>
      </c>
      <c r="M284" s="17">
        <v>1</v>
      </c>
      <c r="N284" s="18">
        <v>90283</v>
      </c>
      <c r="O284" s="18" t="s">
        <v>29</v>
      </c>
      <c r="P284" s="19">
        <v>45430</v>
      </c>
      <c r="Q284" s="20">
        <v>0.76749000000000001</v>
      </c>
      <c r="R284" s="21">
        <v>70283</v>
      </c>
      <c r="S284" s="18" t="s">
        <v>45</v>
      </c>
      <c r="T284" s="20">
        <v>179340.51569999999</v>
      </c>
      <c r="U284" s="18" t="s">
        <v>48</v>
      </c>
      <c r="V284" s="19">
        <v>45422</v>
      </c>
      <c r="W284" s="18" t="s">
        <v>32</v>
      </c>
      <c r="X284" s="19">
        <v>45376</v>
      </c>
      <c r="Y284" s="18" t="s">
        <v>39</v>
      </c>
      <c r="Z284" s="43" t="e">
        <f>TEXT([1]!Table64[[#This Row],[Order date]],"mmm-yyyy")</f>
        <v>#REF!</v>
      </c>
    </row>
    <row r="285" spans="1:26" x14ac:dyDescent="0.3">
      <c r="A285" s="22">
        <v>10284</v>
      </c>
      <c r="B285" s="23">
        <v>6649</v>
      </c>
      <c r="C285" s="23" t="s">
        <v>34</v>
      </c>
      <c r="D285" s="24">
        <v>76978.240000000005</v>
      </c>
      <c r="E285" s="23">
        <v>93</v>
      </c>
      <c r="F285" s="23" t="s">
        <v>26</v>
      </c>
      <c r="G285" s="25">
        <v>45306</v>
      </c>
      <c r="H285" s="24">
        <v>96814.66</v>
      </c>
      <c r="I285" s="26" t="s">
        <v>27</v>
      </c>
      <c r="J285" s="15" t="s">
        <v>28</v>
      </c>
      <c r="K285" s="15">
        <v>241</v>
      </c>
      <c r="L285" s="16">
        <v>45397</v>
      </c>
      <c r="M285" s="17">
        <v>2</v>
      </c>
      <c r="N285" s="27">
        <v>90284</v>
      </c>
      <c r="O285" s="27" t="s">
        <v>50</v>
      </c>
      <c r="P285" s="28">
        <v>45430</v>
      </c>
      <c r="Q285" s="29">
        <v>0.76102000000000003</v>
      </c>
      <c r="R285" s="30">
        <v>70284</v>
      </c>
      <c r="S285" s="27" t="s">
        <v>41</v>
      </c>
      <c r="T285" s="29">
        <v>189958.565</v>
      </c>
      <c r="U285" s="27" t="s">
        <v>42</v>
      </c>
      <c r="V285" s="28">
        <v>45444</v>
      </c>
      <c r="W285" s="27" t="s">
        <v>38</v>
      </c>
      <c r="X285" s="28">
        <v>45376</v>
      </c>
      <c r="Y285" s="27" t="s">
        <v>33</v>
      </c>
      <c r="Z285" s="43" t="e">
        <f>TEXT([1]!Table64[[#This Row],[Order date]],"mmm-yyyy")</f>
        <v>#REF!</v>
      </c>
    </row>
    <row r="286" spans="1:26" x14ac:dyDescent="0.3">
      <c r="A286" s="10">
        <v>10285</v>
      </c>
      <c r="B286" s="11">
        <v>5952</v>
      </c>
      <c r="C286" s="11" t="s">
        <v>34</v>
      </c>
      <c r="D286" s="12">
        <v>42477.18</v>
      </c>
      <c r="E286" s="11">
        <v>9</v>
      </c>
      <c r="F286" s="11" t="s">
        <v>26</v>
      </c>
      <c r="G286" s="13">
        <v>45361</v>
      </c>
      <c r="H286" s="12">
        <v>85095.18</v>
      </c>
      <c r="I286" s="14" t="s">
        <v>44</v>
      </c>
      <c r="J286" s="15" t="s">
        <v>28</v>
      </c>
      <c r="K286" s="15">
        <v>1068</v>
      </c>
      <c r="L286" s="16">
        <v>45332</v>
      </c>
      <c r="M286" s="17">
        <v>5</v>
      </c>
      <c r="N286" s="18">
        <v>90285</v>
      </c>
      <c r="O286" s="18" t="s">
        <v>29</v>
      </c>
      <c r="P286" s="19">
        <v>45383</v>
      </c>
      <c r="Q286" s="20">
        <v>0.52353000000000005</v>
      </c>
      <c r="R286" s="21">
        <v>70285</v>
      </c>
      <c r="S286" s="18" t="s">
        <v>45</v>
      </c>
      <c r="T286" s="20">
        <v>73214.905299999999</v>
      </c>
      <c r="U286" s="18" t="s">
        <v>42</v>
      </c>
      <c r="V286" s="19">
        <v>45392</v>
      </c>
      <c r="W286" s="18" t="s">
        <v>32</v>
      </c>
      <c r="X286" s="19">
        <v>45376</v>
      </c>
      <c r="Y286" s="18" t="s">
        <v>39</v>
      </c>
      <c r="Z286" s="43" t="e">
        <f>TEXT([1]!Table64[[#This Row],[Order date]],"mmm-yyyy")</f>
        <v>#REF!</v>
      </c>
    </row>
    <row r="287" spans="1:26" x14ac:dyDescent="0.3">
      <c r="A287" s="22">
        <v>10286</v>
      </c>
      <c r="B287" s="23">
        <v>6105</v>
      </c>
      <c r="C287" s="23" t="s">
        <v>25</v>
      </c>
      <c r="D287" s="24">
        <v>43034.74</v>
      </c>
      <c r="E287" s="23">
        <v>50</v>
      </c>
      <c r="F287" s="23" t="s">
        <v>35</v>
      </c>
      <c r="G287" s="25">
        <v>45337</v>
      </c>
      <c r="H287" s="24">
        <v>136694.32</v>
      </c>
      <c r="I287" s="26" t="s">
        <v>47</v>
      </c>
      <c r="J287" s="15" t="s">
        <v>49</v>
      </c>
      <c r="K287" s="15">
        <v>1176</v>
      </c>
      <c r="L287" s="16">
        <v>45361</v>
      </c>
      <c r="M287" s="17">
        <v>9</v>
      </c>
      <c r="N287" s="27">
        <v>90286</v>
      </c>
      <c r="O287" s="27" t="s">
        <v>40</v>
      </c>
      <c r="P287" s="28">
        <v>45430</v>
      </c>
      <c r="Q287" s="29">
        <v>0.29026000000000002</v>
      </c>
      <c r="R287" s="30">
        <v>70286</v>
      </c>
      <c r="S287" s="27" t="s">
        <v>41</v>
      </c>
      <c r="T287" s="29">
        <v>110743.4354</v>
      </c>
      <c r="U287" s="27" t="s">
        <v>42</v>
      </c>
      <c r="V287" s="28">
        <v>45392</v>
      </c>
      <c r="W287" s="27" t="s">
        <v>38</v>
      </c>
      <c r="X287" s="28">
        <v>45376</v>
      </c>
      <c r="Y287" s="27" t="s">
        <v>33</v>
      </c>
      <c r="Z287" s="43" t="e">
        <f>TEXT([1]!Table64[[#This Row],[Order date]],"mmm-yyyy")</f>
        <v>#REF!</v>
      </c>
    </row>
    <row r="288" spans="1:26" x14ac:dyDescent="0.3">
      <c r="A288" s="10">
        <v>10287</v>
      </c>
      <c r="B288" s="11">
        <v>5699</v>
      </c>
      <c r="C288" s="11" t="s">
        <v>34</v>
      </c>
      <c r="D288" s="12">
        <v>82102.240000000005</v>
      </c>
      <c r="E288" s="11">
        <v>6</v>
      </c>
      <c r="F288" s="11" t="s">
        <v>26</v>
      </c>
      <c r="G288" s="13">
        <v>45337</v>
      </c>
      <c r="H288" s="12">
        <v>108610.56</v>
      </c>
      <c r="I288" s="14" t="s">
        <v>44</v>
      </c>
      <c r="J288" s="15" t="s">
        <v>36</v>
      </c>
      <c r="K288" s="15">
        <v>445</v>
      </c>
      <c r="L288" s="16">
        <v>45361</v>
      </c>
      <c r="M288" s="17">
        <v>10</v>
      </c>
      <c r="N288" s="18">
        <v>90287</v>
      </c>
      <c r="O288" s="18" t="s">
        <v>40</v>
      </c>
      <c r="P288" s="19">
        <v>45383</v>
      </c>
      <c r="Q288" s="20">
        <v>0.58296999999999999</v>
      </c>
      <c r="R288" s="21">
        <v>70287</v>
      </c>
      <c r="S288" s="18" t="s">
        <v>41</v>
      </c>
      <c r="T288" s="20">
        <v>98532.041500000007</v>
      </c>
      <c r="U288" s="18" t="s">
        <v>31</v>
      </c>
      <c r="V288" s="19">
        <v>45444</v>
      </c>
      <c r="W288" s="18" t="s">
        <v>38</v>
      </c>
      <c r="X288" s="19">
        <v>45376</v>
      </c>
      <c r="Y288" s="18" t="s">
        <v>39</v>
      </c>
      <c r="Z288" s="43" t="e">
        <f>TEXT([1]!Table64[[#This Row],[Order date]],"mmm-yyyy")</f>
        <v>#REF!</v>
      </c>
    </row>
    <row r="289" spans="1:26" x14ac:dyDescent="0.3">
      <c r="A289" s="22">
        <v>10288</v>
      </c>
      <c r="B289" s="23">
        <v>5113</v>
      </c>
      <c r="C289" s="23" t="s">
        <v>34</v>
      </c>
      <c r="D289" s="24">
        <v>76303.66</v>
      </c>
      <c r="E289" s="23">
        <v>83</v>
      </c>
      <c r="F289" s="23" t="s">
        <v>26</v>
      </c>
      <c r="G289" s="25">
        <v>45337</v>
      </c>
      <c r="H289" s="24">
        <v>107415.38</v>
      </c>
      <c r="I289" s="26" t="s">
        <v>44</v>
      </c>
      <c r="J289" s="15" t="s">
        <v>28</v>
      </c>
      <c r="K289" s="15">
        <v>1080</v>
      </c>
      <c r="L289" s="16">
        <v>45361</v>
      </c>
      <c r="M289" s="17">
        <v>11</v>
      </c>
      <c r="N289" s="27">
        <v>90288</v>
      </c>
      <c r="O289" s="27" t="s">
        <v>29</v>
      </c>
      <c r="P289" s="28">
        <v>45430</v>
      </c>
      <c r="Q289" s="29">
        <v>0.96218000000000004</v>
      </c>
      <c r="R289" s="30">
        <v>70288</v>
      </c>
      <c r="S289" s="27" t="s">
        <v>41</v>
      </c>
      <c r="T289" s="29">
        <v>192965.44884999999</v>
      </c>
      <c r="U289" s="27" t="s">
        <v>42</v>
      </c>
      <c r="V289" s="28">
        <v>45444</v>
      </c>
      <c r="W289" s="27" t="s">
        <v>38</v>
      </c>
      <c r="X289" s="28">
        <v>45376</v>
      </c>
      <c r="Y289" s="27" t="s">
        <v>39</v>
      </c>
      <c r="Z289" s="43" t="e">
        <f>TEXT([1]!Table64[[#This Row],[Order date]],"mmm-yyyy")</f>
        <v>#REF!</v>
      </c>
    </row>
    <row r="290" spans="1:26" x14ac:dyDescent="0.3">
      <c r="A290" s="10">
        <v>10289</v>
      </c>
      <c r="B290" s="11">
        <v>5002</v>
      </c>
      <c r="C290" s="11" t="s">
        <v>34</v>
      </c>
      <c r="D290" s="12">
        <v>79232.100000000006</v>
      </c>
      <c r="E290" s="11">
        <v>60</v>
      </c>
      <c r="F290" s="11" t="s">
        <v>46</v>
      </c>
      <c r="G290" s="13">
        <v>45306</v>
      </c>
      <c r="H290" s="12">
        <v>116977.98</v>
      </c>
      <c r="I290" s="14" t="s">
        <v>44</v>
      </c>
      <c r="J290" s="15" t="s">
        <v>36</v>
      </c>
      <c r="K290" s="15">
        <v>689</v>
      </c>
      <c r="L290" s="16">
        <v>45332</v>
      </c>
      <c r="M290" s="17">
        <v>12</v>
      </c>
      <c r="N290" s="18">
        <v>90289</v>
      </c>
      <c r="O290" s="18" t="s">
        <v>37</v>
      </c>
      <c r="P290" s="19">
        <v>45352</v>
      </c>
      <c r="Q290" s="20">
        <v>0.62966999999999995</v>
      </c>
      <c r="R290" s="21">
        <v>70289</v>
      </c>
      <c r="S290" s="18" t="s">
        <v>45</v>
      </c>
      <c r="T290" s="20">
        <v>133529.88510000001</v>
      </c>
      <c r="U290" s="18" t="s">
        <v>31</v>
      </c>
      <c r="V290" s="19">
        <v>45392</v>
      </c>
      <c r="W290" s="18" t="s">
        <v>38</v>
      </c>
      <c r="X290" s="19">
        <v>45376</v>
      </c>
      <c r="Y290" s="18" t="s">
        <v>33</v>
      </c>
      <c r="Z290" s="43" t="e">
        <f>TEXT([1]!Table64[[#This Row],[Order date]],"mmm-yyyy")</f>
        <v>#REF!</v>
      </c>
    </row>
    <row r="291" spans="1:26" x14ac:dyDescent="0.3">
      <c r="A291" s="22">
        <v>10290</v>
      </c>
      <c r="B291" s="23">
        <v>5642</v>
      </c>
      <c r="C291" s="23" t="s">
        <v>34</v>
      </c>
      <c r="D291" s="24">
        <v>78562.559999999998</v>
      </c>
      <c r="E291" s="23">
        <v>44</v>
      </c>
      <c r="F291" s="23" t="s">
        <v>26</v>
      </c>
      <c r="G291" s="25">
        <v>45361</v>
      </c>
      <c r="H291" s="24">
        <v>149122.18</v>
      </c>
      <c r="I291" s="26" t="s">
        <v>44</v>
      </c>
      <c r="J291" s="15" t="s">
        <v>36</v>
      </c>
      <c r="K291" s="15">
        <v>1068</v>
      </c>
      <c r="L291" s="16">
        <v>45397</v>
      </c>
      <c r="M291" s="17">
        <v>13</v>
      </c>
      <c r="N291" s="27">
        <v>90290</v>
      </c>
      <c r="O291" s="27" t="s">
        <v>40</v>
      </c>
      <c r="P291" s="28">
        <v>45430</v>
      </c>
      <c r="Q291" s="29">
        <v>0.10994</v>
      </c>
      <c r="R291" s="30">
        <v>70290</v>
      </c>
      <c r="S291" s="27" t="s">
        <v>30</v>
      </c>
      <c r="T291" s="29">
        <v>79593.447549999997</v>
      </c>
      <c r="U291" s="27" t="s">
        <v>48</v>
      </c>
      <c r="V291" s="28">
        <v>45422</v>
      </c>
      <c r="W291" s="27" t="s">
        <v>32</v>
      </c>
      <c r="X291" s="28">
        <v>45384</v>
      </c>
      <c r="Y291" s="27" t="s">
        <v>33</v>
      </c>
      <c r="Z291" s="43" t="e">
        <f>TEXT([1]!Table64[[#This Row],[Order date]],"mmm-yyyy")</f>
        <v>#REF!</v>
      </c>
    </row>
    <row r="292" spans="1:26" x14ac:dyDescent="0.3">
      <c r="A292" s="10">
        <v>10291</v>
      </c>
      <c r="B292" s="11">
        <v>5220</v>
      </c>
      <c r="C292" s="11" t="s">
        <v>34</v>
      </c>
      <c r="D292" s="12">
        <v>72161.86</v>
      </c>
      <c r="E292" s="11">
        <v>11</v>
      </c>
      <c r="F292" s="11" t="s">
        <v>46</v>
      </c>
      <c r="G292" s="13">
        <v>45306</v>
      </c>
      <c r="H292" s="12">
        <v>52873.68</v>
      </c>
      <c r="I292" s="14" t="s">
        <v>44</v>
      </c>
      <c r="J292" s="15" t="s">
        <v>28</v>
      </c>
      <c r="K292" s="15">
        <v>616</v>
      </c>
      <c r="L292" s="16">
        <v>45361</v>
      </c>
      <c r="M292" s="17">
        <v>11</v>
      </c>
      <c r="N292" s="18">
        <v>90291</v>
      </c>
      <c r="O292" s="18" t="s">
        <v>29</v>
      </c>
      <c r="P292" s="19">
        <v>45383</v>
      </c>
      <c r="Q292" s="20">
        <v>0.15373999999999999</v>
      </c>
      <c r="R292" s="21">
        <v>70291</v>
      </c>
      <c r="S292" s="18" t="s">
        <v>41</v>
      </c>
      <c r="T292" s="20">
        <v>101352.62</v>
      </c>
      <c r="U292" s="18" t="s">
        <v>48</v>
      </c>
      <c r="V292" s="19">
        <v>45422</v>
      </c>
      <c r="W292" s="18" t="s">
        <v>38</v>
      </c>
      <c r="X292" s="19">
        <v>45376</v>
      </c>
      <c r="Y292" s="18" t="s">
        <v>33</v>
      </c>
      <c r="Z292" s="43" t="e">
        <f>TEXT([1]!Table64[[#This Row],[Order date]],"mmm-yyyy")</f>
        <v>#REF!</v>
      </c>
    </row>
    <row r="293" spans="1:26" x14ac:dyDescent="0.3">
      <c r="A293" s="22">
        <v>10292</v>
      </c>
      <c r="B293" s="23">
        <v>6590</v>
      </c>
      <c r="C293" s="23" t="s">
        <v>34</v>
      </c>
      <c r="D293" s="24">
        <v>34299.31</v>
      </c>
      <c r="E293" s="23">
        <v>66</v>
      </c>
      <c r="F293" s="23" t="s">
        <v>46</v>
      </c>
      <c r="G293" s="25">
        <v>45337</v>
      </c>
      <c r="H293" s="24">
        <v>87781.32</v>
      </c>
      <c r="I293" s="26" t="s">
        <v>47</v>
      </c>
      <c r="J293" s="15" t="s">
        <v>49</v>
      </c>
      <c r="K293" s="15">
        <v>280</v>
      </c>
      <c r="L293" s="16">
        <v>45361</v>
      </c>
      <c r="M293" s="17">
        <v>7</v>
      </c>
      <c r="N293" s="27">
        <v>90292</v>
      </c>
      <c r="O293" s="27" t="s">
        <v>40</v>
      </c>
      <c r="P293" s="28">
        <v>45352</v>
      </c>
      <c r="Q293" s="29">
        <v>0.99358000000000002</v>
      </c>
      <c r="R293" s="30">
        <v>70292</v>
      </c>
      <c r="S293" s="27" t="s">
        <v>45</v>
      </c>
      <c r="T293" s="29">
        <v>99077.303599999999</v>
      </c>
      <c r="U293" s="27" t="s">
        <v>42</v>
      </c>
      <c r="V293" s="28">
        <v>45444</v>
      </c>
      <c r="W293" s="27" t="s">
        <v>32</v>
      </c>
      <c r="X293" s="28">
        <v>45384</v>
      </c>
      <c r="Y293" s="27" t="s">
        <v>33</v>
      </c>
      <c r="Z293" s="43" t="e">
        <f>TEXT([1]!Table64[[#This Row],[Order date]],"mmm-yyyy")</f>
        <v>#REF!</v>
      </c>
    </row>
    <row r="294" spans="1:26" x14ac:dyDescent="0.3">
      <c r="A294" s="10">
        <v>10293</v>
      </c>
      <c r="B294" s="11">
        <v>5855</v>
      </c>
      <c r="C294" s="11" t="s">
        <v>25</v>
      </c>
      <c r="D294" s="12">
        <v>60875.82</v>
      </c>
      <c r="E294" s="11">
        <v>47</v>
      </c>
      <c r="F294" s="11" t="s">
        <v>26</v>
      </c>
      <c r="G294" s="13">
        <v>45337</v>
      </c>
      <c r="H294" s="12">
        <v>75945.149999999994</v>
      </c>
      <c r="I294" s="14" t="s">
        <v>44</v>
      </c>
      <c r="J294" s="15" t="s">
        <v>36</v>
      </c>
      <c r="K294" s="15">
        <v>923</v>
      </c>
      <c r="L294" s="16">
        <v>45361</v>
      </c>
      <c r="M294" s="17">
        <v>10</v>
      </c>
      <c r="N294" s="18">
        <v>90293</v>
      </c>
      <c r="O294" s="18" t="s">
        <v>37</v>
      </c>
      <c r="P294" s="19">
        <v>45383</v>
      </c>
      <c r="Q294" s="20">
        <v>0.16475000000000001</v>
      </c>
      <c r="R294" s="21">
        <v>70293</v>
      </c>
      <c r="S294" s="18" t="s">
        <v>41</v>
      </c>
      <c r="T294" s="20">
        <v>205511.21280000001</v>
      </c>
      <c r="U294" s="18" t="s">
        <v>31</v>
      </c>
      <c r="V294" s="19">
        <v>45392</v>
      </c>
      <c r="W294" s="18" t="s">
        <v>32</v>
      </c>
      <c r="X294" s="19">
        <v>45376</v>
      </c>
      <c r="Y294" s="18" t="s">
        <v>33</v>
      </c>
      <c r="Z294" s="43" t="e">
        <f>TEXT([1]!Table64[[#This Row],[Order date]],"mmm-yyyy")</f>
        <v>#REF!</v>
      </c>
    </row>
    <row r="295" spans="1:26" x14ac:dyDescent="0.3">
      <c r="A295" s="22">
        <v>10294</v>
      </c>
      <c r="B295" s="23">
        <v>6760</v>
      </c>
      <c r="C295" s="23" t="s">
        <v>34</v>
      </c>
      <c r="D295" s="24">
        <v>27417.279999999999</v>
      </c>
      <c r="E295" s="23">
        <v>73</v>
      </c>
      <c r="F295" s="23" t="s">
        <v>35</v>
      </c>
      <c r="G295" s="25">
        <v>45361</v>
      </c>
      <c r="H295" s="24">
        <v>129952.19</v>
      </c>
      <c r="I295" s="26" t="s">
        <v>27</v>
      </c>
      <c r="J295" s="15" t="s">
        <v>28</v>
      </c>
      <c r="K295" s="15">
        <v>623</v>
      </c>
      <c r="L295" s="16">
        <v>45397</v>
      </c>
      <c r="M295" s="17">
        <v>5</v>
      </c>
      <c r="N295" s="27">
        <v>90294</v>
      </c>
      <c r="O295" s="27" t="s">
        <v>50</v>
      </c>
      <c r="P295" s="28">
        <v>45430</v>
      </c>
      <c r="Q295" s="29">
        <v>0.14144000000000001</v>
      </c>
      <c r="R295" s="30">
        <v>70294</v>
      </c>
      <c r="S295" s="27" t="s">
        <v>45</v>
      </c>
      <c r="T295" s="29">
        <v>123168.93528999999</v>
      </c>
      <c r="U295" s="27" t="s">
        <v>31</v>
      </c>
      <c r="V295" s="28">
        <v>45444</v>
      </c>
      <c r="W295" s="27" t="s">
        <v>32</v>
      </c>
      <c r="X295" s="28">
        <v>45376</v>
      </c>
      <c r="Y295" s="27" t="s">
        <v>39</v>
      </c>
      <c r="Z295" s="43" t="e">
        <f>TEXT([1]!Table64[[#This Row],[Order date]],"mmm-yyyy")</f>
        <v>#REF!</v>
      </c>
    </row>
    <row r="296" spans="1:26" x14ac:dyDescent="0.3">
      <c r="A296" s="10">
        <v>10295</v>
      </c>
      <c r="B296" s="11">
        <v>6249</v>
      </c>
      <c r="C296" s="11" t="s">
        <v>34</v>
      </c>
      <c r="D296" s="12">
        <v>31303.35</v>
      </c>
      <c r="E296" s="11">
        <v>85</v>
      </c>
      <c r="F296" s="11" t="s">
        <v>35</v>
      </c>
      <c r="G296" s="13">
        <v>45306</v>
      </c>
      <c r="H296" s="12">
        <v>126872.18</v>
      </c>
      <c r="I296" s="14" t="s">
        <v>27</v>
      </c>
      <c r="J296" s="15" t="s">
        <v>36</v>
      </c>
      <c r="K296" s="15">
        <v>289</v>
      </c>
      <c r="L296" s="16">
        <v>45397</v>
      </c>
      <c r="M296" s="17">
        <v>1</v>
      </c>
      <c r="N296" s="18">
        <v>90295</v>
      </c>
      <c r="O296" s="18" t="s">
        <v>29</v>
      </c>
      <c r="P296" s="19">
        <v>45352</v>
      </c>
      <c r="Q296" s="20">
        <v>0.41771999999999998</v>
      </c>
      <c r="R296" s="21">
        <v>70295</v>
      </c>
      <c r="S296" s="18" t="s">
        <v>45</v>
      </c>
      <c r="T296" s="20">
        <v>98930.238299999997</v>
      </c>
      <c r="U296" s="18" t="s">
        <v>42</v>
      </c>
      <c r="V296" s="19">
        <v>45422</v>
      </c>
      <c r="W296" s="18" t="s">
        <v>32</v>
      </c>
      <c r="X296" s="19">
        <v>45384</v>
      </c>
      <c r="Y296" s="18" t="s">
        <v>33</v>
      </c>
      <c r="Z296" s="43" t="e">
        <f>TEXT([1]!Table64[[#This Row],[Order date]],"mmm-yyyy")</f>
        <v>#REF!</v>
      </c>
    </row>
    <row r="297" spans="1:26" x14ac:dyDescent="0.3">
      <c r="A297" s="22">
        <v>10296</v>
      </c>
      <c r="B297" s="23">
        <v>5385</v>
      </c>
      <c r="C297" s="23" t="s">
        <v>34</v>
      </c>
      <c r="D297" s="24">
        <v>32972.15</v>
      </c>
      <c r="E297" s="23">
        <v>88</v>
      </c>
      <c r="F297" s="23" t="s">
        <v>43</v>
      </c>
      <c r="G297" s="25">
        <v>45383</v>
      </c>
      <c r="H297" s="24">
        <v>42711.85</v>
      </c>
      <c r="I297" s="26" t="s">
        <v>44</v>
      </c>
      <c r="J297" s="15" t="s">
        <v>49</v>
      </c>
      <c r="K297" s="15">
        <v>139</v>
      </c>
      <c r="L297" s="16">
        <v>45332</v>
      </c>
      <c r="M297" s="17">
        <v>6</v>
      </c>
      <c r="N297" s="27">
        <v>90296</v>
      </c>
      <c r="O297" s="27" t="s">
        <v>29</v>
      </c>
      <c r="P297" s="28">
        <v>45383</v>
      </c>
      <c r="Q297" s="29">
        <v>0.97238999999999998</v>
      </c>
      <c r="R297" s="30">
        <v>70296</v>
      </c>
      <c r="S297" s="27" t="s">
        <v>41</v>
      </c>
      <c r="T297" s="29">
        <v>88891.964720000004</v>
      </c>
      <c r="U297" s="27" t="s">
        <v>48</v>
      </c>
      <c r="V297" s="28">
        <v>45422</v>
      </c>
      <c r="W297" s="27" t="s">
        <v>38</v>
      </c>
      <c r="X297" s="28">
        <v>45376</v>
      </c>
      <c r="Y297" s="27" t="s">
        <v>33</v>
      </c>
      <c r="Z297" s="43" t="e">
        <f>TEXT([1]!Table64[[#This Row],[Order date]],"mmm-yyyy")</f>
        <v>#REF!</v>
      </c>
    </row>
    <row r="298" spans="1:26" x14ac:dyDescent="0.3">
      <c r="A298" s="10">
        <v>10297</v>
      </c>
      <c r="B298" s="11">
        <v>6427</v>
      </c>
      <c r="C298" s="11" t="s">
        <v>34</v>
      </c>
      <c r="D298" s="12">
        <v>15595.08</v>
      </c>
      <c r="E298" s="11">
        <v>98</v>
      </c>
      <c r="F298" s="11" t="s">
        <v>43</v>
      </c>
      <c r="G298" s="13">
        <v>45383</v>
      </c>
      <c r="H298" s="12">
        <v>78484.92</v>
      </c>
      <c r="I298" s="14" t="s">
        <v>27</v>
      </c>
      <c r="J298" s="15" t="s">
        <v>49</v>
      </c>
      <c r="K298" s="15">
        <v>281</v>
      </c>
      <c r="L298" s="16">
        <v>45361</v>
      </c>
      <c r="M298" s="17">
        <v>12</v>
      </c>
      <c r="N298" s="18">
        <v>90297</v>
      </c>
      <c r="O298" s="18" t="s">
        <v>29</v>
      </c>
      <c r="P298" s="19">
        <v>45352</v>
      </c>
      <c r="Q298" s="20">
        <v>0.38680999999999999</v>
      </c>
      <c r="R298" s="21">
        <v>70297</v>
      </c>
      <c r="S298" s="18" t="s">
        <v>30</v>
      </c>
      <c r="T298" s="20">
        <v>116131.45394000001</v>
      </c>
      <c r="U298" s="18" t="s">
        <v>48</v>
      </c>
      <c r="V298" s="19">
        <v>45444</v>
      </c>
      <c r="W298" s="18" t="s">
        <v>38</v>
      </c>
      <c r="X298" s="19">
        <v>45384</v>
      </c>
      <c r="Y298" s="18" t="s">
        <v>39</v>
      </c>
      <c r="Z298" s="43" t="e">
        <f>TEXT([1]!Table64[[#This Row],[Order date]],"mmm-yyyy")</f>
        <v>#REF!</v>
      </c>
    </row>
    <row r="299" spans="1:26" x14ac:dyDescent="0.3">
      <c r="A299" s="22">
        <v>10298</v>
      </c>
      <c r="B299" s="23">
        <v>6662</v>
      </c>
      <c r="C299" s="23" t="s">
        <v>25</v>
      </c>
      <c r="D299" s="24">
        <v>25109.62</v>
      </c>
      <c r="E299" s="23">
        <v>86</v>
      </c>
      <c r="F299" s="23" t="s">
        <v>26</v>
      </c>
      <c r="G299" s="25">
        <v>45337</v>
      </c>
      <c r="H299" s="24">
        <v>42969</v>
      </c>
      <c r="I299" s="26" t="s">
        <v>44</v>
      </c>
      <c r="J299" s="15" t="s">
        <v>49</v>
      </c>
      <c r="K299" s="15">
        <v>506</v>
      </c>
      <c r="L299" s="16">
        <v>45397</v>
      </c>
      <c r="M299" s="17">
        <v>8</v>
      </c>
      <c r="N299" s="27">
        <v>90298</v>
      </c>
      <c r="O299" s="27" t="s">
        <v>29</v>
      </c>
      <c r="P299" s="28">
        <v>45352</v>
      </c>
      <c r="Q299" s="29">
        <v>0.46889999999999998</v>
      </c>
      <c r="R299" s="30">
        <v>70298</v>
      </c>
      <c r="S299" s="27" t="s">
        <v>41</v>
      </c>
      <c r="T299" s="29">
        <v>186021.93296999999</v>
      </c>
      <c r="U299" s="27" t="s">
        <v>48</v>
      </c>
      <c r="V299" s="28">
        <v>45422</v>
      </c>
      <c r="W299" s="27" t="s">
        <v>38</v>
      </c>
      <c r="X299" s="28">
        <v>45376</v>
      </c>
      <c r="Y299" s="27" t="s">
        <v>39</v>
      </c>
      <c r="Z299" s="43" t="e">
        <f>TEXT([1]!Table64[[#This Row],[Order date]],"mmm-yyyy")</f>
        <v>#REF!</v>
      </c>
    </row>
    <row r="300" spans="1:26" x14ac:dyDescent="0.3">
      <c r="A300" s="10">
        <v>10299</v>
      </c>
      <c r="B300" s="11">
        <v>6154</v>
      </c>
      <c r="C300" s="11" t="s">
        <v>34</v>
      </c>
      <c r="D300" s="12">
        <v>59249.66</v>
      </c>
      <c r="E300" s="11">
        <v>3</v>
      </c>
      <c r="F300" s="11" t="s">
        <v>35</v>
      </c>
      <c r="G300" s="13">
        <v>45361</v>
      </c>
      <c r="H300" s="12">
        <v>77404.78</v>
      </c>
      <c r="I300" s="14" t="s">
        <v>47</v>
      </c>
      <c r="J300" s="15" t="s">
        <v>28</v>
      </c>
      <c r="K300" s="15">
        <v>282</v>
      </c>
      <c r="L300" s="16">
        <v>45332</v>
      </c>
      <c r="M300" s="17">
        <v>7</v>
      </c>
      <c r="N300" s="18">
        <v>90299</v>
      </c>
      <c r="O300" s="18" t="s">
        <v>29</v>
      </c>
      <c r="P300" s="19">
        <v>45383</v>
      </c>
      <c r="Q300" s="20">
        <v>0.67066999999999999</v>
      </c>
      <c r="R300" s="21">
        <v>70299</v>
      </c>
      <c r="S300" s="18" t="s">
        <v>41</v>
      </c>
      <c r="T300" s="20">
        <v>131068.8869</v>
      </c>
      <c r="U300" s="18" t="s">
        <v>48</v>
      </c>
      <c r="V300" s="19">
        <v>45392</v>
      </c>
      <c r="W300" s="18" t="s">
        <v>38</v>
      </c>
      <c r="X300" s="19">
        <v>45376</v>
      </c>
      <c r="Y300" s="18" t="s">
        <v>39</v>
      </c>
      <c r="Z300" s="43" t="e">
        <f>TEXT([1]!Table64[[#This Row],[Order date]],"mmm-yyyy")</f>
        <v>#REF!</v>
      </c>
    </row>
    <row r="301" spans="1:26" x14ac:dyDescent="0.3">
      <c r="A301" s="22">
        <v>10300</v>
      </c>
      <c r="B301" s="23">
        <v>6077</v>
      </c>
      <c r="C301" s="23" t="s">
        <v>34</v>
      </c>
      <c r="D301" s="24">
        <v>92891.34</v>
      </c>
      <c r="E301" s="23">
        <v>76</v>
      </c>
      <c r="F301" s="23" t="s">
        <v>46</v>
      </c>
      <c r="G301" s="25">
        <v>45306</v>
      </c>
      <c r="H301" s="24">
        <v>137181.70000000001</v>
      </c>
      <c r="I301" s="26" t="s">
        <v>27</v>
      </c>
      <c r="J301" s="15" t="s">
        <v>28</v>
      </c>
      <c r="K301" s="15">
        <v>403</v>
      </c>
      <c r="L301" s="16">
        <v>45361</v>
      </c>
      <c r="M301" s="17">
        <v>2</v>
      </c>
      <c r="N301" s="27">
        <v>90300</v>
      </c>
      <c r="O301" s="27" t="s">
        <v>29</v>
      </c>
      <c r="P301" s="28">
        <v>45352</v>
      </c>
      <c r="Q301" s="29">
        <v>0.1217</v>
      </c>
      <c r="R301" s="30">
        <v>70300</v>
      </c>
      <c r="S301" s="27" t="s">
        <v>41</v>
      </c>
      <c r="T301" s="29">
        <v>108704.5922</v>
      </c>
      <c r="U301" s="27" t="s">
        <v>48</v>
      </c>
      <c r="V301" s="28">
        <v>45444</v>
      </c>
      <c r="W301" s="27" t="s">
        <v>38</v>
      </c>
      <c r="X301" s="28">
        <v>45376</v>
      </c>
      <c r="Y301" s="27" t="s">
        <v>39</v>
      </c>
      <c r="Z301" s="43" t="e">
        <f>TEXT([1]!Table64[[#This Row],[Order date]],"mmm-yyyy")</f>
        <v>#REF!</v>
      </c>
    </row>
    <row r="302" spans="1:26" x14ac:dyDescent="0.3">
      <c r="A302" s="10">
        <v>10301</v>
      </c>
      <c r="B302" s="11">
        <v>6708</v>
      </c>
      <c r="C302" s="11" t="s">
        <v>34</v>
      </c>
      <c r="D302" s="12">
        <v>67372.740000000005</v>
      </c>
      <c r="E302" s="11">
        <v>92</v>
      </c>
      <c r="F302" s="11" t="s">
        <v>43</v>
      </c>
      <c r="G302" s="13">
        <v>45306</v>
      </c>
      <c r="H302" s="12">
        <v>121255.18</v>
      </c>
      <c r="I302" s="14" t="s">
        <v>27</v>
      </c>
      <c r="J302" s="15" t="s">
        <v>49</v>
      </c>
      <c r="K302" s="15">
        <v>1054</v>
      </c>
      <c r="L302" s="16">
        <v>45397</v>
      </c>
      <c r="M302" s="17">
        <v>12</v>
      </c>
      <c r="N302" s="18">
        <v>90301</v>
      </c>
      <c r="O302" s="18" t="s">
        <v>37</v>
      </c>
      <c r="P302" s="19">
        <v>45383</v>
      </c>
      <c r="Q302" s="20">
        <v>0.90798999999999996</v>
      </c>
      <c r="R302" s="21">
        <v>70301</v>
      </c>
      <c r="S302" s="18" t="s">
        <v>41</v>
      </c>
      <c r="T302" s="20">
        <v>137902.25341999999</v>
      </c>
      <c r="U302" s="18" t="s">
        <v>42</v>
      </c>
      <c r="V302" s="19">
        <v>45444</v>
      </c>
      <c r="W302" s="18" t="s">
        <v>38</v>
      </c>
      <c r="X302" s="19">
        <v>45376</v>
      </c>
      <c r="Y302" s="18" t="s">
        <v>33</v>
      </c>
      <c r="Z302" s="43" t="e">
        <f>TEXT([1]!Table64[[#This Row],[Order date]],"mmm-yyyy")</f>
        <v>#REF!</v>
      </c>
    </row>
    <row r="303" spans="1:26" x14ac:dyDescent="0.3">
      <c r="A303" s="22">
        <v>10302</v>
      </c>
      <c r="B303" s="23">
        <v>5730</v>
      </c>
      <c r="C303" s="23" t="s">
        <v>34</v>
      </c>
      <c r="D303" s="24">
        <v>13866.76</v>
      </c>
      <c r="E303" s="23">
        <v>30</v>
      </c>
      <c r="F303" s="23" t="s">
        <v>46</v>
      </c>
      <c r="G303" s="25">
        <v>45337</v>
      </c>
      <c r="H303" s="24">
        <v>174239.91</v>
      </c>
      <c r="I303" s="26" t="s">
        <v>44</v>
      </c>
      <c r="J303" s="15" t="s">
        <v>28</v>
      </c>
      <c r="K303" s="15">
        <v>1406</v>
      </c>
      <c r="L303" s="16">
        <v>45397</v>
      </c>
      <c r="M303" s="17">
        <v>5</v>
      </c>
      <c r="N303" s="27">
        <v>90302</v>
      </c>
      <c r="O303" s="27" t="s">
        <v>50</v>
      </c>
      <c r="P303" s="28">
        <v>45352</v>
      </c>
      <c r="Q303" s="29">
        <v>0.5675</v>
      </c>
      <c r="R303" s="30">
        <v>70302</v>
      </c>
      <c r="S303" s="27" t="s">
        <v>41</v>
      </c>
      <c r="T303" s="29">
        <v>107128.5977</v>
      </c>
      <c r="U303" s="27" t="s">
        <v>42</v>
      </c>
      <c r="V303" s="28">
        <v>45444</v>
      </c>
      <c r="W303" s="27" t="s">
        <v>38</v>
      </c>
      <c r="X303" s="28">
        <v>45376</v>
      </c>
      <c r="Y303" s="27" t="s">
        <v>39</v>
      </c>
      <c r="Z303" s="43" t="e">
        <f>TEXT([1]!Table64[[#This Row],[Order date]],"mmm-yyyy")</f>
        <v>#REF!</v>
      </c>
    </row>
    <row r="304" spans="1:26" x14ac:dyDescent="0.3">
      <c r="A304" s="10">
        <v>10303</v>
      </c>
      <c r="B304" s="11">
        <v>6696</v>
      </c>
      <c r="C304" s="11" t="s">
        <v>34</v>
      </c>
      <c r="D304" s="12">
        <v>42639.06</v>
      </c>
      <c r="E304" s="11">
        <v>90</v>
      </c>
      <c r="F304" s="11" t="s">
        <v>43</v>
      </c>
      <c r="G304" s="13">
        <v>45337</v>
      </c>
      <c r="H304" s="12">
        <v>38725.269999999997</v>
      </c>
      <c r="I304" s="14" t="s">
        <v>27</v>
      </c>
      <c r="J304" s="15" t="s">
        <v>49</v>
      </c>
      <c r="K304" s="15">
        <v>488</v>
      </c>
      <c r="L304" s="16">
        <v>45332</v>
      </c>
      <c r="M304" s="17">
        <v>14</v>
      </c>
      <c r="N304" s="18">
        <v>90303</v>
      </c>
      <c r="O304" s="18" t="s">
        <v>37</v>
      </c>
      <c r="P304" s="19">
        <v>45352</v>
      </c>
      <c r="Q304" s="20">
        <v>0.52012999999999998</v>
      </c>
      <c r="R304" s="21">
        <v>70303</v>
      </c>
      <c r="S304" s="18" t="s">
        <v>30</v>
      </c>
      <c r="T304" s="20">
        <v>197528.82260000001</v>
      </c>
      <c r="U304" s="18" t="s">
        <v>42</v>
      </c>
      <c r="V304" s="19">
        <v>45422</v>
      </c>
      <c r="W304" s="18" t="s">
        <v>32</v>
      </c>
      <c r="X304" s="19">
        <v>45376</v>
      </c>
      <c r="Y304" s="18" t="s">
        <v>39</v>
      </c>
      <c r="Z304" s="43" t="e">
        <f>TEXT([1]!Table64[[#This Row],[Order date]],"mmm-yyyy")</f>
        <v>#REF!</v>
      </c>
    </row>
    <row r="305" spans="1:26" x14ac:dyDescent="0.3">
      <c r="A305" s="22">
        <v>10304</v>
      </c>
      <c r="B305" s="23">
        <v>6734</v>
      </c>
      <c r="C305" s="23" t="s">
        <v>34</v>
      </c>
      <c r="D305" s="24">
        <v>42664.75</v>
      </c>
      <c r="E305" s="23">
        <v>21</v>
      </c>
      <c r="F305" s="23" t="s">
        <v>26</v>
      </c>
      <c r="G305" s="25">
        <v>45306</v>
      </c>
      <c r="H305" s="24">
        <v>140510.37</v>
      </c>
      <c r="I305" s="26" t="s">
        <v>44</v>
      </c>
      <c r="J305" s="15" t="s">
        <v>28</v>
      </c>
      <c r="K305" s="15">
        <v>1448</v>
      </c>
      <c r="L305" s="16">
        <v>45361</v>
      </c>
      <c r="M305" s="17">
        <v>11</v>
      </c>
      <c r="N305" s="27">
        <v>90304</v>
      </c>
      <c r="O305" s="27" t="s">
        <v>37</v>
      </c>
      <c r="P305" s="28">
        <v>45352</v>
      </c>
      <c r="Q305" s="29">
        <v>0.87465000000000004</v>
      </c>
      <c r="R305" s="30">
        <v>70304</v>
      </c>
      <c r="S305" s="27" t="s">
        <v>41</v>
      </c>
      <c r="T305" s="29">
        <v>78471.549599999998</v>
      </c>
      <c r="U305" s="27" t="s">
        <v>48</v>
      </c>
      <c r="V305" s="28">
        <v>45392</v>
      </c>
      <c r="W305" s="27" t="s">
        <v>38</v>
      </c>
      <c r="X305" s="28">
        <v>45376</v>
      </c>
      <c r="Y305" s="27" t="s">
        <v>33</v>
      </c>
      <c r="Z305" s="43" t="e">
        <f>TEXT([1]!Table64[[#This Row],[Order date]],"mmm-yyyy")</f>
        <v>#REF!</v>
      </c>
    </row>
    <row r="306" spans="1:26" x14ac:dyDescent="0.3">
      <c r="A306" s="10">
        <v>10305</v>
      </c>
      <c r="B306" s="11">
        <v>6440</v>
      </c>
      <c r="C306" s="11" t="s">
        <v>25</v>
      </c>
      <c r="D306" s="12">
        <v>88124.98</v>
      </c>
      <c r="E306" s="11">
        <v>28</v>
      </c>
      <c r="F306" s="11" t="s">
        <v>35</v>
      </c>
      <c r="G306" s="13">
        <v>45306</v>
      </c>
      <c r="H306" s="12">
        <v>71689.95</v>
      </c>
      <c r="I306" s="14" t="s">
        <v>47</v>
      </c>
      <c r="J306" s="15" t="s">
        <v>49</v>
      </c>
      <c r="K306" s="15">
        <v>1365</v>
      </c>
      <c r="L306" s="16">
        <v>45361</v>
      </c>
      <c r="M306" s="17">
        <v>4</v>
      </c>
      <c r="N306" s="18">
        <v>90305</v>
      </c>
      <c r="O306" s="18" t="s">
        <v>50</v>
      </c>
      <c r="P306" s="19">
        <v>45430</v>
      </c>
      <c r="Q306" s="20">
        <v>0.95777000000000001</v>
      </c>
      <c r="R306" s="21">
        <v>70305</v>
      </c>
      <c r="S306" s="18" t="s">
        <v>41</v>
      </c>
      <c r="T306" s="20">
        <v>146372.64155</v>
      </c>
      <c r="U306" s="18" t="s">
        <v>48</v>
      </c>
      <c r="V306" s="19">
        <v>45444</v>
      </c>
      <c r="W306" s="18" t="s">
        <v>38</v>
      </c>
      <c r="X306" s="19">
        <v>45376</v>
      </c>
      <c r="Y306" s="18" t="s">
        <v>33</v>
      </c>
      <c r="Z306" s="43" t="e">
        <f>TEXT([1]!Table64[[#This Row],[Order date]],"mmm-yyyy")</f>
        <v>#REF!</v>
      </c>
    </row>
    <row r="307" spans="1:26" x14ac:dyDescent="0.3">
      <c r="A307" s="22">
        <v>10306</v>
      </c>
      <c r="B307" s="23">
        <v>5247</v>
      </c>
      <c r="C307" s="23" t="s">
        <v>34</v>
      </c>
      <c r="D307" s="24">
        <v>35289.120000000003</v>
      </c>
      <c r="E307" s="23">
        <v>90</v>
      </c>
      <c r="F307" s="23" t="s">
        <v>43</v>
      </c>
      <c r="G307" s="25">
        <v>45337</v>
      </c>
      <c r="H307" s="24">
        <v>149523.06</v>
      </c>
      <c r="I307" s="26" t="s">
        <v>47</v>
      </c>
      <c r="J307" s="15" t="s">
        <v>36</v>
      </c>
      <c r="K307" s="15">
        <v>394</v>
      </c>
      <c r="L307" s="16">
        <v>45397</v>
      </c>
      <c r="M307" s="17">
        <v>9</v>
      </c>
      <c r="N307" s="27">
        <v>90306</v>
      </c>
      <c r="O307" s="27" t="s">
        <v>37</v>
      </c>
      <c r="P307" s="28">
        <v>45430</v>
      </c>
      <c r="Q307" s="29">
        <v>0.48108000000000001</v>
      </c>
      <c r="R307" s="30">
        <v>70306</v>
      </c>
      <c r="S307" s="27" t="s">
        <v>30</v>
      </c>
      <c r="T307" s="29">
        <v>128703.05590000001</v>
      </c>
      <c r="U307" s="27" t="s">
        <v>42</v>
      </c>
      <c r="V307" s="28">
        <v>45444</v>
      </c>
      <c r="W307" s="27" t="s">
        <v>38</v>
      </c>
      <c r="X307" s="28">
        <v>45384</v>
      </c>
      <c r="Y307" s="27" t="s">
        <v>33</v>
      </c>
      <c r="Z307" s="43" t="e">
        <f>TEXT([1]!Table64[[#This Row],[Order date]],"mmm-yyyy")</f>
        <v>#REF!</v>
      </c>
    </row>
    <row r="308" spans="1:26" x14ac:dyDescent="0.3">
      <c r="A308" s="10">
        <v>10307</v>
      </c>
      <c r="B308" s="11">
        <v>5836</v>
      </c>
      <c r="C308" s="11" t="s">
        <v>25</v>
      </c>
      <c r="D308" s="12">
        <v>49738.559999999998</v>
      </c>
      <c r="E308" s="11">
        <v>62</v>
      </c>
      <c r="F308" s="11" t="s">
        <v>35</v>
      </c>
      <c r="G308" s="13">
        <v>45306</v>
      </c>
      <c r="H308" s="12">
        <v>106900.34</v>
      </c>
      <c r="I308" s="14" t="s">
        <v>27</v>
      </c>
      <c r="J308" s="15" t="s">
        <v>49</v>
      </c>
      <c r="K308" s="15">
        <v>713</v>
      </c>
      <c r="L308" s="16">
        <v>45361</v>
      </c>
      <c r="M308" s="17">
        <v>10</v>
      </c>
      <c r="N308" s="18">
        <v>90307</v>
      </c>
      <c r="O308" s="18" t="s">
        <v>40</v>
      </c>
      <c r="P308" s="19">
        <v>45383</v>
      </c>
      <c r="Q308" s="20">
        <v>0.25519999999999998</v>
      </c>
      <c r="R308" s="21">
        <v>70307</v>
      </c>
      <c r="S308" s="18" t="s">
        <v>41</v>
      </c>
      <c r="T308" s="20">
        <v>186069.25167</v>
      </c>
      <c r="U308" s="18" t="s">
        <v>42</v>
      </c>
      <c r="V308" s="19">
        <v>45422</v>
      </c>
      <c r="W308" s="18" t="s">
        <v>32</v>
      </c>
      <c r="X308" s="19">
        <v>45376</v>
      </c>
      <c r="Y308" s="18" t="s">
        <v>33</v>
      </c>
      <c r="Z308" s="43" t="e">
        <f>TEXT([1]!Table64[[#This Row],[Order date]],"mmm-yyyy")</f>
        <v>#REF!</v>
      </c>
    </row>
    <row r="309" spans="1:26" x14ac:dyDescent="0.3">
      <c r="A309" s="22">
        <v>10308</v>
      </c>
      <c r="B309" s="23">
        <v>6463</v>
      </c>
      <c r="C309" s="23" t="s">
        <v>34</v>
      </c>
      <c r="D309" s="24">
        <v>12014.68</v>
      </c>
      <c r="E309" s="23">
        <v>33</v>
      </c>
      <c r="F309" s="23" t="s">
        <v>46</v>
      </c>
      <c r="G309" s="25">
        <v>45383</v>
      </c>
      <c r="H309" s="24">
        <v>137067.57</v>
      </c>
      <c r="I309" s="26" t="s">
        <v>27</v>
      </c>
      <c r="J309" s="15" t="s">
        <v>49</v>
      </c>
      <c r="K309" s="15">
        <v>706</v>
      </c>
      <c r="L309" s="16">
        <v>45332</v>
      </c>
      <c r="M309" s="17">
        <v>1</v>
      </c>
      <c r="N309" s="27">
        <v>90308</v>
      </c>
      <c r="O309" s="27" t="s">
        <v>37</v>
      </c>
      <c r="P309" s="28">
        <v>45352</v>
      </c>
      <c r="Q309" s="29">
        <v>0.83413999999999999</v>
      </c>
      <c r="R309" s="30">
        <v>70308</v>
      </c>
      <c r="S309" s="27" t="s">
        <v>45</v>
      </c>
      <c r="T309" s="29">
        <v>142028.2746</v>
      </c>
      <c r="U309" s="27" t="s">
        <v>48</v>
      </c>
      <c r="V309" s="28">
        <v>45392</v>
      </c>
      <c r="W309" s="27" t="s">
        <v>38</v>
      </c>
      <c r="X309" s="28">
        <v>45376</v>
      </c>
      <c r="Y309" s="27" t="s">
        <v>39</v>
      </c>
      <c r="Z309" s="43" t="e">
        <f>TEXT([1]!Table64[[#This Row],[Order date]],"mmm-yyyy")</f>
        <v>#REF!</v>
      </c>
    </row>
    <row r="310" spans="1:26" x14ac:dyDescent="0.3">
      <c r="A310" s="10">
        <v>10309</v>
      </c>
      <c r="B310" s="11">
        <v>5203</v>
      </c>
      <c r="C310" s="11" t="s">
        <v>34</v>
      </c>
      <c r="D310" s="12">
        <v>54182.32</v>
      </c>
      <c r="E310" s="11">
        <v>85</v>
      </c>
      <c r="F310" s="11" t="s">
        <v>26</v>
      </c>
      <c r="G310" s="13">
        <v>45337</v>
      </c>
      <c r="H310" s="12">
        <v>98464.67</v>
      </c>
      <c r="I310" s="14" t="s">
        <v>44</v>
      </c>
      <c r="J310" s="15" t="s">
        <v>28</v>
      </c>
      <c r="K310" s="15">
        <v>179</v>
      </c>
      <c r="L310" s="16">
        <v>45397</v>
      </c>
      <c r="M310" s="17">
        <v>12</v>
      </c>
      <c r="N310" s="18">
        <v>90309</v>
      </c>
      <c r="O310" s="18" t="s">
        <v>29</v>
      </c>
      <c r="P310" s="19">
        <v>45383</v>
      </c>
      <c r="Q310" s="20">
        <v>0.46293000000000001</v>
      </c>
      <c r="R310" s="21">
        <v>70309</v>
      </c>
      <c r="S310" s="18" t="s">
        <v>41</v>
      </c>
      <c r="T310" s="20">
        <v>180036.61619999999</v>
      </c>
      <c r="U310" s="18" t="s">
        <v>31</v>
      </c>
      <c r="V310" s="19">
        <v>45444</v>
      </c>
      <c r="W310" s="18" t="s">
        <v>32</v>
      </c>
      <c r="X310" s="19">
        <v>45384</v>
      </c>
      <c r="Y310" s="18" t="s">
        <v>33</v>
      </c>
      <c r="Z310" s="43" t="e">
        <f>TEXT([1]!Table64[[#This Row],[Order date]],"mmm-yyyy")</f>
        <v>#REF!</v>
      </c>
    </row>
    <row r="311" spans="1:26" x14ac:dyDescent="0.3">
      <c r="A311" s="22">
        <v>10310</v>
      </c>
      <c r="B311" s="23">
        <v>6208</v>
      </c>
      <c r="C311" s="23" t="s">
        <v>34</v>
      </c>
      <c r="D311" s="24">
        <v>32215</v>
      </c>
      <c r="E311" s="23">
        <v>35</v>
      </c>
      <c r="F311" s="23" t="s">
        <v>35</v>
      </c>
      <c r="G311" s="25">
        <v>45306</v>
      </c>
      <c r="H311" s="24">
        <v>62367.05</v>
      </c>
      <c r="I311" s="26" t="s">
        <v>44</v>
      </c>
      <c r="J311" s="15" t="s">
        <v>28</v>
      </c>
      <c r="K311" s="15">
        <v>190</v>
      </c>
      <c r="L311" s="16">
        <v>45397</v>
      </c>
      <c r="M311" s="17">
        <v>6</v>
      </c>
      <c r="N311" s="27">
        <v>90310</v>
      </c>
      <c r="O311" s="27" t="s">
        <v>40</v>
      </c>
      <c r="P311" s="28">
        <v>45430</v>
      </c>
      <c r="Q311" s="29">
        <v>0.94198999999999999</v>
      </c>
      <c r="R311" s="30">
        <v>70310</v>
      </c>
      <c r="S311" s="27" t="s">
        <v>41</v>
      </c>
      <c r="T311" s="29">
        <v>127031.18386</v>
      </c>
      <c r="U311" s="27" t="s">
        <v>42</v>
      </c>
      <c r="V311" s="28">
        <v>45422</v>
      </c>
      <c r="W311" s="27" t="s">
        <v>38</v>
      </c>
      <c r="X311" s="28">
        <v>45376</v>
      </c>
      <c r="Y311" s="27" t="s">
        <v>39</v>
      </c>
      <c r="Z311" s="43" t="e">
        <f>TEXT([1]!Table64[[#This Row],[Order date]],"mmm-yyyy")</f>
        <v>#REF!</v>
      </c>
    </row>
    <row r="312" spans="1:26" x14ac:dyDescent="0.3">
      <c r="A312" s="10">
        <v>10311</v>
      </c>
      <c r="B312" s="11">
        <v>5123</v>
      </c>
      <c r="C312" s="11" t="s">
        <v>34</v>
      </c>
      <c r="D312" s="12">
        <v>82377.62</v>
      </c>
      <c r="E312" s="11">
        <v>52</v>
      </c>
      <c r="F312" s="11" t="s">
        <v>26</v>
      </c>
      <c r="G312" s="13">
        <v>45337</v>
      </c>
      <c r="H312" s="12">
        <v>129634.79</v>
      </c>
      <c r="I312" s="14" t="s">
        <v>27</v>
      </c>
      <c r="J312" s="15" t="s">
        <v>28</v>
      </c>
      <c r="K312" s="15">
        <v>464</v>
      </c>
      <c r="L312" s="16">
        <v>45332</v>
      </c>
      <c r="M312" s="17">
        <v>3</v>
      </c>
      <c r="N312" s="18">
        <v>90311</v>
      </c>
      <c r="O312" s="18" t="s">
        <v>40</v>
      </c>
      <c r="P312" s="19">
        <v>45430</v>
      </c>
      <c r="Q312" s="20">
        <v>0.95491000000000004</v>
      </c>
      <c r="R312" s="21">
        <v>70311</v>
      </c>
      <c r="S312" s="18" t="s">
        <v>41</v>
      </c>
      <c r="T312" s="20">
        <v>135721.82829999999</v>
      </c>
      <c r="U312" s="18" t="s">
        <v>48</v>
      </c>
      <c r="V312" s="19">
        <v>45444</v>
      </c>
      <c r="W312" s="18" t="s">
        <v>38</v>
      </c>
      <c r="X312" s="19">
        <v>45384</v>
      </c>
      <c r="Y312" s="18" t="s">
        <v>33</v>
      </c>
      <c r="Z312" s="43" t="e">
        <f>TEXT([1]!Table64[[#This Row],[Order date]],"mmm-yyyy")</f>
        <v>#REF!</v>
      </c>
    </row>
    <row r="313" spans="1:26" x14ac:dyDescent="0.3">
      <c r="A313" s="22">
        <v>10312</v>
      </c>
      <c r="B313" s="23">
        <v>5401</v>
      </c>
      <c r="C313" s="23" t="s">
        <v>34</v>
      </c>
      <c r="D313" s="24">
        <v>24081.119999999999</v>
      </c>
      <c r="E313" s="23">
        <v>34</v>
      </c>
      <c r="F313" s="23" t="s">
        <v>35</v>
      </c>
      <c r="G313" s="25">
        <v>45361</v>
      </c>
      <c r="H313" s="24">
        <v>11611.39</v>
      </c>
      <c r="I313" s="26" t="s">
        <v>27</v>
      </c>
      <c r="J313" s="15" t="s">
        <v>28</v>
      </c>
      <c r="K313" s="15">
        <v>1166</v>
      </c>
      <c r="L313" s="16">
        <v>45397</v>
      </c>
      <c r="M313" s="17">
        <v>11</v>
      </c>
      <c r="N313" s="27">
        <v>90312</v>
      </c>
      <c r="O313" s="27" t="s">
        <v>50</v>
      </c>
      <c r="P313" s="28">
        <v>45430</v>
      </c>
      <c r="Q313" s="29">
        <v>0.20335</v>
      </c>
      <c r="R313" s="30">
        <v>70312</v>
      </c>
      <c r="S313" s="27" t="s">
        <v>41</v>
      </c>
      <c r="T313" s="29">
        <v>109788.7763</v>
      </c>
      <c r="U313" s="27" t="s">
        <v>48</v>
      </c>
      <c r="V313" s="28">
        <v>45422</v>
      </c>
      <c r="W313" s="27" t="s">
        <v>32</v>
      </c>
      <c r="X313" s="28">
        <v>45384</v>
      </c>
      <c r="Y313" s="27" t="s">
        <v>33</v>
      </c>
      <c r="Z313" s="43" t="e">
        <f>TEXT([1]!Table64[[#This Row],[Order date]],"mmm-yyyy")</f>
        <v>#REF!</v>
      </c>
    </row>
    <row r="314" spans="1:26" x14ac:dyDescent="0.3">
      <c r="A314" s="10">
        <v>10313</v>
      </c>
      <c r="B314" s="11">
        <v>5767</v>
      </c>
      <c r="C314" s="11" t="s">
        <v>34</v>
      </c>
      <c r="D314" s="12">
        <v>77437.850000000006</v>
      </c>
      <c r="E314" s="11">
        <v>41</v>
      </c>
      <c r="F314" s="11" t="s">
        <v>46</v>
      </c>
      <c r="G314" s="13">
        <v>45337</v>
      </c>
      <c r="H314" s="12">
        <v>103867.25</v>
      </c>
      <c r="I314" s="14" t="s">
        <v>44</v>
      </c>
      <c r="J314" s="15" t="s">
        <v>28</v>
      </c>
      <c r="K314" s="15">
        <v>675</v>
      </c>
      <c r="L314" s="16">
        <v>45361</v>
      </c>
      <c r="M314" s="17">
        <v>9</v>
      </c>
      <c r="N314" s="18">
        <v>90313</v>
      </c>
      <c r="O314" s="18" t="s">
        <v>37</v>
      </c>
      <c r="P314" s="19">
        <v>45430</v>
      </c>
      <c r="Q314" s="20">
        <v>0.96089999999999998</v>
      </c>
      <c r="R314" s="21">
        <v>70313</v>
      </c>
      <c r="S314" s="18" t="s">
        <v>41</v>
      </c>
      <c r="T314" s="20">
        <v>167926.2843</v>
      </c>
      <c r="U314" s="18" t="s">
        <v>42</v>
      </c>
      <c r="V314" s="19">
        <v>45392</v>
      </c>
      <c r="W314" s="18" t="s">
        <v>32</v>
      </c>
      <c r="X314" s="19">
        <v>45376</v>
      </c>
      <c r="Y314" s="18" t="s">
        <v>33</v>
      </c>
      <c r="Z314" s="43" t="e">
        <f>TEXT([1]!Table64[[#This Row],[Order date]],"mmm-yyyy")</f>
        <v>#REF!</v>
      </c>
    </row>
    <row r="315" spans="1:26" x14ac:dyDescent="0.3">
      <c r="A315" s="22">
        <v>10314</v>
      </c>
      <c r="B315" s="23">
        <v>5294</v>
      </c>
      <c r="C315" s="23" t="s">
        <v>34</v>
      </c>
      <c r="D315" s="24">
        <v>17674.849999999999</v>
      </c>
      <c r="E315" s="23">
        <v>51</v>
      </c>
      <c r="F315" s="23" t="s">
        <v>46</v>
      </c>
      <c r="G315" s="25">
        <v>45337</v>
      </c>
      <c r="H315" s="24">
        <v>98736.63</v>
      </c>
      <c r="I315" s="26" t="s">
        <v>44</v>
      </c>
      <c r="J315" s="15" t="s">
        <v>28</v>
      </c>
      <c r="K315" s="15">
        <v>333</v>
      </c>
      <c r="L315" s="16">
        <v>45361</v>
      </c>
      <c r="M315" s="17">
        <v>5</v>
      </c>
      <c r="N315" s="27">
        <v>90314</v>
      </c>
      <c r="O315" s="27" t="s">
        <v>37</v>
      </c>
      <c r="P315" s="28">
        <v>45383</v>
      </c>
      <c r="Q315" s="29">
        <v>0.43143999999999999</v>
      </c>
      <c r="R315" s="30">
        <v>70314</v>
      </c>
      <c r="S315" s="27" t="s">
        <v>41</v>
      </c>
      <c r="T315" s="29">
        <v>120522.27583</v>
      </c>
      <c r="U315" s="27" t="s">
        <v>31</v>
      </c>
      <c r="V315" s="28">
        <v>45422</v>
      </c>
      <c r="W315" s="27" t="s">
        <v>38</v>
      </c>
      <c r="X315" s="28">
        <v>45384</v>
      </c>
      <c r="Y315" s="27" t="s">
        <v>39</v>
      </c>
      <c r="Z315" s="43" t="e">
        <f>TEXT([1]!Table64[[#This Row],[Order date]],"mmm-yyyy")</f>
        <v>#REF!</v>
      </c>
    </row>
    <row r="316" spans="1:26" x14ac:dyDescent="0.3">
      <c r="A316" s="10">
        <v>10315</v>
      </c>
      <c r="B316" s="11">
        <v>5280</v>
      </c>
      <c r="C316" s="11" t="s">
        <v>25</v>
      </c>
      <c r="D316" s="12">
        <v>74527.61</v>
      </c>
      <c r="E316" s="11">
        <v>47</v>
      </c>
      <c r="F316" s="11" t="s">
        <v>26</v>
      </c>
      <c r="G316" s="13">
        <v>45361</v>
      </c>
      <c r="H316" s="12">
        <v>90786.7</v>
      </c>
      <c r="I316" s="14" t="s">
        <v>44</v>
      </c>
      <c r="J316" s="15" t="s">
        <v>36</v>
      </c>
      <c r="K316" s="15">
        <v>272</v>
      </c>
      <c r="L316" s="16">
        <v>45397</v>
      </c>
      <c r="M316" s="17">
        <v>13</v>
      </c>
      <c r="N316" s="18">
        <v>90315</v>
      </c>
      <c r="O316" s="18" t="s">
        <v>40</v>
      </c>
      <c r="P316" s="19">
        <v>45352</v>
      </c>
      <c r="Q316" s="20">
        <v>0.68162999999999996</v>
      </c>
      <c r="R316" s="21">
        <v>70315</v>
      </c>
      <c r="S316" s="18" t="s">
        <v>41</v>
      </c>
      <c r="T316" s="20">
        <v>127577.11979</v>
      </c>
      <c r="U316" s="18" t="s">
        <v>48</v>
      </c>
      <c r="V316" s="19">
        <v>45444</v>
      </c>
      <c r="W316" s="18" t="s">
        <v>38</v>
      </c>
      <c r="X316" s="19">
        <v>45384</v>
      </c>
      <c r="Y316" s="18" t="s">
        <v>33</v>
      </c>
      <c r="Z316" s="43" t="e">
        <f>TEXT([1]!Table64[[#This Row],[Order date]],"mmm-yyyy")</f>
        <v>#REF!</v>
      </c>
    </row>
    <row r="317" spans="1:26" x14ac:dyDescent="0.3">
      <c r="A317" s="22">
        <v>10316</v>
      </c>
      <c r="B317" s="23">
        <v>6861</v>
      </c>
      <c r="C317" s="23" t="s">
        <v>34</v>
      </c>
      <c r="D317" s="24">
        <v>53463.47</v>
      </c>
      <c r="E317" s="23">
        <v>82</v>
      </c>
      <c r="F317" s="23" t="s">
        <v>46</v>
      </c>
      <c r="G317" s="25">
        <v>45383</v>
      </c>
      <c r="H317" s="24">
        <v>135276.70000000001</v>
      </c>
      <c r="I317" s="26" t="s">
        <v>44</v>
      </c>
      <c r="J317" s="15" t="s">
        <v>49</v>
      </c>
      <c r="K317" s="15">
        <v>793</v>
      </c>
      <c r="L317" s="16">
        <v>45332</v>
      </c>
      <c r="M317" s="17">
        <v>6</v>
      </c>
      <c r="N317" s="27">
        <v>90316</v>
      </c>
      <c r="O317" s="27" t="s">
        <v>37</v>
      </c>
      <c r="P317" s="28">
        <v>45383</v>
      </c>
      <c r="Q317" s="29">
        <v>0.13128000000000001</v>
      </c>
      <c r="R317" s="30">
        <v>70316</v>
      </c>
      <c r="S317" s="27" t="s">
        <v>41</v>
      </c>
      <c r="T317" s="29">
        <v>132689.07743</v>
      </c>
      <c r="U317" s="27" t="s">
        <v>42</v>
      </c>
      <c r="V317" s="28">
        <v>45444</v>
      </c>
      <c r="W317" s="27" t="s">
        <v>38</v>
      </c>
      <c r="X317" s="28">
        <v>45384</v>
      </c>
      <c r="Y317" s="27" t="s">
        <v>39</v>
      </c>
      <c r="Z317" s="43" t="e">
        <f>TEXT([1]!Table64[[#This Row],[Order date]],"mmm-yyyy")</f>
        <v>#REF!</v>
      </c>
    </row>
    <row r="318" spans="1:26" x14ac:dyDescent="0.3">
      <c r="A318" s="10">
        <v>10317</v>
      </c>
      <c r="B318" s="11">
        <v>5884</v>
      </c>
      <c r="C318" s="11" t="s">
        <v>34</v>
      </c>
      <c r="D318" s="12">
        <v>55308.36</v>
      </c>
      <c r="E318" s="11">
        <v>58</v>
      </c>
      <c r="F318" s="11" t="s">
        <v>43</v>
      </c>
      <c r="G318" s="13">
        <v>45306</v>
      </c>
      <c r="H318" s="12">
        <v>115425.59</v>
      </c>
      <c r="I318" s="14" t="s">
        <v>47</v>
      </c>
      <c r="J318" s="15" t="s">
        <v>49</v>
      </c>
      <c r="K318" s="15">
        <v>512</v>
      </c>
      <c r="L318" s="16">
        <v>45332</v>
      </c>
      <c r="M318" s="17">
        <v>11</v>
      </c>
      <c r="N318" s="18">
        <v>90317</v>
      </c>
      <c r="O318" s="18" t="s">
        <v>37</v>
      </c>
      <c r="P318" s="19">
        <v>45352</v>
      </c>
      <c r="Q318" s="20">
        <v>0.9</v>
      </c>
      <c r="R318" s="21">
        <v>70317</v>
      </c>
      <c r="S318" s="18" t="s">
        <v>30</v>
      </c>
      <c r="T318" s="20">
        <v>68793.986099999995</v>
      </c>
      <c r="U318" s="18" t="s">
        <v>48</v>
      </c>
      <c r="V318" s="19">
        <v>45422</v>
      </c>
      <c r="W318" s="18" t="s">
        <v>38</v>
      </c>
      <c r="X318" s="19">
        <v>45376</v>
      </c>
      <c r="Y318" s="18" t="s">
        <v>33</v>
      </c>
      <c r="Z318" s="43" t="e">
        <f>TEXT([1]!Table64[[#This Row],[Order date]],"mmm-yyyy")</f>
        <v>#REF!</v>
      </c>
    </row>
    <row r="319" spans="1:26" x14ac:dyDescent="0.3">
      <c r="A319" s="22">
        <v>10318</v>
      </c>
      <c r="B319" s="23">
        <v>6634</v>
      </c>
      <c r="C319" s="23" t="s">
        <v>34</v>
      </c>
      <c r="D319" s="24">
        <v>63100.09</v>
      </c>
      <c r="E319" s="23">
        <v>75</v>
      </c>
      <c r="F319" s="23" t="s">
        <v>35</v>
      </c>
      <c r="G319" s="25">
        <v>45361</v>
      </c>
      <c r="H319" s="24">
        <v>33501</v>
      </c>
      <c r="I319" s="26" t="s">
        <v>47</v>
      </c>
      <c r="J319" s="15" t="s">
        <v>49</v>
      </c>
      <c r="K319" s="15">
        <v>1349</v>
      </c>
      <c r="L319" s="16">
        <v>45361</v>
      </c>
      <c r="M319" s="17">
        <v>9</v>
      </c>
      <c r="N319" s="27">
        <v>90318</v>
      </c>
      <c r="O319" s="27" t="s">
        <v>50</v>
      </c>
      <c r="P319" s="28">
        <v>45430</v>
      </c>
      <c r="Q319" s="29">
        <v>0.67744000000000004</v>
      </c>
      <c r="R319" s="30">
        <v>70318</v>
      </c>
      <c r="S319" s="27" t="s">
        <v>41</v>
      </c>
      <c r="T319" s="29">
        <v>99280.678639999998</v>
      </c>
      <c r="U319" s="27" t="s">
        <v>48</v>
      </c>
      <c r="V319" s="28">
        <v>45392</v>
      </c>
      <c r="W319" s="27" t="s">
        <v>38</v>
      </c>
      <c r="X319" s="28">
        <v>45384</v>
      </c>
      <c r="Y319" s="27" t="s">
        <v>33</v>
      </c>
      <c r="Z319" s="43" t="e">
        <f>TEXT([1]!Table64[[#This Row],[Order date]],"mmm-yyyy")</f>
        <v>#REF!</v>
      </c>
    </row>
    <row r="320" spans="1:26" x14ac:dyDescent="0.3">
      <c r="A320" s="10">
        <v>10319</v>
      </c>
      <c r="B320" s="11">
        <v>5198</v>
      </c>
      <c r="C320" s="11" t="s">
        <v>34</v>
      </c>
      <c r="D320" s="12">
        <v>55694.23</v>
      </c>
      <c r="E320" s="11">
        <v>57</v>
      </c>
      <c r="F320" s="11" t="s">
        <v>46</v>
      </c>
      <c r="G320" s="13">
        <v>45337</v>
      </c>
      <c r="H320" s="12">
        <v>16168.75</v>
      </c>
      <c r="I320" s="14" t="s">
        <v>44</v>
      </c>
      <c r="J320" s="15" t="s">
        <v>36</v>
      </c>
      <c r="K320" s="15">
        <v>1213</v>
      </c>
      <c r="L320" s="16">
        <v>45332</v>
      </c>
      <c r="M320" s="17">
        <v>9</v>
      </c>
      <c r="N320" s="18">
        <v>90319</v>
      </c>
      <c r="O320" s="18" t="s">
        <v>40</v>
      </c>
      <c r="P320" s="19">
        <v>45352</v>
      </c>
      <c r="Q320" s="20">
        <v>0.67920000000000003</v>
      </c>
      <c r="R320" s="21">
        <v>70319</v>
      </c>
      <c r="S320" s="18" t="s">
        <v>41</v>
      </c>
      <c r="T320" s="20">
        <v>105630.85642</v>
      </c>
      <c r="U320" s="18" t="s">
        <v>48</v>
      </c>
      <c r="V320" s="19">
        <v>45392</v>
      </c>
      <c r="W320" s="18" t="s">
        <v>38</v>
      </c>
      <c r="X320" s="19">
        <v>45376</v>
      </c>
      <c r="Y320" s="18" t="s">
        <v>33</v>
      </c>
      <c r="Z320" s="43" t="e">
        <f>TEXT([1]!Table64[[#This Row],[Order date]],"mmm-yyyy")</f>
        <v>#REF!</v>
      </c>
    </row>
    <row r="321" spans="1:26" x14ac:dyDescent="0.3">
      <c r="A321" s="22">
        <v>10320</v>
      </c>
      <c r="B321" s="23">
        <v>5982</v>
      </c>
      <c r="C321" s="23" t="s">
        <v>25</v>
      </c>
      <c r="D321" s="24">
        <v>55011.58</v>
      </c>
      <c r="E321" s="23">
        <v>23</v>
      </c>
      <c r="F321" s="23" t="s">
        <v>43</v>
      </c>
      <c r="G321" s="25">
        <v>45306</v>
      </c>
      <c r="H321" s="24">
        <v>143652.95000000001</v>
      </c>
      <c r="I321" s="26" t="s">
        <v>44</v>
      </c>
      <c r="J321" s="15" t="s">
        <v>49</v>
      </c>
      <c r="K321" s="15">
        <v>406</v>
      </c>
      <c r="L321" s="16">
        <v>45397</v>
      </c>
      <c r="M321" s="17">
        <v>8</v>
      </c>
      <c r="N321" s="27">
        <v>90320</v>
      </c>
      <c r="O321" s="27" t="s">
        <v>29</v>
      </c>
      <c r="P321" s="28">
        <v>45430</v>
      </c>
      <c r="Q321" s="29">
        <v>0.91195999999999999</v>
      </c>
      <c r="R321" s="30">
        <v>70320</v>
      </c>
      <c r="S321" s="27" t="s">
        <v>45</v>
      </c>
      <c r="T321" s="29">
        <v>106655.69005</v>
      </c>
      <c r="U321" s="27" t="s">
        <v>48</v>
      </c>
      <c r="V321" s="28">
        <v>45444</v>
      </c>
      <c r="W321" s="27" t="s">
        <v>38</v>
      </c>
      <c r="X321" s="28">
        <v>45376</v>
      </c>
      <c r="Y321" s="27" t="s">
        <v>33</v>
      </c>
      <c r="Z321" s="43" t="e">
        <f>TEXT([1]!Table64[[#This Row],[Order date]],"mmm-yyyy")</f>
        <v>#REF!</v>
      </c>
    </row>
    <row r="322" spans="1:26" x14ac:dyDescent="0.3">
      <c r="A322" s="10">
        <v>10321</v>
      </c>
      <c r="B322" s="11">
        <v>6931</v>
      </c>
      <c r="C322" s="11" t="s">
        <v>34</v>
      </c>
      <c r="D322" s="12">
        <v>73325.08</v>
      </c>
      <c r="E322" s="11">
        <v>48</v>
      </c>
      <c r="F322" s="11" t="s">
        <v>26</v>
      </c>
      <c r="G322" s="13">
        <v>45361</v>
      </c>
      <c r="H322" s="12">
        <v>19708.48</v>
      </c>
      <c r="I322" s="14" t="s">
        <v>44</v>
      </c>
      <c r="J322" s="15" t="s">
        <v>36</v>
      </c>
      <c r="K322" s="15">
        <v>1096</v>
      </c>
      <c r="L322" s="16">
        <v>45397</v>
      </c>
      <c r="M322" s="17">
        <v>9</v>
      </c>
      <c r="N322" s="18">
        <v>90321</v>
      </c>
      <c r="O322" s="18" t="s">
        <v>40</v>
      </c>
      <c r="P322" s="19">
        <v>45383</v>
      </c>
      <c r="Q322" s="20">
        <v>0.55750999999999995</v>
      </c>
      <c r="R322" s="21">
        <v>70321</v>
      </c>
      <c r="S322" s="18" t="s">
        <v>45</v>
      </c>
      <c r="T322" s="20">
        <v>98683.05171</v>
      </c>
      <c r="U322" s="18" t="s">
        <v>31</v>
      </c>
      <c r="V322" s="19">
        <v>45444</v>
      </c>
      <c r="W322" s="18" t="s">
        <v>38</v>
      </c>
      <c r="X322" s="19">
        <v>45384</v>
      </c>
      <c r="Y322" s="18" t="s">
        <v>33</v>
      </c>
      <c r="Z322" s="43" t="e">
        <f>TEXT([1]!Table64[[#This Row],[Order date]],"mmm-yyyy")</f>
        <v>#REF!</v>
      </c>
    </row>
    <row r="323" spans="1:26" x14ac:dyDescent="0.3">
      <c r="A323" s="22">
        <v>10322</v>
      </c>
      <c r="B323" s="23">
        <v>6535</v>
      </c>
      <c r="C323" s="23" t="s">
        <v>25</v>
      </c>
      <c r="D323" s="24">
        <v>38038.910000000003</v>
      </c>
      <c r="E323" s="23">
        <v>22</v>
      </c>
      <c r="F323" s="23" t="s">
        <v>43</v>
      </c>
      <c r="G323" s="25">
        <v>45306</v>
      </c>
      <c r="H323" s="24">
        <v>59284.45</v>
      </c>
      <c r="I323" s="26" t="s">
        <v>44</v>
      </c>
      <c r="J323" s="15" t="s">
        <v>36</v>
      </c>
      <c r="K323" s="15">
        <v>1343</v>
      </c>
      <c r="L323" s="16">
        <v>45361</v>
      </c>
      <c r="M323" s="17">
        <v>4</v>
      </c>
      <c r="N323" s="27">
        <v>90322</v>
      </c>
      <c r="O323" s="27" t="s">
        <v>50</v>
      </c>
      <c r="P323" s="28">
        <v>45352</v>
      </c>
      <c r="Q323" s="29">
        <v>0.46945999999999999</v>
      </c>
      <c r="R323" s="30">
        <v>70322</v>
      </c>
      <c r="S323" s="27" t="s">
        <v>45</v>
      </c>
      <c r="T323" s="29">
        <v>77253.511880000005</v>
      </c>
      <c r="U323" s="27" t="s">
        <v>42</v>
      </c>
      <c r="V323" s="28">
        <v>45422</v>
      </c>
      <c r="W323" s="27" t="s">
        <v>38</v>
      </c>
      <c r="X323" s="28">
        <v>45376</v>
      </c>
      <c r="Y323" s="27" t="s">
        <v>33</v>
      </c>
      <c r="Z323" s="43" t="e">
        <f>TEXT([1]!Table64[[#This Row],[Order date]],"mmm-yyyy")</f>
        <v>#REF!</v>
      </c>
    </row>
    <row r="324" spans="1:26" x14ac:dyDescent="0.3">
      <c r="A324" s="10">
        <v>10323</v>
      </c>
      <c r="B324" s="11">
        <v>5752</v>
      </c>
      <c r="C324" s="11" t="s">
        <v>34</v>
      </c>
      <c r="D324" s="12">
        <v>58372.71</v>
      </c>
      <c r="E324" s="11">
        <v>17</v>
      </c>
      <c r="F324" s="11" t="s">
        <v>26</v>
      </c>
      <c r="G324" s="13">
        <v>45306</v>
      </c>
      <c r="H324" s="12">
        <v>93929.29</v>
      </c>
      <c r="I324" s="14" t="s">
        <v>44</v>
      </c>
      <c r="J324" s="15" t="s">
        <v>36</v>
      </c>
      <c r="K324" s="15">
        <v>908</v>
      </c>
      <c r="L324" s="16">
        <v>45361</v>
      </c>
      <c r="M324" s="17">
        <v>6</v>
      </c>
      <c r="N324" s="18">
        <v>90323</v>
      </c>
      <c r="O324" s="18" t="s">
        <v>50</v>
      </c>
      <c r="P324" s="19">
        <v>45383</v>
      </c>
      <c r="Q324" s="20">
        <v>0.87951999999999997</v>
      </c>
      <c r="R324" s="21">
        <v>70323</v>
      </c>
      <c r="S324" s="18" t="s">
        <v>41</v>
      </c>
      <c r="T324" s="20">
        <v>71860.837499999994</v>
      </c>
      <c r="U324" s="18" t="s">
        <v>42</v>
      </c>
      <c r="V324" s="19">
        <v>45422</v>
      </c>
      <c r="W324" s="18" t="s">
        <v>38</v>
      </c>
      <c r="X324" s="19">
        <v>45376</v>
      </c>
      <c r="Y324" s="18" t="s">
        <v>33</v>
      </c>
      <c r="Z324" s="43" t="e">
        <f>TEXT([1]!Table64[[#This Row],[Order date]],"mmm-yyyy")</f>
        <v>#REF!</v>
      </c>
    </row>
    <row r="325" spans="1:26" x14ac:dyDescent="0.3">
      <c r="A325" s="22">
        <v>10324</v>
      </c>
      <c r="B325" s="23">
        <v>5144</v>
      </c>
      <c r="C325" s="23" t="s">
        <v>34</v>
      </c>
      <c r="D325" s="24">
        <v>13648.03</v>
      </c>
      <c r="E325" s="23">
        <v>69</v>
      </c>
      <c r="F325" s="23" t="s">
        <v>26</v>
      </c>
      <c r="G325" s="25">
        <v>45361</v>
      </c>
      <c r="H325" s="24">
        <v>22941.86</v>
      </c>
      <c r="I325" s="26" t="s">
        <v>44</v>
      </c>
      <c r="J325" s="15" t="s">
        <v>49</v>
      </c>
      <c r="K325" s="15">
        <v>714</v>
      </c>
      <c r="L325" s="16">
        <v>45361</v>
      </c>
      <c r="M325" s="17">
        <v>5</v>
      </c>
      <c r="N325" s="27">
        <v>90324</v>
      </c>
      <c r="O325" s="27" t="s">
        <v>50</v>
      </c>
      <c r="P325" s="28">
        <v>45430</v>
      </c>
      <c r="Q325" s="29">
        <v>0.76817999999999997</v>
      </c>
      <c r="R325" s="30">
        <v>70324</v>
      </c>
      <c r="S325" s="27" t="s">
        <v>30</v>
      </c>
      <c r="T325" s="29">
        <v>191221.66174000001</v>
      </c>
      <c r="U325" s="27" t="s">
        <v>42</v>
      </c>
      <c r="V325" s="28">
        <v>45422</v>
      </c>
      <c r="W325" s="27" t="s">
        <v>38</v>
      </c>
      <c r="X325" s="28">
        <v>45384</v>
      </c>
      <c r="Y325" s="27" t="s">
        <v>39</v>
      </c>
      <c r="Z325" s="43" t="e">
        <f>TEXT([1]!Table64[[#This Row],[Order date]],"mmm-yyyy")</f>
        <v>#REF!</v>
      </c>
    </row>
    <row r="326" spans="1:26" x14ac:dyDescent="0.3">
      <c r="A326" s="10">
        <v>10325</v>
      </c>
      <c r="B326" s="11">
        <v>5609</v>
      </c>
      <c r="C326" s="11" t="s">
        <v>34</v>
      </c>
      <c r="D326" s="12">
        <v>69632.95</v>
      </c>
      <c r="E326" s="11">
        <v>11</v>
      </c>
      <c r="F326" s="11" t="s">
        <v>35</v>
      </c>
      <c r="G326" s="13">
        <v>45306</v>
      </c>
      <c r="H326" s="12">
        <v>13743.65</v>
      </c>
      <c r="I326" s="14" t="s">
        <v>47</v>
      </c>
      <c r="J326" s="15" t="s">
        <v>36</v>
      </c>
      <c r="K326" s="15">
        <v>1406</v>
      </c>
      <c r="L326" s="16">
        <v>45332</v>
      </c>
      <c r="M326" s="17">
        <v>5</v>
      </c>
      <c r="N326" s="18">
        <v>90325</v>
      </c>
      <c r="O326" s="18" t="s">
        <v>37</v>
      </c>
      <c r="P326" s="19">
        <v>45383</v>
      </c>
      <c r="Q326" s="20">
        <v>0.95408000000000004</v>
      </c>
      <c r="R326" s="21">
        <v>70325</v>
      </c>
      <c r="S326" s="18" t="s">
        <v>41</v>
      </c>
      <c r="T326" s="20">
        <v>105657.231</v>
      </c>
      <c r="U326" s="18" t="s">
        <v>42</v>
      </c>
      <c r="V326" s="19">
        <v>45392</v>
      </c>
      <c r="W326" s="18" t="s">
        <v>38</v>
      </c>
      <c r="X326" s="19">
        <v>45376</v>
      </c>
      <c r="Y326" s="18" t="s">
        <v>33</v>
      </c>
      <c r="Z326" s="43" t="e">
        <f>TEXT([1]!Table64[[#This Row],[Order date]],"mmm-yyyy")</f>
        <v>#REF!</v>
      </c>
    </row>
    <row r="327" spans="1:26" x14ac:dyDescent="0.3">
      <c r="A327" s="22">
        <v>10326</v>
      </c>
      <c r="B327" s="23">
        <v>6225</v>
      </c>
      <c r="C327" s="23" t="s">
        <v>34</v>
      </c>
      <c r="D327" s="24">
        <v>46590.62</v>
      </c>
      <c r="E327" s="23">
        <v>94</v>
      </c>
      <c r="F327" s="23" t="s">
        <v>35</v>
      </c>
      <c r="G327" s="25">
        <v>45383</v>
      </c>
      <c r="H327" s="24">
        <v>104941.55</v>
      </c>
      <c r="I327" s="26" t="s">
        <v>27</v>
      </c>
      <c r="J327" s="15" t="s">
        <v>49</v>
      </c>
      <c r="K327" s="15">
        <v>1064</v>
      </c>
      <c r="L327" s="16">
        <v>45397</v>
      </c>
      <c r="M327" s="17">
        <v>4</v>
      </c>
      <c r="N327" s="27">
        <v>90326</v>
      </c>
      <c r="O327" s="27" t="s">
        <v>40</v>
      </c>
      <c r="P327" s="28">
        <v>45430</v>
      </c>
      <c r="Q327" s="29">
        <v>0.94611000000000001</v>
      </c>
      <c r="R327" s="30">
        <v>70326</v>
      </c>
      <c r="S327" s="27" t="s">
        <v>41</v>
      </c>
      <c r="T327" s="29">
        <v>68710.762199999997</v>
      </c>
      <c r="U327" s="27" t="s">
        <v>42</v>
      </c>
      <c r="V327" s="28">
        <v>45392</v>
      </c>
      <c r="W327" s="27" t="s">
        <v>38</v>
      </c>
      <c r="X327" s="28">
        <v>45376</v>
      </c>
      <c r="Y327" s="27" t="s">
        <v>33</v>
      </c>
      <c r="Z327" s="43" t="e">
        <f>TEXT([1]!Table64[[#This Row],[Order date]],"mmm-yyyy")</f>
        <v>#REF!</v>
      </c>
    </row>
    <row r="328" spans="1:26" x14ac:dyDescent="0.3">
      <c r="A328" s="10">
        <v>10327</v>
      </c>
      <c r="B328" s="11">
        <v>6148</v>
      </c>
      <c r="C328" s="11" t="s">
        <v>25</v>
      </c>
      <c r="D328" s="12">
        <v>76366.06</v>
      </c>
      <c r="E328" s="11">
        <v>15</v>
      </c>
      <c r="F328" s="11" t="s">
        <v>43</v>
      </c>
      <c r="G328" s="13">
        <v>45361</v>
      </c>
      <c r="H328" s="12">
        <v>171036.48</v>
      </c>
      <c r="I328" s="14" t="s">
        <v>27</v>
      </c>
      <c r="J328" s="15" t="s">
        <v>49</v>
      </c>
      <c r="K328" s="15">
        <v>134</v>
      </c>
      <c r="L328" s="16">
        <v>45397</v>
      </c>
      <c r="M328" s="17">
        <v>2</v>
      </c>
      <c r="N328" s="18">
        <v>90327</v>
      </c>
      <c r="O328" s="18" t="s">
        <v>37</v>
      </c>
      <c r="P328" s="19">
        <v>45430</v>
      </c>
      <c r="Q328" s="20">
        <v>0.44408999999999998</v>
      </c>
      <c r="R328" s="21">
        <v>70327</v>
      </c>
      <c r="S328" s="18" t="s">
        <v>30</v>
      </c>
      <c r="T328" s="20">
        <v>180094.6667</v>
      </c>
      <c r="U328" s="18" t="s">
        <v>31</v>
      </c>
      <c r="V328" s="19">
        <v>45444</v>
      </c>
      <c r="W328" s="18" t="s">
        <v>38</v>
      </c>
      <c r="X328" s="19">
        <v>45376</v>
      </c>
      <c r="Y328" s="18" t="s">
        <v>33</v>
      </c>
      <c r="Z328" s="43" t="e">
        <f>TEXT([1]!Table64[[#This Row],[Order date]],"mmm-yyyy")</f>
        <v>#REF!</v>
      </c>
    </row>
    <row r="329" spans="1:26" x14ac:dyDescent="0.3">
      <c r="A329" s="22">
        <v>10328</v>
      </c>
      <c r="B329" s="23">
        <v>5187</v>
      </c>
      <c r="C329" s="23" t="s">
        <v>34</v>
      </c>
      <c r="D329" s="24">
        <v>12274.32</v>
      </c>
      <c r="E329" s="23">
        <v>91</v>
      </c>
      <c r="F329" s="23" t="s">
        <v>35</v>
      </c>
      <c r="G329" s="25">
        <v>45383</v>
      </c>
      <c r="H329" s="24">
        <v>41709.96</v>
      </c>
      <c r="I329" s="26" t="s">
        <v>44</v>
      </c>
      <c r="J329" s="15" t="s">
        <v>28</v>
      </c>
      <c r="K329" s="15">
        <v>670</v>
      </c>
      <c r="L329" s="16">
        <v>45397</v>
      </c>
      <c r="M329" s="17">
        <v>12</v>
      </c>
      <c r="N329" s="27">
        <v>90328</v>
      </c>
      <c r="O329" s="27" t="s">
        <v>37</v>
      </c>
      <c r="P329" s="28">
        <v>45430</v>
      </c>
      <c r="Q329" s="29">
        <v>0.50229000000000001</v>
      </c>
      <c r="R329" s="30">
        <v>70328</v>
      </c>
      <c r="S329" s="27" t="s">
        <v>30</v>
      </c>
      <c r="T329" s="29">
        <v>173407.9528</v>
      </c>
      <c r="U329" s="27" t="s">
        <v>48</v>
      </c>
      <c r="V329" s="28">
        <v>45444</v>
      </c>
      <c r="W329" s="27" t="s">
        <v>32</v>
      </c>
      <c r="X329" s="28">
        <v>45376</v>
      </c>
      <c r="Y329" s="27" t="s">
        <v>33</v>
      </c>
      <c r="Z329" s="43" t="e">
        <f>TEXT([1]!Table64[[#This Row],[Order date]],"mmm-yyyy")</f>
        <v>#REF!</v>
      </c>
    </row>
    <row r="330" spans="1:26" x14ac:dyDescent="0.3">
      <c r="A330" s="10">
        <v>10329</v>
      </c>
      <c r="B330" s="11">
        <v>6350</v>
      </c>
      <c r="C330" s="11" t="s">
        <v>34</v>
      </c>
      <c r="D330" s="12">
        <v>72082.100000000006</v>
      </c>
      <c r="E330" s="11">
        <v>35</v>
      </c>
      <c r="F330" s="11" t="s">
        <v>35</v>
      </c>
      <c r="G330" s="13">
        <v>45337</v>
      </c>
      <c r="H330" s="12">
        <v>148828.59</v>
      </c>
      <c r="I330" s="14" t="s">
        <v>44</v>
      </c>
      <c r="J330" s="15" t="s">
        <v>28</v>
      </c>
      <c r="K330" s="15">
        <v>1104</v>
      </c>
      <c r="L330" s="16">
        <v>45361</v>
      </c>
      <c r="M330" s="17">
        <v>6</v>
      </c>
      <c r="N330" s="18">
        <v>90329</v>
      </c>
      <c r="O330" s="18" t="s">
        <v>40</v>
      </c>
      <c r="P330" s="19">
        <v>45383</v>
      </c>
      <c r="Q330" s="20">
        <v>0.33039000000000002</v>
      </c>
      <c r="R330" s="21">
        <v>70329</v>
      </c>
      <c r="S330" s="18" t="s">
        <v>41</v>
      </c>
      <c r="T330" s="20">
        <v>79350.656270000007</v>
      </c>
      <c r="U330" s="18" t="s">
        <v>48</v>
      </c>
      <c r="V330" s="19">
        <v>45444</v>
      </c>
      <c r="W330" s="18" t="s">
        <v>38</v>
      </c>
      <c r="X330" s="19">
        <v>45376</v>
      </c>
      <c r="Y330" s="18" t="s">
        <v>39</v>
      </c>
      <c r="Z330" s="43" t="e">
        <f>TEXT([1]!Table64[[#This Row],[Order date]],"mmm-yyyy")</f>
        <v>#REF!</v>
      </c>
    </row>
    <row r="331" spans="1:26" x14ac:dyDescent="0.3">
      <c r="A331" s="22">
        <v>10330</v>
      </c>
      <c r="B331" s="23">
        <v>5464</v>
      </c>
      <c r="C331" s="23" t="s">
        <v>34</v>
      </c>
      <c r="D331" s="24">
        <v>67737.75</v>
      </c>
      <c r="E331" s="23">
        <v>33</v>
      </c>
      <c r="F331" s="23" t="s">
        <v>35</v>
      </c>
      <c r="G331" s="25">
        <v>45306</v>
      </c>
      <c r="H331" s="24">
        <v>111721.28</v>
      </c>
      <c r="I331" s="26" t="s">
        <v>44</v>
      </c>
      <c r="J331" s="15" t="s">
        <v>36</v>
      </c>
      <c r="K331" s="15">
        <v>289</v>
      </c>
      <c r="L331" s="16">
        <v>45397</v>
      </c>
      <c r="M331" s="17">
        <v>9</v>
      </c>
      <c r="N331" s="27">
        <v>90330</v>
      </c>
      <c r="O331" s="27" t="s">
        <v>50</v>
      </c>
      <c r="P331" s="28">
        <v>45383</v>
      </c>
      <c r="Q331" s="29">
        <v>0.69457999999999998</v>
      </c>
      <c r="R331" s="30">
        <v>70330</v>
      </c>
      <c r="S331" s="27" t="s">
        <v>41</v>
      </c>
      <c r="T331" s="29">
        <v>152731.17621000001</v>
      </c>
      <c r="U331" s="27" t="s">
        <v>42</v>
      </c>
      <c r="V331" s="28">
        <v>45422</v>
      </c>
      <c r="W331" s="27" t="s">
        <v>32</v>
      </c>
      <c r="X331" s="28">
        <v>45376</v>
      </c>
      <c r="Y331" s="27" t="s">
        <v>39</v>
      </c>
      <c r="Z331" s="43" t="e">
        <f>TEXT([1]!Table64[[#This Row],[Order date]],"mmm-yyyy")</f>
        <v>#REF!</v>
      </c>
    </row>
    <row r="332" spans="1:26" x14ac:dyDescent="0.3">
      <c r="A332" s="10">
        <v>10331</v>
      </c>
      <c r="B332" s="11">
        <v>6373</v>
      </c>
      <c r="C332" s="11" t="s">
        <v>34</v>
      </c>
      <c r="D332" s="12">
        <v>38613.67</v>
      </c>
      <c r="E332" s="11">
        <v>84</v>
      </c>
      <c r="F332" s="11" t="s">
        <v>43</v>
      </c>
      <c r="G332" s="13">
        <v>45337</v>
      </c>
      <c r="H332" s="12">
        <v>73191.22</v>
      </c>
      <c r="I332" s="14" t="s">
        <v>47</v>
      </c>
      <c r="J332" s="15" t="s">
        <v>36</v>
      </c>
      <c r="K332" s="15">
        <v>412</v>
      </c>
      <c r="L332" s="16">
        <v>45332</v>
      </c>
      <c r="M332" s="17">
        <v>12</v>
      </c>
      <c r="N332" s="18">
        <v>90331</v>
      </c>
      <c r="O332" s="18" t="s">
        <v>29</v>
      </c>
      <c r="P332" s="19">
        <v>45352</v>
      </c>
      <c r="Q332" s="20">
        <v>0.42809000000000003</v>
      </c>
      <c r="R332" s="21">
        <v>70331</v>
      </c>
      <c r="S332" s="18" t="s">
        <v>30</v>
      </c>
      <c r="T332" s="20">
        <v>74856.988209999996</v>
      </c>
      <c r="U332" s="18" t="s">
        <v>48</v>
      </c>
      <c r="V332" s="19">
        <v>45392</v>
      </c>
      <c r="W332" s="18" t="s">
        <v>38</v>
      </c>
      <c r="X332" s="19">
        <v>45384</v>
      </c>
      <c r="Y332" s="18" t="s">
        <v>33</v>
      </c>
      <c r="Z332" s="43" t="e">
        <f>TEXT([1]!Table64[[#This Row],[Order date]],"mmm-yyyy")</f>
        <v>#REF!</v>
      </c>
    </row>
    <row r="333" spans="1:26" x14ac:dyDescent="0.3">
      <c r="A333" s="22">
        <v>10332</v>
      </c>
      <c r="B333" s="23">
        <v>6795</v>
      </c>
      <c r="C333" s="23" t="s">
        <v>34</v>
      </c>
      <c r="D333" s="24">
        <v>13743.99</v>
      </c>
      <c r="E333" s="23">
        <v>16</v>
      </c>
      <c r="F333" s="23" t="s">
        <v>46</v>
      </c>
      <c r="G333" s="25">
        <v>45337</v>
      </c>
      <c r="H333" s="24">
        <v>149994.72</v>
      </c>
      <c r="I333" s="26" t="s">
        <v>44</v>
      </c>
      <c r="J333" s="15" t="s">
        <v>49</v>
      </c>
      <c r="K333" s="15">
        <v>871</v>
      </c>
      <c r="L333" s="16">
        <v>45332</v>
      </c>
      <c r="M333" s="17">
        <v>1</v>
      </c>
      <c r="N333" s="27">
        <v>90332</v>
      </c>
      <c r="O333" s="27" t="s">
        <v>29</v>
      </c>
      <c r="P333" s="28">
        <v>45352</v>
      </c>
      <c r="Q333" s="29">
        <v>0.80749000000000004</v>
      </c>
      <c r="R333" s="30">
        <v>70332</v>
      </c>
      <c r="S333" s="27" t="s">
        <v>41</v>
      </c>
      <c r="T333" s="29">
        <v>91772.676600000006</v>
      </c>
      <c r="U333" s="27" t="s">
        <v>48</v>
      </c>
      <c r="V333" s="28">
        <v>45444</v>
      </c>
      <c r="W333" s="27" t="s">
        <v>38</v>
      </c>
      <c r="X333" s="28">
        <v>45376</v>
      </c>
      <c r="Y333" s="27" t="s">
        <v>33</v>
      </c>
      <c r="Z333" s="43" t="e">
        <f>TEXT([1]!Table64[[#This Row],[Order date]],"mmm-yyyy")</f>
        <v>#REF!</v>
      </c>
    </row>
    <row r="334" spans="1:26" x14ac:dyDescent="0.3">
      <c r="A334" s="10">
        <v>10333</v>
      </c>
      <c r="B334" s="11">
        <v>5660</v>
      </c>
      <c r="C334" s="11" t="s">
        <v>34</v>
      </c>
      <c r="D334" s="12">
        <v>40313.49</v>
      </c>
      <c r="E334" s="11">
        <v>34</v>
      </c>
      <c r="F334" s="11" t="s">
        <v>35</v>
      </c>
      <c r="G334" s="13">
        <v>45306</v>
      </c>
      <c r="H334" s="12">
        <v>79052.63</v>
      </c>
      <c r="I334" s="14" t="s">
        <v>44</v>
      </c>
      <c r="J334" s="15" t="s">
        <v>36</v>
      </c>
      <c r="K334" s="15">
        <v>1462</v>
      </c>
      <c r="L334" s="16">
        <v>45397</v>
      </c>
      <c r="M334" s="17">
        <v>14</v>
      </c>
      <c r="N334" s="18">
        <v>90333</v>
      </c>
      <c r="O334" s="18" t="s">
        <v>40</v>
      </c>
      <c r="P334" s="19">
        <v>45383</v>
      </c>
      <c r="Q334" s="20">
        <v>0.2094</v>
      </c>
      <c r="R334" s="21">
        <v>70333</v>
      </c>
      <c r="S334" s="18" t="s">
        <v>41</v>
      </c>
      <c r="T334" s="20">
        <v>149834.88245</v>
      </c>
      <c r="U334" s="18" t="s">
        <v>48</v>
      </c>
      <c r="V334" s="19">
        <v>45444</v>
      </c>
      <c r="W334" s="18" t="s">
        <v>38</v>
      </c>
      <c r="X334" s="19">
        <v>45384</v>
      </c>
      <c r="Y334" s="18" t="s">
        <v>39</v>
      </c>
      <c r="Z334" s="43" t="e">
        <f>TEXT([1]!Table64[[#This Row],[Order date]],"mmm-yyyy")</f>
        <v>#REF!</v>
      </c>
    </row>
    <row r="335" spans="1:26" x14ac:dyDescent="0.3">
      <c r="A335" s="22">
        <v>10334</v>
      </c>
      <c r="B335" s="23">
        <v>5764</v>
      </c>
      <c r="C335" s="23" t="s">
        <v>34</v>
      </c>
      <c r="D335" s="24">
        <v>87120.8</v>
      </c>
      <c r="E335" s="23">
        <v>66</v>
      </c>
      <c r="F335" s="23" t="s">
        <v>35</v>
      </c>
      <c r="G335" s="25">
        <v>45361</v>
      </c>
      <c r="H335" s="24">
        <v>134402.19</v>
      </c>
      <c r="I335" s="26" t="s">
        <v>47</v>
      </c>
      <c r="J335" s="15" t="s">
        <v>36</v>
      </c>
      <c r="K335" s="15">
        <v>717</v>
      </c>
      <c r="L335" s="16">
        <v>45361</v>
      </c>
      <c r="M335" s="17">
        <v>7</v>
      </c>
      <c r="N335" s="27">
        <v>90334</v>
      </c>
      <c r="O335" s="27" t="s">
        <v>40</v>
      </c>
      <c r="P335" s="28">
        <v>45383</v>
      </c>
      <c r="Q335" s="29">
        <v>0.20476</v>
      </c>
      <c r="R335" s="30">
        <v>70334</v>
      </c>
      <c r="S335" s="27" t="s">
        <v>45</v>
      </c>
      <c r="T335" s="29">
        <v>117000.4736</v>
      </c>
      <c r="U335" s="27" t="s">
        <v>42</v>
      </c>
      <c r="V335" s="28">
        <v>45444</v>
      </c>
      <c r="W335" s="27" t="s">
        <v>32</v>
      </c>
      <c r="X335" s="28">
        <v>45376</v>
      </c>
      <c r="Y335" s="27" t="s">
        <v>33</v>
      </c>
      <c r="Z335" s="43" t="e">
        <f>TEXT([1]!Table64[[#This Row],[Order date]],"mmm-yyyy")</f>
        <v>#REF!</v>
      </c>
    </row>
    <row r="336" spans="1:26" x14ac:dyDescent="0.3">
      <c r="A336" s="10">
        <v>10335</v>
      </c>
      <c r="B336" s="11">
        <v>5955</v>
      </c>
      <c r="C336" s="11" t="s">
        <v>34</v>
      </c>
      <c r="D336" s="12">
        <v>19715.11</v>
      </c>
      <c r="E336" s="11">
        <v>99</v>
      </c>
      <c r="F336" s="11" t="s">
        <v>43</v>
      </c>
      <c r="G336" s="13">
        <v>45306</v>
      </c>
      <c r="H336" s="12">
        <v>76326.740000000005</v>
      </c>
      <c r="I336" s="14" t="s">
        <v>44</v>
      </c>
      <c r="J336" s="15" t="s">
        <v>49</v>
      </c>
      <c r="K336" s="15">
        <v>1372</v>
      </c>
      <c r="L336" s="16">
        <v>45397</v>
      </c>
      <c r="M336" s="17">
        <v>6</v>
      </c>
      <c r="N336" s="18">
        <v>90335</v>
      </c>
      <c r="O336" s="18" t="s">
        <v>50</v>
      </c>
      <c r="P336" s="19">
        <v>45383</v>
      </c>
      <c r="Q336" s="20">
        <v>0.28400999999999998</v>
      </c>
      <c r="R336" s="21">
        <v>70335</v>
      </c>
      <c r="S336" s="18" t="s">
        <v>30</v>
      </c>
      <c r="T336" s="20">
        <v>97861.721399999995</v>
      </c>
      <c r="U336" s="18" t="s">
        <v>42</v>
      </c>
      <c r="V336" s="19">
        <v>45444</v>
      </c>
      <c r="W336" s="18" t="s">
        <v>38</v>
      </c>
      <c r="X336" s="19">
        <v>45376</v>
      </c>
      <c r="Y336" s="18" t="s">
        <v>33</v>
      </c>
      <c r="Z336" s="43" t="e">
        <f>TEXT([1]!Table64[[#This Row],[Order date]],"mmm-yyyy")</f>
        <v>#REF!</v>
      </c>
    </row>
    <row r="337" spans="1:26" x14ac:dyDescent="0.3">
      <c r="A337" s="22">
        <v>10336</v>
      </c>
      <c r="B337" s="23">
        <v>6956</v>
      </c>
      <c r="C337" s="23" t="s">
        <v>34</v>
      </c>
      <c r="D337" s="24">
        <v>43579.74</v>
      </c>
      <c r="E337" s="23">
        <v>40</v>
      </c>
      <c r="F337" s="23" t="s">
        <v>46</v>
      </c>
      <c r="G337" s="25">
        <v>45337</v>
      </c>
      <c r="H337" s="24">
        <v>76672.55</v>
      </c>
      <c r="I337" s="26" t="s">
        <v>27</v>
      </c>
      <c r="J337" s="15" t="s">
        <v>36</v>
      </c>
      <c r="K337" s="15">
        <v>1444</v>
      </c>
      <c r="L337" s="16">
        <v>45332</v>
      </c>
      <c r="M337" s="17">
        <v>3</v>
      </c>
      <c r="N337" s="27">
        <v>90336</v>
      </c>
      <c r="O337" s="27" t="s">
        <v>40</v>
      </c>
      <c r="P337" s="28">
        <v>45383</v>
      </c>
      <c r="Q337" s="29">
        <v>0.17585999999999999</v>
      </c>
      <c r="R337" s="30">
        <v>70336</v>
      </c>
      <c r="S337" s="27" t="s">
        <v>30</v>
      </c>
      <c r="T337" s="29">
        <v>170706.72870000001</v>
      </c>
      <c r="U337" s="27" t="s">
        <v>31</v>
      </c>
      <c r="V337" s="28">
        <v>45444</v>
      </c>
      <c r="W337" s="27" t="s">
        <v>32</v>
      </c>
      <c r="X337" s="28">
        <v>45376</v>
      </c>
      <c r="Y337" s="27" t="s">
        <v>33</v>
      </c>
      <c r="Z337" s="43" t="e">
        <f>TEXT([1]!Table64[[#This Row],[Order date]],"mmm-yyyy")</f>
        <v>#REF!</v>
      </c>
    </row>
    <row r="338" spans="1:26" x14ac:dyDescent="0.3">
      <c r="A338" s="10">
        <v>10337</v>
      </c>
      <c r="B338" s="11">
        <v>5403</v>
      </c>
      <c r="C338" s="11" t="s">
        <v>34</v>
      </c>
      <c r="D338" s="12">
        <v>8234.51</v>
      </c>
      <c r="E338" s="11">
        <v>28</v>
      </c>
      <c r="F338" s="11" t="s">
        <v>35</v>
      </c>
      <c r="G338" s="13">
        <v>45337</v>
      </c>
      <c r="H338" s="12">
        <v>73094.69</v>
      </c>
      <c r="I338" s="14" t="s">
        <v>47</v>
      </c>
      <c r="J338" s="15" t="s">
        <v>36</v>
      </c>
      <c r="K338" s="15">
        <v>148</v>
      </c>
      <c r="L338" s="16">
        <v>45332</v>
      </c>
      <c r="M338" s="17">
        <v>1</v>
      </c>
      <c r="N338" s="18">
        <v>90337</v>
      </c>
      <c r="O338" s="18" t="s">
        <v>40</v>
      </c>
      <c r="P338" s="19">
        <v>45430</v>
      </c>
      <c r="Q338" s="20">
        <v>0.65803</v>
      </c>
      <c r="R338" s="21">
        <v>70337</v>
      </c>
      <c r="S338" s="18" t="s">
        <v>41</v>
      </c>
      <c r="T338" s="20">
        <v>86260.168869999994</v>
      </c>
      <c r="U338" s="18" t="s">
        <v>42</v>
      </c>
      <c r="V338" s="19">
        <v>45444</v>
      </c>
      <c r="W338" s="18" t="s">
        <v>38</v>
      </c>
      <c r="X338" s="19">
        <v>45376</v>
      </c>
      <c r="Y338" s="18" t="s">
        <v>33</v>
      </c>
      <c r="Z338" s="43" t="e">
        <f>TEXT([1]!Table64[[#This Row],[Order date]],"mmm-yyyy")</f>
        <v>#REF!</v>
      </c>
    </row>
    <row r="339" spans="1:26" x14ac:dyDescent="0.3">
      <c r="A339" s="22">
        <v>10338</v>
      </c>
      <c r="B339" s="23">
        <v>6370</v>
      </c>
      <c r="C339" s="23" t="s">
        <v>25</v>
      </c>
      <c r="D339" s="24">
        <v>85357.4</v>
      </c>
      <c r="E339" s="23">
        <v>47</v>
      </c>
      <c r="F339" s="23" t="s">
        <v>26</v>
      </c>
      <c r="G339" s="25">
        <v>45361</v>
      </c>
      <c r="H339" s="24">
        <v>135846.01999999999</v>
      </c>
      <c r="I339" s="26" t="s">
        <v>44</v>
      </c>
      <c r="J339" s="15" t="s">
        <v>49</v>
      </c>
      <c r="K339" s="15">
        <v>96</v>
      </c>
      <c r="L339" s="16">
        <v>45332</v>
      </c>
      <c r="M339" s="17">
        <v>13</v>
      </c>
      <c r="N339" s="27">
        <v>90338</v>
      </c>
      <c r="O339" s="27" t="s">
        <v>50</v>
      </c>
      <c r="P339" s="28">
        <v>45430</v>
      </c>
      <c r="Q339" s="29">
        <v>0.23261999999999999</v>
      </c>
      <c r="R339" s="30">
        <v>70338</v>
      </c>
      <c r="S339" s="27" t="s">
        <v>41</v>
      </c>
      <c r="T339" s="29">
        <v>92553.458499999993</v>
      </c>
      <c r="U339" s="27" t="s">
        <v>31</v>
      </c>
      <c r="V339" s="28">
        <v>45392</v>
      </c>
      <c r="W339" s="27" t="s">
        <v>38</v>
      </c>
      <c r="X339" s="28">
        <v>45376</v>
      </c>
      <c r="Y339" s="27" t="s">
        <v>33</v>
      </c>
      <c r="Z339" s="43" t="e">
        <f>TEXT([1]!Table64[[#This Row],[Order date]],"mmm-yyyy")</f>
        <v>#REF!</v>
      </c>
    </row>
    <row r="340" spans="1:26" x14ac:dyDescent="0.3">
      <c r="A340" s="10">
        <v>10339</v>
      </c>
      <c r="B340" s="11">
        <v>6987</v>
      </c>
      <c r="C340" s="11" t="s">
        <v>34</v>
      </c>
      <c r="D340" s="12">
        <v>49269.59</v>
      </c>
      <c r="E340" s="11">
        <v>39</v>
      </c>
      <c r="F340" s="11" t="s">
        <v>43</v>
      </c>
      <c r="G340" s="13">
        <v>45306</v>
      </c>
      <c r="H340" s="12">
        <v>19690.57</v>
      </c>
      <c r="I340" s="14" t="s">
        <v>47</v>
      </c>
      <c r="J340" s="15" t="s">
        <v>49</v>
      </c>
      <c r="K340" s="15">
        <v>888</v>
      </c>
      <c r="L340" s="16">
        <v>45397</v>
      </c>
      <c r="M340" s="17">
        <v>4</v>
      </c>
      <c r="N340" s="18">
        <v>90339</v>
      </c>
      <c r="O340" s="18" t="s">
        <v>50</v>
      </c>
      <c r="P340" s="19">
        <v>45430</v>
      </c>
      <c r="Q340" s="20">
        <v>0.24396999999999999</v>
      </c>
      <c r="R340" s="21">
        <v>70339</v>
      </c>
      <c r="S340" s="18" t="s">
        <v>41</v>
      </c>
      <c r="T340" s="20">
        <v>146240.80395999999</v>
      </c>
      <c r="U340" s="18" t="s">
        <v>42</v>
      </c>
      <c r="V340" s="19">
        <v>45444</v>
      </c>
      <c r="W340" s="18" t="s">
        <v>38</v>
      </c>
      <c r="X340" s="19">
        <v>45384</v>
      </c>
      <c r="Y340" s="18" t="s">
        <v>39</v>
      </c>
      <c r="Z340" s="43" t="e">
        <f>TEXT([1]!Table64[[#This Row],[Order date]],"mmm-yyyy")</f>
        <v>#REF!</v>
      </c>
    </row>
    <row r="341" spans="1:26" x14ac:dyDescent="0.3">
      <c r="A341" s="22">
        <v>10340</v>
      </c>
      <c r="B341" s="23">
        <v>6535</v>
      </c>
      <c r="C341" s="23" t="s">
        <v>34</v>
      </c>
      <c r="D341" s="24">
        <v>75050.16</v>
      </c>
      <c r="E341" s="23">
        <v>70</v>
      </c>
      <c r="F341" s="23" t="s">
        <v>35</v>
      </c>
      <c r="G341" s="25">
        <v>45337</v>
      </c>
      <c r="H341" s="24">
        <v>177260.55</v>
      </c>
      <c r="I341" s="26" t="s">
        <v>44</v>
      </c>
      <c r="J341" s="15" t="s">
        <v>28</v>
      </c>
      <c r="K341" s="15">
        <v>471</v>
      </c>
      <c r="L341" s="16">
        <v>45332</v>
      </c>
      <c r="M341" s="17">
        <v>14</v>
      </c>
      <c r="N341" s="27">
        <v>90340</v>
      </c>
      <c r="O341" s="27" t="s">
        <v>37</v>
      </c>
      <c r="P341" s="28">
        <v>45383</v>
      </c>
      <c r="Q341" s="29">
        <v>0.11280999999999999</v>
      </c>
      <c r="R341" s="30">
        <v>70340</v>
      </c>
      <c r="S341" s="27" t="s">
        <v>45</v>
      </c>
      <c r="T341" s="29">
        <v>104086.90661000001</v>
      </c>
      <c r="U341" s="27" t="s">
        <v>48</v>
      </c>
      <c r="V341" s="28">
        <v>45392</v>
      </c>
      <c r="W341" s="27" t="s">
        <v>32</v>
      </c>
      <c r="X341" s="28">
        <v>45384</v>
      </c>
      <c r="Y341" s="27" t="s">
        <v>33</v>
      </c>
      <c r="Z341" s="43" t="e">
        <f>TEXT([1]!Table64[[#This Row],[Order date]],"mmm-yyyy")</f>
        <v>#REF!</v>
      </c>
    </row>
    <row r="342" spans="1:26" x14ac:dyDescent="0.3">
      <c r="A342" s="10">
        <v>10341</v>
      </c>
      <c r="B342" s="11">
        <v>5147</v>
      </c>
      <c r="C342" s="11" t="s">
        <v>25</v>
      </c>
      <c r="D342" s="12">
        <v>60916.95</v>
      </c>
      <c r="E342" s="11">
        <v>73</v>
      </c>
      <c r="F342" s="11" t="s">
        <v>35</v>
      </c>
      <c r="G342" s="13">
        <v>45383</v>
      </c>
      <c r="H342" s="12">
        <v>75233.75</v>
      </c>
      <c r="I342" s="14" t="s">
        <v>47</v>
      </c>
      <c r="J342" s="15" t="s">
        <v>49</v>
      </c>
      <c r="K342" s="15">
        <v>111</v>
      </c>
      <c r="L342" s="16">
        <v>45361</v>
      </c>
      <c r="M342" s="17">
        <v>9</v>
      </c>
      <c r="N342" s="18">
        <v>90341</v>
      </c>
      <c r="O342" s="18" t="s">
        <v>40</v>
      </c>
      <c r="P342" s="19">
        <v>45430</v>
      </c>
      <c r="Q342" s="20">
        <v>0.80388000000000004</v>
      </c>
      <c r="R342" s="21">
        <v>70341</v>
      </c>
      <c r="S342" s="18" t="s">
        <v>45</v>
      </c>
      <c r="T342" s="20">
        <v>110070.22870000001</v>
      </c>
      <c r="U342" s="18" t="s">
        <v>31</v>
      </c>
      <c r="V342" s="19">
        <v>45422</v>
      </c>
      <c r="W342" s="18" t="s">
        <v>38</v>
      </c>
      <c r="X342" s="19">
        <v>45376</v>
      </c>
      <c r="Y342" s="18" t="s">
        <v>33</v>
      </c>
      <c r="Z342" s="43" t="e">
        <f>TEXT([1]!Table64[[#This Row],[Order date]],"mmm-yyyy")</f>
        <v>#REF!</v>
      </c>
    </row>
    <row r="343" spans="1:26" x14ac:dyDescent="0.3">
      <c r="A343" s="22">
        <v>10342</v>
      </c>
      <c r="B343" s="23">
        <v>6172</v>
      </c>
      <c r="C343" s="23" t="s">
        <v>34</v>
      </c>
      <c r="D343" s="24">
        <v>93189.09</v>
      </c>
      <c r="E343" s="23">
        <v>20</v>
      </c>
      <c r="F343" s="23" t="s">
        <v>26</v>
      </c>
      <c r="G343" s="25">
        <v>45337</v>
      </c>
      <c r="H343" s="24">
        <v>96148.98</v>
      </c>
      <c r="I343" s="26" t="s">
        <v>44</v>
      </c>
      <c r="J343" s="15" t="s">
        <v>28</v>
      </c>
      <c r="K343" s="15">
        <v>1182</v>
      </c>
      <c r="L343" s="16">
        <v>45397</v>
      </c>
      <c r="M343" s="17">
        <v>2</v>
      </c>
      <c r="N343" s="27">
        <v>90342</v>
      </c>
      <c r="O343" s="27" t="s">
        <v>29</v>
      </c>
      <c r="P343" s="28">
        <v>45430</v>
      </c>
      <c r="Q343" s="29">
        <v>0.83106999999999998</v>
      </c>
      <c r="R343" s="30">
        <v>70342</v>
      </c>
      <c r="S343" s="27" t="s">
        <v>41</v>
      </c>
      <c r="T343" s="29">
        <v>173168.49859999999</v>
      </c>
      <c r="U343" s="27" t="s">
        <v>31</v>
      </c>
      <c r="V343" s="28">
        <v>45392</v>
      </c>
      <c r="W343" s="27" t="s">
        <v>38</v>
      </c>
      <c r="X343" s="28">
        <v>45376</v>
      </c>
      <c r="Y343" s="27" t="s">
        <v>39</v>
      </c>
      <c r="Z343" s="43" t="e">
        <f>TEXT([1]!Table64[[#This Row],[Order date]],"mmm-yyyy")</f>
        <v>#REF!</v>
      </c>
    </row>
    <row r="344" spans="1:26" x14ac:dyDescent="0.3">
      <c r="A344" s="10">
        <v>10343</v>
      </c>
      <c r="B344" s="11">
        <v>5864</v>
      </c>
      <c r="C344" s="11" t="s">
        <v>34</v>
      </c>
      <c r="D344" s="12">
        <v>67070.240000000005</v>
      </c>
      <c r="E344" s="11">
        <v>1</v>
      </c>
      <c r="F344" s="11" t="s">
        <v>26</v>
      </c>
      <c r="G344" s="13">
        <v>45337</v>
      </c>
      <c r="H344" s="12">
        <v>15834.24</v>
      </c>
      <c r="I344" s="14" t="s">
        <v>47</v>
      </c>
      <c r="J344" s="15" t="s">
        <v>36</v>
      </c>
      <c r="K344" s="15">
        <v>1192</v>
      </c>
      <c r="L344" s="16">
        <v>45397</v>
      </c>
      <c r="M344" s="17">
        <v>3</v>
      </c>
      <c r="N344" s="18">
        <v>90343</v>
      </c>
      <c r="O344" s="18" t="s">
        <v>40</v>
      </c>
      <c r="P344" s="19">
        <v>45352</v>
      </c>
      <c r="Q344" s="20">
        <v>0.24582000000000001</v>
      </c>
      <c r="R344" s="21">
        <v>70343</v>
      </c>
      <c r="S344" s="18" t="s">
        <v>41</v>
      </c>
      <c r="T344" s="20">
        <v>144311.44664000001</v>
      </c>
      <c r="U344" s="18" t="s">
        <v>31</v>
      </c>
      <c r="V344" s="19">
        <v>45422</v>
      </c>
      <c r="W344" s="18" t="s">
        <v>38</v>
      </c>
      <c r="X344" s="19">
        <v>45376</v>
      </c>
      <c r="Y344" s="18" t="s">
        <v>33</v>
      </c>
      <c r="Z344" s="43" t="e">
        <f>TEXT([1]!Table64[[#This Row],[Order date]],"mmm-yyyy")</f>
        <v>#REF!</v>
      </c>
    </row>
    <row r="345" spans="1:26" x14ac:dyDescent="0.3">
      <c r="A345" s="22">
        <v>10344</v>
      </c>
      <c r="B345" s="23">
        <v>6735</v>
      </c>
      <c r="C345" s="23" t="s">
        <v>34</v>
      </c>
      <c r="D345" s="24">
        <v>32662.99</v>
      </c>
      <c r="E345" s="23">
        <v>72</v>
      </c>
      <c r="F345" s="23" t="s">
        <v>43</v>
      </c>
      <c r="G345" s="25">
        <v>45361</v>
      </c>
      <c r="H345" s="24">
        <v>83334.52</v>
      </c>
      <c r="I345" s="26" t="s">
        <v>44</v>
      </c>
      <c r="J345" s="15" t="s">
        <v>49</v>
      </c>
      <c r="K345" s="15">
        <v>1059</v>
      </c>
      <c r="L345" s="16">
        <v>45332</v>
      </c>
      <c r="M345" s="17">
        <v>2</v>
      </c>
      <c r="N345" s="27">
        <v>90344</v>
      </c>
      <c r="O345" s="27" t="s">
        <v>29</v>
      </c>
      <c r="P345" s="28">
        <v>45352</v>
      </c>
      <c r="Q345" s="29">
        <v>0.76556999999999997</v>
      </c>
      <c r="R345" s="30">
        <v>70344</v>
      </c>
      <c r="S345" s="27" t="s">
        <v>41</v>
      </c>
      <c r="T345" s="29">
        <v>106879.22047</v>
      </c>
      <c r="U345" s="27" t="s">
        <v>42</v>
      </c>
      <c r="V345" s="28">
        <v>45392</v>
      </c>
      <c r="W345" s="27" t="s">
        <v>32</v>
      </c>
      <c r="X345" s="28">
        <v>45384</v>
      </c>
      <c r="Y345" s="27" t="s">
        <v>39</v>
      </c>
      <c r="Z345" s="43" t="e">
        <f>TEXT([1]!Table64[[#This Row],[Order date]],"mmm-yyyy")</f>
        <v>#REF!</v>
      </c>
    </row>
    <row r="346" spans="1:26" x14ac:dyDescent="0.3">
      <c r="A346" s="10">
        <v>10345</v>
      </c>
      <c r="B346" s="11">
        <v>6844</v>
      </c>
      <c r="C346" s="11" t="s">
        <v>34</v>
      </c>
      <c r="D346" s="12">
        <v>69699.600000000006</v>
      </c>
      <c r="E346" s="11">
        <v>87</v>
      </c>
      <c r="F346" s="11" t="s">
        <v>43</v>
      </c>
      <c r="G346" s="13">
        <v>45383</v>
      </c>
      <c r="H346" s="12">
        <v>137618.47</v>
      </c>
      <c r="I346" s="14" t="s">
        <v>47</v>
      </c>
      <c r="J346" s="15" t="s">
        <v>49</v>
      </c>
      <c r="K346" s="15">
        <v>647</v>
      </c>
      <c r="L346" s="16">
        <v>45332</v>
      </c>
      <c r="M346" s="17">
        <v>14</v>
      </c>
      <c r="N346" s="18">
        <v>90345</v>
      </c>
      <c r="O346" s="18" t="s">
        <v>29</v>
      </c>
      <c r="P346" s="19">
        <v>45430</v>
      </c>
      <c r="Q346" s="20">
        <v>0.49019000000000001</v>
      </c>
      <c r="R346" s="21">
        <v>70345</v>
      </c>
      <c r="S346" s="18" t="s">
        <v>41</v>
      </c>
      <c r="T346" s="20">
        <v>141112.29810000001</v>
      </c>
      <c r="U346" s="18" t="s">
        <v>31</v>
      </c>
      <c r="V346" s="19">
        <v>45392</v>
      </c>
      <c r="W346" s="18" t="s">
        <v>38</v>
      </c>
      <c r="X346" s="19">
        <v>45384</v>
      </c>
      <c r="Y346" s="18" t="s">
        <v>33</v>
      </c>
      <c r="Z346" s="43" t="e">
        <f>TEXT([1]!Table64[[#This Row],[Order date]],"mmm-yyyy")</f>
        <v>#REF!</v>
      </c>
    </row>
    <row r="347" spans="1:26" x14ac:dyDescent="0.3">
      <c r="A347" s="22">
        <v>10346</v>
      </c>
      <c r="B347" s="23">
        <v>5489</v>
      </c>
      <c r="C347" s="23" t="s">
        <v>34</v>
      </c>
      <c r="D347" s="24">
        <v>15758.1</v>
      </c>
      <c r="E347" s="23">
        <v>63</v>
      </c>
      <c r="F347" s="23" t="s">
        <v>26</v>
      </c>
      <c r="G347" s="25">
        <v>45337</v>
      </c>
      <c r="H347" s="24">
        <v>23566.47</v>
      </c>
      <c r="I347" s="26" t="s">
        <v>27</v>
      </c>
      <c r="J347" s="15" t="s">
        <v>49</v>
      </c>
      <c r="K347" s="15">
        <v>1455</v>
      </c>
      <c r="L347" s="16">
        <v>45361</v>
      </c>
      <c r="M347" s="17">
        <v>2</v>
      </c>
      <c r="N347" s="27">
        <v>90346</v>
      </c>
      <c r="O347" s="27" t="s">
        <v>29</v>
      </c>
      <c r="P347" s="28">
        <v>45430</v>
      </c>
      <c r="Q347" s="29">
        <v>0.31563999999999998</v>
      </c>
      <c r="R347" s="30">
        <v>70346</v>
      </c>
      <c r="S347" s="27" t="s">
        <v>41</v>
      </c>
      <c r="T347" s="29">
        <v>160254.3523</v>
      </c>
      <c r="U347" s="27" t="s">
        <v>42</v>
      </c>
      <c r="V347" s="28">
        <v>45444</v>
      </c>
      <c r="W347" s="27" t="s">
        <v>38</v>
      </c>
      <c r="X347" s="28">
        <v>45376</v>
      </c>
      <c r="Y347" s="27" t="s">
        <v>39</v>
      </c>
      <c r="Z347" s="43" t="e">
        <f>TEXT([1]!Table64[[#This Row],[Order date]],"mmm-yyyy")</f>
        <v>#REF!</v>
      </c>
    </row>
    <row r="348" spans="1:26" x14ac:dyDescent="0.3">
      <c r="A348" s="10">
        <v>10347</v>
      </c>
      <c r="B348" s="11">
        <v>5929</v>
      </c>
      <c r="C348" s="11" t="s">
        <v>25</v>
      </c>
      <c r="D348" s="12">
        <v>64352.38</v>
      </c>
      <c r="E348" s="11">
        <v>67</v>
      </c>
      <c r="F348" s="11" t="s">
        <v>43</v>
      </c>
      <c r="G348" s="13">
        <v>45337</v>
      </c>
      <c r="H348" s="12">
        <v>65993.47</v>
      </c>
      <c r="I348" s="14" t="s">
        <v>27</v>
      </c>
      <c r="J348" s="15" t="s">
        <v>36</v>
      </c>
      <c r="K348" s="15">
        <v>441</v>
      </c>
      <c r="L348" s="16">
        <v>45397</v>
      </c>
      <c r="M348" s="17">
        <v>10</v>
      </c>
      <c r="N348" s="18">
        <v>90347</v>
      </c>
      <c r="O348" s="18" t="s">
        <v>37</v>
      </c>
      <c r="P348" s="19">
        <v>45430</v>
      </c>
      <c r="Q348" s="20">
        <v>0.65925</v>
      </c>
      <c r="R348" s="21">
        <v>70347</v>
      </c>
      <c r="S348" s="18" t="s">
        <v>41</v>
      </c>
      <c r="T348" s="20">
        <v>155114.56940000001</v>
      </c>
      <c r="U348" s="18" t="s">
        <v>31</v>
      </c>
      <c r="V348" s="19">
        <v>45392</v>
      </c>
      <c r="W348" s="18" t="s">
        <v>32</v>
      </c>
      <c r="X348" s="19">
        <v>45384</v>
      </c>
      <c r="Y348" s="18" t="s">
        <v>39</v>
      </c>
      <c r="Z348" s="43" t="e">
        <f>TEXT([1]!Table64[[#This Row],[Order date]],"mmm-yyyy")</f>
        <v>#REF!</v>
      </c>
    </row>
    <row r="349" spans="1:26" x14ac:dyDescent="0.3">
      <c r="A349" s="22">
        <v>10348</v>
      </c>
      <c r="B349" s="23">
        <v>6960</v>
      </c>
      <c r="C349" s="23" t="s">
        <v>34</v>
      </c>
      <c r="D349" s="24">
        <v>48330.53</v>
      </c>
      <c r="E349" s="23">
        <v>4</v>
      </c>
      <c r="F349" s="23" t="s">
        <v>26</v>
      </c>
      <c r="G349" s="25">
        <v>45383</v>
      </c>
      <c r="H349" s="24">
        <v>124090.11</v>
      </c>
      <c r="I349" s="26" t="s">
        <v>44</v>
      </c>
      <c r="J349" s="15" t="s">
        <v>28</v>
      </c>
      <c r="K349" s="15">
        <v>1026</v>
      </c>
      <c r="L349" s="16">
        <v>45332</v>
      </c>
      <c r="M349" s="17">
        <v>11</v>
      </c>
      <c r="N349" s="27">
        <v>90348</v>
      </c>
      <c r="O349" s="27" t="s">
        <v>50</v>
      </c>
      <c r="P349" s="28">
        <v>45383</v>
      </c>
      <c r="Q349" s="29">
        <v>0.26063999999999998</v>
      </c>
      <c r="R349" s="30">
        <v>70348</v>
      </c>
      <c r="S349" s="27" t="s">
        <v>45</v>
      </c>
      <c r="T349" s="29">
        <v>76869.200299999997</v>
      </c>
      <c r="U349" s="27" t="s">
        <v>42</v>
      </c>
      <c r="V349" s="28">
        <v>45392</v>
      </c>
      <c r="W349" s="27" t="s">
        <v>38</v>
      </c>
      <c r="X349" s="28">
        <v>45376</v>
      </c>
      <c r="Y349" s="27" t="s">
        <v>39</v>
      </c>
      <c r="Z349" s="43" t="e">
        <f>TEXT([1]!Table64[[#This Row],[Order date]],"mmm-yyyy")</f>
        <v>#REF!</v>
      </c>
    </row>
    <row r="350" spans="1:26" x14ac:dyDescent="0.3">
      <c r="A350" s="10">
        <v>10349</v>
      </c>
      <c r="B350" s="11">
        <v>6664</v>
      </c>
      <c r="C350" s="11" t="s">
        <v>25</v>
      </c>
      <c r="D350" s="12">
        <v>39665.33</v>
      </c>
      <c r="E350" s="11">
        <v>58</v>
      </c>
      <c r="F350" s="11" t="s">
        <v>35</v>
      </c>
      <c r="G350" s="13">
        <v>45306</v>
      </c>
      <c r="H350" s="12">
        <v>77662.06</v>
      </c>
      <c r="I350" s="14" t="s">
        <v>44</v>
      </c>
      <c r="J350" s="15" t="s">
        <v>36</v>
      </c>
      <c r="K350" s="15">
        <v>1125</v>
      </c>
      <c r="L350" s="16">
        <v>45361</v>
      </c>
      <c r="M350" s="17">
        <v>11</v>
      </c>
      <c r="N350" s="18">
        <v>90349</v>
      </c>
      <c r="O350" s="18" t="s">
        <v>50</v>
      </c>
      <c r="P350" s="19">
        <v>45352</v>
      </c>
      <c r="Q350" s="20">
        <v>0.78120000000000001</v>
      </c>
      <c r="R350" s="21">
        <v>70349</v>
      </c>
      <c r="S350" s="18" t="s">
        <v>41</v>
      </c>
      <c r="T350" s="20">
        <v>104997.30875</v>
      </c>
      <c r="U350" s="18" t="s">
        <v>31</v>
      </c>
      <c r="V350" s="19">
        <v>45444</v>
      </c>
      <c r="W350" s="18" t="s">
        <v>32</v>
      </c>
      <c r="X350" s="19">
        <v>45376</v>
      </c>
      <c r="Y350" s="18" t="s">
        <v>33</v>
      </c>
      <c r="Z350" s="43" t="e">
        <f>TEXT([1]!Table64[[#This Row],[Order date]],"mmm-yyyy")</f>
        <v>#REF!</v>
      </c>
    </row>
    <row r="351" spans="1:26" x14ac:dyDescent="0.3">
      <c r="A351" s="22">
        <v>10350</v>
      </c>
      <c r="B351" s="23">
        <v>5551</v>
      </c>
      <c r="C351" s="23" t="s">
        <v>34</v>
      </c>
      <c r="D351" s="24">
        <v>15436.01</v>
      </c>
      <c r="E351" s="23">
        <v>25</v>
      </c>
      <c r="F351" s="23" t="s">
        <v>26</v>
      </c>
      <c r="G351" s="25">
        <v>45306</v>
      </c>
      <c r="H351" s="24">
        <v>81429.62</v>
      </c>
      <c r="I351" s="26" t="s">
        <v>47</v>
      </c>
      <c r="J351" s="15" t="s">
        <v>36</v>
      </c>
      <c r="K351" s="15">
        <v>652</v>
      </c>
      <c r="L351" s="16">
        <v>45332</v>
      </c>
      <c r="M351" s="17">
        <v>8</v>
      </c>
      <c r="N351" s="27">
        <v>90350</v>
      </c>
      <c r="O351" s="27" t="s">
        <v>37</v>
      </c>
      <c r="P351" s="28">
        <v>45352</v>
      </c>
      <c r="Q351" s="29">
        <v>0.14285</v>
      </c>
      <c r="R351" s="30">
        <v>70350</v>
      </c>
      <c r="S351" s="27" t="s">
        <v>45</v>
      </c>
      <c r="T351" s="29">
        <v>111141.2421</v>
      </c>
      <c r="U351" s="27" t="s">
        <v>48</v>
      </c>
      <c r="V351" s="28">
        <v>45422</v>
      </c>
      <c r="W351" s="27" t="s">
        <v>32</v>
      </c>
      <c r="X351" s="28">
        <v>45376</v>
      </c>
      <c r="Y351" s="27" t="s">
        <v>33</v>
      </c>
      <c r="Z351" s="43" t="e">
        <f>TEXT([1]!Table64[[#This Row],[Order date]],"mmm-yyyy")</f>
        <v>#REF!</v>
      </c>
    </row>
    <row r="352" spans="1:26" x14ac:dyDescent="0.3">
      <c r="A352" s="10">
        <v>10351</v>
      </c>
      <c r="B352" s="11">
        <v>5338</v>
      </c>
      <c r="C352" s="11" t="s">
        <v>34</v>
      </c>
      <c r="D352" s="12">
        <v>35943.65</v>
      </c>
      <c r="E352" s="11">
        <v>47</v>
      </c>
      <c r="F352" s="11" t="s">
        <v>26</v>
      </c>
      <c r="G352" s="13">
        <v>45337</v>
      </c>
      <c r="H352" s="12">
        <v>136125.76999999999</v>
      </c>
      <c r="I352" s="14" t="s">
        <v>44</v>
      </c>
      <c r="J352" s="15" t="s">
        <v>49</v>
      </c>
      <c r="K352" s="15">
        <v>1362</v>
      </c>
      <c r="L352" s="16">
        <v>45397</v>
      </c>
      <c r="M352" s="17">
        <v>3</v>
      </c>
      <c r="N352" s="18">
        <v>90351</v>
      </c>
      <c r="O352" s="18" t="s">
        <v>50</v>
      </c>
      <c r="P352" s="19">
        <v>45352</v>
      </c>
      <c r="Q352" s="20">
        <v>0.96321999999999997</v>
      </c>
      <c r="R352" s="21">
        <v>70351</v>
      </c>
      <c r="S352" s="18" t="s">
        <v>45</v>
      </c>
      <c r="T352" s="20">
        <v>163528.50018</v>
      </c>
      <c r="U352" s="18" t="s">
        <v>48</v>
      </c>
      <c r="V352" s="19">
        <v>45444</v>
      </c>
      <c r="W352" s="18" t="s">
        <v>38</v>
      </c>
      <c r="X352" s="19">
        <v>45376</v>
      </c>
      <c r="Y352" s="18" t="s">
        <v>33</v>
      </c>
      <c r="Z352" s="43" t="e">
        <f>TEXT([1]!Table64[[#This Row],[Order date]],"mmm-yyyy")</f>
        <v>#REF!</v>
      </c>
    </row>
    <row r="353" spans="1:26" x14ac:dyDescent="0.3">
      <c r="A353" s="22">
        <v>10352</v>
      </c>
      <c r="B353" s="23">
        <v>5872</v>
      </c>
      <c r="C353" s="23" t="s">
        <v>25</v>
      </c>
      <c r="D353" s="24">
        <v>87766.76</v>
      </c>
      <c r="E353" s="23">
        <v>38</v>
      </c>
      <c r="F353" s="23" t="s">
        <v>46</v>
      </c>
      <c r="G353" s="25">
        <v>45337</v>
      </c>
      <c r="H353" s="24">
        <v>150540.49</v>
      </c>
      <c r="I353" s="26" t="s">
        <v>27</v>
      </c>
      <c r="J353" s="15" t="s">
        <v>28</v>
      </c>
      <c r="K353" s="15">
        <v>386</v>
      </c>
      <c r="L353" s="16">
        <v>45332</v>
      </c>
      <c r="M353" s="17">
        <v>7</v>
      </c>
      <c r="N353" s="27">
        <v>90352</v>
      </c>
      <c r="O353" s="27" t="s">
        <v>37</v>
      </c>
      <c r="P353" s="28">
        <v>45430</v>
      </c>
      <c r="Q353" s="29">
        <v>0.16469</v>
      </c>
      <c r="R353" s="30">
        <v>70352</v>
      </c>
      <c r="S353" s="27" t="s">
        <v>45</v>
      </c>
      <c r="T353" s="29">
        <v>73178.010819999996</v>
      </c>
      <c r="U353" s="27" t="s">
        <v>31</v>
      </c>
      <c r="V353" s="28">
        <v>45444</v>
      </c>
      <c r="W353" s="27" t="s">
        <v>38</v>
      </c>
      <c r="X353" s="28">
        <v>45376</v>
      </c>
      <c r="Y353" s="27" t="s">
        <v>39</v>
      </c>
      <c r="Z353" s="43" t="e">
        <f>TEXT([1]!Table64[[#This Row],[Order date]],"mmm-yyyy")</f>
        <v>#REF!</v>
      </c>
    </row>
    <row r="354" spans="1:26" x14ac:dyDescent="0.3">
      <c r="A354" s="10">
        <v>10353</v>
      </c>
      <c r="B354" s="11">
        <v>5641</v>
      </c>
      <c r="C354" s="11" t="s">
        <v>34</v>
      </c>
      <c r="D354" s="12">
        <v>76115.72</v>
      </c>
      <c r="E354" s="11">
        <v>15</v>
      </c>
      <c r="F354" s="11" t="s">
        <v>26</v>
      </c>
      <c r="G354" s="13">
        <v>45306</v>
      </c>
      <c r="H354" s="12">
        <v>29466.43</v>
      </c>
      <c r="I354" s="14" t="s">
        <v>44</v>
      </c>
      <c r="J354" s="15" t="s">
        <v>36</v>
      </c>
      <c r="K354" s="15">
        <v>859</v>
      </c>
      <c r="L354" s="16">
        <v>45397</v>
      </c>
      <c r="M354" s="17">
        <v>8</v>
      </c>
      <c r="N354" s="18">
        <v>90353</v>
      </c>
      <c r="O354" s="18" t="s">
        <v>40</v>
      </c>
      <c r="P354" s="19">
        <v>45383</v>
      </c>
      <c r="Q354" s="20">
        <v>0.62150000000000005</v>
      </c>
      <c r="R354" s="21">
        <v>70353</v>
      </c>
      <c r="S354" s="18" t="s">
        <v>41</v>
      </c>
      <c r="T354" s="20">
        <v>53869.229639999998</v>
      </c>
      <c r="U354" s="18" t="s">
        <v>42</v>
      </c>
      <c r="V354" s="19">
        <v>45444</v>
      </c>
      <c r="W354" s="18" t="s">
        <v>32</v>
      </c>
      <c r="X354" s="19">
        <v>45376</v>
      </c>
      <c r="Y354" s="18" t="s">
        <v>39</v>
      </c>
      <c r="Z354" s="43" t="e">
        <f>TEXT([1]!Table64[[#This Row],[Order date]],"mmm-yyyy")</f>
        <v>#REF!</v>
      </c>
    </row>
    <row r="355" spans="1:26" x14ac:dyDescent="0.3">
      <c r="A355" s="22">
        <v>10354</v>
      </c>
      <c r="B355" s="23">
        <v>6803</v>
      </c>
      <c r="C355" s="23" t="s">
        <v>34</v>
      </c>
      <c r="D355" s="24">
        <v>83827.28</v>
      </c>
      <c r="E355" s="23">
        <v>63</v>
      </c>
      <c r="F355" s="23" t="s">
        <v>26</v>
      </c>
      <c r="G355" s="25">
        <v>45361</v>
      </c>
      <c r="H355" s="24">
        <v>122022.81</v>
      </c>
      <c r="I355" s="26" t="s">
        <v>47</v>
      </c>
      <c r="J355" s="15" t="s">
        <v>49</v>
      </c>
      <c r="K355" s="15">
        <v>1277</v>
      </c>
      <c r="L355" s="16">
        <v>45332</v>
      </c>
      <c r="M355" s="17">
        <v>3</v>
      </c>
      <c r="N355" s="27">
        <v>90354</v>
      </c>
      <c r="O355" s="27" t="s">
        <v>37</v>
      </c>
      <c r="P355" s="28">
        <v>45352</v>
      </c>
      <c r="Q355" s="29">
        <v>0.91196999999999995</v>
      </c>
      <c r="R355" s="30">
        <v>70354</v>
      </c>
      <c r="S355" s="27" t="s">
        <v>45</v>
      </c>
      <c r="T355" s="29">
        <v>88580.667249999999</v>
      </c>
      <c r="U355" s="27" t="s">
        <v>42</v>
      </c>
      <c r="V355" s="28">
        <v>45422</v>
      </c>
      <c r="W355" s="27" t="s">
        <v>32</v>
      </c>
      <c r="X355" s="28">
        <v>45376</v>
      </c>
      <c r="Y355" s="27" t="s">
        <v>39</v>
      </c>
      <c r="Z355" s="43" t="e">
        <f>TEXT([1]!Table64[[#This Row],[Order date]],"mmm-yyyy")</f>
        <v>#REF!</v>
      </c>
    </row>
    <row r="356" spans="1:26" x14ac:dyDescent="0.3">
      <c r="A356" s="10">
        <v>10355</v>
      </c>
      <c r="B356" s="11">
        <v>6977</v>
      </c>
      <c r="C356" s="11" t="s">
        <v>34</v>
      </c>
      <c r="D356" s="12">
        <v>69436.789999999994</v>
      </c>
      <c r="E356" s="11">
        <v>21</v>
      </c>
      <c r="F356" s="11" t="s">
        <v>46</v>
      </c>
      <c r="G356" s="13">
        <v>45383</v>
      </c>
      <c r="H356" s="12">
        <v>80512.42</v>
      </c>
      <c r="I356" s="14" t="s">
        <v>44</v>
      </c>
      <c r="J356" s="15" t="s">
        <v>36</v>
      </c>
      <c r="K356" s="15">
        <v>1311</v>
      </c>
      <c r="L356" s="16">
        <v>45397</v>
      </c>
      <c r="M356" s="17">
        <v>2</v>
      </c>
      <c r="N356" s="18">
        <v>90355</v>
      </c>
      <c r="O356" s="18" t="s">
        <v>50</v>
      </c>
      <c r="P356" s="19">
        <v>45352</v>
      </c>
      <c r="Q356" s="20">
        <v>0.11071</v>
      </c>
      <c r="R356" s="21">
        <v>70355</v>
      </c>
      <c r="S356" s="18" t="s">
        <v>41</v>
      </c>
      <c r="T356" s="20">
        <v>183219.77650000001</v>
      </c>
      <c r="U356" s="18" t="s">
        <v>42</v>
      </c>
      <c r="V356" s="19">
        <v>45392</v>
      </c>
      <c r="W356" s="18" t="s">
        <v>32</v>
      </c>
      <c r="X356" s="19">
        <v>45376</v>
      </c>
      <c r="Y356" s="18" t="s">
        <v>39</v>
      </c>
      <c r="Z356" s="43" t="e">
        <f>TEXT([1]!Table64[[#This Row],[Order date]],"mmm-yyyy")</f>
        <v>#REF!</v>
      </c>
    </row>
    <row r="357" spans="1:26" x14ac:dyDescent="0.3">
      <c r="A357" s="22">
        <v>10356</v>
      </c>
      <c r="B357" s="23">
        <v>5473</v>
      </c>
      <c r="C357" s="23" t="s">
        <v>34</v>
      </c>
      <c r="D357" s="24">
        <v>58237.760000000002</v>
      </c>
      <c r="E357" s="23">
        <v>99</v>
      </c>
      <c r="F357" s="23" t="s">
        <v>43</v>
      </c>
      <c r="G357" s="25">
        <v>45383</v>
      </c>
      <c r="H357" s="24">
        <v>149808.13</v>
      </c>
      <c r="I357" s="26" t="s">
        <v>47</v>
      </c>
      <c r="J357" s="15" t="s">
        <v>36</v>
      </c>
      <c r="K357" s="15">
        <v>1455</v>
      </c>
      <c r="L357" s="16">
        <v>45361</v>
      </c>
      <c r="M357" s="17">
        <v>13</v>
      </c>
      <c r="N357" s="27">
        <v>90356</v>
      </c>
      <c r="O357" s="27" t="s">
        <v>50</v>
      </c>
      <c r="P357" s="28">
        <v>45383</v>
      </c>
      <c r="Q357" s="29">
        <v>0.54866000000000004</v>
      </c>
      <c r="R357" s="30">
        <v>70356</v>
      </c>
      <c r="S357" s="27" t="s">
        <v>41</v>
      </c>
      <c r="T357" s="29">
        <v>91725.869900000005</v>
      </c>
      <c r="U357" s="27" t="s">
        <v>48</v>
      </c>
      <c r="V357" s="28">
        <v>45392</v>
      </c>
      <c r="W357" s="27" t="s">
        <v>32</v>
      </c>
      <c r="X357" s="28">
        <v>45384</v>
      </c>
      <c r="Y357" s="27" t="s">
        <v>39</v>
      </c>
      <c r="Z357" s="43" t="e">
        <f>TEXT([1]!Table64[[#This Row],[Order date]],"mmm-yyyy")</f>
        <v>#REF!</v>
      </c>
    </row>
    <row r="358" spans="1:26" x14ac:dyDescent="0.3">
      <c r="A358" s="10">
        <v>10357</v>
      </c>
      <c r="B358" s="11">
        <v>6970</v>
      </c>
      <c r="C358" s="11" t="s">
        <v>34</v>
      </c>
      <c r="D358" s="12">
        <v>86823.12</v>
      </c>
      <c r="E358" s="11">
        <v>57</v>
      </c>
      <c r="F358" s="11" t="s">
        <v>46</v>
      </c>
      <c r="G358" s="13">
        <v>45361</v>
      </c>
      <c r="H358" s="12">
        <v>69701.990000000005</v>
      </c>
      <c r="I358" s="14" t="s">
        <v>27</v>
      </c>
      <c r="J358" s="15" t="s">
        <v>49</v>
      </c>
      <c r="K358" s="15">
        <v>801</v>
      </c>
      <c r="L358" s="16">
        <v>45397</v>
      </c>
      <c r="M358" s="17">
        <v>13</v>
      </c>
      <c r="N358" s="18">
        <v>90357</v>
      </c>
      <c r="O358" s="18" t="s">
        <v>40</v>
      </c>
      <c r="P358" s="19">
        <v>45430</v>
      </c>
      <c r="Q358" s="20">
        <v>0.41500999999999999</v>
      </c>
      <c r="R358" s="21">
        <v>70357</v>
      </c>
      <c r="S358" s="18" t="s">
        <v>41</v>
      </c>
      <c r="T358" s="20">
        <v>157715.486</v>
      </c>
      <c r="U358" s="18" t="s">
        <v>48</v>
      </c>
      <c r="V358" s="19">
        <v>45444</v>
      </c>
      <c r="W358" s="18" t="s">
        <v>38</v>
      </c>
      <c r="X358" s="19">
        <v>45384</v>
      </c>
      <c r="Y358" s="18" t="s">
        <v>39</v>
      </c>
      <c r="Z358" s="43" t="e">
        <f>TEXT([1]!Table64[[#This Row],[Order date]],"mmm-yyyy")</f>
        <v>#REF!</v>
      </c>
    </row>
    <row r="359" spans="1:26" x14ac:dyDescent="0.3">
      <c r="A359" s="22">
        <v>10358</v>
      </c>
      <c r="B359" s="23">
        <v>5151</v>
      </c>
      <c r="C359" s="23" t="s">
        <v>34</v>
      </c>
      <c r="D359" s="24">
        <v>55359.74</v>
      </c>
      <c r="E359" s="23">
        <v>53</v>
      </c>
      <c r="F359" s="23" t="s">
        <v>35</v>
      </c>
      <c r="G359" s="25">
        <v>45361</v>
      </c>
      <c r="H359" s="24">
        <v>95450.11</v>
      </c>
      <c r="I359" s="26" t="s">
        <v>27</v>
      </c>
      <c r="J359" s="15" t="s">
        <v>49</v>
      </c>
      <c r="K359" s="15">
        <v>1209</v>
      </c>
      <c r="L359" s="16">
        <v>45361</v>
      </c>
      <c r="M359" s="17">
        <v>8</v>
      </c>
      <c r="N359" s="27">
        <v>90358</v>
      </c>
      <c r="O359" s="27" t="s">
        <v>37</v>
      </c>
      <c r="P359" s="28">
        <v>45430</v>
      </c>
      <c r="Q359" s="29">
        <v>0.62229999999999996</v>
      </c>
      <c r="R359" s="30">
        <v>70358</v>
      </c>
      <c r="S359" s="27" t="s">
        <v>41</v>
      </c>
      <c r="T359" s="29">
        <v>70966.577019999997</v>
      </c>
      <c r="U359" s="27" t="s">
        <v>48</v>
      </c>
      <c r="V359" s="28">
        <v>45444</v>
      </c>
      <c r="W359" s="27" t="s">
        <v>38</v>
      </c>
      <c r="X359" s="28">
        <v>45376</v>
      </c>
      <c r="Y359" s="27" t="s">
        <v>39</v>
      </c>
      <c r="Z359" s="43" t="e">
        <f>TEXT([1]!Table64[[#This Row],[Order date]],"mmm-yyyy")</f>
        <v>#REF!</v>
      </c>
    </row>
    <row r="360" spans="1:26" x14ac:dyDescent="0.3">
      <c r="A360" s="10">
        <v>10359</v>
      </c>
      <c r="B360" s="11">
        <v>6439</v>
      </c>
      <c r="C360" s="11" t="s">
        <v>34</v>
      </c>
      <c r="D360" s="12">
        <v>80858.06</v>
      </c>
      <c r="E360" s="11">
        <v>46</v>
      </c>
      <c r="F360" s="11" t="s">
        <v>46</v>
      </c>
      <c r="G360" s="13">
        <v>45361</v>
      </c>
      <c r="H360" s="12">
        <v>18515.88</v>
      </c>
      <c r="I360" s="14" t="s">
        <v>27</v>
      </c>
      <c r="J360" s="15" t="s">
        <v>28</v>
      </c>
      <c r="K360" s="15">
        <v>1480</v>
      </c>
      <c r="L360" s="16">
        <v>45397</v>
      </c>
      <c r="M360" s="17">
        <v>3</v>
      </c>
      <c r="N360" s="18">
        <v>90359</v>
      </c>
      <c r="O360" s="18" t="s">
        <v>40</v>
      </c>
      <c r="P360" s="19">
        <v>45352</v>
      </c>
      <c r="Q360" s="20">
        <v>0.30291000000000001</v>
      </c>
      <c r="R360" s="21">
        <v>70359</v>
      </c>
      <c r="S360" s="18" t="s">
        <v>41</v>
      </c>
      <c r="T360" s="20">
        <v>129036.6105</v>
      </c>
      <c r="U360" s="18" t="s">
        <v>42</v>
      </c>
      <c r="V360" s="19">
        <v>45392</v>
      </c>
      <c r="W360" s="18" t="s">
        <v>32</v>
      </c>
      <c r="X360" s="19">
        <v>45376</v>
      </c>
      <c r="Y360" s="18" t="s">
        <v>33</v>
      </c>
      <c r="Z360" s="43" t="e">
        <f>TEXT([1]!Table64[[#This Row],[Order date]],"mmm-yyyy")</f>
        <v>#REF!</v>
      </c>
    </row>
    <row r="361" spans="1:26" x14ac:dyDescent="0.3">
      <c r="A361" s="22">
        <v>10360</v>
      </c>
      <c r="B361" s="23">
        <v>6322</v>
      </c>
      <c r="C361" s="23" t="s">
        <v>25</v>
      </c>
      <c r="D361" s="24">
        <v>93588.35</v>
      </c>
      <c r="E361" s="23">
        <v>14</v>
      </c>
      <c r="F361" s="23" t="s">
        <v>35</v>
      </c>
      <c r="G361" s="25">
        <v>45361</v>
      </c>
      <c r="H361" s="24">
        <v>102328.25</v>
      </c>
      <c r="I361" s="26" t="s">
        <v>44</v>
      </c>
      <c r="J361" s="15" t="s">
        <v>36</v>
      </c>
      <c r="K361" s="15">
        <v>1435</v>
      </c>
      <c r="L361" s="16">
        <v>45361</v>
      </c>
      <c r="M361" s="17">
        <v>7</v>
      </c>
      <c r="N361" s="27">
        <v>90360</v>
      </c>
      <c r="O361" s="27" t="s">
        <v>29</v>
      </c>
      <c r="P361" s="28">
        <v>45352</v>
      </c>
      <c r="Q361" s="29">
        <v>0.15841</v>
      </c>
      <c r="R361" s="30">
        <v>70360</v>
      </c>
      <c r="S361" s="27" t="s">
        <v>30</v>
      </c>
      <c r="T361" s="29">
        <v>127187.48873</v>
      </c>
      <c r="U361" s="27" t="s">
        <v>42</v>
      </c>
      <c r="V361" s="28">
        <v>45392</v>
      </c>
      <c r="W361" s="27" t="s">
        <v>38</v>
      </c>
      <c r="X361" s="28">
        <v>45376</v>
      </c>
      <c r="Y361" s="27" t="s">
        <v>33</v>
      </c>
      <c r="Z361" s="43" t="e">
        <f>TEXT([1]!Table64[[#This Row],[Order date]],"mmm-yyyy")</f>
        <v>#REF!</v>
      </c>
    </row>
    <row r="362" spans="1:26" x14ac:dyDescent="0.3">
      <c r="A362" s="10">
        <v>10361</v>
      </c>
      <c r="B362" s="11">
        <v>6635</v>
      </c>
      <c r="C362" s="11" t="s">
        <v>25</v>
      </c>
      <c r="D362" s="12">
        <v>63083.4</v>
      </c>
      <c r="E362" s="11">
        <v>76</v>
      </c>
      <c r="F362" s="11" t="s">
        <v>43</v>
      </c>
      <c r="G362" s="13">
        <v>45361</v>
      </c>
      <c r="H362" s="12">
        <v>25065.06</v>
      </c>
      <c r="I362" s="14" t="s">
        <v>27</v>
      </c>
      <c r="J362" s="15" t="s">
        <v>49</v>
      </c>
      <c r="K362" s="15">
        <v>1454</v>
      </c>
      <c r="L362" s="16">
        <v>45332</v>
      </c>
      <c r="M362" s="17">
        <v>12</v>
      </c>
      <c r="N362" s="18">
        <v>90361</v>
      </c>
      <c r="O362" s="18" t="s">
        <v>37</v>
      </c>
      <c r="P362" s="19">
        <v>45383</v>
      </c>
      <c r="Q362" s="20">
        <v>0.66334000000000004</v>
      </c>
      <c r="R362" s="21">
        <v>70361</v>
      </c>
      <c r="S362" s="18" t="s">
        <v>30</v>
      </c>
      <c r="T362" s="20">
        <v>103629.48966000001</v>
      </c>
      <c r="U362" s="18" t="s">
        <v>42</v>
      </c>
      <c r="V362" s="19">
        <v>45392</v>
      </c>
      <c r="W362" s="18" t="s">
        <v>38</v>
      </c>
      <c r="X362" s="19">
        <v>45376</v>
      </c>
      <c r="Y362" s="18" t="s">
        <v>33</v>
      </c>
      <c r="Z362" s="43" t="e">
        <f>TEXT([1]!Table64[[#This Row],[Order date]],"mmm-yyyy")</f>
        <v>#REF!</v>
      </c>
    </row>
    <row r="363" spans="1:26" x14ac:dyDescent="0.3">
      <c r="A363" s="22">
        <v>10362</v>
      </c>
      <c r="B363" s="23">
        <v>5263</v>
      </c>
      <c r="C363" s="23" t="s">
        <v>34</v>
      </c>
      <c r="D363" s="24">
        <v>40260.03</v>
      </c>
      <c r="E363" s="23">
        <v>17</v>
      </c>
      <c r="F363" s="23" t="s">
        <v>46</v>
      </c>
      <c r="G363" s="25">
        <v>45361</v>
      </c>
      <c r="H363" s="24">
        <v>41625.599999999999</v>
      </c>
      <c r="I363" s="26" t="s">
        <v>44</v>
      </c>
      <c r="J363" s="15" t="s">
        <v>49</v>
      </c>
      <c r="K363" s="15">
        <v>930</v>
      </c>
      <c r="L363" s="16">
        <v>45397</v>
      </c>
      <c r="M363" s="17">
        <v>1</v>
      </c>
      <c r="N363" s="27">
        <v>90362</v>
      </c>
      <c r="O363" s="27" t="s">
        <v>40</v>
      </c>
      <c r="P363" s="28">
        <v>45352</v>
      </c>
      <c r="Q363" s="29">
        <v>0.47516000000000003</v>
      </c>
      <c r="R363" s="30">
        <v>70362</v>
      </c>
      <c r="S363" s="27" t="s">
        <v>30</v>
      </c>
      <c r="T363" s="29">
        <v>204645.3701</v>
      </c>
      <c r="U363" s="27" t="s">
        <v>31</v>
      </c>
      <c r="V363" s="28">
        <v>45422</v>
      </c>
      <c r="W363" s="27" t="s">
        <v>38</v>
      </c>
      <c r="X363" s="28">
        <v>45384</v>
      </c>
      <c r="Y363" s="27" t="s">
        <v>33</v>
      </c>
      <c r="Z363" s="43" t="e">
        <f>TEXT([1]!Table64[[#This Row],[Order date]],"mmm-yyyy")</f>
        <v>#REF!</v>
      </c>
    </row>
    <row r="364" spans="1:26" x14ac:dyDescent="0.3">
      <c r="A364" s="10">
        <v>10363</v>
      </c>
      <c r="B364" s="11">
        <v>6788</v>
      </c>
      <c r="C364" s="11" t="s">
        <v>34</v>
      </c>
      <c r="D364" s="12">
        <v>82754.929999999993</v>
      </c>
      <c r="E364" s="11">
        <v>39</v>
      </c>
      <c r="F364" s="11" t="s">
        <v>46</v>
      </c>
      <c r="G364" s="13">
        <v>45383</v>
      </c>
      <c r="H364" s="12">
        <v>41094.07</v>
      </c>
      <c r="I364" s="14" t="s">
        <v>44</v>
      </c>
      <c r="J364" s="15" t="s">
        <v>28</v>
      </c>
      <c r="K364" s="15">
        <v>684</v>
      </c>
      <c r="L364" s="16">
        <v>45332</v>
      </c>
      <c r="M364" s="17">
        <v>14</v>
      </c>
      <c r="N364" s="18">
        <v>90363</v>
      </c>
      <c r="O364" s="18" t="s">
        <v>40</v>
      </c>
      <c r="P364" s="19">
        <v>45383</v>
      </c>
      <c r="Q364" s="20">
        <v>0.66024000000000005</v>
      </c>
      <c r="R364" s="21">
        <v>70363</v>
      </c>
      <c r="S364" s="18" t="s">
        <v>41</v>
      </c>
      <c r="T364" s="20">
        <v>81457.264649999997</v>
      </c>
      <c r="U364" s="18" t="s">
        <v>31</v>
      </c>
      <c r="V364" s="19">
        <v>45422</v>
      </c>
      <c r="W364" s="18" t="s">
        <v>38</v>
      </c>
      <c r="X364" s="19">
        <v>45376</v>
      </c>
      <c r="Y364" s="18" t="s">
        <v>39</v>
      </c>
      <c r="Z364" s="43" t="e">
        <f>TEXT([1]!Table64[[#This Row],[Order date]],"mmm-yyyy")</f>
        <v>#REF!</v>
      </c>
    </row>
    <row r="365" spans="1:26" x14ac:dyDescent="0.3">
      <c r="A365" s="22">
        <v>10364</v>
      </c>
      <c r="B365" s="23">
        <v>5144</v>
      </c>
      <c r="C365" s="23" t="s">
        <v>34</v>
      </c>
      <c r="D365" s="24">
        <v>70092.61</v>
      </c>
      <c r="E365" s="23">
        <v>9</v>
      </c>
      <c r="F365" s="23" t="s">
        <v>43</v>
      </c>
      <c r="G365" s="25">
        <v>45361</v>
      </c>
      <c r="H365" s="24">
        <v>115241.67</v>
      </c>
      <c r="I365" s="26" t="s">
        <v>27</v>
      </c>
      <c r="J365" s="15" t="s">
        <v>28</v>
      </c>
      <c r="K365" s="15">
        <v>303</v>
      </c>
      <c r="L365" s="16">
        <v>45361</v>
      </c>
      <c r="M365" s="17">
        <v>12</v>
      </c>
      <c r="N365" s="27">
        <v>90364</v>
      </c>
      <c r="O365" s="27" t="s">
        <v>50</v>
      </c>
      <c r="P365" s="28">
        <v>45352</v>
      </c>
      <c r="Q365" s="29">
        <v>0.28949000000000003</v>
      </c>
      <c r="R365" s="30">
        <v>70364</v>
      </c>
      <c r="S365" s="27" t="s">
        <v>41</v>
      </c>
      <c r="T365" s="29">
        <v>167357.50683</v>
      </c>
      <c r="U365" s="27" t="s">
        <v>31</v>
      </c>
      <c r="V365" s="28">
        <v>45444</v>
      </c>
      <c r="W365" s="27" t="s">
        <v>32</v>
      </c>
      <c r="X365" s="28">
        <v>45376</v>
      </c>
      <c r="Y365" s="27" t="s">
        <v>33</v>
      </c>
      <c r="Z365" s="43" t="e">
        <f>TEXT([1]!Table64[[#This Row],[Order date]],"mmm-yyyy")</f>
        <v>#REF!</v>
      </c>
    </row>
    <row r="366" spans="1:26" x14ac:dyDescent="0.3">
      <c r="A366" s="10">
        <v>10365</v>
      </c>
      <c r="B366" s="11">
        <v>5346</v>
      </c>
      <c r="C366" s="11" t="s">
        <v>34</v>
      </c>
      <c r="D366" s="12">
        <v>46536.72</v>
      </c>
      <c r="E366" s="11">
        <v>99</v>
      </c>
      <c r="F366" s="11" t="s">
        <v>35</v>
      </c>
      <c r="G366" s="13">
        <v>45306</v>
      </c>
      <c r="H366" s="12">
        <v>41579.24</v>
      </c>
      <c r="I366" s="14" t="s">
        <v>44</v>
      </c>
      <c r="J366" s="15" t="s">
        <v>49</v>
      </c>
      <c r="K366" s="15">
        <v>1187</v>
      </c>
      <c r="L366" s="16">
        <v>45397</v>
      </c>
      <c r="M366" s="17">
        <v>6</v>
      </c>
      <c r="N366" s="18">
        <v>90365</v>
      </c>
      <c r="O366" s="18" t="s">
        <v>37</v>
      </c>
      <c r="P366" s="19">
        <v>45352</v>
      </c>
      <c r="Q366" s="20">
        <v>0.40487000000000001</v>
      </c>
      <c r="R366" s="21">
        <v>70365</v>
      </c>
      <c r="S366" s="18" t="s">
        <v>45</v>
      </c>
      <c r="T366" s="20">
        <v>95044.887499999997</v>
      </c>
      <c r="U366" s="18" t="s">
        <v>48</v>
      </c>
      <c r="V366" s="19">
        <v>45422</v>
      </c>
      <c r="W366" s="18" t="s">
        <v>38</v>
      </c>
      <c r="X366" s="19">
        <v>45376</v>
      </c>
      <c r="Y366" s="18" t="s">
        <v>39</v>
      </c>
      <c r="Z366" s="43" t="e">
        <f>TEXT([1]!Table64[[#This Row],[Order date]],"mmm-yyyy")</f>
        <v>#REF!</v>
      </c>
    </row>
    <row r="367" spans="1:26" x14ac:dyDescent="0.3">
      <c r="A367" s="22">
        <v>10366</v>
      </c>
      <c r="B367" s="23">
        <v>5624</v>
      </c>
      <c r="C367" s="23" t="s">
        <v>25</v>
      </c>
      <c r="D367" s="24">
        <v>37286.07</v>
      </c>
      <c r="E367" s="23">
        <v>77</v>
      </c>
      <c r="F367" s="23" t="s">
        <v>46</v>
      </c>
      <c r="G367" s="25">
        <v>45361</v>
      </c>
      <c r="H367" s="24">
        <v>13270.17</v>
      </c>
      <c r="I367" s="26" t="s">
        <v>44</v>
      </c>
      <c r="J367" s="15" t="s">
        <v>28</v>
      </c>
      <c r="K367" s="15">
        <v>69</v>
      </c>
      <c r="L367" s="16">
        <v>45397</v>
      </c>
      <c r="M367" s="17">
        <v>12</v>
      </c>
      <c r="N367" s="27">
        <v>90366</v>
      </c>
      <c r="O367" s="27" t="s">
        <v>29</v>
      </c>
      <c r="P367" s="28">
        <v>45352</v>
      </c>
      <c r="Q367" s="29">
        <v>0.60550999999999999</v>
      </c>
      <c r="R367" s="30">
        <v>70366</v>
      </c>
      <c r="S367" s="27" t="s">
        <v>45</v>
      </c>
      <c r="T367" s="29">
        <v>176910.6753</v>
      </c>
      <c r="U367" s="27" t="s">
        <v>48</v>
      </c>
      <c r="V367" s="28">
        <v>45444</v>
      </c>
      <c r="W367" s="27" t="s">
        <v>32</v>
      </c>
      <c r="X367" s="28">
        <v>45376</v>
      </c>
      <c r="Y367" s="27" t="s">
        <v>33</v>
      </c>
      <c r="Z367" s="43" t="e">
        <f>TEXT([1]!Table64[[#This Row],[Order date]],"mmm-yyyy")</f>
        <v>#REF!</v>
      </c>
    </row>
    <row r="368" spans="1:26" x14ac:dyDescent="0.3">
      <c r="A368" s="10">
        <v>10367</v>
      </c>
      <c r="B368" s="11">
        <v>6017</v>
      </c>
      <c r="C368" s="11" t="s">
        <v>34</v>
      </c>
      <c r="D368" s="12">
        <v>54327.040000000001</v>
      </c>
      <c r="E368" s="11">
        <v>79</v>
      </c>
      <c r="F368" s="11" t="s">
        <v>35</v>
      </c>
      <c r="G368" s="13">
        <v>45361</v>
      </c>
      <c r="H368" s="12">
        <v>128754.61</v>
      </c>
      <c r="I368" s="14" t="s">
        <v>44</v>
      </c>
      <c r="J368" s="15" t="s">
        <v>49</v>
      </c>
      <c r="K368" s="15">
        <v>577</v>
      </c>
      <c r="L368" s="16">
        <v>45332</v>
      </c>
      <c r="M368" s="17">
        <v>12</v>
      </c>
      <c r="N368" s="18">
        <v>90367</v>
      </c>
      <c r="O368" s="18" t="s">
        <v>29</v>
      </c>
      <c r="P368" s="19">
        <v>45430</v>
      </c>
      <c r="Q368" s="20">
        <v>0.63380000000000003</v>
      </c>
      <c r="R368" s="21">
        <v>70367</v>
      </c>
      <c r="S368" s="18" t="s">
        <v>41</v>
      </c>
      <c r="T368" s="20">
        <v>195646.32492000001</v>
      </c>
      <c r="U368" s="18" t="s">
        <v>42</v>
      </c>
      <c r="V368" s="19">
        <v>45392</v>
      </c>
      <c r="W368" s="18" t="s">
        <v>32</v>
      </c>
      <c r="X368" s="19">
        <v>45376</v>
      </c>
      <c r="Y368" s="18" t="s">
        <v>33</v>
      </c>
      <c r="Z368" s="43" t="e">
        <f>TEXT([1]!Table64[[#This Row],[Order date]],"mmm-yyyy")</f>
        <v>#REF!</v>
      </c>
    </row>
    <row r="369" spans="1:26" x14ac:dyDescent="0.3">
      <c r="A369" s="22">
        <v>10368</v>
      </c>
      <c r="B369" s="23">
        <v>6596</v>
      </c>
      <c r="C369" s="23" t="s">
        <v>25</v>
      </c>
      <c r="D369" s="24">
        <v>87845.29</v>
      </c>
      <c r="E369" s="23">
        <v>82</v>
      </c>
      <c r="F369" s="23" t="s">
        <v>46</v>
      </c>
      <c r="G369" s="25">
        <v>45383</v>
      </c>
      <c r="H369" s="24">
        <v>51754.239999999998</v>
      </c>
      <c r="I369" s="26" t="s">
        <v>47</v>
      </c>
      <c r="J369" s="15" t="s">
        <v>36</v>
      </c>
      <c r="K369" s="15">
        <v>1218</v>
      </c>
      <c r="L369" s="16">
        <v>45397</v>
      </c>
      <c r="M369" s="17">
        <v>13</v>
      </c>
      <c r="N369" s="27">
        <v>90368</v>
      </c>
      <c r="O369" s="27" t="s">
        <v>37</v>
      </c>
      <c r="P369" s="28">
        <v>45383</v>
      </c>
      <c r="Q369" s="29">
        <v>0.43508000000000002</v>
      </c>
      <c r="R369" s="30">
        <v>70368</v>
      </c>
      <c r="S369" s="27" t="s">
        <v>41</v>
      </c>
      <c r="T369" s="29">
        <v>100987.73798000001</v>
      </c>
      <c r="U369" s="27" t="s">
        <v>31</v>
      </c>
      <c r="V369" s="28">
        <v>45392</v>
      </c>
      <c r="W369" s="27" t="s">
        <v>38</v>
      </c>
      <c r="X369" s="28">
        <v>45384</v>
      </c>
      <c r="Y369" s="27" t="s">
        <v>39</v>
      </c>
      <c r="Z369" s="43" t="e">
        <f>TEXT([1]!Table64[[#This Row],[Order date]],"mmm-yyyy")</f>
        <v>#REF!</v>
      </c>
    </row>
    <row r="370" spans="1:26" x14ac:dyDescent="0.3">
      <c r="A370" s="10">
        <v>10369</v>
      </c>
      <c r="B370" s="11">
        <v>5881</v>
      </c>
      <c r="C370" s="11" t="s">
        <v>25</v>
      </c>
      <c r="D370" s="12">
        <v>33500.54</v>
      </c>
      <c r="E370" s="11">
        <v>97</v>
      </c>
      <c r="F370" s="11" t="s">
        <v>26</v>
      </c>
      <c r="G370" s="13">
        <v>45383</v>
      </c>
      <c r="H370" s="12">
        <v>22931.77</v>
      </c>
      <c r="I370" s="14" t="s">
        <v>44</v>
      </c>
      <c r="J370" s="15" t="s">
        <v>28</v>
      </c>
      <c r="K370" s="15">
        <v>1281</v>
      </c>
      <c r="L370" s="16">
        <v>45397</v>
      </c>
      <c r="M370" s="17">
        <v>9</v>
      </c>
      <c r="N370" s="18">
        <v>90369</v>
      </c>
      <c r="O370" s="18" t="s">
        <v>37</v>
      </c>
      <c r="P370" s="19">
        <v>45383</v>
      </c>
      <c r="Q370" s="20">
        <v>0.35204999999999997</v>
      </c>
      <c r="R370" s="21">
        <v>70369</v>
      </c>
      <c r="S370" s="18" t="s">
        <v>41</v>
      </c>
      <c r="T370" s="20">
        <v>74556.542619999993</v>
      </c>
      <c r="U370" s="18" t="s">
        <v>42</v>
      </c>
      <c r="V370" s="19">
        <v>45444</v>
      </c>
      <c r="W370" s="18" t="s">
        <v>38</v>
      </c>
      <c r="X370" s="19">
        <v>45384</v>
      </c>
      <c r="Y370" s="18" t="s">
        <v>33</v>
      </c>
      <c r="Z370" s="43" t="e">
        <f>TEXT([1]!Table64[[#This Row],[Order date]],"mmm-yyyy")</f>
        <v>#REF!</v>
      </c>
    </row>
    <row r="371" spans="1:26" x14ac:dyDescent="0.3">
      <c r="A371" s="22">
        <v>10370</v>
      </c>
      <c r="B371" s="23">
        <v>5002</v>
      </c>
      <c r="C371" s="23" t="s">
        <v>34</v>
      </c>
      <c r="D371" s="24">
        <v>31715.87</v>
      </c>
      <c r="E371" s="23">
        <v>6</v>
      </c>
      <c r="F371" s="23" t="s">
        <v>46</v>
      </c>
      <c r="G371" s="25">
        <v>45361</v>
      </c>
      <c r="H371" s="24">
        <v>26110.82</v>
      </c>
      <c r="I371" s="26" t="s">
        <v>44</v>
      </c>
      <c r="J371" s="15" t="s">
        <v>36</v>
      </c>
      <c r="K371" s="15">
        <v>425</v>
      </c>
      <c r="L371" s="16">
        <v>45332</v>
      </c>
      <c r="M371" s="17">
        <v>12</v>
      </c>
      <c r="N371" s="27">
        <v>90370</v>
      </c>
      <c r="O371" s="27" t="s">
        <v>40</v>
      </c>
      <c r="P371" s="28">
        <v>45430</v>
      </c>
      <c r="Q371" s="29">
        <v>0.34633000000000003</v>
      </c>
      <c r="R371" s="30">
        <v>70370</v>
      </c>
      <c r="S371" s="27" t="s">
        <v>41</v>
      </c>
      <c r="T371" s="29">
        <v>126224.06754</v>
      </c>
      <c r="U371" s="27" t="s">
        <v>31</v>
      </c>
      <c r="V371" s="28">
        <v>45392</v>
      </c>
      <c r="W371" s="27" t="s">
        <v>38</v>
      </c>
      <c r="X371" s="28">
        <v>45376</v>
      </c>
      <c r="Y371" s="27" t="s">
        <v>33</v>
      </c>
      <c r="Z371" s="43" t="e">
        <f>TEXT([1]!Table64[[#This Row],[Order date]],"mmm-yyyy")</f>
        <v>#REF!</v>
      </c>
    </row>
    <row r="372" spans="1:26" x14ac:dyDescent="0.3">
      <c r="A372" s="10">
        <v>10371</v>
      </c>
      <c r="B372" s="11">
        <v>5897</v>
      </c>
      <c r="C372" s="11" t="s">
        <v>34</v>
      </c>
      <c r="D372" s="12">
        <v>42479.29</v>
      </c>
      <c r="E372" s="11">
        <v>91</v>
      </c>
      <c r="F372" s="11" t="s">
        <v>43</v>
      </c>
      <c r="G372" s="13">
        <v>45383</v>
      </c>
      <c r="H372" s="12">
        <v>19346.8</v>
      </c>
      <c r="I372" s="14" t="s">
        <v>47</v>
      </c>
      <c r="J372" s="15" t="s">
        <v>36</v>
      </c>
      <c r="K372" s="15">
        <v>215</v>
      </c>
      <c r="L372" s="16">
        <v>45397</v>
      </c>
      <c r="M372" s="17">
        <v>3</v>
      </c>
      <c r="N372" s="18">
        <v>90371</v>
      </c>
      <c r="O372" s="18" t="s">
        <v>50</v>
      </c>
      <c r="P372" s="19">
        <v>45430</v>
      </c>
      <c r="Q372" s="20">
        <v>0.25723000000000001</v>
      </c>
      <c r="R372" s="21">
        <v>70371</v>
      </c>
      <c r="S372" s="18" t="s">
        <v>45</v>
      </c>
      <c r="T372" s="20">
        <v>144055.14963999999</v>
      </c>
      <c r="U372" s="18" t="s">
        <v>31</v>
      </c>
      <c r="V372" s="19">
        <v>45444</v>
      </c>
      <c r="W372" s="18" t="s">
        <v>32</v>
      </c>
      <c r="X372" s="19">
        <v>45376</v>
      </c>
      <c r="Y372" s="18" t="s">
        <v>33</v>
      </c>
      <c r="Z372" s="43" t="e">
        <f>TEXT([1]!Table64[[#This Row],[Order date]],"mmm-yyyy")</f>
        <v>#REF!</v>
      </c>
    </row>
    <row r="373" spans="1:26" x14ac:dyDescent="0.3">
      <c r="A373" s="22">
        <v>10372</v>
      </c>
      <c r="B373" s="23">
        <v>6328</v>
      </c>
      <c r="C373" s="23" t="s">
        <v>34</v>
      </c>
      <c r="D373" s="24">
        <v>31902.53</v>
      </c>
      <c r="E373" s="23">
        <v>23</v>
      </c>
      <c r="F373" s="23" t="s">
        <v>43</v>
      </c>
      <c r="G373" s="25">
        <v>45337</v>
      </c>
      <c r="H373" s="24">
        <v>134710.85</v>
      </c>
      <c r="I373" s="26" t="s">
        <v>27</v>
      </c>
      <c r="J373" s="15" t="s">
        <v>36</v>
      </c>
      <c r="K373" s="15">
        <v>1254</v>
      </c>
      <c r="L373" s="16">
        <v>45332</v>
      </c>
      <c r="M373" s="17">
        <v>14</v>
      </c>
      <c r="N373" s="27">
        <v>90372</v>
      </c>
      <c r="O373" s="27" t="s">
        <v>50</v>
      </c>
      <c r="P373" s="28">
        <v>45430</v>
      </c>
      <c r="Q373" s="29">
        <v>0.39285999999999999</v>
      </c>
      <c r="R373" s="30">
        <v>70372</v>
      </c>
      <c r="S373" s="27" t="s">
        <v>41</v>
      </c>
      <c r="T373" s="29">
        <v>67212.161999999997</v>
      </c>
      <c r="U373" s="27" t="s">
        <v>42</v>
      </c>
      <c r="V373" s="28">
        <v>45444</v>
      </c>
      <c r="W373" s="27" t="s">
        <v>32</v>
      </c>
      <c r="X373" s="28">
        <v>45384</v>
      </c>
      <c r="Y373" s="27" t="s">
        <v>39</v>
      </c>
      <c r="Z373" s="43" t="e">
        <f>TEXT([1]!Table64[[#This Row],[Order date]],"mmm-yyyy")</f>
        <v>#REF!</v>
      </c>
    </row>
    <row r="374" spans="1:26" x14ac:dyDescent="0.3">
      <c r="A374" s="10">
        <v>10373</v>
      </c>
      <c r="B374" s="11">
        <v>5254</v>
      </c>
      <c r="C374" s="11" t="s">
        <v>34</v>
      </c>
      <c r="D374" s="12">
        <v>73884.39</v>
      </c>
      <c r="E374" s="11">
        <v>59</v>
      </c>
      <c r="F374" s="11" t="s">
        <v>35</v>
      </c>
      <c r="G374" s="13">
        <v>45383</v>
      </c>
      <c r="H374" s="12">
        <v>99533.64</v>
      </c>
      <c r="I374" s="14" t="s">
        <v>44</v>
      </c>
      <c r="J374" s="15" t="s">
        <v>49</v>
      </c>
      <c r="K374" s="15">
        <v>910</v>
      </c>
      <c r="L374" s="16">
        <v>45332</v>
      </c>
      <c r="M374" s="17">
        <v>7</v>
      </c>
      <c r="N374" s="18">
        <v>90373</v>
      </c>
      <c r="O374" s="18" t="s">
        <v>50</v>
      </c>
      <c r="P374" s="19">
        <v>45383</v>
      </c>
      <c r="Q374" s="20">
        <v>0.27950000000000003</v>
      </c>
      <c r="R374" s="21">
        <v>70373</v>
      </c>
      <c r="S374" s="18" t="s">
        <v>45</v>
      </c>
      <c r="T374" s="20">
        <v>78459.081699999995</v>
      </c>
      <c r="U374" s="18" t="s">
        <v>42</v>
      </c>
      <c r="V374" s="19">
        <v>45444</v>
      </c>
      <c r="W374" s="18" t="s">
        <v>32</v>
      </c>
      <c r="X374" s="19">
        <v>45384</v>
      </c>
      <c r="Y374" s="18" t="s">
        <v>39</v>
      </c>
      <c r="Z374" s="43" t="e">
        <f>TEXT([1]!Table64[[#This Row],[Order date]],"mmm-yyyy")</f>
        <v>#REF!</v>
      </c>
    </row>
    <row r="375" spans="1:26" x14ac:dyDescent="0.3">
      <c r="A375" s="22">
        <v>10374</v>
      </c>
      <c r="B375" s="23">
        <v>6676</v>
      </c>
      <c r="C375" s="23" t="s">
        <v>34</v>
      </c>
      <c r="D375" s="24">
        <v>19805.830000000002</v>
      </c>
      <c r="E375" s="23">
        <v>91</v>
      </c>
      <c r="F375" s="23" t="s">
        <v>46</v>
      </c>
      <c r="G375" s="25">
        <v>45383</v>
      </c>
      <c r="H375" s="24">
        <v>122259.51</v>
      </c>
      <c r="I375" s="26" t="s">
        <v>47</v>
      </c>
      <c r="J375" s="15" t="s">
        <v>36</v>
      </c>
      <c r="K375" s="15">
        <v>666</v>
      </c>
      <c r="L375" s="16">
        <v>45332</v>
      </c>
      <c r="M375" s="17">
        <v>13</v>
      </c>
      <c r="N375" s="27">
        <v>90374</v>
      </c>
      <c r="O375" s="27" t="s">
        <v>37</v>
      </c>
      <c r="P375" s="28">
        <v>45352</v>
      </c>
      <c r="Q375" s="29">
        <v>0.67042999999999997</v>
      </c>
      <c r="R375" s="30">
        <v>70374</v>
      </c>
      <c r="S375" s="27" t="s">
        <v>41</v>
      </c>
      <c r="T375" s="29">
        <v>76228.754050000003</v>
      </c>
      <c r="U375" s="27" t="s">
        <v>31</v>
      </c>
      <c r="V375" s="28">
        <v>45422</v>
      </c>
      <c r="W375" s="27" t="s">
        <v>32</v>
      </c>
      <c r="X375" s="28">
        <v>45376</v>
      </c>
      <c r="Y375" s="27" t="s">
        <v>33</v>
      </c>
      <c r="Z375" s="43" t="e">
        <f>TEXT([1]!Table64[[#This Row],[Order date]],"mmm-yyyy")</f>
        <v>#REF!</v>
      </c>
    </row>
    <row r="376" spans="1:26" x14ac:dyDescent="0.3">
      <c r="A376" s="10">
        <v>10375</v>
      </c>
      <c r="B376" s="11">
        <v>5453</v>
      </c>
      <c r="C376" s="11" t="s">
        <v>34</v>
      </c>
      <c r="D376" s="12">
        <v>75389.61</v>
      </c>
      <c r="E376" s="11">
        <v>98</v>
      </c>
      <c r="F376" s="11" t="s">
        <v>35</v>
      </c>
      <c r="G376" s="13">
        <v>45383</v>
      </c>
      <c r="H376" s="12">
        <v>148593.94</v>
      </c>
      <c r="I376" s="14" t="s">
        <v>44</v>
      </c>
      <c r="J376" s="15" t="s">
        <v>36</v>
      </c>
      <c r="K376" s="15">
        <v>661</v>
      </c>
      <c r="L376" s="16">
        <v>45332</v>
      </c>
      <c r="M376" s="17">
        <v>6</v>
      </c>
      <c r="N376" s="18">
        <v>90375</v>
      </c>
      <c r="O376" s="18" t="s">
        <v>50</v>
      </c>
      <c r="P376" s="19">
        <v>45430</v>
      </c>
      <c r="Q376" s="20">
        <v>0.61216000000000004</v>
      </c>
      <c r="R376" s="21">
        <v>70375</v>
      </c>
      <c r="S376" s="18" t="s">
        <v>30</v>
      </c>
      <c r="T376" s="20">
        <v>76647.296159999998</v>
      </c>
      <c r="U376" s="18" t="s">
        <v>31</v>
      </c>
      <c r="V376" s="19">
        <v>45444</v>
      </c>
      <c r="W376" s="18" t="s">
        <v>32</v>
      </c>
      <c r="X376" s="19">
        <v>45376</v>
      </c>
      <c r="Y376" s="18" t="s">
        <v>39</v>
      </c>
      <c r="Z376" s="43" t="e">
        <f>TEXT([1]!Table64[[#This Row],[Order date]],"mmm-yyyy")</f>
        <v>#REF!</v>
      </c>
    </row>
    <row r="377" spans="1:26" x14ac:dyDescent="0.3">
      <c r="A377" s="22">
        <v>10376</v>
      </c>
      <c r="B377" s="23">
        <v>6061</v>
      </c>
      <c r="C377" s="23" t="s">
        <v>34</v>
      </c>
      <c r="D377" s="24">
        <v>46836.1</v>
      </c>
      <c r="E377" s="23">
        <v>46</v>
      </c>
      <c r="F377" s="23" t="s">
        <v>35</v>
      </c>
      <c r="G377" s="25">
        <v>45383</v>
      </c>
      <c r="H377" s="24">
        <v>48117.120000000003</v>
      </c>
      <c r="I377" s="26" t="s">
        <v>44</v>
      </c>
      <c r="J377" s="15" t="s">
        <v>36</v>
      </c>
      <c r="K377" s="15">
        <v>1405</v>
      </c>
      <c r="L377" s="16">
        <v>45332</v>
      </c>
      <c r="M377" s="17">
        <v>8</v>
      </c>
      <c r="N377" s="27">
        <v>90376</v>
      </c>
      <c r="O377" s="27" t="s">
        <v>40</v>
      </c>
      <c r="P377" s="28">
        <v>45430</v>
      </c>
      <c r="Q377" s="29">
        <v>0.44433</v>
      </c>
      <c r="R377" s="30">
        <v>70376</v>
      </c>
      <c r="S377" s="27" t="s">
        <v>45</v>
      </c>
      <c r="T377" s="29">
        <v>122879.9219</v>
      </c>
      <c r="U377" s="27" t="s">
        <v>48</v>
      </c>
      <c r="V377" s="28">
        <v>45444</v>
      </c>
      <c r="W377" s="27" t="s">
        <v>32</v>
      </c>
      <c r="X377" s="28">
        <v>45376</v>
      </c>
      <c r="Y377" s="27" t="s">
        <v>33</v>
      </c>
      <c r="Z377" s="43" t="e">
        <f>TEXT([1]!Table64[[#This Row],[Order date]],"mmm-yyyy")</f>
        <v>#REF!</v>
      </c>
    </row>
    <row r="378" spans="1:26" x14ac:dyDescent="0.3">
      <c r="A378" s="10">
        <v>10377</v>
      </c>
      <c r="B378" s="11">
        <v>6184</v>
      </c>
      <c r="C378" s="11" t="s">
        <v>25</v>
      </c>
      <c r="D378" s="12">
        <v>46447.62</v>
      </c>
      <c r="E378" s="11">
        <v>38</v>
      </c>
      <c r="F378" s="11" t="s">
        <v>26</v>
      </c>
      <c r="G378" s="13">
        <v>45306</v>
      </c>
      <c r="H378" s="12">
        <v>147549.09</v>
      </c>
      <c r="I378" s="14" t="s">
        <v>44</v>
      </c>
      <c r="J378" s="15" t="s">
        <v>49</v>
      </c>
      <c r="K378" s="15">
        <v>552</v>
      </c>
      <c r="L378" s="16">
        <v>45361</v>
      </c>
      <c r="M378" s="17">
        <v>3</v>
      </c>
      <c r="N378" s="18">
        <v>90377</v>
      </c>
      <c r="O378" s="18" t="s">
        <v>37</v>
      </c>
      <c r="P378" s="19">
        <v>45430</v>
      </c>
      <c r="Q378" s="20">
        <v>0.39324999999999999</v>
      </c>
      <c r="R378" s="21">
        <v>70377</v>
      </c>
      <c r="S378" s="18" t="s">
        <v>30</v>
      </c>
      <c r="T378" s="20">
        <v>131318.94200000001</v>
      </c>
      <c r="U378" s="18" t="s">
        <v>42</v>
      </c>
      <c r="V378" s="19">
        <v>45444</v>
      </c>
      <c r="W378" s="18" t="s">
        <v>32</v>
      </c>
      <c r="X378" s="19">
        <v>45384</v>
      </c>
      <c r="Y378" s="18" t="s">
        <v>33</v>
      </c>
      <c r="Z378" s="43" t="e">
        <f>TEXT([1]!Table64[[#This Row],[Order date]],"mmm-yyyy")</f>
        <v>#REF!</v>
      </c>
    </row>
    <row r="379" spans="1:26" x14ac:dyDescent="0.3">
      <c r="A379" s="22">
        <v>10378</v>
      </c>
      <c r="B379" s="23">
        <v>6015</v>
      </c>
      <c r="C379" s="23" t="s">
        <v>34</v>
      </c>
      <c r="D379" s="24">
        <v>53530.55</v>
      </c>
      <c r="E379" s="23">
        <v>14</v>
      </c>
      <c r="F379" s="23" t="s">
        <v>26</v>
      </c>
      <c r="G379" s="25">
        <v>45306</v>
      </c>
      <c r="H379" s="24">
        <v>98096.97</v>
      </c>
      <c r="I379" s="26" t="s">
        <v>27</v>
      </c>
      <c r="J379" s="15" t="s">
        <v>36</v>
      </c>
      <c r="K379" s="15">
        <v>962</v>
      </c>
      <c r="L379" s="16">
        <v>45361</v>
      </c>
      <c r="M379" s="17">
        <v>3</v>
      </c>
      <c r="N379" s="27">
        <v>90378</v>
      </c>
      <c r="O379" s="27" t="s">
        <v>37</v>
      </c>
      <c r="P379" s="28">
        <v>45352</v>
      </c>
      <c r="Q379" s="29">
        <v>0.31385000000000002</v>
      </c>
      <c r="R379" s="30">
        <v>70378</v>
      </c>
      <c r="S379" s="27" t="s">
        <v>30</v>
      </c>
      <c r="T379" s="29">
        <v>179598.13529999999</v>
      </c>
      <c r="U379" s="27" t="s">
        <v>42</v>
      </c>
      <c r="V379" s="28">
        <v>45422</v>
      </c>
      <c r="W379" s="27" t="s">
        <v>32</v>
      </c>
      <c r="X379" s="28">
        <v>45384</v>
      </c>
      <c r="Y379" s="27" t="s">
        <v>39</v>
      </c>
      <c r="Z379" s="43" t="e">
        <f>TEXT([1]!Table64[[#This Row],[Order date]],"mmm-yyyy")</f>
        <v>#REF!</v>
      </c>
    </row>
    <row r="380" spans="1:26" x14ac:dyDescent="0.3">
      <c r="A380" s="10">
        <v>10379</v>
      </c>
      <c r="B380" s="11">
        <v>5009</v>
      </c>
      <c r="C380" s="11" t="s">
        <v>34</v>
      </c>
      <c r="D380" s="12">
        <v>56134.69</v>
      </c>
      <c r="E380" s="11">
        <v>72</v>
      </c>
      <c r="F380" s="11" t="s">
        <v>43</v>
      </c>
      <c r="G380" s="13">
        <v>45306</v>
      </c>
      <c r="H380" s="12">
        <v>32185.43</v>
      </c>
      <c r="I380" s="14" t="s">
        <v>44</v>
      </c>
      <c r="J380" s="15" t="s">
        <v>36</v>
      </c>
      <c r="K380" s="15">
        <v>128</v>
      </c>
      <c r="L380" s="16">
        <v>45332</v>
      </c>
      <c r="M380" s="17">
        <v>4</v>
      </c>
      <c r="N380" s="18">
        <v>90379</v>
      </c>
      <c r="O380" s="18" t="s">
        <v>50</v>
      </c>
      <c r="P380" s="19">
        <v>45352</v>
      </c>
      <c r="Q380" s="20">
        <v>0.58191000000000004</v>
      </c>
      <c r="R380" s="21">
        <v>70379</v>
      </c>
      <c r="S380" s="18" t="s">
        <v>41</v>
      </c>
      <c r="T380" s="20">
        <v>75331.078500000003</v>
      </c>
      <c r="U380" s="18" t="s">
        <v>42</v>
      </c>
      <c r="V380" s="19">
        <v>45392</v>
      </c>
      <c r="W380" s="18" t="s">
        <v>38</v>
      </c>
      <c r="X380" s="19">
        <v>45376</v>
      </c>
      <c r="Y380" s="18" t="s">
        <v>39</v>
      </c>
      <c r="Z380" s="43" t="e">
        <f>TEXT([1]!Table64[[#This Row],[Order date]],"mmm-yyyy")</f>
        <v>#REF!</v>
      </c>
    </row>
    <row r="381" spans="1:26" x14ac:dyDescent="0.3">
      <c r="A381" s="22">
        <v>10380</v>
      </c>
      <c r="B381" s="23">
        <v>6257</v>
      </c>
      <c r="C381" s="23" t="s">
        <v>34</v>
      </c>
      <c r="D381" s="24">
        <v>99496.15</v>
      </c>
      <c r="E381" s="23">
        <v>62</v>
      </c>
      <c r="F381" s="23" t="s">
        <v>35</v>
      </c>
      <c r="G381" s="25">
        <v>45361</v>
      </c>
      <c r="H381" s="24">
        <v>110328.68</v>
      </c>
      <c r="I381" s="26" t="s">
        <v>47</v>
      </c>
      <c r="J381" s="15" t="s">
        <v>28</v>
      </c>
      <c r="K381" s="15">
        <v>634</v>
      </c>
      <c r="L381" s="16">
        <v>45361</v>
      </c>
      <c r="M381" s="17">
        <v>3</v>
      </c>
      <c r="N381" s="27">
        <v>90380</v>
      </c>
      <c r="O381" s="27" t="s">
        <v>29</v>
      </c>
      <c r="P381" s="28">
        <v>45430</v>
      </c>
      <c r="Q381" s="29">
        <v>0.92701</v>
      </c>
      <c r="R381" s="30">
        <v>70380</v>
      </c>
      <c r="S381" s="27" t="s">
        <v>45</v>
      </c>
      <c r="T381" s="29">
        <v>51903.893190000003</v>
      </c>
      <c r="U381" s="27" t="s">
        <v>42</v>
      </c>
      <c r="V381" s="28">
        <v>45422</v>
      </c>
      <c r="W381" s="27" t="s">
        <v>38</v>
      </c>
      <c r="X381" s="28">
        <v>45376</v>
      </c>
      <c r="Y381" s="27" t="s">
        <v>33</v>
      </c>
      <c r="Z381" s="43" t="e">
        <f>TEXT([1]!Table64[[#This Row],[Order date]],"mmm-yyyy")</f>
        <v>#REF!</v>
      </c>
    </row>
    <row r="382" spans="1:26" x14ac:dyDescent="0.3">
      <c r="A382" s="10">
        <v>10381</v>
      </c>
      <c r="B382" s="11">
        <v>6123</v>
      </c>
      <c r="C382" s="11" t="s">
        <v>25</v>
      </c>
      <c r="D382" s="12">
        <v>25385.61</v>
      </c>
      <c r="E382" s="11">
        <v>35</v>
      </c>
      <c r="F382" s="11" t="s">
        <v>43</v>
      </c>
      <c r="G382" s="13">
        <v>45361</v>
      </c>
      <c r="H382" s="12">
        <v>115031.5</v>
      </c>
      <c r="I382" s="14" t="s">
        <v>27</v>
      </c>
      <c r="J382" s="15" t="s">
        <v>49</v>
      </c>
      <c r="K382" s="15">
        <v>737</v>
      </c>
      <c r="L382" s="16">
        <v>45361</v>
      </c>
      <c r="M382" s="17">
        <v>9</v>
      </c>
      <c r="N382" s="18">
        <v>90381</v>
      </c>
      <c r="O382" s="18" t="s">
        <v>29</v>
      </c>
      <c r="P382" s="19">
        <v>45352</v>
      </c>
      <c r="Q382" s="20">
        <v>0.71713000000000005</v>
      </c>
      <c r="R382" s="21">
        <v>70381</v>
      </c>
      <c r="S382" s="18" t="s">
        <v>41</v>
      </c>
      <c r="T382" s="20">
        <v>205413.11629999999</v>
      </c>
      <c r="U382" s="18" t="s">
        <v>31</v>
      </c>
      <c r="V382" s="19">
        <v>45444</v>
      </c>
      <c r="W382" s="18" t="s">
        <v>38</v>
      </c>
      <c r="X382" s="19">
        <v>45384</v>
      </c>
      <c r="Y382" s="18" t="s">
        <v>39</v>
      </c>
      <c r="Z382" s="43" t="e">
        <f>TEXT([1]!Table64[[#This Row],[Order date]],"mmm-yyyy")</f>
        <v>#REF!</v>
      </c>
    </row>
    <row r="383" spans="1:26" x14ac:dyDescent="0.3">
      <c r="A383" s="22">
        <v>10382</v>
      </c>
      <c r="B383" s="23">
        <v>6683</v>
      </c>
      <c r="C383" s="23" t="s">
        <v>34</v>
      </c>
      <c r="D383" s="24">
        <v>36884.9</v>
      </c>
      <c r="E383" s="23">
        <v>19</v>
      </c>
      <c r="F383" s="23" t="s">
        <v>46</v>
      </c>
      <c r="G383" s="25">
        <v>45337</v>
      </c>
      <c r="H383" s="24">
        <v>79140.69</v>
      </c>
      <c r="I383" s="26" t="s">
        <v>44</v>
      </c>
      <c r="J383" s="15" t="s">
        <v>36</v>
      </c>
      <c r="K383" s="15">
        <v>445</v>
      </c>
      <c r="L383" s="16">
        <v>45397</v>
      </c>
      <c r="M383" s="17">
        <v>11</v>
      </c>
      <c r="N383" s="27">
        <v>90382</v>
      </c>
      <c r="O383" s="27" t="s">
        <v>40</v>
      </c>
      <c r="P383" s="28">
        <v>45430</v>
      </c>
      <c r="Q383" s="29">
        <v>0.76997000000000004</v>
      </c>
      <c r="R383" s="30">
        <v>70382</v>
      </c>
      <c r="S383" s="27" t="s">
        <v>45</v>
      </c>
      <c r="T383" s="29">
        <v>67720.236099999995</v>
      </c>
      <c r="U383" s="27" t="s">
        <v>48</v>
      </c>
      <c r="V383" s="28">
        <v>45422</v>
      </c>
      <c r="W383" s="27" t="s">
        <v>38</v>
      </c>
      <c r="X383" s="28">
        <v>45384</v>
      </c>
      <c r="Y383" s="27" t="s">
        <v>33</v>
      </c>
      <c r="Z383" s="43" t="e">
        <f>TEXT([1]!Table64[[#This Row],[Order date]],"mmm-yyyy")</f>
        <v>#REF!</v>
      </c>
    </row>
    <row r="384" spans="1:26" x14ac:dyDescent="0.3">
      <c r="A384" s="10">
        <v>10383</v>
      </c>
      <c r="B384" s="11">
        <v>5816</v>
      </c>
      <c r="C384" s="11" t="s">
        <v>34</v>
      </c>
      <c r="D384" s="12">
        <v>82503.86</v>
      </c>
      <c r="E384" s="11">
        <v>30</v>
      </c>
      <c r="F384" s="11" t="s">
        <v>35</v>
      </c>
      <c r="G384" s="13">
        <v>45306</v>
      </c>
      <c r="H384" s="12">
        <v>148274.92000000001</v>
      </c>
      <c r="I384" s="14" t="s">
        <v>27</v>
      </c>
      <c r="J384" s="15" t="s">
        <v>28</v>
      </c>
      <c r="K384" s="15">
        <v>1176</v>
      </c>
      <c r="L384" s="16">
        <v>45332</v>
      </c>
      <c r="M384" s="17">
        <v>4</v>
      </c>
      <c r="N384" s="18">
        <v>90383</v>
      </c>
      <c r="O384" s="18" t="s">
        <v>50</v>
      </c>
      <c r="P384" s="19">
        <v>45352</v>
      </c>
      <c r="Q384" s="20">
        <v>0.85094000000000003</v>
      </c>
      <c r="R384" s="21">
        <v>70383</v>
      </c>
      <c r="S384" s="18" t="s">
        <v>41</v>
      </c>
      <c r="T384" s="20">
        <v>78438.128100000002</v>
      </c>
      <c r="U384" s="18" t="s">
        <v>42</v>
      </c>
      <c r="V384" s="19">
        <v>45392</v>
      </c>
      <c r="W384" s="18" t="s">
        <v>32</v>
      </c>
      <c r="X384" s="19">
        <v>45376</v>
      </c>
      <c r="Y384" s="18" t="s">
        <v>39</v>
      </c>
      <c r="Z384" s="43" t="e">
        <f>TEXT([1]!Table64[[#This Row],[Order date]],"mmm-yyyy")</f>
        <v>#REF!</v>
      </c>
    </row>
    <row r="385" spans="1:26" x14ac:dyDescent="0.3">
      <c r="A385" s="22">
        <v>10384</v>
      </c>
      <c r="B385" s="23">
        <v>5208</v>
      </c>
      <c r="C385" s="23" t="s">
        <v>34</v>
      </c>
      <c r="D385" s="24">
        <v>75345.509999999995</v>
      </c>
      <c r="E385" s="23">
        <v>78</v>
      </c>
      <c r="F385" s="23" t="s">
        <v>35</v>
      </c>
      <c r="G385" s="25">
        <v>45361</v>
      </c>
      <c r="H385" s="24">
        <v>120489.06</v>
      </c>
      <c r="I385" s="26" t="s">
        <v>47</v>
      </c>
      <c r="J385" s="15" t="s">
        <v>49</v>
      </c>
      <c r="K385" s="15">
        <v>451</v>
      </c>
      <c r="L385" s="16">
        <v>45361</v>
      </c>
      <c r="M385" s="17">
        <v>6</v>
      </c>
      <c r="N385" s="27">
        <v>90384</v>
      </c>
      <c r="O385" s="27" t="s">
        <v>50</v>
      </c>
      <c r="P385" s="28">
        <v>45383</v>
      </c>
      <c r="Q385" s="29">
        <v>0.41647000000000001</v>
      </c>
      <c r="R385" s="30">
        <v>70384</v>
      </c>
      <c r="S385" s="27" t="s">
        <v>41</v>
      </c>
      <c r="T385" s="29">
        <v>126612.47309</v>
      </c>
      <c r="U385" s="27" t="s">
        <v>31</v>
      </c>
      <c r="V385" s="28">
        <v>45392</v>
      </c>
      <c r="W385" s="27" t="s">
        <v>32</v>
      </c>
      <c r="X385" s="28">
        <v>45376</v>
      </c>
      <c r="Y385" s="27" t="s">
        <v>33</v>
      </c>
      <c r="Z385" s="43" t="e">
        <f>TEXT([1]!Table64[[#This Row],[Order date]],"mmm-yyyy")</f>
        <v>#REF!</v>
      </c>
    </row>
    <row r="386" spans="1:26" x14ac:dyDescent="0.3">
      <c r="A386" s="10">
        <v>10385</v>
      </c>
      <c r="B386" s="11">
        <v>6155</v>
      </c>
      <c r="C386" s="11" t="s">
        <v>25</v>
      </c>
      <c r="D386" s="12">
        <v>73829.13</v>
      </c>
      <c r="E386" s="11">
        <v>84</v>
      </c>
      <c r="F386" s="11" t="s">
        <v>46</v>
      </c>
      <c r="G386" s="13">
        <v>45383</v>
      </c>
      <c r="H386" s="12">
        <v>122309.72</v>
      </c>
      <c r="I386" s="14" t="s">
        <v>27</v>
      </c>
      <c r="J386" s="15" t="s">
        <v>49</v>
      </c>
      <c r="K386" s="15">
        <v>1024</v>
      </c>
      <c r="L386" s="16">
        <v>45397</v>
      </c>
      <c r="M386" s="17">
        <v>8</v>
      </c>
      <c r="N386" s="18">
        <v>90385</v>
      </c>
      <c r="O386" s="18" t="s">
        <v>37</v>
      </c>
      <c r="P386" s="19">
        <v>45383</v>
      </c>
      <c r="Q386" s="20">
        <v>0.15659000000000001</v>
      </c>
      <c r="R386" s="21">
        <v>70385</v>
      </c>
      <c r="S386" s="18" t="s">
        <v>41</v>
      </c>
      <c r="T386" s="20">
        <v>85952.910520000005</v>
      </c>
      <c r="U386" s="18" t="s">
        <v>31</v>
      </c>
      <c r="V386" s="19">
        <v>45444</v>
      </c>
      <c r="W386" s="18" t="s">
        <v>38</v>
      </c>
      <c r="X386" s="19">
        <v>45384</v>
      </c>
      <c r="Y386" s="18" t="s">
        <v>33</v>
      </c>
      <c r="Z386" s="43" t="e">
        <f>TEXT([1]!Table64[[#This Row],[Order date]],"mmm-yyyy")</f>
        <v>#REF!</v>
      </c>
    </row>
    <row r="387" spans="1:26" x14ac:dyDescent="0.3">
      <c r="A387" s="22">
        <v>10386</v>
      </c>
      <c r="B387" s="23">
        <v>5404</v>
      </c>
      <c r="C387" s="23" t="s">
        <v>34</v>
      </c>
      <c r="D387" s="24">
        <v>81586.09</v>
      </c>
      <c r="E387" s="23">
        <v>25</v>
      </c>
      <c r="F387" s="23" t="s">
        <v>46</v>
      </c>
      <c r="G387" s="25">
        <v>45383</v>
      </c>
      <c r="H387" s="24">
        <v>94092.71</v>
      </c>
      <c r="I387" s="26" t="s">
        <v>27</v>
      </c>
      <c r="J387" s="15" t="s">
        <v>49</v>
      </c>
      <c r="K387" s="15">
        <v>273</v>
      </c>
      <c r="L387" s="16">
        <v>45397</v>
      </c>
      <c r="M387" s="17">
        <v>11</v>
      </c>
      <c r="N387" s="27">
        <v>90386</v>
      </c>
      <c r="O387" s="27" t="s">
        <v>37</v>
      </c>
      <c r="P387" s="28">
        <v>45352</v>
      </c>
      <c r="Q387" s="29">
        <v>0.6603</v>
      </c>
      <c r="R387" s="30">
        <v>70386</v>
      </c>
      <c r="S387" s="27" t="s">
        <v>41</v>
      </c>
      <c r="T387" s="29">
        <v>92475.472200000004</v>
      </c>
      <c r="U387" s="27" t="s">
        <v>31</v>
      </c>
      <c r="V387" s="28">
        <v>45392</v>
      </c>
      <c r="W387" s="27" t="s">
        <v>38</v>
      </c>
      <c r="X387" s="28">
        <v>45384</v>
      </c>
      <c r="Y387" s="27" t="s">
        <v>39</v>
      </c>
      <c r="Z387" s="43" t="e">
        <f>TEXT([1]!Table64[[#This Row],[Order date]],"mmm-yyyy")</f>
        <v>#REF!</v>
      </c>
    </row>
    <row r="388" spans="1:26" x14ac:dyDescent="0.3">
      <c r="A388" s="10">
        <v>10387</v>
      </c>
      <c r="B388" s="11">
        <v>5152</v>
      </c>
      <c r="C388" s="11" t="s">
        <v>34</v>
      </c>
      <c r="D388" s="12">
        <v>64946.82</v>
      </c>
      <c r="E388" s="11">
        <v>40</v>
      </c>
      <c r="F388" s="11" t="s">
        <v>43</v>
      </c>
      <c r="G388" s="13">
        <v>45306</v>
      </c>
      <c r="H388" s="12">
        <v>93351.34</v>
      </c>
      <c r="I388" s="14" t="s">
        <v>27</v>
      </c>
      <c r="J388" s="15" t="s">
        <v>49</v>
      </c>
      <c r="K388" s="15">
        <v>567</v>
      </c>
      <c r="L388" s="16">
        <v>45332</v>
      </c>
      <c r="M388" s="17">
        <v>13</v>
      </c>
      <c r="N388" s="18">
        <v>90387</v>
      </c>
      <c r="O388" s="18" t="s">
        <v>50</v>
      </c>
      <c r="P388" s="19">
        <v>45383</v>
      </c>
      <c r="Q388" s="20">
        <v>0.26980999999999999</v>
      </c>
      <c r="R388" s="21">
        <v>70387</v>
      </c>
      <c r="S388" s="18" t="s">
        <v>45</v>
      </c>
      <c r="T388" s="20">
        <v>145776.39455</v>
      </c>
      <c r="U388" s="18" t="s">
        <v>31</v>
      </c>
      <c r="V388" s="19">
        <v>45422</v>
      </c>
      <c r="W388" s="18" t="s">
        <v>38</v>
      </c>
      <c r="X388" s="19">
        <v>45376</v>
      </c>
      <c r="Y388" s="18" t="s">
        <v>33</v>
      </c>
      <c r="Z388" s="43" t="e">
        <f>TEXT([1]!Table64[[#This Row],[Order date]],"mmm-yyyy")</f>
        <v>#REF!</v>
      </c>
    </row>
    <row r="389" spans="1:26" x14ac:dyDescent="0.3">
      <c r="A389" s="22">
        <v>10388</v>
      </c>
      <c r="B389" s="23">
        <v>5054</v>
      </c>
      <c r="C389" s="23" t="s">
        <v>25</v>
      </c>
      <c r="D389" s="24">
        <v>25548.06</v>
      </c>
      <c r="E389" s="23">
        <v>88</v>
      </c>
      <c r="F389" s="23" t="s">
        <v>43</v>
      </c>
      <c r="G389" s="25">
        <v>45337</v>
      </c>
      <c r="H389" s="24">
        <v>71817.41</v>
      </c>
      <c r="I389" s="26" t="s">
        <v>44</v>
      </c>
      <c r="J389" s="15" t="s">
        <v>49</v>
      </c>
      <c r="K389" s="15">
        <v>683</v>
      </c>
      <c r="L389" s="16">
        <v>45332</v>
      </c>
      <c r="M389" s="17">
        <v>8</v>
      </c>
      <c r="N389" s="27">
        <v>90388</v>
      </c>
      <c r="O389" s="27" t="s">
        <v>37</v>
      </c>
      <c r="P389" s="28">
        <v>45383</v>
      </c>
      <c r="Q389" s="29">
        <v>0.61214000000000002</v>
      </c>
      <c r="R389" s="30">
        <v>70388</v>
      </c>
      <c r="S389" s="27" t="s">
        <v>45</v>
      </c>
      <c r="T389" s="29">
        <v>114997.034</v>
      </c>
      <c r="U389" s="27" t="s">
        <v>31</v>
      </c>
      <c r="V389" s="28">
        <v>45422</v>
      </c>
      <c r="W389" s="27" t="s">
        <v>38</v>
      </c>
      <c r="X389" s="28">
        <v>45376</v>
      </c>
      <c r="Y389" s="27" t="s">
        <v>39</v>
      </c>
      <c r="Z389" s="43" t="e">
        <f>TEXT([1]!Table64[[#This Row],[Order date]],"mmm-yyyy")</f>
        <v>#REF!</v>
      </c>
    </row>
    <row r="390" spans="1:26" x14ac:dyDescent="0.3">
      <c r="A390" s="10">
        <v>10389</v>
      </c>
      <c r="B390" s="11">
        <v>6144</v>
      </c>
      <c r="C390" s="11" t="s">
        <v>34</v>
      </c>
      <c r="D390" s="12">
        <v>68264.58</v>
      </c>
      <c r="E390" s="11">
        <v>14</v>
      </c>
      <c r="F390" s="11" t="s">
        <v>46</v>
      </c>
      <c r="G390" s="13">
        <v>45337</v>
      </c>
      <c r="H390" s="12">
        <v>142385.65</v>
      </c>
      <c r="I390" s="14" t="s">
        <v>47</v>
      </c>
      <c r="J390" s="15" t="s">
        <v>49</v>
      </c>
      <c r="K390" s="15">
        <v>285</v>
      </c>
      <c r="L390" s="16">
        <v>45397</v>
      </c>
      <c r="M390" s="17">
        <v>5</v>
      </c>
      <c r="N390" s="18">
        <v>90389</v>
      </c>
      <c r="O390" s="18" t="s">
        <v>50</v>
      </c>
      <c r="P390" s="19">
        <v>45383</v>
      </c>
      <c r="Q390" s="20">
        <v>0.76556000000000002</v>
      </c>
      <c r="R390" s="21">
        <v>70389</v>
      </c>
      <c r="S390" s="18" t="s">
        <v>30</v>
      </c>
      <c r="T390" s="20">
        <v>58294.145920000003</v>
      </c>
      <c r="U390" s="18" t="s">
        <v>42</v>
      </c>
      <c r="V390" s="19">
        <v>45392</v>
      </c>
      <c r="W390" s="18" t="s">
        <v>38</v>
      </c>
      <c r="X390" s="19">
        <v>45376</v>
      </c>
      <c r="Y390" s="18" t="s">
        <v>33</v>
      </c>
      <c r="Z390" s="43" t="e">
        <f>TEXT([1]!Table64[[#This Row],[Order date]],"mmm-yyyy")</f>
        <v>#REF!</v>
      </c>
    </row>
    <row r="391" spans="1:26" x14ac:dyDescent="0.3">
      <c r="A391" s="22">
        <v>10390</v>
      </c>
      <c r="B391" s="23">
        <v>6697</v>
      </c>
      <c r="C391" s="23" t="s">
        <v>34</v>
      </c>
      <c r="D391" s="24">
        <v>62250.33</v>
      </c>
      <c r="E391" s="23">
        <v>26</v>
      </c>
      <c r="F391" s="23" t="s">
        <v>43</v>
      </c>
      <c r="G391" s="25">
        <v>45383</v>
      </c>
      <c r="H391" s="24">
        <v>139067.57999999999</v>
      </c>
      <c r="I391" s="26" t="s">
        <v>44</v>
      </c>
      <c r="J391" s="15" t="s">
        <v>36</v>
      </c>
      <c r="K391" s="15">
        <v>165</v>
      </c>
      <c r="L391" s="16">
        <v>45332</v>
      </c>
      <c r="M391" s="17">
        <v>5</v>
      </c>
      <c r="N391" s="27">
        <v>90390</v>
      </c>
      <c r="O391" s="27" t="s">
        <v>40</v>
      </c>
      <c r="P391" s="28">
        <v>45430</v>
      </c>
      <c r="Q391" s="29">
        <v>0.80527000000000004</v>
      </c>
      <c r="R391" s="30">
        <v>70390</v>
      </c>
      <c r="S391" s="27" t="s">
        <v>41</v>
      </c>
      <c r="T391" s="29">
        <v>119557.24754</v>
      </c>
      <c r="U391" s="27" t="s">
        <v>42</v>
      </c>
      <c r="V391" s="28">
        <v>45444</v>
      </c>
      <c r="W391" s="27" t="s">
        <v>32</v>
      </c>
      <c r="X391" s="28">
        <v>45384</v>
      </c>
      <c r="Y391" s="27" t="s">
        <v>39</v>
      </c>
      <c r="Z391" s="43" t="e">
        <f>TEXT([1]!Table64[[#This Row],[Order date]],"mmm-yyyy")</f>
        <v>#REF!</v>
      </c>
    </row>
    <row r="392" spans="1:26" x14ac:dyDescent="0.3">
      <c r="A392" s="10">
        <v>10391</v>
      </c>
      <c r="B392" s="11">
        <v>6944</v>
      </c>
      <c r="C392" s="11" t="s">
        <v>34</v>
      </c>
      <c r="D392" s="12">
        <v>68308.86</v>
      </c>
      <c r="E392" s="11">
        <v>87</v>
      </c>
      <c r="F392" s="11" t="s">
        <v>46</v>
      </c>
      <c r="G392" s="13">
        <v>45337</v>
      </c>
      <c r="H392" s="12">
        <v>51810.2</v>
      </c>
      <c r="I392" s="14" t="s">
        <v>44</v>
      </c>
      <c r="J392" s="15" t="s">
        <v>36</v>
      </c>
      <c r="K392" s="15">
        <v>1236</v>
      </c>
      <c r="L392" s="16">
        <v>45332</v>
      </c>
      <c r="M392" s="17">
        <v>6</v>
      </c>
      <c r="N392" s="18">
        <v>90391</v>
      </c>
      <c r="O392" s="18" t="s">
        <v>37</v>
      </c>
      <c r="P392" s="19">
        <v>45352</v>
      </c>
      <c r="Q392" s="20">
        <v>0.37165999999999999</v>
      </c>
      <c r="R392" s="21">
        <v>70391</v>
      </c>
      <c r="S392" s="18" t="s">
        <v>41</v>
      </c>
      <c r="T392" s="20">
        <v>91665.738100000002</v>
      </c>
      <c r="U392" s="18" t="s">
        <v>48</v>
      </c>
      <c r="V392" s="19">
        <v>45444</v>
      </c>
      <c r="W392" s="18" t="s">
        <v>32</v>
      </c>
      <c r="X392" s="19">
        <v>45384</v>
      </c>
      <c r="Y392" s="18" t="s">
        <v>33</v>
      </c>
      <c r="Z392" s="43" t="e">
        <f>TEXT([1]!Table64[[#This Row],[Order date]],"mmm-yyyy")</f>
        <v>#REF!</v>
      </c>
    </row>
    <row r="393" spans="1:26" x14ac:dyDescent="0.3">
      <c r="A393" s="22">
        <v>10392</v>
      </c>
      <c r="B393" s="23">
        <v>5628</v>
      </c>
      <c r="C393" s="23" t="s">
        <v>34</v>
      </c>
      <c r="D393" s="24">
        <v>21891.62</v>
      </c>
      <c r="E393" s="23">
        <v>22</v>
      </c>
      <c r="F393" s="23" t="s">
        <v>35</v>
      </c>
      <c r="G393" s="25">
        <v>45306</v>
      </c>
      <c r="H393" s="24">
        <v>131437.16</v>
      </c>
      <c r="I393" s="26" t="s">
        <v>44</v>
      </c>
      <c r="J393" s="15" t="s">
        <v>36</v>
      </c>
      <c r="K393" s="15">
        <v>275</v>
      </c>
      <c r="L393" s="16">
        <v>45397</v>
      </c>
      <c r="M393" s="17">
        <v>10</v>
      </c>
      <c r="N393" s="27">
        <v>90392</v>
      </c>
      <c r="O393" s="27" t="s">
        <v>50</v>
      </c>
      <c r="P393" s="28">
        <v>45352</v>
      </c>
      <c r="Q393" s="29">
        <v>0.56118999999999997</v>
      </c>
      <c r="R393" s="30">
        <v>70392</v>
      </c>
      <c r="S393" s="27" t="s">
        <v>41</v>
      </c>
      <c r="T393" s="29">
        <v>157011.53765000001</v>
      </c>
      <c r="U393" s="27" t="s">
        <v>42</v>
      </c>
      <c r="V393" s="28">
        <v>45422</v>
      </c>
      <c r="W393" s="27" t="s">
        <v>38</v>
      </c>
      <c r="X393" s="28">
        <v>45376</v>
      </c>
      <c r="Y393" s="27" t="s">
        <v>33</v>
      </c>
      <c r="Z393" s="43" t="e">
        <f>TEXT([1]!Table64[[#This Row],[Order date]],"mmm-yyyy")</f>
        <v>#REF!</v>
      </c>
    </row>
    <row r="394" spans="1:26" x14ac:dyDescent="0.3">
      <c r="A394" s="10">
        <v>10393</v>
      </c>
      <c r="B394" s="11">
        <v>5587</v>
      </c>
      <c r="C394" s="11" t="s">
        <v>34</v>
      </c>
      <c r="D394" s="12">
        <v>9013.67</v>
      </c>
      <c r="E394" s="11">
        <v>48</v>
      </c>
      <c r="F394" s="11" t="s">
        <v>35</v>
      </c>
      <c r="G394" s="13">
        <v>45383</v>
      </c>
      <c r="H394" s="12">
        <v>37555.17</v>
      </c>
      <c r="I394" s="14" t="s">
        <v>44</v>
      </c>
      <c r="J394" s="15" t="s">
        <v>36</v>
      </c>
      <c r="K394" s="15">
        <v>279</v>
      </c>
      <c r="L394" s="16">
        <v>45397</v>
      </c>
      <c r="M394" s="17">
        <v>7</v>
      </c>
      <c r="N394" s="18">
        <v>90393</v>
      </c>
      <c r="O394" s="18" t="s">
        <v>37</v>
      </c>
      <c r="P394" s="19">
        <v>45352</v>
      </c>
      <c r="Q394" s="20">
        <v>0.65886999999999996</v>
      </c>
      <c r="R394" s="21">
        <v>70393</v>
      </c>
      <c r="S394" s="18" t="s">
        <v>45</v>
      </c>
      <c r="T394" s="20">
        <v>205937.47320000001</v>
      </c>
      <c r="U394" s="18" t="s">
        <v>31</v>
      </c>
      <c r="V394" s="19">
        <v>45392</v>
      </c>
      <c r="W394" s="18" t="s">
        <v>32</v>
      </c>
      <c r="X394" s="19">
        <v>45384</v>
      </c>
      <c r="Y394" s="18" t="s">
        <v>39</v>
      </c>
      <c r="Z394" s="43" t="e">
        <f>TEXT([1]!Table64[[#This Row],[Order date]],"mmm-yyyy")</f>
        <v>#REF!</v>
      </c>
    </row>
    <row r="395" spans="1:26" x14ac:dyDescent="0.3">
      <c r="A395" s="22">
        <v>10394</v>
      </c>
      <c r="B395" s="23">
        <v>6649</v>
      </c>
      <c r="C395" s="23" t="s">
        <v>34</v>
      </c>
      <c r="D395" s="24">
        <v>87891.79</v>
      </c>
      <c r="E395" s="23">
        <v>83</v>
      </c>
      <c r="F395" s="23" t="s">
        <v>26</v>
      </c>
      <c r="G395" s="25">
        <v>45361</v>
      </c>
      <c r="H395" s="24">
        <v>24732.44</v>
      </c>
      <c r="I395" s="26" t="s">
        <v>44</v>
      </c>
      <c r="J395" s="15" t="s">
        <v>28</v>
      </c>
      <c r="K395" s="15">
        <v>231</v>
      </c>
      <c r="L395" s="16">
        <v>45332</v>
      </c>
      <c r="M395" s="17">
        <v>13</v>
      </c>
      <c r="N395" s="27">
        <v>90394</v>
      </c>
      <c r="O395" s="27" t="s">
        <v>40</v>
      </c>
      <c r="P395" s="28">
        <v>45383</v>
      </c>
      <c r="Q395" s="29">
        <v>0.83753</v>
      </c>
      <c r="R395" s="30">
        <v>70394</v>
      </c>
      <c r="S395" s="27" t="s">
        <v>41</v>
      </c>
      <c r="T395" s="29">
        <v>195242.37289</v>
      </c>
      <c r="U395" s="27" t="s">
        <v>48</v>
      </c>
      <c r="V395" s="28">
        <v>45422</v>
      </c>
      <c r="W395" s="27" t="s">
        <v>32</v>
      </c>
      <c r="X395" s="28">
        <v>45376</v>
      </c>
      <c r="Y395" s="27" t="s">
        <v>33</v>
      </c>
      <c r="Z395" s="43" t="e">
        <f>TEXT([1]!Table64[[#This Row],[Order date]],"mmm-yyyy")</f>
        <v>#REF!</v>
      </c>
    </row>
    <row r="396" spans="1:26" x14ac:dyDescent="0.3">
      <c r="A396" s="10">
        <v>10395</v>
      </c>
      <c r="B396" s="11">
        <v>6992</v>
      </c>
      <c r="C396" s="11" t="s">
        <v>34</v>
      </c>
      <c r="D396" s="12">
        <v>55124.1</v>
      </c>
      <c r="E396" s="11">
        <v>51</v>
      </c>
      <c r="F396" s="11" t="s">
        <v>35</v>
      </c>
      <c r="G396" s="13">
        <v>45361</v>
      </c>
      <c r="H396" s="12">
        <v>46861.73</v>
      </c>
      <c r="I396" s="14" t="s">
        <v>44</v>
      </c>
      <c r="J396" s="15" t="s">
        <v>36</v>
      </c>
      <c r="K396" s="15">
        <v>1322</v>
      </c>
      <c r="L396" s="16">
        <v>45361</v>
      </c>
      <c r="M396" s="17">
        <v>13</v>
      </c>
      <c r="N396" s="18">
        <v>90395</v>
      </c>
      <c r="O396" s="18" t="s">
        <v>37</v>
      </c>
      <c r="P396" s="19">
        <v>45430</v>
      </c>
      <c r="Q396" s="20">
        <v>0.78525</v>
      </c>
      <c r="R396" s="21">
        <v>70395</v>
      </c>
      <c r="S396" s="18" t="s">
        <v>41</v>
      </c>
      <c r="T396" s="20">
        <v>179422.32199999999</v>
      </c>
      <c r="U396" s="18" t="s">
        <v>31</v>
      </c>
      <c r="V396" s="19">
        <v>45422</v>
      </c>
      <c r="W396" s="18" t="s">
        <v>38</v>
      </c>
      <c r="X396" s="19">
        <v>45376</v>
      </c>
      <c r="Y396" s="18" t="s">
        <v>33</v>
      </c>
      <c r="Z396" s="43" t="e">
        <f>TEXT([1]!Table64[[#This Row],[Order date]],"mmm-yyyy")</f>
        <v>#REF!</v>
      </c>
    </row>
    <row r="397" spans="1:26" x14ac:dyDescent="0.3">
      <c r="A397" s="22">
        <v>10396</v>
      </c>
      <c r="B397" s="23">
        <v>6444</v>
      </c>
      <c r="C397" s="23" t="s">
        <v>25</v>
      </c>
      <c r="D397" s="24">
        <v>42741.52</v>
      </c>
      <c r="E397" s="23">
        <v>3</v>
      </c>
      <c r="F397" s="23" t="s">
        <v>46</v>
      </c>
      <c r="G397" s="25">
        <v>45337</v>
      </c>
      <c r="H397" s="24">
        <v>97297.79</v>
      </c>
      <c r="I397" s="26" t="s">
        <v>47</v>
      </c>
      <c r="J397" s="15" t="s">
        <v>49</v>
      </c>
      <c r="K397" s="15">
        <v>1391</v>
      </c>
      <c r="L397" s="16">
        <v>45332</v>
      </c>
      <c r="M397" s="17">
        <v>10</v>
      </c>
      <c r="N397" s="27">
        <v>90396</v>
      </c>
      <c r="O397" s="27" t="s">
        <v>50</v>
      </c>
      <c r="P397" s="28">
        <v>45352</v>
      </c>
      <c r="Q397" s="29">
        <v>0.98917999999999995</v>
      </c>
      <c r="R397" s="30">
        <v>70396</v>
      </c>
      <c r="S397" s="27" t="s">
        <v>41</v>
      </c>
      <c r="T397" s="29">
        <v>95539.210590000002</v>
      </c>
      <c r="U397" s="27" t="s">
        <v>31</v>
      </c>
      <c r="V397" s="28">
        <v>45422</v>
      </c>
      <c r="W397" s="27" t="s">
        <v>38</v>
      </c>
      <c r="X397" s="28">
        <v>45376</v>
      </c>
      <c r="Y397" s="27" t="s">
        <v>39</v>
      </c>
      <c r="Z397" s="43" t="e">
        <f>TEXT([1]!Table64[[#This Row],[Order date]],"mmm-yyyy")</f>
        <v>#REF!</v>
      </c>
    </row>
    <row r="398" spans="1:26" x14ac:dyDescent="0.3">
      <c r="A398" s="10">
        <v>10397</v>
      </c>
      <c r="B398" s="11">
        <v>6446</v>
      </c>
      <c r="C398" s="11" t="s">
        <v>25</v>
      </c>
      <c r="D398" s="12">
        <v>80956.89</v>
      </c>
      <c r="E398" s="11">
        <v>42</v>
      </c>
      <c r="F398" s="11" t="s">
        <v>43</v>
      </c>
      <c r="G398" s="13">
        <v>45383</v>
      </c>
      <c r="H398" s="12">
        <v>79882.679999999993</v>
      </c>
      <c r="I398" s="14" t="s">
        <v>47</v>
      </c>
      <c r="J398" s="15" t="s">
        <v>36</v>
      </c>
      <c r="K398" s="15">
        <v>259</v>
      </c>
      <c r="L398" s="16">
        <v>45361</v>
      </c>
      <c r="M398" s="17">
        <v>14</v>
      </c>
      <c r="N398" s="18">
        <v>90397</v>
      </c>
      <c r="O398" s="18" t="s">
        <v>37</v>
      </c>
      <c r="P398" s="19">
        <v>45383</v>
      </c>
      <c r="Q398" s="20">
        <v>0.10728</v>
      </c>
      <c r="R398" s="21">
        <v>70397</v>
      </c>
      <c r="S398" s="18" t="s">
        <v>41</v>
      </c>
      <c r="T398" s="20">
        <v>168598.51555000001</v>
      </c>
      <c r="U398" s="18" t="s">
        <v>42</v>
      </c>
      <c r="V398" s="19">
        <v>45444</v>
      </c>
      <c r="W398" s="18" t="s">
        <v>32</v>
      </c>
      <c r="X398" s="19">
        <v>45376</v>
      </c>
      <c r="Y398" s="18" t="s">
        <v>33</v>
      </c>
      <c r="Z398" s="43" t="e">
        <f>TEXT([1]!Table64[[#This Row],[Order date]],"mmm-yyyy")</f>
        <v>#REF!</v>
      </c>
    </row>
    <row r="399" spans="1:26" x14ac:dyDescent="0.3">
      <c r="A399" s="22">
        <v>10398</v>
      </c>
      <c r="B399" s="23">
        <v>5104</v>
      </c>
      <c r="C399" s="23" t="s">
        <v>25</v>
      </c>
      <c r="D399" s="24">
        <v>25008.18</v>
      </c>
      <c r="E399" s="23">
        <v>19</v>
      </c>
      <c r="F399" s="23" t="s">
        <v>26</v>
      </c>
      <c r="G399" s="25">
        <v>45383</v>
      </c>
      <c r="H399" s="24">
        <v>114719.81</v>
      </c>
      <c r="I399" s="26" t="s">
        <v>27</v>
      </c>
      <c r="J399" s="15" t="s">
        <v>36</v>
      </c>
      <c r="K399" s="15">
        <v>1465</v>
      </c>
      <c r="L399" s="16">
        <v>45397</v>
      </c>
      <c r="M399" s="17">
        <v>7</v>
      </c>
      <c r="N399" s="27">
        <v>90398</v>
      </c>
      <c r="O399" s="27" t="s">
        <v>37</v>
      </c>
      <c r="P399" s="28">
        <v>45430</v>
      </c>
      <c r="Q399" s="29">
        <v>0.49374000000000001</v>
      </c>
      <c r="R399" s="30">
        <v>70398</v>
      </c>
      <c r="S399" s="27" t="s">
        <v>30</v>
      </c>
      <c r="T399" s="29">
        <v>139638.6796</v>
      </c>
      <c r="U399" s="27" t="s">
        <v>31</v>
      </c>
      <c r="V399" s="28">
        <v>45392</v>
      </c>
      <c r="W399" s="27" t="s">
        <v>38</v>
      </c>
      <c r="X399" s="28">
        <v>45376</v>
      </c>
      <c r="Y399" s="27" t="s">
        <v>33</v>
      </c>
      <c r="Z399" s="43" t="e">
        <f>TEXT([1]!Table64[[#This Row],[Order date]],"mmm-yyyy")</f>
        <v>#REF!</v>
      </c>
    </row>
    <row r="400" spans="1:26" x14ac:dyDescent="0.3">
      <c r="A400" s="10">
        <v>10399</v>
      </c>
      <c r="B400" s="11">
        <v>6876</v>
      </c>
      <c r="C400" s="11" t="s">
        <v>34</v>
      </c>
      <c r="D400" s="12">
        <v>90655.96</v>
      </c>
      <c r="E400" s="11">
        <v>73</v>
      </c>
      <c r="F400" s="11" t="s">
        <v>43</v>
      </c>
      <c r="G400" s="13">
        <v>45361</v>
      </c>
      <c r="H400" s="12">
        <v>46178.97</v>
      </c>
      <c r="I400" s="14" t="s">
        <v>44</v>
      </c>
      <c r="J400" s="15" t="s">
        <v>49</v>
      </c>
      <c r="K400" s="15">
        <v>145</v>
      </c>
      <c r="L400" s="16">
        <v>45361</v>
      </c>
      <c r="M400" s="17">
        <v>13</v>
      </c>
      <c r="N400" s="18">
        <v>90399</v>
      </c>
      <c r="O400" s="18" t="s">
        <v>50</v>
      </c>
      <c r="P400" s="19">
        <v>45430</v>
      </c>
      <c r="Q400" s="20">
        <v>0.33044000000000001</v>
      </c>
      <c r="R400" s="21">
        <v>70399</v>
      </c>
      <c r="S400" s="18" t="s">
        <v>41</v>
      </c>
      <c r="T400" s="20">
        <v>128717.34600000001</v>
      </c>
      <c r="U400" s="18" t="s">
        <v>42</v>
      </c>
      <c r="V400" s="19">
        <v>45392</v>
      </c>
      <c r="W400" s="18" t="s">
        <v>32</v>
      </c>
      <c r="X400" s="19">
        <v>45376</v>
      </c>
      <c r="Y400" s="18" t="s">
        <v>39</v>
      </c>
      <c r="Z400" s="43" t="e">
        <f>TEXT([1]!Table64[[#This Row],[Order date]],"mmm-yyyy")</f>
        <v>#REF!</v>
      </c>
    </row>
    <row r="401" spans="1:26" x14ac:dyDescent="0.3">
      <c r="A401" s="22">
        <v>10400</v>
      </c>
      <c r="B401" s="23">
        <v>5254</v>
      </c>
      <c r="C401" s="23" t="s">
        <v>34</v>
      </c>
      <c r="D401" s="24">
        <v>33505.49</v>
      </c>
      <c r="E401" s="23">
        <v>28</v>
      </c>
      <c r="F401" s="23" t="s">
        <v>46</v>
      </c>
      <c r="G401" s="25">
        <v>45383</v>
      </c>
      <c r="H401" s="24">
        <v>74743.81</v>
      </c>
      <c r="I401" s="26" t="s">
        <v>47</v>
      </c>
      <c r="J401" s="15" t="s">
        <v>36</v>
      </c>
      <c r="K401" s="15">
        <v>943</v>
      </c>
      <c r="L401" s="16">
        <v>45397</v>
      </c>
      <c r="M401" s="17">
        <v>4</v>
      </c>
      <c r="N401" s="27">
        <v>90400</v>
      </c>
      <c r="O401" s="27" t="s">
        <v>29</v>
      </c>
      <c r="P401" s="28">
        <v>45352</v>
      </c>
      <c r="Q401" s="29">
        <v>0.2079</v>
      </c>
      <c r="R401" s="30">
        <v>70400</v>
      </c>
      <c r="S401" s="27" t="s">
        <v>30</v>
      </c>
      <c r="T401" s="29">
        <v>106364.90661999999</v>
      </c>
      <c r="U401" s="27" t="s">
        <v>31</v>
      </c>
      <c r="V401" s="28">
        <v>45444</v>
      </c>
      <c r="W401" s="27" t="s">
        <v>38</v>
      </c>
      <c r="X401" s="28">
        <v>45384</v>
      </c>
      <c r="Y401" s="27" t="s">
        <v>33</v>
      </c>
      <c r="Z401" s="43" t="e">
        <f>TEXT([1]!Table64[[#This Row],[Order date]],"mmm-yyyy")</f>
        <v>#REF!</v>
      </c>
    </row>
    <row r="402" spans="1:26" x14ac:dyDescent="0.3">
      <c r="A402" s="10">
        <v>10401</v>
      </c>
      <c r="B402" s="11">
        <v>6251</v>
      </c>
      <c r="C402" s="11" t="s">
        <v>34</v>
      </c>
      <c r="D402" s="12">
        <v>75581.36</v>
      </c>
      <c r="E402" s="11">
        <v>84</v>
      </c>
      <c r="F402" s="11" t="s">
        <v>35</v>
      </c>
      <c r="G402" s="13">
        <v>45383</v>
      </c>
      <c r="H402" s="12">
        <v>75033.69</v>
      </c>
      <c r="I402" s="14" t="s">
        <v>27</v>
      </c>
      <c r="J402" s="15" t="s">
        <v>36</v>
      </c>
      <c r="K402" s="15">
        <v>805</v>
      </c>
      <c r="L402" s="16">
        <v>45332</v>
      </c>
      <c r="M402" s="17">
        <v>6</v>
      </c>
      <c r="N402" s="18">
        <v>90401</v>
      </c>
      <c r="O402" s="18" t="s">
        <v>37</v>
      </c>
      <c r="P402" s="19">
        <v>45352</v>
      </c>
      <c r="Q402" s="20">
        <v>0.92035999999999996</v>
      </c>
      <c r="R402" s="21">
        <v>70401</v>
      </c>
      <c r="S402" s="18" t="s">
        <v>41</v>
      </c>
      <c r="T402" s="20">
        <v>134857.68530000001</v>
      </c>
      <c r="U402" s="18" t="s">
        <v>48</v>
      </c>
      <c r="V402" s="19">
        <v>45422</v>
      </c>
      <c r="W402" s="18" t="s">
        <v>32</v>
      </c>
      <c r="X402" s="19">
        <v>45376</v>
      </c>
      <c r="Y402" s="18" t="s">
        <v>33</v>
      </c>
      <c r="Z402" s="43" t="e">
        <f>TEXT([1]!Table64[[#This Row],[Order date]],"mmm-yyyy")</f>
        <v>#REF!</v>
      </c>
    </row>
    <row r="403" spans="1:26" x14ac:dyDescent="0.3">
      <c r="A403" s="22">
        <v>10402</v>
      </c>
      <c r="B403" s="23">
        <v>6136</v>
      </c>
      <c r="C403" s="23" t="s">
        <v>25</v>
      </c>
      <c r="D403" s="24">
        <v>19442.59</v>
      </c>
      <c r="E403" s="23">
        <v>45</v>
      </c>
      <c r="F403" s="23" t="s">
        <v>26</v>
      </c>
      <c r="G403" s="25">
        <v>45383</v>
      </c>
      <c r="H403" s="24">
        <v>120428.8</v>
      </c>
      <c r="I403" s="26" t="s">
        <v>47</v>
      </c>
      <c r="J403" s="15" t="s">
        <v>36</v>
      </c>
      <c r="K403" s="15">
        <v>1159</v>
      </c>
      <c r="L403" s="16">
        <v>45332</v>
      </c>
      <c r="M403" s="17">
        <v>7</v>
      </c>
      <c r="N403" s="27">
        <v>90402</v>
      </c>
      <c r="O403" s="27" t="s">
        <v>37</v>
      </c>
      <c r="P403" s="28">
        <v>45383</v>
      </c>
      <c r="Q403" s="29">
        <v>0.99817</v>
      </c>
      <c r="R403" s="30">
        <v>70402</v>
      </c>
      <c r="S403" s="27" t="s">
        <v>41</v>
      </c>
      <c r="T403" s="29">
        <v>75352.486999999994</v>
      </c>
      <c r="U403" s="27" t="s">
        <v>31</v>
      </c>
      <c r="V403" s="28">
        <v>45422</v>
      </c>
      <c r="W403" s="27" t="s">
        <v>38</v>
      </c>
      <c r="X403" s="28">
        <v>45376</v>
      </c>
      <c r="Y403" s="27" t="s">
        <v>33</v>
      </c>
      <c r="Z403" s="43" t="e">
        <f>TEXT([1]!Table64[[#This Row],[Order date]],"mmm-yyyy")</f>
        <v>#REF!</v>
      </c>
    </row>
    <row r="404" spans="1:26" x14ac:dyDescent="0.3">
      <c r="A404" s="10">
        <v>10403</v>
      </c>
      <c r="B404" s="11">
        <v>5510</v>
      </c>
      <c r="C404" s="11" t="s">
        <v>34</v>
      </c>
      <c r="D404" s="12">
        <v>22204.46</v>
      </c>
      <c r="E404" s="11">
        <v>71</v>
      </c>
      <c r="F404" s="11" t="s">
        <v>46</v>
      </c>
      <c r="G404" s="13">
        <v>45337</v>
      </c>
      <c r="H404" s="12">
        <v>142401.57</v>
      </c>
      <c r="I404" s="14" t="s">
        <v>44</v>
      </c>
      <c r="J404" s="15" t="s">
        <v>28</v>
      </c>
      <c r="K404" s="15">
        <v>464</v>
      </c>
      <c r="L404" s="16">
        <v>45397</v>
      </c>
      <c r="M404" s="17">
        <v>5</v>
      </c>
      <c r="N404" s="18">
        <v>90403</v>
      </c>
      <c r="O404" s="18" t="s">
        <v>40</v>
      </c>
      <c r="P404" s="19">
        <v>45352</v>
      </c>
      <c r="Q404" s="20">
        <v>0.26254</v>
      </c>
      <c r="R404" s="21">
        <v>70403</v>
      </c>
      <c r="S404" s="18" t="s">
        <v>41</v>
      </c>
      <c r="T404" s="20">
        <v>195900.43990999999</v>
      </c>
      <c r="U404" s="18" t="s">
        <v>42</v>
      </c>
      <c r="V404" s="19">
        <v>45444</v>
      </c>
      <c r="W404" s="18" t="s">
        <v>38</v>
      </c>
      <c r="X404" s="19">
        <v>45384</v>
      </c>
      <c r="Y404" s="18" t="s">
        <v>33</v>
      </c>
      <c r="Z404" s="43" t="e">
        <f>TEXT([1]!Table64[[#This Row],[Order date]],"mmm-yyyy")</f>
        <v>#REF!</v>
      </c>
    </row>
    <row r="405" spans="1:26" x14ac:dyDescent="0.3">
      <c r="A405" s="22">
        <v>10404</v>
      </c>
      <c r="B405" s="23">
        <v>6497</v>
      </c>
      <c r="C405" s="23" t="s">
        <v>34</v>
      </c>
      <c r="D405" s="24">
        <v>85602.71</v>
      </c>
      <c r="E405" s="23">
        <v>78</v>
      </c>
      <c r="F405" s="23" t="s">
        <v>26</v>
      </c>
      <c r="G405" s="25">
        <v>45383</v>
      </c>
      <c r="H405" s="24">
        <v>139284.9</v>
      </c>
      <c r="I405" s="26" t="s">
        <v>47</v>
      </c>
      <c r="J405" s="15" t="s">
        <v>36</v>
      </c>
      <c r="K405" s="15">
        <v>443</v>
      </c>
      <c r="L405" s="16">
        <v>45397</v>
      </c>
      <c r="M405" s="17">
        <v>5</v>
      </c>
      <c r="N405" s="27">
        <v>90404</v>
      </c>
      <c r="O405" s="27" t="s">
        <v>29</v>
      </c>
      <c r="P405" s="28">
        <v>45383</v>
      </c>
      <c r="Q405" s="29">
        <v>0.13458999999999999</v>
      </c>
      <c r="R405" s="30">
        <v>70404</v>
      </c>
      <c r="S405" s="27" t="s">
        <v>45</v>
      </c>
      <c r="T405" s="29">
        <v>149874.18650000001</v>
      </c>
      <c r="U405" s="27" t="s">
        <v>31</v>
      </c>
      <c r="V405" s="28">
        <v>45392</v>
      </c>
      <c r="W405" s="27" t="s">
        <v>38</v>
      </c>
      <c r="X405" s="28">
        <v>45384</v>
      </c>
      <c r="Y405" s="27" t="s">
        <v>33</v>
      </c>
      <c r="Z405" s="43" t="e">
        <f>TEXT([1]!Table64[[#This Row],[Order date]],"mmm-yyyy")</f>
        <v>#REF!</v>
      </c>
    </row>
    <row r="406" spans="1:26" x14ac:dyDescent="0.3">
      <c r="A406" s="10">
        <v>10405</v>
      </c>
      <c r="B406" s="11">
        <v>5099</v>
      </c>
      <c r="C406" s="11" t="s">
        <v>34</v>
      </c>
      <c r="D406" s="12">
        <v>89644.81</v>
      </c>
      <c r="E406" s="11">
        <v>63</v>
      </c>
      <c r="F406" s="11" t="s">
        <v>26</v>
      </c>
      <c r="G406" s="13">
        <v>45306</v>
      </c>
      <c r="H406" s="12">
        <v>134211.34</v>
      </c>
      <c r="I406" s="14" t="s">
        <v>44</v>
      </c>
      <c r="J406" s="15" t="s">
        <v>49</v>
      </c>
      <c r="K406" s="15">
        <v>745</v>
      </c>
      <c r="L406" s="16">
        <v>45397</v>
      </c>
      <c r="M406" s="17">
        <v>2</v>
      </c>
      <c r="N406" s="18">
        <v>90405</v>
      </c>
      <c r="O406" s="18" t="s">
        <v>40</v>
      </c>
      <c r="P406" s="19">
        <v>45430</v>
      </c>
      <c r="Q406" s="20">
        <v>0.34755000000000003</v>
      </c>
      <c r="R406" s="21">
        <v>70405</v>
      </c>
      <c r="S406" s="18" t="s">
        <v>41</v>
      </c>
      <c r="T406" s="20">
        <v>75998.160669999997</v>
      </c>
      <c r="U406" s="18" t="s">
        <v>42</v>
      </c>
      <c r="V406" s="19">
        <v>45444</v>
      </c>
      <c r="W406" s="18" t="s">
        <v>32</v>
      </c>
      <c r="X406" s="19">
        <v>45376</v>
      </c>
      <c r="Y406" s="18" t="s">
        <v>33</v>
      </c>
      <c r="Z406" s="43" t="e">
        <f>TEXT([1]!Table64[[#This Row],[Order date]],"mmm-yyyy")</f>
        <v>#REF!</v>
      </c>
    </row>
    <row r="407" spans="1:26" x14ac:dyDescent="0.3">
      <c r="A407" s="22">
        <v>10406</v>
      </c>
      <c r="B407" s="23">
        <v>5153</v>
      </c>
      <c r="C407" s="23" t="s">
        <v>34</v>
      </c>
      <c r="D407" s="24">
        <v>74065.16</v>
      </c>
      <c r="E407" s="23">
        <v>73</v>
      </c>
      <c r="F407" s="23" t="s">
        <v>35</v>
      </c>
      <c r="G407" s="25">
        <v>45337</v>
      </c>
      <c r="H407" s="24">
        <v>58487.62</v>
      </c>
      <c r="I407" s="26" t="s">
        <v>47</v>
      </c>
      <c r="J407" s="15" t="s">
        <v>49</v>
      </c>
      <c r="K407" s="15">
        <v>893</v>
      </c>
      <c r="L407" s="16">
        <v>45332</v>
      </c>
      <c r="M407" s="17">
        <v>7</v>
      </c>
      <c r="N407" s="27">
        <v>90406</v>
      </c>
      <c r="O407" s="27" t="s">
        <v>50</v>
      </c>
      <c r="P407" s="28">
        <v>45430</v>
      </c>
      <c r="Q407" s="29">
        <v>0.85138000000000003</v>
      </c>
      <c r="R407" s="30">
        <v>70406</v>
      </c>
      <c r="S407" s="27" t="s">
        <v>41</v>
      </c>
      <c r="T407" s="29">
        <v>88093.451499999996</v>
      </c>
      <c r="U407" s="27" t="s">
        <v>42</v>
      </c>
      <c r="V407" s="28">
        <v>45392</v>
      </c>
      <c r="W407" s="27" t="s">
        <v>38</v>
      </c>
      <c r="X407" s="28">
        <v>45376</v>
      </c>
      <c r="Y407" s="27" t="s">
        <v>39</v>
      </c>
      <c r="Z407" s="43" t="e">
        <f>TEXT([1]!Table64[[#This Row],[Order date]],"mmm-yyyy")</f>
        <v>#REF!</v>
      </c>
    </row>
    <row r="408" spans="1:26" x14ac:dyDescent="0.3">
      <c r="A408" s="10">
        <v>10407</v>
      </c>
      <c r="B408" s="11">
        <v>6885</v>
      </c>
      <c r="C408" s="11" t="s">
        <v>34</v>
      </c>
      <c r="D408" s="12">
        <v>12752.44</v>
      </c>
      <c r="E408" s="11">
        <v>19</v>
      </c>
      <c r="F408" s="11" t="s">
        <v>46</v>
      </c>
      <c r="G408" s="13">
        <v>45383</v>
      </c>
      <c r="H408" s="12">
        <v>91240.52</v>
      </c>
      <c r="I408" s="14" t="s">
        <v>44</v>
      </c>
      <c r="J408" s="15" t="s">
        <v>36</v>
      </c>
      <c r="K408" s="15">
        <v>653</v>
      </c>
      <c r="L408" s="16">
        <v>45332</v>
      </c>
      <c r="M408" s="17">
        <v>12</v>
      </c>
      <c r="N408" s="18">
        <v>90407</v>
      </c>
      <c r="O408" s="18" t="s">
        <v>50</v>
      </c>
      <c r="P408" s="19">
        <v>45430</v>
      </c>
      <c r="Q408" s="20">
        <v>0.36449999999999999</v>
      </c>
      <c r="R408" s="21">
        <v>70407</v>
      </c>
      <c r="S408" s="18" t="s">
        <v>30</v>
      </c>
      <c r="T408" s="20">
        <v>140918.8671</v>
      </c>
      <c r="U408" s="18" t="s">
        <v>48</v>
      </c>
      <c r="V408" s="19">
        <v>45392</v>
      </c>
      <c r="W408" s="18" t="s">
        <v>38</v>
      </c>
      <c r="X408" s="19">
        <v>45384</v>
      </c>
      <c r="Y408" s="18" t="s">
        <v>39</v>
      </c>
      <c r="Z408" s="43" t="e">
        <f>TEXT([1]!Table64[[#This Row],[Order date]],"mmm-yyyy")</f>
        <v>#REF!</v>
      </c>
    </row>
    <row r="409" spans="1:26" x14ac:dyDescent="0.3">
      <c r="A409" s="22">
        <v>10408</v>
      </c>
      <c r="B409" s="23">
        <v>5914</v>
      </c>
      <c r="C409" s="23" t="s">
        <v>34</v>
      </c>
      <c r="D409" s="24">
        <v>16971.75</v>
      </c>
      <c r="E409" s="23">
        <v>47</v>
      </c>
      <c r="F409" s="23" t="s">
        <v>43</v>
      </c>
      <c r="G409" s="25">
        <v>45383</v>
      </c>
      <c r="H409" s="24">
        <v>93007.26</v>
      </c>
      <c r="I409" s="26" t="s">
        <v>44</v>
      </c>
      <c r="J409" s="15" t="s">
        <v>36</v>
      </c>
      <c r="K409" s="15">
        <v>631</v>
      </c>
      <c r="L409" s="16">
        <v>45361</v>
      </c>
      <c r="M409" s="17">
        <v>6</v>
      </c>
      <c r="N409" s="27">
        <v>90408</v>
      </c>
      <c r="O409" s="27" t="s">
        <v>40</v>
      </c>
      <c r="P409" s="28">
        <v>45430</v>
      </c>
      <c r="Q409" s="29">
        <v>0.15121000000000001</v>
      </c>
      <c r="R409" s="30">
        <v>70408</v>
      </c>
      <c r="S409" s="27" t="s">
        <v>30</v>
      </c>
      <c r="T409" s="29">
        <v>186937.70123999999</v>
      </c>
      <c r="U409" s="27" t="s">
        <v>42</v>
      </c>
      <c r="V409" s="28">
        <v>45392</v>
      </c>
      <c r="W409" s="27" t="s">
        <v>38</v>
      </c>
      <c r="X409" s="28">
        <v>45376</v>
      </c>
      <c r="Y409" s="27" t="s">
        <v>33</v>
      </c>
      <c r="Z409" s="43" t="e">
        <f>TEXT([1]!Table64[[#This Row],[Order date]],"mmm-yyyy")</f>
        <v>#REF!</v>
      </c>
    </row>
    <row r="410" spans="1:26" x14ac:dyDescent="0.3">
      <c r="A410" s="10">
        <v>10409</v>
      </c>
      <c r="B410" s="11">
        <v>6920</v>
      </c>
      <c r="C410" s="11" t="s">
        <v>25</v>
      </c>
      <c r="D410" s="12">
        <v>95920.12</v>
      </c>
      <c r="E410" s="11">
        <v>14</v>
      </c>
      <c r="F410" s="11" t="s">
        <v>26</v>
      </c>
      <c r="G410" s="13">
        <v>45306</v>
      </c>
      <c r="H410" s="12">
        <v>111009.86</v>
      </c>
      <c r="I410" s="14" t="s">
        <v>44</v>
      </c>
      <c r="J410" s="15" t="s">
        <v>36</v>
      </c>
      <c r="K410" s="15">
        <v>182</v>
      </c>
      <c r="L410" s="16">
        <v>45397</v>
      </c>
      <c r="M410" s="17">
        <v>11</v>
      </c>
      <c r="N410" s="18">
        <v>90409</v>
      </c>
      <c r="O410" s="18" t="s">
        <v>37</v>
      </c>
      <c r="P410" s="19">
        <v>45352</v>
      </c>
      <c r="Q410" s="20">
        <v>0.14724000000000001</v>
      </c>
      <c r="R410" s="21">
        <v>70409</v>
      </c>
      <c r="S410" s="18" t="s">
        <v>41</v>
      </c>
      <c r="T410" s="20">
        <v>99265.147400000002</v>
      </c>
      <c r="U410" s="18" t="s">
        <v>48</v>
      </c>
      <c r="V410" s="19">
        <v>45422</v>
      </c>
      <c r="W410" s="18" t="s">
        <v>32</v>
      </c>
      <c r="X410" s="19">
        <v>45376</v>
      </c>
      <c r="Y410" s="18" t="s">
        <v>39</v>
      </c>
      <c r="Z410" s="43" t="e">
        <f>TEXT([1]!Table64[[#This Row],[Order date]],"mmm-yyyy")</f>
        <v>#REF!</v>
      </c>
    </row>
    <row r="411" spans="1:26" x14ac:dyDescent="0.3">
      <c r="A411" s="22">
        <v>10410</v>
      </c>
      <c r="B411" s="23">
        <v>5878</v>
      </c>
      <c r="C411" s="23" t="s">
        <v>25</v>
      </c>
      <c r="D411" s="24">
        <v>46879.73</v>
      </c>
      <c r="E411" s="23">
        <v>38</v>
      </c>
      <c r="F411" s="23" t="s">
        <v>26</v>
      </c>
      <c r="G411" s="25">
        <v>45337</v>
      </c>
      <c r="H411" s="24">
        <v>43900.58</v>
      </c>
      <c r="I411" s="26" t="s">
        <v>47</v>
      </c>
      <c r="J411" s="15" t="s">
        <v>49</v>
      </c>
      <c r="K411" s="15">
        <v>840</v>
      </c>
      <c r="L411" s="16">
        <v>45361</v>
      </c>
      <c r="M411" s="17">
        <v>1</v>
      </c>
      <c r="N411" s="27">
        <v>90410</v>
      </c>
      <c r="O411" s="27" t="s">
        <v>29</v>
      </c>
      <c r="P411" s="28">
        <v>45352</v>
      </c>
      <c r="Q411" s="29">
        <v>0.48468</v>
      </c>
      <c r="R411" s="30">
        <v>70410</v>
      </c>
      <c r="S411" s="27" t="s">
        <v>30</v>
      </c>
      <c r="T411" s="29">
        <v>76059.763000000006</v>
      </c>
      <c r="U411" s="27" t="s">
        <v>48</v>
      </c>
      <c r="V411" s="28">
        <v>45422</v>
      </c>
      <c r="W411" s="27" t="s">
        <v>32</v>
      </c>
      <c r="X411" s="28">
        <v>45376</v>
      </c>
      <c r="Y411" s="27" t="s">
        <v>33</v>
      </c>
      <c r="Z411" s="43" t="e">
        <f>TEXT([1]!Table64[[#This Row],[Order date]],"mmm-yyyy")</f>
        <v>#REF!</v>
      </c>
    </row>
    <row r="412" spans="1:26" x14ac:dyDescent="0.3">
      <c r="A412" s="10">
        <v>10411</v>
      </c>
      <c r="B412" s="11">
        <v>5338</v>
      </c>
      <c r="C412" s="11" t="s">
        <v>34</v>
      </c>
      <c r="D412" s="12">
        <v>98369.82</v>
      </c>
      <c r="E412" s="11">
        <v>53</v>
      </c>
      <c r="F412" s="11" t="s">
        <v>43</v>
      </c>
      <c r="G412" s="13">
        <v>45361</v>
      </c>
      <c r="H412" s="12">
        <v>119196.01</v>
      </c>
      <c r="I412" s="14" t="s">
        <v>27</v>
      </c>
      <c r="J412" s="15" t="s">
        <v>49</v>
      </c>
      <c r="K412" s="15">
        <v>698</v>
      </c>
      <c r="L412" s="16">
        <v>45332</v>
      </c>
      <c r="M412" s="17">
        <v>4</v>
      </c>
      <c r="N412" s="18">
        <v>90411</v>
      </c>
      <c r="O412" s="18" t="s">
        <v>40</v>
      </c>
      <c r="P412" s="19">
        <v>45383</v>
      </c>
      <c r="Q412" s="20">
        <v>0.93864000000000003</v>
      </c>
      <c r="R412" s="21">
        <v>70411</v>
      </c>
      <c r="S412" s="18" t="s">
        <v>41</v>
      </c>
      <c r="T412" s="20">
        <v>59645.470280000001</v>
      </c>
      <c r="U412" s="18" t="s">
        <v>31</v>
      </c>
      <c r="V412" s="19">
        <v>45444</v>
      </c>
      <c r="W412" s="18" t="s">
        <v>38</v>
      </c>
      <c r="X412" s="19">
        <v>45384</v>
      </c>
      <c r="Y412" s="18" t="s">
        <v>33</v>
      </c>
      <c r="Z412" s="43" t="e">
        <f>TEXT([1]!Table64[[#This Row],[Order date]],"mmm-yyyy")</f>
        <v>#REF!</v>
      </c>
    </row>
    <row r="413" spans="1:26" x14ac:dyDescent="0.3">
      <c r="A413" s="22">
        <v>10412</v>
      </c>
      <c r="B413" s="23">
        <v>6730</v>
      </c>
      <c r="C413" s="23" t="s">
        <v>25</v>
      </c>
      <c r="D413" s="24">
        <v>55641.65</v>
      </c>
      <c r="E413" s="23">
        <v>61</v>
      </c>
      <c r="F413" s="23" t="s">
        <v>46</v>
      </c>
      <c r="G413" s="25">
        <v>45361</v>
      </c>
      <c r="H413" s="24">
        <v>31518.37</v>
      </c>
      <c r="I413" s="26" t="s">
        <v>44</v>
      </c>
      <c r="J413" s="15" t="s">
        <v>28</v>
      </c>
      <c r="K413" s="15">
        <v>1387</v>
      </c>
      <c r="L413" s="16">
        <v>45361</v>
      </c>
      <c r="M413" s="17">
        <v>3</v>
      </c>
      <c r="N413" s="27">
        <v>90412</v>
      </c>
      <c r="O413" s="27" t="s">
        <v>40</v>
      </c>
      <c r="P413" s="28">
        <v>45383</v>
      </c>
      <c r="Q413" s="29">
        <v>0.35732999999999998</v>
      </c>
      <c r="R413" s="30">
        <v>70412</v>
      </c>
      <c r="S413" s="27" t="s">
        <v>41</v>
      </c>
      <c r="T413" s="29">
        <v>169269.17058000001</v>
      </c>
      <c r="U413" s="27" t="s">
        <v>48</v>
      </c>
      <c r="V413" s="28">
        <v>45444</v>
      </c>
      <c r="W413" s="27" t="s">
        <v>38</v>
      </c>
      <c r="X413" s="28">
        <v>45376</v>
      </c>
      <c r="Y413" s="27" t="s">
        <v>33</v>
      </c>
      <c r="Z413" s="43" t="e">
        <f>TEXT([1]!Table64[[#This Row],[Order date]],"mmm-yyyy")</f>
        <v>#REF!</v>
      </c>
    </row>
    <row r="414" spans="1:26" x14ac:dyDescent="0.3">
      <c r="A414" s="10">
        <v>10413</v>
      </c>
      <c r="B414" s="11">
        <v>5822</v>
      </c>
      <c r="C414" s="11" t="s">
        <v>34</v>
      </c>
      <c r="D414" s="12">
        <v>72182.33</v>
      </c>
      <c r="E414" s="11">
        <v>36</v>
      </c>
      <c r="F414" s="11" t="s">
        <v>26</v>
      </c>
      <c r="G414" s="13">
        <v>45337</v>
      </c>
      <c r="H414" s="12">
        <v>64789.14</v>
      </c>
      <c r="I414" s="14" t="s">
        <v>47</v>
      </c>
      <c r="J414" s="15" t="s">
        <v>28</v>
      </c>
      <c r="K414" s="15">
        <v>270</v>
      </c>
      <c r="L414" s="16">
        <v>45361</v>
      </c>
      <c r="M414" s="17">
        <v>12</v>
      </c>
      <c r="N414" s="18">
        <v>90413</v>
      </c>
      <c r="O414" s="18" t="s">
        <v>50</v>
      </c>
      <c r="P414" s="19">
        <v>45383</v>
      </c>
      <c r="Q414" s="20">
        <v>0.48443999999999998</v>
      </c>
      <c r="R414" s="21">
        <v>70413</v>
      </c>
      <c r="S414" s="18" t="s">
        <v>41</v>
      </c>
      <c r="T414" s="20">
        <v>123806.58405</v>
      </c>
      <c r="U414" s="18" t="s">
        <v>42</v>
      </c>
      <c r="V414" s="19">
        <v>45422</v>
      </c>
      <c r="W414" s="18" t="s">
        <v>38</v>
      </c>
      <c r="X414" s="19">
        <v>45384</v>
      </c>
      <c r="Y414" s="18" t="s">
        <v>39</v>
      </c>
      <c r="Z414" s="43" t="e">
        <f>TEXT([1]!Table64[[#This Row],[Order date]],"mmm-yyyy")</f>
        <v>#REF!</v>
      </c>
    </row>
    <row r="415" spans="1:26" x14ac:dyDescent="0.3">
      <c r="A415" s="22">
        <v>10414</v>
      </c>
      <c r="B415" s="23">
        <v>6187</v>
      </c>
      <c r="C415" s="23" t="s">
        <v>34</v>
      </c>
      <c r="D415" s="24">
        <v>47319.360000000001</v>
      </c>
      <c r="E415" s="23">
        <v>40</v>
      </c>
      <c r="F415" s="23" t="s">
        <v>26</v>
      </c>
      <c r="G415" s="25">
        <v>45383</v>
      </c>
      <c r="H415" s="24">
        <v>130562.8</v>
      </c>
      <c r="I415" s="26" t="s">
        <v>44</v>
      </c>
      <c r="J415" s="15" t="s">
        <v>28</v>
      </c>
      <c r="K415" s="15">
        <v>1025</v>
      </c>
      <c r="L415" s="16">
        <v>45332</v>
      </c>
      <c r="M415" s="17">
        <v>3</v>
      </c>
      <c r="N415" s="27">
        <v>90414</v>
      </c>
      <c r="O415" s="27" t="s">
        <v>37</v>
      </c>
      <c r="P415" s="28">
        <v>45383</v>
      </c>
      <c r="Q415" s="29">
        <v>0.19173999999999999</v>
      </c>
      <c r="R415" s="30">
        <v>70414</v>
      </c>
      <c r="S415" s="27" t="s">
        <v>41</v>
      </c>
      <c r="T415" s="29">
        <v>130741.94998999999</v>
      </c>
      <c r="U415" s="27" t="s">
        <v>42</v>
      </c>
      <c r="V415" s="28">
        <v>45444</v>
      </c>
      <c r="W415" s="27" t="s">
        <v>38</v>
      </c>
      <c r="X415" s="28">
        <v>45384</v>
      </c>
      <c r="Y415" s="27" t="s">
        <v>39</v>
      </c>
      <c r="Z415" s="43" t="e">
        <f>TEXT([1]!Table64[[#This Row],[Order date]],"mmm-yyyy")</f>
        <v>#REF!</v>
      </c>
    </row>
    <row r="416" spans="1:26" x14ac:dyDescent="0.3">
      <c r="A416" s="10">
        <v>10415</v>
      </c>
      <c r="B416" s="11">
        <v>6744</v>
      </c>
      <c r="C416" s="11" t="s">
        <v>34</v>
      </c>
      <c r="D416" s="12">
        <v>95507.13</v>
      </c>
      <c r="E416" s="11">
        <v>81</v>
      </c>
      <c r="F416" s="11" t="s">
        <v>26</v>
      </c>
      <c r="G416" s="13">
        <v>45383</v>
      </c>
      <c r="H416" s="12">
        <v>60318.35</v>
      </c>
      <c r="I416" s="14" t="s">
        <v>44</v>
      </c>
      <c r="J416" s="15" t="s">
        <v>49</v>
      </c>
      <c r="K416" s="15">
        <v>1119</v>
      </c>
      <c r="L416" s="16">
        <v>45332</v>
      </c>
      <c r="M416" s="17">
        <v>7</v>
      </c>
      <c r="N416" s="18">
        <v>90415</v>
      </c>
      <c r="O416" s="18" t="s">
        <v>29</v>
      </c>
      <c r="P416" s="19">
        <v>45383</v>
      </c>
      <c r="Q416" s="20">
        <v>0.54422000000000004</v>
      </c>
      <c r="R416" s="21">
        <v>70415</v>
      </c>
      <c r="S416" s="18" t="s">
        <v>41</v>
      </c>
      <c r="T416" s="20">
        <v>193294.12229999999</v>
      </c>
      <c r="U416" s="18" t="s">
        <v>48</v>
      </c>
      <c r="V416" s="19">
        <v>45422</v>
      </c>
      <c r="W416" s="18" t="s">
        <v>32</v>
      </c>
      <c r="X416" s="19">
        <v>45376</v>
      </c>
      <c r="Y416" s="18" t="s">
        <v>33</v>
      </c>
      <c r="Z416" s="43" t="e">
        <f>TEXT([1]!Table64[[#This Row],[Order date]],"mmm-yyyy")</f>
        <v>#REF!</v>
      </c>
    </row>
    <row r="417" spans="1:26" x14ac:dyDescent="0.3">
      <c r="A417" s="22">
        <v>10416</v>
      </c>
      <c r="B417" s="23">
        <v>5957</v>
      </c>
      <c r="C417" s="23" t="s">
        <v>34</v>
      </c>
      <c r="D417" s="24">
        <v>13442.35</v>
      </c>
      <c r="E417" s="23">
        <v>30</v>
      </c>
      <c r="F417" s="23" t="s">
        <v>46</v>
      </c>
      <c r="G417" s="25">
        <v>45361</v>
      </c>
      <c r="H417" s="24">
        <v>107856.06</v>
      </c>
      <c r="I417" s="26" t="s">
        <v>47</v>
      </c>
      <c r="J417" s="15" t="s">
        <v>28</v>
      </c>
      <c r="K417" s="15">
        <v>1265</v>
      </c>
      <c r="L417" s="16">
        <v>45397</v>
      </c>
      <c r="M417" s="17">
        <v>11</v>
      </c>
      <c r="N417" s="27">
        <v>90416</v>
      </c>
      <c r="O417" s="27" t="s">
        <v>40</v>
      </c>
      <c r="P417" s="28">
        <v>45430</v>
      </c>
      <c r="Q417" s="29">
        <v>0.72689000000000004</v>
      </c>
      <c r="R417" s="30">
        <v>70416</v>
      </c>
      <c r="S417" s="27" t="s">
        <v>30</v>
      </c>
      <c r="T417" s="29">
        <v>168251.58398</v>
      </c>
      <c r="U417" s="27" t="s">
        <v>31</v>
      </c>
      <c r="V417" s="28">
        <v>45422</v>
      </c>
      <c r="W417" s="27" t="s">
        <v>32</v>
      </c>
      <c r="X417" s="28">
        <v>45376</v>
      </c>
      <c r="Y417" s="27" t="s">
        <v>33</v>
      </c>
      <c r="Z417" s="43" t="e">
        <f>TEXT([1]!Table64[[#This Row],[Order date]],"mmm-yyyy")</f>
        <v>#REF!</v>
      </c>
    </row>
    <row r="418" spans="1:26" x14ac:dyDescent="0.3">
      <c r="A418" s="10">
        <v>10417</v>
      </c>
      <c r="B418" s="11">
        <v>6705</v>
      </c>
      <c r="C418" s="11" t="s">
        <v>34</v>
      </c>
      <c r="D418" s="12">
        <v>14866.8</v>
      </c>
      <c r="E418" s="11">
        <v>9</v>
      </c>
      <c r="F418" s="11" t="s">
        <v>46</v>
      </c>
      <c r="G418" s="13">
        <v>45361</v>
      </c>
      <c r="H418" s="12">
        <v>35463.06</v>
      </c>
      <c r="I418" s="14" t="s">
        <v>47</v>
      </c>
      <c r="J418" s="15" t="s">
        <v>36</v>
      </c>
      <c r="K418" s="15">
        <v>1452</v>
      </c>
      <c r="L418" s="16">
        <v>45361</v>
      </c>
      <c r="M418" s="17">
        <v>12</v>
      </c>
      <c r="N418" s="18">
        <v>90417</v>
      </c>
      <c r="O418" s="18" t="s">
        <v>29</v>
      </c>
      <c r="P418" s="19">
        <v>45430</v>
      </c>
      <c r="Q418" s="20">
        <v>0.34404000000000001</v>
      </c>
      <c r="R418" s="21">
        <v>70417</v>
      </c>
      <c r="S418" s="18" t="s">
        <v>45</v>
      </c>
      <c r="T418" s="20">
        <v>209108.42240000001</v>
      </c>
      <c r="U418" s="18" t="s">
        <v>48</v>
      </c>
      <c r="V418" s="19">
        <v>45392</v>
      </c>
      <c r="W418" s="18" t="s">
        <v>32</v>
      </c>
      <c r="X418" s="19">
        <v>45376</v>
      </c>
      <c r="Y418" s="18" t="s">
        <v>33</v>
      </c>
      <c r="Z418" s="43" t="e">
        <f>TEXT([1]!Table64[[#This Row],[Order date]],"mmm-yyyy")</f>
        <v>#REF!</v>
      </c>
    </row>
    <row r="419" spans="1:26" x14ac:dyDescent="0.3">
      <c r="A419" s="22">
        <v>10418</v>
      </c>
      <c r="B419" s="23">
        <v>5161</v>
      </c>
      <c r="C419" s="23" t="s">
        <v>34</v>
      </c>
      <c r="D419" s="24">
        <v>11423.37</v>
      </c>
      <c r="E419" s="23">
        <v>64</v>
      </c>
      <c r="F419" s="23" t="s">
        <v>43</v>
      </c>
      <c r="G419" s="25">
        <v>45361</v>
      </c>
      <c r="H419" s="24">
        <v>111218.96</v>
      </c>
      <c r="I419" s="26" t="s">
        <v>27</v>
      </c>
      <c r="J419" s="15" t="s">
        <v>36</v>
      </c>
      <c r="K419" s="15">
        <v>837</v>
      </c>
      <c r="L419" s="16">
        <v>45332</v>
      </c>
      <c r="M419" s="17">
        <v>10</v>
      </c>
      <c r="N419" s="27">
        <v>90418</v>
      </c>
      <c r="O419" s="27" t="s">
        <v>29</v>
      </c>
      <c r="P419" s="28">
        <v>45430</v>
      </c>
      <c r="Q419" s="29">
        <v>0.36703999999999998</v>
      </c>
      <c r="R419" s="30">
        <v>70418</v>
      </c>
      <c r="S419" s="27" t="s">
        <v>41</v>
      </c>
      <c r="T419" s="29">
        <v>117711.40399999999</v>
      </c>
      <c r="U419" s="27" t="s">
        <v>48</v>
      </c>
      <c r="V419" s="28">
        <v>45392</v>
      </c>
      <c r="W419" s="27" t="s">
        <v>32</v>
      </c>
      <c r="X419" s="28">
        <v>45376</v>
      </c>
      <c r="Y419" s="27" t="s">
        <v>39</v>
      </c>
      <c r="Z419" s="43" t="e">
        <f>TEXT([1]!Table64[[#This Row],[Order date]],"mmm-yyyy")</f>
        <v>#REF!</v>
      </c>
    </row>
    <row r="420" spans="1:26" x14ac:dyDescent="0.3">
      <c r="A420" s="10">
        <v>10419</v>
      </c>
      <c r="B420" s="11">
        <v>6604</v>
      </c>
      <c r="C420" s="11" t="s">
        <v>34</v>
      </c>
      <c r="D420" s="12">
        <v>38515.83</v>
      </c>
      <c r="E420" s="11">
        <v>33</v>
      </c>
      <c r="F420" s="11" t="s">
        <v>46</v>
      </c>
      <c r="G420" s="13">
        <v>45306</v>
      </c>
      <c r="H420" s="12">
        <v>58025.06</v>
      </c>
      <c r="I420" s="14" t="s">
        <v>44</v>
      </c>
      <c r="J420" s="15" t="s">
        <v>49</v>
      </c>
      <c r="K420" s="15">
        <v>740</v>
      </c>
      <c r="L420" s="16">
        <v>45332</v>
      </c>
      <c r="M420" s="17">
        <v>4</v>
      </c>
      <c r="N420" s="18">
        <v>90419</v>
      </c>
      <c r="O420" s="18" t="s">
        <v>40</v>
      </c>
      <c r="P420" s="19">
        <v>45383</v>
      </c>
      <c r="Q420" s="20">
        <v>0.85777999999999999</v>
      </c>
      <c r="R420" s="21">
        <v>70419</v>
      </c>
      <c r="S420" s="18" t="s">
        <v>30</v>
      </c>
      <c r="T420" s="20">
        <v>130370.5413</v>
      </c>
      <c r="U420" s="18" t="s">
        <v>42</v>
      </c>
      <c r="V420" s="19">
        <v>45422</v>
      </c>
      <c r="W420" s="18" t="s">
        <v>38</v>
      </c>
      <c r="X420" s="19">
        <v>45376</v>
      </c>
      <c r="Y420" s="18" t="s">
        <v>39</v>
      </c>
      <c r="Z420" s="43" t="e">
        <f>TEXT([1]!Table64[[#This Row],[Order date]],"mmm-yyyy")</f>
        <v>#REF!</v>
      </c>
    </row>
    <row r="421" spans="1:26" x14ac:dyDescent="0.3">
      <c r="A421" s="22">
        <v>10420</v>
      </c>
      <c r="B421" s="23">
        <v>5801</v>
      </c>
      <c r="C421" s="23" t="s">
        <v>34</v>
      </c>
      <c r="D421" s="24">
        <v>32440.53</v>
      </c>
      <c r="E421" s="23">
        <v>52</v>
      </c>
      <c r="F421" s="23" t="s">
        <v>46</v>
      </c>
      <c r="G421" s="25">
        <v>45361</v>
      </c>
      <c r="H421" s="24">
        <v>43508.31</v>
      </c>
      <c r="I421" s="26" t="s">
        <v>44</v>
      </c>
      <c r="J421" s="15" t="s">
        <v>28</v>
      </c>
      <c r="K421" s="15">
        <v>1407</v>
      </c>
      <c r="L421" s="16">
        <v>45361</v>
      </c>
      <c r="M421" s="17">
        <v>12</v>
      </c>
      <c r="N421" s="27">
        <v>90420</v>
      </c>
      <c r="O421" s="27" t="s">
        <v>29</v>
      </c>
      <c r="P421" s="28">
        <v>45430</v>
      </c>
      <c r="Q421" s="29">
        <v>0.10933</v>
      </c>
      <c r="R421" s="30">
        <v>70420</v>
      </c>
      <c r="S421" s="27" t="s">
        <v>41</v>
      </c>
      <c r="T421" s="29">
        <v>69594.213099999994</v>
      </c>
      <c r="U421" s="27" t="s">
        <v>31</v>
      </c>
      <c r="V421" s="28">
        <v>45392</v>
      </c>
      <c r="W421" s="27" t="s">
        <v>32</v>
      </c>
      <c r="X421" s="28">
        <v>45376</v>
      </c>
      <c r="Y421" s="27" t="s">
        <v>33</v>
      </c>
      <c r="Z421" s="43" t="e">
        <f>TEXT([1]!Table64[[#This Row],[Order date]],"mmm-yyyy")</f>
        <v>#REF!</v>
      </c>
    </row>
    <row r="422" spans="1:26" x14ac:dyDescent="0.3">
      <c r="A422" s="10">
        <v>10421</v>
      </c>
      <c r="B422" s="11">
        <v>5398</v>
      </c>
      <c r="C422" s="11" t="s">
        <v>34</v>
      </c>
      <c r="D422" s="12">
        <v>89432.38</v>
      </c>
      <c r="E422" s="11">
        <v>89</v>
      </c>
      <c r="F422" s="11" t="s">
        <v>35</v>
      </c>
      <c r="G422" s="13">
        <v>45306</v>
      </c>
      <c r="H422" s="12">
        <v>17865.54</v>
      </c>
      <c r="I422" s="14" t="s">
        <v>47</v>
      </c>
      <c r="J422" s="15" t="s">
        <v>36</v>
      </c>
      <c r="K422" s="15">
        <v>88</v>
      </c>
      <c r="L422" s="16">
        <v>45332</v>
      </c>
      <c r="M422" s="17">
        <v>8</v>
      </c>
      <c r="N422" s="18">
        <v>90421</v>
      </c>
      <c r="O422" s="18" t="s">
        <v>50</v>
      </c>
      <c r="P422" s="19">
        <v>45430</v>
      </c>
      <c r="Q422" s="20">
        <v>0.67281999999999997</v>
      </c>
      <c r="R422" s="21">
        <v>70421</v>
      </c>
      <c r="S422" s="18" t="s">
        <v>41</v>
      </c>
      <c r="T422" s="20">
        <v>91410.381819999995</v>
      </c>
      <c r="U422" s="18" t="s">
        <v>31</v>
      </c>
      <c r="V422" s="19">
        <v>45422</v>
      </c>
      <c r="W422" s="18" t="s">
        <v>38</v>
      </c>
      <c r="X422" s="19">
        <v>45384</v>
      </c>
      <c r="Y422" s="18" t="s">
        <v>33</v>
      </c>
      <c r="Z422" s="43" t="e">
        <f>TEXT([1]!Table64[[#This Row],[Order date]],"mmm-yyyy")</f>
        <v>#REF!</v>
      </c>
    </row>
    <row r="423" spans="1:26" x14ac:dyDescent="0.3">
      <c r="A423" s="22">
        <v>10422</v>
      </c>
      <c r="B423" s="23">
        <v>6301</v>
      </c>
      <c r="C423" s="23" t="s">
        <v>25</v>
      </c>
      <c r="D423" s="24">
        <v>32185.45</v>
      </c>
      <c r="E423" s="23">
        <v>14</v>
      </c>
      <c r="F423" s="23" t="s">
        <v>43</v>
      </c>
      <c r="G423" s="25">
        <v>45337</v>
      </c>
      <c r="H423" s="24">
        <v>132183.43</v>
      </c>
      <c r="I423" s="26" t="s">
        <v>44</v>
      </c>
      <c r="J423" s="15" t="s">
        <v>49</v>
      </c>
      <c r="K423" s="15">
        <v>1366</v>
      </c>
      <c r="L423" s="16">
        <v>45397</v>
      </c>
      <c r="M423" s="17">
        <v>11</v>
      </c>
      <c r="N423" s="27">
        <v>90422</v>
      </c>
      <c r="O423" s="27" t="s">
        <v>37</v>
      </c>
      <c r="P423" s="28">
        <v>45430</v>
      </c>
      <c r="Q423" s="29">
        <v>0.45450000000000002</v>
      </c>
      <c r="R423" s="30">
        <v>70422</v>
      </c>
      <c r="S423" s="27" t="s">
        <v>45</v>
      </c>
      <c r="T423" s="29">
        <v>72839.409499999994</v>
      </c>
      <c r="U423" s="27" t="s">
        <v>31</v>
      </c>
      <c r="V423" s="28">
        <v>45392</v>
      </c>
      <c r="W423" s="27" t="s">
        <v>38</v>
      </c>
      <c r="X423" s="28">
        <v>45376</v>
      </c>
      <c r="Y423" s="27" t="s">
        <v>33</v>
      </c>
      <c r="Z423" s="43" t="e">
        <f>TEXT([1]!Table64[[#This Row],[Order date]],"mmm-yyyy")</f>
        <v>#REF!</v>
      </c>
    </row>
    <row r="424" spans="1:26" x14ac:dyDescent="0.3">
      <c r="A424" s="10">
        <v>10423</v>
      </c>
      <c r="B424" s="11">
        <v>5816</v>
      </c>
      <c r="C424" s="11" t="s">
        <v>25</v>
      </c>
      <c r="D424" s="12">
        <v>33211.64</v>
      </c>
      <c r="E424" s="11">
        <v>75</v>
      </c>
      <c r="F424" s="11" t="s">
        <v>26</v>
      </c>
      <c r="G424" s="13">
        <v>45383</v>
      </c>
      <c r="H424" s="12">
        <v>137850.48000000001</v>
      </c>
      <c r="I424" s="14" t="s">
        <v>47</v>
      </c>
      <c r="J424" s="15" t="s">
        <v>28</v>
      </c>
      <c r="K424" s="15">
        <v>739</v>
      </c>
      <c r="L424" s="16">
        <v>45397</v>
      </c>
      <c r="M424" s="17">
        <v>9</v>
      </c>
      <c r="N424" s="18">
        <v>90423</v>
      </c>
      <c r="O424" s="18" t="s">
        <v>37</v>
      </c>
      <c r="P424" s="19">
        <v>45430</v>
      </c>
      <c r="Q424" s="20">
        <v>0.36853999999999998</v>
      </c>
      <c r="R424" s="21">
        <v>70423</v>
      </c>
      <c r="S424" s="18" t="s">
        <v>30</v>
      </c>
      <c r="T424" s="20">
        <v>84882.316040000005</v>
      </c>
      <c r="U424" s="18" t="s">
        <v>31</v>
      </c>
      <c r="V424" s="19">
        <v>45444</v>
      </c>
      <c r="W424" s="18" t="s">
        <v>38</v>
      </c>
      <c r="X424" s="19">
        <v>45376</v>
      </c>
      <c r="Y424" s="18" t="s">
        <v>33</v>
      </c>
      <c r="Z424" s="43" t="e">
        <f>TEXT([1]!Table64[[#This Row],[Order date]],"mmm-yyyy")</f>
        <v>#REF!</v>
      </c>
    </row>
    <row r="425" spans="1:26" x14ac:dyDescent="0.3">
      <c r="A425" s="22">
        <v>10424</v>
      </c>
      <c r="B425" s="23">
        <v>6940</v>
      </c>
      <c r="C425" s="23" t="s">
        <v>34</v>
      </c>
      <c r="D425" s="24">
        <v>83076.75</v>
      </c>
      <c r="E425" s="23">
        <v>53</v>
      </c>
      <c r="F425" s="23" t="s">
        <v>46</v>
      </c>
      <c r="G425" s="25">
        <v>45361</v>
      </c>
      <c r="H425" s="24">
        <v>34878.199999999997</v>
      </c>
      <c r="I425" s="26" t="s">
        <v>44</v>
      </c>
      <c r="J425" s="15" t="s">
        <v>36</v>
      </c>
      <c r="K425" s="15">
        <v>211</v>
      </c>
      <c r="L425" s="16">
        <v>45361</v>
      </c>
      <c r="M425" s="17">
        <v>3</v>
      </c>
      <c r="N425" s="27">
        <v>90424</v>
      </c>
      <c r="O425" s="27" t="s">
        <v>37</v>
      </c>
      <c r="P425" s="28">
        <v>45352</v>
      </c>
      <c r="Q425" s="29">
        <v>0.69182999999999995</v>
      </c>
      <c r="R425" s="30">
        <v>70424</v>
      </c>
      <c r="S425" s="27" t="s">
        <v>41</v>
      </c>
      <c r="T425" s="29">
        <v>66830.983200000002</v>
      </c>
      <c r="U425" s="27" t="s">
        <v>42</v>
      </c>
      <c r="V425" s="28">
        <v>45444</v>
      </c>
      <c r="W425" s="27" t="s">
        <v>38</v>
      </c>
      <c r="X425" s="28">
        <v>45376</v>
      </c>
      <c r="Y425" s="27" t="s">
        <v>39</v>
      </c>
      <c r="Z425" s="43" t="e">
        <f>TEXT([1]!Table64[[#This Row],[Order date]],"mmm-yyyy")</f>
        <v>#REF!</v>
      </c>
    </row>
    <row r="426" spans="1:26" x14ac:dyDescent="0.3">
      <c r="A426" s="10">
        <v>10425</v>
      </c>
      <c r="B426" s="11">
        <v>6528</v>
      </c>
      <c r="C426" s="11" t="s">
        <v>34</v>
      </c>
      <c r="D426" s="12">
        <v>45209.7</v>
      </c>
      <c r="E426" s="11">
        <v>99</v>
      </c>
      <c r="F426" s="11" t="s">
        <v>26</v>
      </c>
      <c r="G426" s="13">
        <v>45383</v>
      </c>
      <c r="H426" s="12">
        <v>103563</v>
      </c>
      <c r="I426" s="14" t="s">
        <v>47</v>
      </c>
      <c r="J426" s="15" t="s">
        <v>28</v>
      </c>
      <c r="K426" s="15">
        <v>1404</v>
      </c>
      <c r="L426" s="16">
        <v>45397</v>
      </c>
      <c r="M426" s="17">
        <v>5</v>
      </c>
      <c r="N426" s="18">
        <v>90425</v>
      </c>
      <c r="O426" s="18" t="s">
        <v>50</v>
      </c>
      <c r="P426" s="19">
        <v>45383</v>
      </c>
      <c r="Q426" s="20">
        <v>0.85119999999999996</v>
      </c>
      <c r="R426" s="21">
        <v>70425</v>
      </c>
      <c r="S426" s="18" t="s">
        <v>30</v>
      </c>
      <c r="T426" s="20">
        <v>167071.51915000001</v>
      </c>
      <c r="U426" s="18" t="s">
        <v>31</v>
      </c>
      <c r="V426" s="19">
        <v>45422</v>
      </c>
      <c r="W426" s="18" t="s">
        <v>32</v>
      </c>
      <c r="X426" s="19">
        <v>45376</v>
      </c>
      <c r="Y426" s="18" t="s">
        <v>33</v>
      </c>
      <c r="Z426" s="43" t="e">
        <f>TEXT([1]!Table64[[#This Row],[Order date]],"mmm-yyyy")</f>
        <v>#REF!</v>
      </c>
    </row>
    <row r="427" spans="1:26" x14ac:dyDescent="0.3">
      <c r="A427" s="22">
        <v>10426</v>
      </c>
      <c r="B427" s="23">
        <v>6920</v>
      </c>
      <c r="C427" s="23" t="s">
        <v>34</v>
      </c>
      <c r="D427" s="24">
        <v>50190.6</v>
      </c>
      <c r="E427" s="23">
        <v>59</v>
      </c>
      <c r="F427" s="23" t="s">
        <v>26</v>
      </c>
      <c r="G427" s="25">
        <v>45383</v>
      </c>
      <c r="H427" s="24">
        <v>48719.54</v>
      </c>
      <c r="I427" s="26" t="s">
        <v>27</v>
      </c>
      <c r="J427" s="15" t="s">
        <v>49</v>
      </c>
      <c r="K427" s="15">
        <v>1177</v>
      </c>
      <c r="L427" s="16">
        <v>45332</v>
      </c>
      <c r="M427" s="17">
        <v>4</v>
      </c>
      <c r="N427" s="27">
        <v>90426</v>
      </c>
      <c r="O427" s="27" t="s">
        <v>50</v>
      </c>
      <c r="P427" s="28">
        <v>45383</v>
      </c>
      <c r="Q427" s="29">
        <v>0.60255000000000003</v>
      </c>
      <c r="R427" s="30">
        <v>70426</v>
      </c>
      <c r="S427" s="27" t="s">
        <v>41</v>
      </c>
      <c r="T427" s="29">
        <v>134028.71609999999</v>
      </c>
      <c r="U427" s="27" t="s">
        <v>31</v>
      </c>
      <c r="V427" s="28">
        <v>45422</v>
      </c>
      <c r="W427" s="27" t="s">
        <v>38</v>
      </c>
      <c r="X427" s="28">
        <v>45376</v>
      </c>
      <c r="Y427" s="27" t="s">
        <v>33</v>
      </c>
      <c r="Z427" s="43" t="e">
        <f>TEXT([1]!Table64[[#This Row],[Order date]],"mmm-yyyy")</f>
        <v>#REF!</v>
      </c>
    </row>
    <row r="428" spans="1:26" x14ac:dyDescent="0.3">
      <c r="A428" s="10">
        <v>10427</v>
      </c>
      <c r="B428" s="11">
        <v>6416</v>
      </c>
      <c r="C428" s="11" t="s">
        <v>34</v>
      </c>
      <c r="D428" s="12">
        <v>26915.4</v>
      </c>
      <c r="E428" s="11">
        <v>78</v>
      </c>
      <c r="F428" s="11" t="s">
        <v>35</v>
      </c>
      <c r="G428" s="13">
        <v>45361</v>
      </c>
      <c r="H428" s="12">
        <v>170136.4</v>
      </c>
      <c r="I428" s="14" t="s">
        <v>44</v>
      </c>
      <c r="J428" s="15" t="s">
        <v>28</v>
      </c>
      <c r="K428" s="15">
        <v>210</v>
      </c>
      <c r="L428" s="16">
        <v>45332</v>
      </c>
      <c r="M428" s="17">
        <v>14</v>
      </c>
      <c r="N428" s="18">
        <v>90427</v>
      </c>
      <c r="O428" s="18" t="s">
        <v>50</v>
      </c>
      <c r="P428" s="19">
        <v>45352</v>
      </c>
      <c r="Q428" s="20">
        <v>0.12798999999999999</v>
      </c>
      <c r="R428" s="21">
        <v>70427</v>
      </c>
      <c r="S428" s="18" t="s">
        <v>41</v>
      </c>
      <c r="T428" s="20">
        <v>126638.39982999999</v>
      </c>
      <c r="U428" s="18" t="s">
        <v>31</v>
      </c>
      <c r="V428" s="19">
        <v>45392</v>
      </c>
      <c r="W428" s="18" t="s">
        <v>32</v>
      </c>
      <c r="X428" s="19">
        <v>45384</v>
      </c>
      <c r="Y428" s="18" t="s">
        <v>39</v>
      </c>
      <c r="Z428" s="43" t="e">
        <f>TEXT([1]!Table64[[#This Row],[Order date]],"mmm-yyyy")</f>
        <v>#REF!</v>
      </c>
    </row>
    <row r="429" spans="1:26" x14ac:dyDescent="0.3">
      <c r="A429" s="22">
        <v>10428</v>
      </c>
      <c r="B429" s="23">
        <v>6159</v>
      </c>
      <c r="C429" s="23" t="s">
        <v>34</v>
      </c>
      <c r="D429" s="24">
        <v>35727.660000000003</v>
      </c>
      <c r="E429" s="23">
        <v>94</v>
      </c>
      <c r="F429" s="23" t="s">
        <v>46</v>
      </c>
      <c r="G429" s="25">
        <v>45361</v>
      </c>
      <c r="H429" s="24">
        <v>76031.25</v>
      </c>
      <c r="I429" s="26" t="s">
        <v>47</v>
      </c>
      <c r="J429" s="15" t="s">
        <v>49</v>
      </c>
      <c r="K429" s="15">
        <v>1127</v>
      </c>
      <c r="L429" s="16">
        <v>45332</v>
      </c>
      <c r="M429" s="17">
        <v>12</v>
      </c>
      <c r="N429" s="27">
        <v>90428</v>
      </c>
      <c r="O429" s="27" t="s">
        <v>37</v>
      </c>
      <c r="P429" s="28">
        <v>45430</v>
      </c>
      <c r="Q429" s="29">
        <v>0.51526000000000005</v>
      </c>
      <c r="R429" s="30">
        <v>70428</v>
      </c>
      <c r="S429" s="27" t="s">
        <v>41</v>
      </c>
      <c r="T429" s="29">
        <v>175525.2384</v>
      </c>
      <c r="U429" s="27" t="s">
        <v>42</v>
      </c>
      <c r="V429" s="28">
        <v>45392</v>
      </c>
      <c r="W429" s="27" t="s">
        <v>38</v>
      </c>
      <c r="X429" s="28">
        <v>45376</v>
      </c>
      <c r="Y429" s="27" t="s">
        <v>33</v>
      </c>
      <c r="Z429" s="43" t="e">
        <f>TEXT([1]!Table64[[#This Row],[Order date]],"mmm-yyyy")</f>
        <v>#REF!</v>
      </c>
    </row>
    <row r="430" spans="1:26" x14ac:dyDescent="0.3">
      <c r="A430" s="10">
        <v>10429</v>
      </c>
      <c r="B430" s="11">
        <v>6219</v>
      </c>
      <c r="C430" s="11" t="s">
        <v>34</v>
      </c>
      <c r="D430" s="12">
        <v>27364.97</v>
      </c>
      <c r="E430" s="11">
        <v>41</v>
      </c>
      <c r="F430" s="11" t="s">
        <v>43</v>
      </c>
      <c r="G430" s="13">
        <v>45337</v>
      </c>
      <c r="H430" s="12">
        <v>18461.47</v>
      </c>
      <c r="I430" s="14" t="s">
        <v>27</v>
      </c>
      <c r="J430" s="15" t="s">
        <v>28</v>
      </c>
      <c r="K430" s="15">
        <v>1107</v>
      </c>
      <c r="L430" s="16">
        <v>45332</v>
      </c>
      <c r="M430" s="17">
        <v>10</v>
      </c>
      <c r="N430" s="18">
        <v>90429</v>
      </c>
      <c r="O430" s="18" t="s">
        <v>29</v>
      </c>
      <c r="P430" s="19">
        <v>45430</v>
      </c>
      <c r="Q430" s="20">
        <v>0.51648000000000005</v>
      </c>
      <c r="R430" s="21">
        <v>70429</v>
      </c>
      <c r="S430" s="18" t="s">
        <v>41</v>
      </c>
      <c r="T430" s="20">
        <v>171330.80118000001</v>
      </c>
      <c r="U430" s="18" t="s">
        <v>42</v>
      </c>
      <c r="V430" s="19">
        <v>45422</v>
      </c>
      <c r="W430" s="18" t="s">
        <v>32</v>
      </c>
      <c r="X430" s="19">
        <v>45376</v>
      </c>
      <c r="Y430" s="18" t="s">
        <v>33</v>
      </c>
      <c r="Z430" s="43" t="e">
        <f>TEXT([1]!Table64[[#This Row],[Order date]],"mmm-yyyy")</f>
        <v>#REF!</v>
      </c>
    </row>
    <row r="431" spans="1:26" x14ac:dyDescent="0.3">
      <c r="A431" s="22">
        <v>10430</v>
      </c>
      <c r="B431" s="23">
        <v>5401</v>
      </c>
      <c r="C431" s="23" t="s">
        <v>25</v>
      </c>
      <c r="D431" s="24">
        <v>61207.4</v>
      </c>
      <c r="E431" s="23">
        <v>68</v>
      </c>
      <c r="F431" s="23" t="s">
        <v>46</v>
      </c>
      <c r="G431" s="25">
        <v>45306</v>
      </c>
      <c r="H431" s="24">
        <v>149415.37</v>
      </c>
      <c r="I431" s="26" t="s">
        <v>44</v>
      </c>
      <c r="J431" s="15" t="s">
        <v>36</v>
      </c>
      <c r="K431" s="15">
        <v>291</v>
      </c>
      <c r="L431" s="16">
        <v>45361</v>
      </c>
      <c r="M431" s="17">
        <v>6</v>
      </c>
      <c r="N431" s="27">
        <v>90430</v>
      </c>
      <c r="O431" s="27" t="s">
        <v>50</v>
      </c>
      <c r="P431" s="28">
        <v>45430</v>
      </c>
      <c r="Q431" s="29">
        <v>0.58942000000000005</v>
      </c>
      <c r="R431" s="30">
        <v>70430</v>
      </c>
      <c r="S431" s="27" t="s">
        <v>30</v>
      </c>
      <c r="T431" s="29">
        <v>101066.79827</v>
      </c>
      <c r="U431" s="27" t="s">
        <v>31</v>
      </c>
      <c r="V431" s="28">
        <v>45444</v>
      </c>
      <c r="W431" s="27" t="s">
        <v>38</v>
      </c>
      <c r="X431" s="28">
        <v>45376</v>
      </c>
      <c r="Y431" s="27" t="s">
        <v>33</v>
      </c>
      <c r="Z431" s="43" t="e">
        <f>TEXT([1]!Table64[[#This Row],[Order date]],"mmm-yyyy")</f>
        <v>#REF!</v>
      </c>
    </row>
    <row r="432" spans="1:26" x14ac:dyDescent="0.3">
      <c r="A432" s="10">
        <v>10431</v>
      </c>
      <c r="B432" s="11">
        <v>5640</v>
      </c>
      <c r="C432" s="11" t="s">
        <v>34</v>
      </c>
      <c r="D432" s="12">
        <v>54500.57</v>
      </c>
      <c r="E432" s="11">
        <v>68</v>
      </c>
      <c r="F432" s="11" t="s">
        <v>26</v>
      </c>
      <c r="G432" s="13">
        <v>45306</v>
      </c>
      <c r="H432" s="12">
        <v>33643.56</v>
      </c>
      <c r="I432" s="14" t="s">
        <v>47</v>
      </c>
      <c r="J432" s="15" t="s">
        <v>49</v>
      </c>
      <c r="K432" s="15">
        <v>1016</v>
      </c>
      <c r="L432" s="16">
        <v>45397</v>
      </c>
      <c r="M432" s="17">
        <v>11</v>
      </c>
      <c r="N432" s="18">
        <v>90431</v>
      </c>
      <c r="O432" s="18" t="s">
        <v>40</v>
      </c>
      <c r="P432" s="19">
        <v>45383</v>
      </c>
      <c r="Q432" s="20">
        <v>0.70386000000000004</v>
      </c>
      <c r="R432" s="21">
        <v>70431</v>
      </c>
      <c r="S432" s="18" t="s">
        <v>45</v>
      </c>
      <c r="T432" s="20">
        <v>87179.3413</v>
      </c>
      <c r="U432" s="18" t="s">
        <v>42</v>
      </c>
      <c r="V432" s="19">
        <v>45444</v>
      </c>
      <c r="W432" s="18" t="s">
        <v>38</v>
      </c>
      <c r="X432" s="19">
        <v>45376</v>
      </c>
      <c r="Y432" s="18" t="s">
        <v>39</v>
      </c>
      <c r="Z432" s="43" t="e">
        <f>TEXT([1]!Table64[[#This Row],[Order date]],"mmm-yyyy")</f>
        <v>#REF!</v>
      </c>
    </row>
    <row r="433" spans="1:26" x14ac:dyDescent="0.3">
      <c r="A433" s="22">
        <v>10432</v>
      </c>
      <c r="B433" s="23">
        <v>6057</v>
      </c>
      <c r="C433" s="23" t="s">
        <v>34</v>
      </c>
      <c r="D433" s="24">
        <v>54322.080000000002</v>
      </c>
      <c r="E433" s="23">
        <v>92</v>
      </c>
      <c r="F433" s="23" t="s">
        <v>43</v>
      </c>
      <c r="G433" s="25">
        <v>45383</v>
      </c>
      <c r="H433" s="24">
        <v>156290.73000000001</v>
      </c>
      <c r="I433" s="26" t="s">
        <v>44</v>
      </c>
      <c r="J433" s="15" t="s">
        <v>49</v>
      </c>
      <c r="K433" s="15">
        <v>939</v>
      </c>
      <c r="L433" s="16">
        <v>45397</v>
      </c>
      <c r="M433" s="17">
        <v>10</v>
      </c>
      <c r="N433" s="27">
        <v>90432</v>
      </c>
      <c r="O433" s="27" t="s">
        <v>50</v>
      </c>
      <c r="P433" s="28">
        <v>45383</v>
      </c>
      <c r="Q433" s="29">
        <v>0.11738999999999999</v>
      </c>
      <c r="R433" s="30">
        <v>70432</v>
      </c>
      <c r="S433" s="27" t="s">
        <v>41</v>
      </c>
      <c r="T433" s="29">
        <v>74851.229399999997</v>
      </c>
      <c r="U433" s="27" t="s">
        <v>48</v>
      </c>
      <c r="V433" s="28">
        <v>45422</v>
      </c>
      <c r="W433" s="27" t="s">
        <v>38</v>
      </c>
      <c r="X433" s="28">
        <v>45384</v>
      </c>
      <c r="Y433" s="27" t="s">
        <v>33</v>
      </c>
      <c r="Z433" s="43" t="e">
        <f>TEXT([1]!Table64[[#This Row],[Order date]],"mmm-yyyy")</f>
        <v>#REF!</v>
      </c>
    </row>
    <row r="434" spans="1:26" x14ac:dyDescent="0.3">
      <c r="A434" s="10">
        <v>10433</v>
      </c>
      <c r="B434" s="11">
        <v>5688</v>
      </c>
      <c r="C434" s="11" t="s">
        <v>34</v>
      </c>
      <c r="D434" s="12">
        <v>68850.75</v>
      </c>
      <c r="E434" s="11">
        <v>8</v>
      </c>
      <c r="F434" s="11" t="s">
        <v>46</v>
      </c>
      <c r="G434" s="13">
        <v>45361</v>
      </c>
      <c r="H434" s="12">
        <v>38202.92</v>
      </c>
      <c r="I434" s="14" t="s">
        <v>27</v>
      </c>
      <c r="J434" s="15" t="s">
        <v>49</v>
      </c>
      <c r="K434" s="15">
        <v>162</v>
      </c>
      <c r="L434" s="16">
        <v>45332</v>
      </c>
      <c r="M434" s="17">
        <v>4</v>
      </c>
      <c r="N434" s="18">
        <v>90433</v>
      </c>
      <c r="O434" s="18" t="s">
        <v>40</v>
      </c>
      <c r="P434" s="19">
        <v>45383</v>
      </c>
      <c r="Q434" s="20">
        <v>0.55181000000000002</v>
      </c>
      <c r="R434" s="21">
        <v>70433</v>
      </c>
      <c r="S434" s="18" t="s">
        <v>30</v>
      </c>
      <c r="T434" s="20">
        <v>168585.59448</v>
      </c>
      <c r="U434" s="18" t="s">
        <v>31</v>
      </c>
      <c r="V434" s="19">
        <v>45444</v>
      </c>
      <c r="W434" s="18" t="s">
        <v>38</v>
      </c>
      <c r="X434" s="19">
        <v>45376</v>
      </c>
      <c r="Y434" s="18" t="s">
        <v>33</v>
      </c>
      <c r="Z434" s="43" t="e">
        <f>TEXT([1]!Table64[[#This Row],[Order date]],"mmm-yyyy")</f>
        <v>#REF!</v>
      </c>
    </row>
    <row r="435" spans="1:26" x14ac:dyDescent="0.3">
      <c r="A435" s="22">
        <v>10434</v>
      </c>
      <c r="B435" s="23">
        <v>5460</v>
      </c>
      <c r="C435" s="23" t="s">
        <v>34</v>
      </c>
      <c r="D435" s="24">
        <v>52813.2</v>
      </c>
      <c r="E435" s="23">
        <v>2</v>
      </c>
      <c r="F435" s="23" t="s">
        <v>26</v>
      </c>
      <c r="G435" s="25">
        <v>45337</v>
      </c>
      <c r="H435" s="24">
        <v>107277.35</v>
      </c>
      <c r="I435" s="26" t="s">
        <v>44</v>
      </c>
      <c r="J435" s="15" t="s">
        <v>28</v>
      </c>
      <c r="K435" s="15">
        <v>1063</v>
      </c>
      <c r="L435" s="16">
        <v>45361</v>
      </c>
      <c r="M435" s="17">
        <v>8</v>
      </c>
      <c r="N435" s="27">
        <v>90434</v>
      </c>
      <c r="O435" s="27" t="s">
        <v>37</v>
      </c>
      <c r="P435" s="28">
        <v>45383</v>
      </c>
      <c r="Q435" s="29">
        <v>0.62948000000000004</v>
      </c>
      <c r="R435" s="30">
        <v>70434</v>
      </c>
      <c r="S435" s="27" t="s">
        <v>41</v>
      </c>
      <c r="T435" s="29">
        <v>86875.929000000004</v>
      </c>
      <c r="U435" s="27" t="s">
        <v>42</v>
      </c>
      <c r="V435" s="28">
        <v>45422</v>
      </c>
      <c r="W435" s="27" t="s">
        <v>38</v>
      </c>
      <c r="X435" s="28">
        <v>45384</v>
      </c>
      <c r="Y435" s="27" t="s">
        <v>33</v>
      </c>
      <c r="Z435" s="43" t="e">
        <f>TEXT([1]!Table64[[#This Row],[Order date]],"mmm-yyyy")</f>
        <v>#REF!</v>
      </c>
    </row>
    <row r="436" spans="1:26" x14ac:dyDescent="0.3">
      <c r="A436" s="10">
        <v>10435</v>
      </c>
      <c r="B436" s="11">
        <v>5955</v>
      </c>
      <c r="C436" s="11" t="s">
        <v>34</v>
      </c>
      <c r="D436" s="12">
        <v>87583.01</v>
      </c>
      <c r="E436" s="11">
        <v>86</v>
      </c>
      <c r="F436" s="11" t="s">
        <v>26</v>
      </c>
      <c r="G436" s="13">
        <v>45337</v>
      </c>
      <c r="H436" s="12">
        <v>142557</v>
      </c>
      <c r="I436" s="14" t="s">
        <v>27</v>
      </c>
      <c r="J436" s="15" t="s">
        <v>28</v>
      </c>
      <c r="K436" s="15">
        <v>367</v>
      </c>
      <c r="L436" s="16">
        <v>45332</v>
      </c>
      <c r="M436" s="17">
        <v>3</v>
      </c>
      <c r="N436" s="18">
        <v>90435</v>
      </c>
      <c r="O436" s="18" t="s">
        <v>40</v>
      </c>
      <c r="P436" s="19">
        <v>45383</v>
      </c>
      <c r="Q436" s="20">
        <v>0.40901999999999999</v>
      </c>
      <c r="R436" s="21">
        <v>70435</v>
      </c>
      <c r="S436" s="18" t="s">
        <v>45</v>
      </c>
      <c r="T436" s="20">
        <v>188132.66966000001</v>
      </c>
      <c r="U436" s="18" t="s">
        <v>31</v>
      </c>
      <c r="V436" s="19">
        <v>45392</v>
      </c>
      <c r="W436" s="18" t="s">
        <v>38</v>
      </c>
      <c r="X436" s="19">
        <v>45384</v>
      </c>
      <c r="Y436" s="18" t="s">
        <v>39</v>
      </c>
      <c r="Z436" s="43" t="e">
        <f>TEXT([1]!Table64[[#This Row],[Order date]],"mmm-yyyy")</f>
        <v>#REF!</v>
      </c>
    </row>
    <row r="437" spans="1:26" x14ac:dyDescent="0.3">
      <c r="A437" s="22">
        <v>10436</v>
      </c>
      <c r="B437" s="23">
        <v>6907</v>
      </c>
      <c r="C437" s="23" t="s">
        <v>34</v>
      </c>
      <c r="D437" s="24">
        <v>93563.08</v>
      </c>
      <c r="E437" s="23">
        <v>41</v>
      </c>
      <c r="F437" s="23" t="s">
        <v>35</v>
      </c>
      <c r="G437" s="25">
        <v>45337</v>
      </c>
      <c r="H437" s="24">
        <v>164594.53</v>
      </c>
      <c r="I437" s="26" t="s">
        <v>27</v>
      </c>
      <c r="J437" s="15" t="s">
        <v>36</v>
      </c>
      <c r="K437" s="15">
        <v>72</v>
      </c>
      <c r="L437" s="16">
        <v>45332</v>
      </c>
      <c r="M437" s="17">
        <v>11</v>
      </c>
      <c r="N437" s="27">
        <v>90436</v>
      </c>
      <c r="O437" s="27" t="s">
        <v>50</v>
      </c>
      <c r="P437" s="28">
        <v>45352</v>
      </c>
      <c r="Q437" s="29">
        <v>0.70152999999999999</v>
      </c>
      <c r="R437" s="30">
        <v>70436</v>
      </c>
      <c r="S437" s="27" t="s">
        <v>41</v>
      </c>
      <c r="T437" s="29">
        <v>56478.935810000003</v>
      </c>
      <c r="U437" s="27" t="s">
        <v>31</v>
      </c>
      <c r="V437" s="28">
        <v>45444</v>
      </c>
      <c r="W437" s="27" t="s">
        <v>38</v>
      </c>
      <c r="X437" s="28">
        <v>45376</v>
      </c>
      <c r="Y437" s="27" t="s">
        <v>33</v>
      </c>
      <c r="Z437" s="43" t="e">
        <f>TEXT([1]!Table64[[#This Row],[Order date]],"mmm-yyyy")</f>
        <v>#REF!</v>
      </c>
    </row>
    <row r="438" spans="1:26" x14ac:dyDescent="0.3">
      <c r="A438" s="10">
        <v>10437</v>
      </c>
      <c r="B438" s="11">
        <v>5470</v>
      </c>
      <c r="C438" s="11" t="s">
        <v>34</v>
      </c>
      <c r="D438" s="12">
        <v>88846.45</v>
      </c>
      <c r="E438" s="11">
        <v>55</v>
      </c>
      <c r="F438" s="11" t="s">
        <v>35</v>
      </c>
      <c r="G438" s="13">
        <v>45337</v>
      </c>
      <c r="H438" s="12">
        <v>129481.69</v>
      </c>
      <c r="I438" s="14" t="s">
        <v>27</v>
      </c>
      <c r="J438" s="15" t="s">
        <v>49</v>
      </c>
      <c r="K438" s="15">
        <v>873</v>
      </c>
      <c r="L438" s="16">
        <v>45361</v>
      </c>
      <c r="M438" s="17">
        <v>5</v>
      </c>
      <c r="N438" s="18">
        <v>90437</v>
      </c>
      <c r="O438" s="18" t="s">
        <v>50</v>
      </c>
      <c r="P438" s="19">
        <v>45383</v>
      </c>
      <c r="Q438" s="20">
        <v>0.30536000000000002</v>
      </c>
      <c r="R438" s="21">
        <v>70437</v>
      </c>
      <c r="S438" s="18" t="s">
        <v>41</v>
      </c>
      <c r="T438" s="20">
        <v>157778.61244999999</v>
      </c>
      <c r="U438" s="18" t="s">
        <v>42</v>
      </c>
      <c r="V438" s="19">
        <v>45444</v>
      </c>
      <c r="W438" s="18" t="s">
        <v>38</v>
      </c>
      <c r="X438" s="19">
        <v>45376</v>
      </c>
      <c r="Y438" s="18" t="s">
        <v>39</v>
      </c>
      <c r="Z438" s="43" t="e">
        <f>TEXT([1]!Table64[[#This Row],[Order date]],"mmm-yyyy")</f>
        <v>#REF!</v>
      </c>
    </row>
    <row r="439" spans="1:26" x14ac:dyDescent="0.3">
      <c r="A439" s="22">
        <v>10438</v>
      </c>
      <c r="B439" s="23">
        <v>6399</v>
      </c>
      <c r="C439" s="23" t="s">
        <v>34</v>
      </c>
      <c r="D439" s="24">
        <v>52559.08</v>
      </c>
      <c r="E439" s="23">
        <v>16</v>
      </c>
      <c r="F439" s="23" t="s">
        <v>35</v>
      </c>
      <c r="G439" s="25">
        <v>45337</v>
      </c>
      <c r="H439" s="24">
        <v>93034.68</v>
      </c>
      <c r="I439" s="26" t="s">
        <v>47</v>
      </c>
      <c r="J439" s="15" t="s">
        <v>49</v>
      </c>
      <c r="K439" s="15">
        <v>1191</v>
      </c>
      <c r="L439" s="16">
        <v>45361</v>
      </c>
      <c r="M439" s="17">
        <v>13</v>
      </c>
      <c r="N439" s="27">
        <v>90438</v>
      </c>
      <c r="O439" s="27" t="s">
        <v>29</v>
      </c>
      <c r="P439" s="28">
        <v>45430</v>
      </c>
      <c r="Q439" s="29">
        <v>0.38563999999999998</v>
      </c>
      <c r="R439" s="30">
        <v>70438</v>
      </c>
      <c r="S439" s="27" t="s">
        <v>41</v>
      </c>
      <c r="T439" s="29">
        <v>146650.88993</v>
      </c>
      <c r="U439" s="27" t="s">
        <v>48</v>
      </c>
      <c r="V439" s="28">
        <v>45392</v>
      </c>
      <c r="W439" s="27" t="s">
        <v>32</v>
      </c>
      <c r="X439" s="28">
        <v>45376</v>
      </c>
      <c r="Y439" s="27" t="s">
        <v>33</v>
      </c>
      <c r="Z439" s="43" t="e">
        <f>TEXT([1]!Table64[[#This Row],[Order date]],"mmm-yyyy")</f>
        <v>#REF!</v>
      </c>
    </row>
    <row r="440" spans="1:26" x14ac:dyDescent="0.3">
      <c r="A440" s="10">
        <v>10439</v>
      </c>
      <c r="B440" s="11">
        <v>6046</v>
      </c>
      <c r="C440" s="11" t="s">
        <v>25</v>
      </c>
      <c r="D440" s="12">
        <v>32839.25</v>
      </c>
      <c r="E440" s="11">
        <v>93</v>
      </c>
      <c r="F440" s="11" t="s">
        <v>26</v>
      </c>
      <c r="G440" s="13">
        <v>45306</v>
      </c>
      <c r="H440" s="12">
        <v>113604.05</v>
      </c>
      <c r="I440" s="14" t="s">
        <v>44</v>
      </c>
      <c r="J440" s="15" t="s">
        <v>28</v>
      </c>
      <c r="K440" s="15">
        <v>750</v>
      </c>
      <c r="L440" s="16">
        <v>45332</v>
      </c>
      <c r="M440" s="17">
        <v>1</v>
      </c>
      <c r="N440" s="18">
        <v>90439</v>
      </c>
      <c r="O440" s="18" t="s">
        <v>37</v>
      </c>
      <c r="P440" s="19">
        <v>45383</v>
      </c>
      <c r="Q440" s="20">
        <v>0.96648000000000001</v>
      </c>
      <c r="R440" s="21">
        <v>70439</v>
      </c>
      <c r="S440" s="18" t="s">
        <v>30</v>
      </c>
      <c r="T440" s="20">
        <v>101623.6027</v>
      </c>
      <c r="U440" s="18" t="s">
        <v>31</v>
      </c>
      <c r="V440" s="19">
        <v>45392</v>
      </c>
      <c r="W440" s="18" t="s">
        <v>38</v>
      </c>
      <c r="X440" s="19">
        <v>45384</v>
      </c>
      <c r="Y440" s="18" t="s">
        <v>33</v>
      </c>
      <c r="Z440" s="43" t="e">
        <f>TEXT([1]!Table64[[#This Row],[Order date]],"mmm-yyyy")</f>
        <v>#REF!</v>
      </c>
    </row>
    <row r="441" spans="1:26" x14ac:dyDescent="0.3">
      <c r="A441" s="22">
        <v>10440</v>
      </c>
      <c r="B441" s="23">
        <v>5750</v>
      </c>
      <c r="C441" s="23" t="s">
        <v>25</v>
      </c>
      <c r="D441" s="24">
        <v>62890.32</v>
      </c>
      <c r="E441" s="23">
        <v>62</v>
      </c>
      <c r="F441" s="23" t="s">
        <v>46</v>
      </c>
      <c r="G441" s="25">
        <v>45306</v>
      </c>
      <c r="H441" s="24">
        <v>55145.29</v>
      </c>
      <c r="I441" s="26" t="s">
        <v>44</v>
      </c>
      <c r="J441" s="15" t="s">
        <v>28</v>
      </c>
      <c r="K441" s="15">
        <v>1068</v>
      </c>
      <c r="L441" s="16">
        <v>45397</v>
      </c>
      <c r="M441" s="17">
        <v>13</v>
      </c>
      <c r="N441" s="27">
        <v>90440</v>
      </c>
      <c r="O441" s="27" t="s">
        <v>40</v>
      </c>
      <c r="P441" s="28">
        <v>45352</v>
      </c>
      <c r="Q441" s="29">
        <v>0.41326000000000002</v>
      </c>
      <c r="R441" s="30">
        <v>70440</v>
      </c>
      <c r="S441" s="27" t="s">
        <v>41</v>
      </c>
      <c r="T441" s="29">
        <v>111791.1961</v>
      </c>
      <c r="U441" s="27" t="s">
        <v>48</v>
      </c>
      <c r="V441" s="28">
        <v>45444</v>
      </c>
      <c r="W441" s="27" t="s">
        <v>38</v>
      </c>
      <c r="X441" s="28">
        <v>45376</v>
      </c>
      <c r="Y441" s="27" t="s">
        <v>33</v>
      </c>
      <c r="Z441" s="43" t="e">
        <f>TEXT([1]!Table64[[#This Row],[Order date]],"mmm-yyyy")</f>
        <v>#REF!</v>
      </c>
    </row>
    <row r="442" spans="1:26" x14ac:dyDescent="0.3">
      <c r="A442" s="10">
        <v>10441</v>
      </c>
      <c r="B442" s="11">
        <v>6694</v>
      </c>
      <c r="C442" s="11" t="s">
        <v>34</v>
      </c>
      <c r="D442" s="12">
        <v>49078.92</v>
      </c>
      <c r="E442" s="11">
        <v>48</v>
      </c>
      <c r="F442" s="11" t="s">
        <v>35</v>
      </c>
      <c r="G442" s="13">
        <v>45306</v>
      </c>
      <c r="H442" s="12">
        <v>147853.94</v>
      </c>
      <c r="I442" s="14" t="s">
        <v>44</v>
      </c>
      <c r="J442" s="15" t="s">
        <v>36</v>
      </c>
      <c r="K442" s="15">
        <v>1285</v>
      </c>
      <c r="L442" s="16">
        <v>45332</v>
      </c>
      <c r="M442" s="17">
        <v>6</v>
      </c>
      <c r="N442" s="18">
        <v>90441</v>
      </c>
      <c r="O442" s="18" t="s">
        <v>37</v>
      </c>
      <c r="P442" s="19">
        <v>45430</v>
      </c>
      <c r="Q442" s="20">
        <v>0.41184999999999999</v>
      </c>
      <c r="R442" s="21">
        <v>70441</v>
      </c>
      <c r="S442" s="18" t="s">
        <v>41</v>
      </c>
      <c r="T442" s="20">
        <v>128553.82935</v>
      </c>
      <c r="U442" s="18" t="s">
        <v>42</v>
      </c>
      <c r="V442" s="19">
        <v>45444</v>
      </c>
      <c r="W442" s="18" t="s">
        <v>38</v>
      </c>
      <c r="X442" s="19">
        <v>45376</v>
      </c>
      <c r="Y442" s="18" t="s">
        <v>33</v>
      </c>
      <c r="Z442" s="43" t="e">
        <f>TEXT([1]!Table64[[#This Row],[Order date]],"mmm-yyyy")</f>
        <v>#REF!</v>
      </c>
    </row>
    <row r="443" spans="1:26" x14ac:dyDescent="0.3">
      <c r="A443" s="22">
        <v>10442</v>
      </c>
      <c r="B443" s="23">
        <v>5038</v>
      </c>
      <c r="C443" s="23" t="s">
        <v>34</v>
      </c>
      <c r="D443" s="24">
        <v>49568.04</v>
      </c>
      <c r="E443" s="23">
        <v>30</v>
      </c>
      <c r="F443" s="23" t="s">
        <v>46</v>
      </c>
      <c r="G443" s="25">
        <v>45361</v>
      </c>
      <c r="H443" s="24">
        <v>29600.97</v>
      </c>
      <c r="I443" s="26" t="s">
        <v>44</v>
      </c>
      <c r="J443" s="15" t="s">
        <v>36</v>
      </c>
      <c r="K443" s="15">
        <v>1491</v>
      </c>
      <c r="L443" s="16">
        <v>45397</v>
      </c>
      <c r="M443" s="17">
        <v>11</v>
      </c>
      <c r="N443" s="27">
        <v>90442</v>
      </c>
      <c r="O443" s="27" t="s">
        <v>50</v>
      </c>
      <c r="P443" s="28">
        <v>45352</v>
      </c>
      <c r="Q443" s="29">
        <v>0.63610999999999995</v>
      </c>
      <c r="R443" s="30">
        <v>70442</v>
      </c>
      <c r="S443" s="27" t="s">
        <v>41</v>
      </c>
      <c r="T443" s="29">
        <v>101946.2015</v>
      </c>
      <c r="U443" s="27" t="s">
        <v>31</v>
      </c>
      <c r="V443" s="28">
        <v>45422</v>
      </c>
      <c r="W443" s="27" t="s">
        <v>38</v>
      </c>
      <c r="X443" s="28">
        <v>45376</v>
      </c>
      <c r="Y443" s="27" t="s">
        <v>39</v>
      </c>
      <c r="Z443" s="43" t="e">
        <f>TEXT([1]!Table64[[#This Row],[Order date]],"mmm-yyyy")</f>
        <v>#REF!</v>
      </c>
    </row>
    <row r="444" spans="1:26" x14ac:dyDescent="0.3">
      <c r="A444" s="10">
        <v>10443</v>
      </c>
      <c r="B444" s="11">
        <v>5230</v>
      </c>
      <c r="C444" s="11" t="s">
        <v>34</v>
      </c>
      <c r="D444" s="12">
        <v>64974.81</v>
      </c>
      <c r="E444" s="11">
        <v>12</v>
      </c>
      <c r="F444" s="11" t="s">
        <v>35</v>
      </c>
      <c r="G444" s="13">
        <v>45383</v>
      </c>
      <c r="H444" s="12">
        <v>88700.98</v>
      </c>
      <c r="I444" s="14" t="s">
        <v>44</v>
      </c>
      <c r="J444" s="15" t="s">
        <v>28</v>
      </c>
      <c r="K444" s="15">
        <v>1186</v>
      </c>
      <c r="L444" s="16">
        <v>45397</v>
      </c>
      <c r="M444" s="17">
        <v>5</v>
      </c>
      <c r="N444" s="18">
        <v>90443</v>
      </c>
      <c r="O444" s="18" t="s">
        <v>29</v>
      </c>
      <c r="P444" s="19">
        <v>45430</v>
      </c>
      <c r="Q444" s="20">
        <v>0.97387999999999997</v>
      </c>
      <c r="R444" s="21">
        <v>70443</v>
      </c>
      <c r="S444" s="18" t="s">
        <v>30</v>
      </c>
      <c r="T444" s="20">
        <v>195952.35430000001</v>
      </c>
      <c r="U444" s="18" t="s">
        <v>42</v>
      </c>
      <c r="V444" s="19">
        <v>45422</v>
      </c>
      <c r="W444" s="18" t="s">
        <v>38</v>
      </c>
      <c r="X444" s="19">
        <v>45376</v>
      </c>
      <c r="Y444" s="18" t="s">
        <v>33</v>
      </c>
      <c r="Z444" s="43" t="e">
        <f>TEXT([1]!Table64[[#This Row],[Order date]],"mmm-yyyy")</f>
        <v>#REF!</v>
      </c>
    </row>
    <row r="445" spans="1:26" x14ac:dyDescent="0.3">
      <c r="A445" s="22">
        <v>10444</v>
      </c>
      <c r="B445" s="23">
        <v>6389</v>
      </c>
      <c r="C445" s="23" t="s">
        <v>25</v>
      </c>
      <c r="D445" s="24">
        <v>80810.600000000006</v>
      </c>
      <c r="E445" s="23">
        <v>35</v>
      </c>
      <c r="F445" s="23" t="s">
        <v>43</v>
      </c>
      <c r="G445" s="25">
        <v>45337</v>
      </c>
      <c r="H445" s="24">
        <v>82604</v>
      </c>
      <c r="I445" s="26" t="s">
        <v>44</v>
      </c>
      <c r="J445" s="15" t="s">
        <v>49</v>
      </c>
      <c r="K445" s="15">
        <v>1117</v>
      </c>
      <c r="L445" s="16">
        <v>45361</v>
      </c>
      <c r="M445" s="17">
        <v>8</v>
      </c>
      <c r="N445" s="27">
        <v>90444</v>
      </c>
      <c r="O445" s="27" t="s">
        <v>50</v>
      </c>
      <c r="P445" s="28">
        <v>45383</v>
      </c>
      <c r="Q445" s="29">
        <v>0.98477000000000003</v>
      </c>
      <c r="R445" s="30">
        <v>70444</v>
      </c>
      <c r="S445" s="27" t="s">
        <v>45</v>
      </c>
      <c r="T445" s="29">
        <v>62718.448900000003</v>
      </c>
      <c r="U445" s="27" t="s">
        <v>42</v>
      </c>
      <c r="V445" s="28">
        <v>45444</v>
      </c>
      <c r="W445" s="27" t="s">
        <v>38</v>
      </c>
      <c r="X445" s="28">
        <v>45384</v>
      </c>
      <c r="Y445" s="27" t="s">
        <v>39</v>
      </c>
      <c r="Z445" s="43" t="e">
        <f>TEXT([1]!Table64[[#This Row],[Order date]],"mmm-yyyy")</f>
        <v>#REF!</v>
      </c>
    </row>
    <row r="446" spans="1:26" x14ac:dyDescent="0.3">
      <c r="A446" s="10">
        <v>10445</v>
      </c>
      <c r="B446" s="11">
        <v>5563</v>
      </c>
      <c r="C446" s="11" t="s">
        <v>34</v>
      </c>
      <c r="D446" s="12">
        <v>16328.31</v>
      </c>
      <c r="E446" s="11">
        <v>11</v>
      </c>
      <c r="F446" s="11" t="s">
        <v>43</v>
      </c>
      <c r="G446" s="13">
        <v>45361</v>
      </c>
      <c r="H446" s="12">
        <v>40141.769999999997</v>
      </c>
      <c r="I446" s="14" t="s">
        <v>44</v>
      </c>
      <c r="J446" s="15" t="s">
        <v>36</v>
      </c>
      <c r="K446" s="15">
        <v>177</v>
      </c>
      <c r="L446" s="16">
        <v>45361</v>
      </c>
      <c r="M446" s="17">
        <v>9</v>
      </c>
      <c r="N446" s="18">
        <v>90445</v>
      </c>
      <c r="O446" s="18" t="s">
        <v>50</v>
      </c>
      <c r="P446" s="19">
        <v>45352</v>
      </c>
      <c r="Q446" s="20">
        <v>0.62168999999999996</v>
      </c>
      <c r="R446" s="21">
        <v>70445</v>
      </c>
      <c r="S446" s="18" t="s">
        <v>30</v>
      </c>
      <c r="T446" s="20">
        <v>173707.19078999999</v>
      </c>
      <c r="U446" s="18" t="s">
        <v>42</v>
      </c>
      <c r="V446" s="19">
        <v>45422</v>
      </c>
      <c r="W446" s="18" t="s">
        <v>38</v>
      </c>
      <c r="X446" s="19">
        <v>45376</v>
      </c>
      <c r="Y446" s="18" t="s">
        <v>39</v>
      </c>
      <c r="Z446" s="43" t="e">
        <f>TEXT([1]!Table64[[#This Row],[Order date]],"mmm-yyyy")</f>
        <v>#REF!</v>
      </c>
    </row>
    <row r="447" spans="1:26" x14ac:dyDescent="0.3">
      <c r="A447" s="22">
        <v>10446</v>
      </c>
      <c r="B447" s="23">
        <v>5438</v>
      </c>
      <c r="C447" s="23" t="s">
        <v>34</v>
      </c>
      <c r="D447" s="24">
        <v>19509.490000000002</v>
      </c>
      <c r="E447" s="23">
        <v>64</v>
      </c>
      <c r="F447" s="23" t="s">
        <v>35</v>
      </c>
      <c r="G447" s="25">
        <v>45337</v>
      </c>
      <c r="H447" s="24">
        <v>143998.20000000001</v>
      </c>
      <c r="I447" s="26" t="s">
        <v>27</v>
      </c>
      <c r="J447" s="15" t="s">
        <v>28</v>
      </c>
      <c r="K447" s="15">
        <v>925</v>
      </c>
      <c r="L447" s="16">
        <v>45332</v>
      </c>
      <c r="M447" s="17">
        <v>8</v>
      </c>
      <c r="N447" s="27">
        <v>90446</v>
      </c>
      <c r="O447" s="27" t="s">
        <v>50</v>
      </c>
      <c r="P447" s="28">
        <v>45430</v>
      </c>
      <c r="Q447" s="29">
        <v>0.10098</v>
      </c>
      <c r="R447" s="30">
        <v>70446</v>
      </c>
      <c r="S447" s="27" t="s">
        <v>30</v>
      </c>
      <c r="T447" s="29">
        <v>197009.01070000001</v>
      </c>
      <c r="U447" s="27" t="s">
        <v>42</v>
      </c>
      <c r="V447" s="28">
        <v>45392</v>
      </c>
      <c r="W447" s="27" t="s">
        <v>38</v>
      </c>
      <c r="X447" s="28">
        <v>45376</v>
      </c>
      <c r="Y447" s="27" t="s">
        <v>33</v>
      </c>
      <c r="Z447" s="43" t="e">
        <f>TEXT([1]!Table64[[#This Row],[Order date]],"mmm-yyyy")</f>
        <v>#REF!</v>
      </c>
    </row>
    <row r="448" spans="1:26" x14ac:dyDescent="0.3">
      <c r="A448" s="10">
        <v>10447</v>
      </c>
      <c r="B448" s="11">
        <v>6800</v>
      </c>
      <c r="C448" s="11" t="s">
        <v>34</v>
      </c>
      <c r="D448" s="12">
        <v>63568.61</v>
      </c>
      <c r="E448" s="11">
        <v>50</v>
      </c>
      <c r="F448" s="11" t="s">
        <v>26</v>
      </c>
      <c r="G448" s="13">
        <v>45306</v>
      </c>
      <c r="H448" s="12">
        <v>92630.85</v>
      </c>
      <c r="I448" s="14" t="s">
        <v>27</v>
      </c>
      <c r="J448" s="15" t="s">
        <v>28</v>
      </c>
      <c r="K448" s="15">
        <v>207</v>
      </c>
      <c r="L448" s="16">
        <v>45397</v>
      </c>
      <c r="M448" s="17">
        <v>8</v>
      </c>
      <c r="N448" s="18">
        <v>90447</v>
      </c>
      <c r="O448" s="18" t="s">
        <v>40</v>
      </c>
      <c r="P448" s="19">
        <v>45383</v>
      </c>
      <c r="Q448" s="20">
        <v>0.91059000000000001</v>
      </c>
      <c r="R448" s="21">
        <v>70447</v>
      </c>
      <c r="S448" s="18" t="s">
        <v>30</v>
      </c>
      <c r="T448" s="20">
        <v>171825.519</v>
      </c>
      <c r="U448" s="18" t="s">
        <v>31</v>
      </c>
      <c r="V448" s="19">
        <v>45422</v>
      </c>
      <c r="W448" s="18" t="s">
        <v>32</v>
      </c>
      <c r="X448" s="19">
        <v>45376</v>
      </c>
      <c r="Y448" s="18" t="s">
        <v>39</v>
      </c>
      <c r="Z448" s="43" t="e">
        <f>TEXT([1]!Table64[[#This Row],[Order date]],"mmm-yyyy")</f>
        <v>#REF!</v>
      </c>
    </row>
    <row r="449" spans="1:26" x14ac:dyDescent="0.3">
      <c r="A449" s="22">
        <v>10448</v>
      </c>
      <c r="B449" s="23">
        <v>6307</v>
      </c>
      <c r="C449" s="23" t="s">
        <v>34</v>
      </c>
      <c r="D449" s="24">
        <v>11331.65</v>
      </c>
      <c r="E449" s="23">
        <v>85</v>
      </c>
      <c r="F449" s="23" t="s">
        <v>35</v>
      </c>
      <c r="G449" s="25">
        <v>45361</v>
      </c>
      <c r="H449" s="24">
        <v>142183.71</v>
      </c>
      <c r="I449" s="26" t="s">
        <v>47</v>
      </c>
      <c r="J449" s="15" t="s">
        <v>49</v>
      </c>
      <c r="K449" s="15">
        <v>876</v>
      </c>
      <c r="L449" s="16">
        <v>45397</v>
      </c>
      <c r="M449" s="17">
        <v>12</v>
      </c>
      <c r="N449" s="27">
        <v>90448</v>
      </c>
      <c r="O449" s="27" t="s">
        <v>50</v>
      </c>
      <c r="P449" s="28">
        <v>45430</v>
      </c>
      <c r="Q449" s="29">
        <v>0.61321000000000003</v>
      </c>
      <c r="R449" s="30">
        <v>70448</v>
      </c>
      <c r="S449" s="27" t="s">
        <v>41</v>
      </c>
      <c r="T449" s="29">
        <v>116451.83442</v>
      </c>
      <c r="U449" s="27" t="s">
        <v>48</v>
      </c>
      <c r="V449" s="28">
        <v>45422</v>
      </c>
      <c r="W449" s="27" t="s">
        <v>38</v>
      </c>
      <c r="X449" s="28">
        <v>45376</v>
      </c>
      <c r="Y449" s="27" t="s">
        <v>33</v>
      </c>
      <c r="Z449" s="43" t="e">
        <f>TEXT([1]!Table64[[#This Row],[Order date]],"mmm-yyyy")</f>
        <v>#REF!</v>
      </c>
    </row>
    <row r="450" spans="1:26" x14ac:dyDescent="0.3">
      <c r="A450" s="10">
        <v>10449</v>
      </c>
      <c r="B450" s="11">
        <v>5027</v>
      </c>
      <c r="C450" s="11" t="s">
        <v>34</v>
      </c>
      <c r="D450" s="12">
        <v>73954.17</v>
      </c>
      <c r="E450" s="11">
        <v>21</v>
      </c>
      <c r="F450" s="11" t="s">
        <v>35</v>
      </c>
      <c r="G450" s="13">
        <v>45306</v>
      </c>
      <c r="H450" s="12">
        <v>130261.54</v>
      </c>
      <c r="I450" s="14" t="s">
        <v>27</v>
      </c>
      <c r="J450" s="15" t="s">
        <v>28</v>
      </c>
      <c r="K450" s="15">
        <v>1467</v>
      </c>
      <c r="L450" s="16">
        <v>45332</v>
      </c>
      <c r="M450" s="17">
        <v>14</v>
      </c>
      <c r="N450" s="18">
        <v>90449</v>
      </c>
      <c r="O450" s="18" t="s">
        <v>37</v>
      </c>
      <c r="P450" s="19">
        <v>45352</v>
      </c>
      <c r="Q450" s="20">
        <v>0.4294</v>
      </c>
      <c r="R450" s="21">
        <v>70449</v>
      </c>
      <c r="S450" s="18" t="s">
        <v>41</v>
      </c>
      <c r="T450" s="20">
        <v>182671.54060000001</v>
      </c>
      <c r="U450" s="18" t="s">
        <v>48</v>
      </c>
      <c r="V450" s="19">
        <v>45444</v>
      </c>
      <c r="W450" s="18" t="s">
        <v>38</v>
      </c>
      <c r="X450" s="19">
        <v>45376</v>
      </c>
      <c r="Y450" s="18" t="s">
        <v>33</v>
      </c>
      <c r="Z450" s="43" t="e">
        <f>TEXT([1]!Table64[[#This Row],[Order date]],"mmm-yyyy")</f>
        <v>#REF!</v>
      </c>
    </row>
    <row r="451" spans="1:26" x14ac:dyDescent="0.3">
      <c r="A451" s="22">
        <v>10450</v>
      </c>
      <c r="B451" s="23">
        <v>5226</v>
      </c>
      <c r="C451" s="23" t="s">
        <v>34</v>
      </c>
      <c r="D451" s="24">
        <v>96916.73</v>
      </c>
      <c r="E451" s="23">
        <v>69</v>
      </c>
      <c r="F451" s="23" t="s">
        <v>26</v>
      </c>
      <c r="G451" s="25">
        <v>45337</v>
      </c>
      <c r="H451" s="24">
        <v>121352.72</v>
      </c>
      <c r="I451" s="26" t="s">
        <v>44</v>
      </c>
      <c r="J451" s="15" t="s">
        <v>28</v>
      </c>
      <c r="K451" s="15">
        <v>901</v>
      </c>
      <c r="L451" s="16">
        <v>45332</v>
      </c>
      <c r="M451" s="17">
        <v>13</v>
      </c>
      <c r="N451" s="27">
        <v>90450</v>
      </c>
      <c r="O451" s="27" t="s">
        <v>37</v>
      </c>
      <c r="P451" s="28">
        <v>45352</v>
      </c>
      <c r="Q451" s="29">
        <v>0.84628000000000003</v>
      </c>
      <c r="R451" s="30">
        <v>70450</v>
      </c>
      <c r="S451" s="27" t="s">
        <v>45</v>
      </c>
      <c r="T451" s="29">
        <v>148915.71650000001</v>
      </c>
      <c r="U451" s="27" t="s">
        <v>31</v>
      </c>
      <c r="V451" s="28">
        <v>45422</v>
      </c>
      <c r="W451" s="27" t="s">
        <v>38</v>
      </c>
      <c r="X451" s="28">
        <v>45384</v>
      </c>
      <c r="Y451" s="27" t="s">
        <v>33</v>
      </c>
      <c r="Z451" s="43" t="e">
        <f>TEXT([1]!Table64[[#This Row],[Order date]],"mmm-yyyy")</f>
        <v>#REF!</v>
      </c>
    </row>
    <row r="452" spans="1:26" x14ac:dyDescent="0.3">
      <c r="A452" s="10">
        <v>10451</v>
      </c>
      <c r="B452" s="11">
        <v>6301</v>
      </c>
      <c r="C452" s="11" t="s">
        <v>25</v>
      </c>
      <c r="D452" s="12">
        <v>10813.96</v>
      </c>
      <c r="E452" s="11">
        <v>48</v>
      </c>
      <c r="F452" s="11" t="s">
        <v>43</v>
      </c>
      <c r="G452" s="13">
        <v>45337</v>
      </c>
      <c r="H452" s="12">
        <v>134465.41</v>
      </c>
      <c r="I452" s="14" t="s">
        <v>44</v>
      </c>
      <c r="J452" s="15" t="s">
        <v>36</v>
      </c>
      <c r="K452" s="15">
        <v>561</v>
      </c>
      <c r="L452" s="16">
        <v>45332</v>
      </c>
      <c r="M452" s="17">
        <v>3</v>
      </c>
      <c r="N452" s="18">
        <v>90451</v>
      </c>
      <c r="O452" s="18" t="s">
        <v>29</v>
      </c>
      <c r="P452" s="19">
        <v>45352</v>
      </c>
      <c r="Q452" s="20">
        <v>0.45984999999999998</v>
      </c>
      <c r="R452" s="21">
        <v>70451</v>
      </c>
      <c r="S452" s="18" t="s">
        <v>41</v>
      </c>
      <c r="T452" s="20">
        <v>148793.88500000001</v>
      </c>
      <c r="U452" s="18" t="s">
        <v>31</v>
      </c>
      <c r="V452" s="19">
        <v>45444</v>
      </c>
      <c r="W452" s="18" t="s">
        <v>32</v>
      </c>
      <c r="X452" s="19">
        <v>45376</v>
      </c>
      <c r="Y452" s="18" t="s">
        <v>33</v>
      </c>
      <c r="Z452" s="43" t="e">
        <f>TEXT([1]!Table64[[#This Row],[Order date]],"mmm-yyyy")</f>
        <v>#REF!</v>
      </c>
    </row>
    <row r="453" spans="1:26" x14ac:dyDescent="0.3">
      <c r="A453" s="22">
        <v>10452</v>
      </c>
      <c r="B453" s="23">
        <v>5798</v>
      </c>
      <c r="C453" s="23" t="s">
        <v>34</v>
      </c>
      <c r="D453" s="24">
        <v>32985.919999999998</v>
      </c>
      <c r="E453" s="23">
        <v>20</v>
      </c>
      <c r="F453" s="23" t="s">
        <v>46</v>
      </c>
      <c r="G453" s="25">
        <v>45383</v>
      </c>
      <c r="H453" s="24">
        <v>81552.39</v>
      </c>
      <c r="I453" s="26" t="s">
        <v>44</v>
      </c>
      <c r="J453" s="15" t="s">
        <v>28</v>
      </c>
      <c r="K453" s="15">
        <v>94</v>
      </c>
      <c r="L453" s="16">
        <v>45361</v>
      </c>
      <c r="M453" s="17">
        <v>4</v>
      </c>
      <c r="N453" s="27">
        <v>90452</v>
      </c>
      <c r="O453" s="27" t="s">
        <v>37</v>
      </c>
      <c r="P453" s="28">
        <v>45352</v>
      </c>
      <c r="Q453" s="29">
        <v>0.13064000000000001</v>
      </c>
      <c r="R453" s="30">
        <v>70452</v>
      </c>
      <c r="S453" s="27" t="s">
        <v>30</v>
      </c>
      <c r="T453" s="29">
        <v>168468.08789</v>
      </c>
      <c r="U453" s="27" t="s">
        <v>48</v>
      </c>
      <c r="V453" s="28">
        <v>45444</v>
      </c>
      <c r="W453" s="27" t="s">
        <v>38</v>
      </c>
      <c r="X453" s="28">
        <v>45376</v>
      </c>
      <c r="Y453" s="27" t="s">
        <v>39</v>
      </c>
      <c r="Z453" s="43" t="e">
        <f>TEXT([1]!Table64[[#This Row],[Order date]],"mmm-yyyy")</f>
        <v>#REF!</v>
      </c>
    </row>
    <row r="454" spans="1:26" x14ac:dyDescent="0.3">
      <c r="A454" s="10">
        <v>10453</v>
      </c>
      <c r="B454" s="11">
        <v>6633</v>
      </c>
      <c r="C454" s="11" t="s">
        <v>34</v>
      </c>
      <c r="D454" s="12">
        <v>20555.8</v>
      </c>
      <c r="E454" s="11">
        <v>67</v>
      </c>
      <c r="F454" s="11" t="s">
        <v>35</v>
      </c>
      <c r="G454" s="13">
        <v>45337</v>
      </c>
      <c r="H454" s="12">
        <v>127514.31</v>
      </c>
      <c r="I454" s="14" t="s">
        <v>47</v>
      </c>
      <c r="J454" s="15" t="s">
        <v>28</v>
      </c>
      <c r="K454" s="15">
        <v>1181</v>
      </c>
      <c r="L454" s="16">
        <v>45332</v>
      </c>
      <c r="M454" s="17">
        <v>11</v>
      </c>
      <c r="N454" s="18">
        <v>90453</v>
      </c>
      <c r="O454" s="18" t="s">
        <v>50</v>
      </c>
      <c r="P454" s="19">
        <v>45383</v>
      </c>
      <c r="Q454" s="20">
        <v>0.83896999999999999</v>
      </c>
      <c r="R454" s="21">
        <v>70453</v>
      </c>
      <c r="S454" s="18" t="s">
        <v>45</v>
      </c>
      <c r="T454" s="20">
        <v>199068.12294</v>
      </c>
      <c r="U454" s="18" t="s">
        <v>48</v>
      </c>
      <c r="V454" s="19">
        <v>45444</v>
      </c>
      <c r="W454" s="18" t="s">
        <v>38</v>
      </c>
      <c r="X454" s="19">
        <v>45376</v>
      </c>
      <c r="Y454" s="18" t="s">
        <v>39</v>
      </c>
      <c r="Z454" s="43" t="e">
        <f>TEXT([1]!Table64[[#This Row],[Order date]],"mmm-yyyy")</f>
        <v>#REF!</v>
      </c>
    </row>
    <row r="455" spans="1:26" x14ac:dyDescent="0.3">
      <c r="A455" s="22">
        <v>10454</v>
      </c>
      <c r="B455" s="23">
        <v>5284</v>
      </c>
      <c r="C455" s="23" t="s">
        <v>34</v>
      </c>
      <c r="D455" s="24">
        <v>62555.66</v>
      </c>
      <c r="E455" s="23">
        <v>44</v>
      </c>
      <c r="F455" s="23" t="s">
        <v>26</v>
      </c>
      <c r="G455" s="25">
        <v>45306</v>
      </c>
      <c r="H455" s="24">
        <v>71188.539999999994</v>
      </c>
      <c r="I455" s="26" t="s">
        <v>44</v>
      </c>
      <c r="J455" s="15" t="s">
        <v>36</v>
      </c>
      <c r="K455" s="15">
        <v>268</v>
      </c>
      <c r="L455" s="16">
        <v>45332</v>
      </c>
      <c r="M455" s="17">
        <v>4</v>
      </c>
      <c r="N455" s="27">
        <v>90454</v>
      </c>
      <c r="O455" s="27" t="s">
        <v>50</v>
      </c>
      <c r="P455" s="28">
        <v>45430</v>
      </c>
      <c r="Q455" s="29">
        <v>0.59126999999999996</v>
      </c>
      <c r="R455" s="30">
        <v>70454</v>
      </c>
      <c r="S455" s="27" t="s">
        <v>30</v>
      </c>
      <c r="T455" s="29">
        <v>130458.3738</v>
      </c>
      <c r="U455" s="27" t="s">
        <v>31</v>
      </c>
      <c r="V455" s="28">
        <v>45392</v>
      </c>
      <c r="W455" s="27" t="s">
        <v>38</v>
      </c>
      <c r="X455" s="28">
        <v>45376</v>
      </c>
      <c r="Y455" s="27" t="s">
        <v>33</v>
      </c>
      <c r="Z455" s="43" t="e">
        <f>TEXT([1]!Table64[[#This Row],[Order date]],"mmm-yyyy")</f>
        <v>#REF!</v>
      </c>
    </row>
    <row r="456" spans="1:26" x14ac:dyDescent="0.3">
      <c r="A456" s="10">
        <v>10455</v>
      </c>
      <c r="B456" s="11">
        <v>5879</v>
      </c>
      <c r="C456" s="11" t="s">
        <v>34</v>
      </c>
      <c r="D456" s="12">
        <v>34415.769999999997</v>
      </c>
      <c r="E456" s="11">
        <v>33</v>
      </c>
      <c r="F456" s="11" t="s">
        <v>35</v>
      </c>
      <c r="G456" s="13">
        <v>45337</v>
      </c>
      <c r="H456" s="12">
        <v>124093.28</v>
      </c>
      <c r="I456" s="14" t="s">
        <v>27</v>
      </c>
      <c r="J456" s="15" t="s">
        <v>49</v>
      </c>
      <c r="K456" s="15">
        <v>492</v>
      </c>
      <c r="L456" s="16">
        <v>45397</v>
      </c>
      <c r="M456" s="17">
        <v>14</v>
      </c>
      <c r="N456" s="18">
        <v>90455</v>
      </c>
      <c r="O456" s="18" t="s">
        <v>37</v>
      </c>
      <c r="P456" s="19">
        <v>45383</v>
      </c>
      <c r="Q456" s="20">
        <v>0.40433000000000002</v>
      </c>
      <c r="R456" s="21">
        <v>70455</v>
      </c>
      <c r="S456" s="18" t="s">
        <v>30</v>
      </c>
      <c r="T456" s="20">
        <v>73087.346900000004</v>
      </c>
      <c r="U456" s="18" t="s">
        <v>42</v>
      </c>
      <c r="V456" s="19">
        <v>45422</v>
      </c>
      <c r="W456" s="18" t="s">
        <v>38</v>
      </c>
      <c r="X456" s="19">
        <v>45384</v>
      </c>
      <c r="Y456" s="18" t="s">
        <v>33</v>
      </c>
      <c r="Z456" s="43" t="e">
        <f>TEXT([1]!Table64[[#This Row],[Order date]],"mmm-yyyy")</f>
        <v>#REF!</v>
      </c>
    </row>
    <row r="457" spans="1:26" x14ac:dyDescent="0.3">
      <c r="A457" s="22">
        <v>10456</v>
      </c>
      <c r="B457" s="23">
        <v>5960</v>
      </c>
      <c r="C457" s="23" t="s">
        <v>34</v>
      </c>
      <c r="D457" s="24">
        <v>68273.240000000005</v>
      </c>
      <c r="E457" s="23">
        <v>73</v>
      </c>
      <c r="F457" s="23" t="s">
        <v>26</v>
      </c>
      <c r="G457" s="25">
        <v>45383</v>
      </c>
      <c r="H457" s="24">
        <v>123659.86</v>
      </c>
      <c r="I457" s="26" t="s">
        <v>44</v>
      </c>
      <c r="J457" s="15" t="s">
        <v>49</v>
      </c>
      <c r="K457" s="15">
        <v>364</v>
      </c>
      <c r="L457" s="16">
        <v>45332</v>
      </c>
      <c r="M457" s="17">
        <v>11</v>
      </c>
      <c r="N457" s="27">
        <v>90456</v>
      </c>
      <c r="O457" s="27" t="s">
        <v>29</v>
      </c>
      <c r="P457" s="28">
        <v>45352</v>
      </c>
      <c r="Q457" s="29">
        <v>0.32579999999999998</v>
      </c>
      <c r="R457" s="30">
        <v>70456</v>
      </c>
      <c r="S457" s="27" t="s">
        <v>30</v>
      </c>
      <c r="T457" s="29">
        <v>162845.93859999999</v>
      </c>
      <c r="U457" s="27" t="s">
        <v>31</v>
      </c>
      <c r="V457" s="28">
        <v>45422</v>
      </c>
      <c r="W457" s="27" t="s">
        <v>32</v>
      </c>
      <c r="X457" s="28">
        <v>45376</v>
      </c>
      <c r="Y457" s="27" t="s">
        <v>33</v>
      </c>
      <c r="Z457" s="43" t="e">
        <f>TEXT([1]!Table64[[#This Row],[Order date]],"mmm-yyyy")</f>
        <v>#REF!</v>
      </c>
    </row>
    <row r="458" spans="1:26" x14ac:dyDescent="0.3">
      <c r="A458" s="10">
        <v>10457</v>
      </c>
      <c r="B458" s="11">
        <v>6505</v>
      </c>
      <c r="C458" s="11" t="s">
        <v>34</v>
      </c>
      <c r="D458" s="12">
        <v>79442.36</v>
      </c>
      <c r="E458" s="11">
        <v>61</v>
      </c>
      <c r="F458" s="11" t="s">
        <v>46</v>
      </c>
      <c r="G458" s="13">
        <v>45383</v>
      </c>
      <c r="H458" s="12">
        <v>35974.160000000003</v>
      </c>
      <c r="I458" s="14" t="s">
        <v>44</v>
      </c>
      <c r="J458" s="15" t="s">
        <v>36</v>
      </c>
      <c r="K458" s="15">
        <v>226</v>
      </c>
      <c r="L458" s="16">
        <v>45397</v>
      </c>
      <c r="M458" s="17">
        <v>5</v>
      </c>
      <c r="N458" s="18">
        <v>90457</v>
      </c>
      <c r="O458" s="18" t="s">
        <v>29</v>
      </c>
      <c r="P458" s="19">
        <v>45430</v>
      </c>
      <c r="Q458" s="20">
        <v>0.63441999999999998</v>
      </c>
      <c r="R458" s="21">
        <v>70457</v>
      </c>
      <c r="S458" s="18" t="s">
        <v>45</v>
      </c>
      <c r="T458" s="20">
        <v>78316.615900000004</v>
      </c>
      <c r="U458" s="18" t="s">
        <v>48</v>
      </c>
      <c r="V458" s="19">
        <v>45422</v>
      </c>
      <c r="W458" s="18" t="s">
        <v>38</v>
      </c>
      <c r="X458" s="19">
        <v>45376</v>
      </c>
      <c r="Y458" s="18" t="s">
        <v>33</v>
      </c>
      <c r="Z458" s="43" t="e">
        <f>TEXT([1]!Table64[[#This Row],[Order date]],"mmm-yyyy")</f>
        <v>#REF!</v>
      </c>
    </row>
    <row r="459" spans="1:26" x14ac:dyDescent="0.3">
      <c r="A459" s="22">
        <v>10458</v>
      </c>
      <c r="B459" s="23">
        <v>5453</v>
      </c>
      <c r="C459" s="23" t="s">
        <v>34</v>
      </c>
      <c r="D459" s="24">
        <v>29211.79</v>
      </c>
      <c r="E459" s="23">
        <v>9</v>
      </c>
      <c r="F459" s="23" t="s">
        <v>46</v>
      </c>
      <c r="G459" s="25">
        <v>45306</v>
      </c>
      <c r="H459" s="24">
        <v>68507.09</v>
      </c>
      <c r="I459" s="26" t="s">
        <v>44</v>
      </c>
      <c r="J459" s="15" t="s">
        <v>36</v>
      </c>
      <c r="K459" s="15">
        <v>277</v>
      </c>
      <c r="L459" s="16">
        <v>45397</v>
      </c>
      <c r="M459" s="17">
        <v>13</v>
      </c>
      <c r="N459" s="27">
        <v>90458</v>
      </c>
      <c r="O459" s="27" t="s">
        <v>37</v>
      </c>
      <c r="P459" s="28">
        <v>45352</v>
      </c>
      <c r="Q459" s="29">
        <v>0.28724</v>
      </c>
      <c r="R459" s="30">
        <v>70458</v>
      </c>
      <c r="S459" s="27" t="s">
        <v>41</v>
      </c>
      <c r="T459" s="29">
        <v>195171.1079</v>
      </c>
      <c r="U459" s="27" t="s">
        <v>42</v>
      </c>
      <c r="V459" s="28">
        <v>45444</v>
      </c>
      <c r="W459" s="27" t="s">
        <v>38</v>
      </c>
      <c r="X459" s="28">
        <v>45384</v>
      </c>
      <c r="Y459" s="27" t="s">
        <v>39</v>
      </c>
      <c r="Z459" s="43" t="e">
        <f>TEXT([1]!Table64[[#This Row],[Order date]],"mmm-yyyy")</f>
        <v>#REF!</v>
      </c>
    </row>
    <row r="460" spans="1:26" x14ac:dyDescent="0.3">
      <c r="A460" s="10">
        <v>10459</v>
      </c>
      <c r="B460" s="11">
        <v>6020</v>
      </c>
      <c r="C460" s="11" t="s">
        <v>34</v>
      </c>
      <c r="D460" s="12">
        <v>36091.08</v>
      </c>
      <c r="E460" s="11">
        <v>68</v>
      </c>
      <c r="F460" s="11" t="s">
        <v>43</v>
      </c>
      <c r="G460" s="13">
        <v>45361</v>
      </c>
      <c r="H460" s="12">
        <v>67484.86</v>
      </c>
      <c r="I460" s="14" t="s">
        <v>44</v>
      </c>
      <c r="J460" s="15" t="s">
        <v>49</v>
      </c>
      <c r="K460" s="15">
        <v>316</v>
      </c>
      <c r="L460" s="16">
        <v>45361</v>
      </c>
      <c r="M460" s="17">
        <v>9</v>
      </c>
      <c r="N460" s="18">
        <v>90459</v>
      </c>
      <c r="O460" s="18" t="s">
        <v>40</v>
      </c>
      <c r="P460" s="19">
        <v>45383</v>
      </c>
      <c r="Q460" s="20">
        <v>0.39146999999999998</v>
      </c>
      <c r="R460" s="21">
        <v>70459</v>
      </c>
      <c r="S460" s="18" t="s">
        <v>30</v>
      </c>
      <c r="T460" s="20">
        <v>142321.00570000001</v>
      </c>
      <c r="U460" s="18" t="s">
        <v>48</v>
      </c>
      <c r="V460" s="19">
        <v>45392</v>
      </c>
      <c r="W460" s="18" t="s">
        <v>38</v>
      </c>
      <c r="X460" s="19">
        <v>45376</v>
      </c>
      <c r="Y460" s="18" t="s">
        <v>39</v>
      </c>
      <c r="Z460" s="43" t="e">
        <f>TEXT([1]!Table64[[#This Row],[Order date]],"mmm-yyyy")</f>
        <v>#REF!</v>
      </c>
    </row>
    <row r="461" spans="1:26" x14ac:dyDescent="0.3">
      <c r="A461" s="22">
        <v>10460</v>
      </c>
      <c r="B461" s="23">
        <v>6853</v>
      </c>
      <c r="C461" s="23" t="s">
        <v>25</v>
      </c>
      <c r="D461" s="24">
        <v>9146.74</v>
      </c>
      <c r="E461" s="23">
        <v>35</v>
      </c>
      <c r="F461" s="23" t="s">
        <v>26</v>
      </c>
      <c r="G461" s="25">
        <v>45337</v>
      </c>
      <c r="H461" s="24">
        <v>162881.46</v>
      </c>
      <c r="I461" s="26" t="s">
        <v>27</v>
      </c>
      <c r="J461" s="15" t="s">
        <v>49</v>
      </c>
      <c r="K461" s="15">
        <v>919</v>
      </c>
      <c r="L461" s="16">
        <v>45332</v>
      </c>
      <c r="M461" s="17">
        <v>12</v>
      </c>
      <c r="N461" s="27">
        <v>90460</v>
      </c>
      <c r="O461" s="27" t="s">
        <v>40</v>
      </c>
      <c r="P461" s="28">
        <v>45383</v>
      </c>
      <c r="Q461" s="29">
        <v>0.67288000000000003</v>
      </c>
      <c r="R461" s="30">
        <v>70460</v>
      </c>
      <c r="S461" s="27" t="s">
        <v>41</v>
      </c>
      <c r="T461" s="29">
        <v>103042.8576</v>
      </c>
      <c r="U461" s="27" t="s">
        <v>42</v>
      </c>
      <c r="V461" s="28">
        <v>45444</v>
      </c>
      <c r="W461" s="27" t="s">
        <v>32</v>
      </c>
      <c r="X461" s="28">
        <v>45376</v>
      </c>
      <c r="Y461" s="27" t="s">
        <v>33</v>
      </c>
      <c r="Z461" s="43" t="e">
        <f>TEXT([1]!Table64[[#This Row],[Order date]],"mmm-yyyy")</f>
        <v>#REF!</v>
      </c>
    </row>
    <row r="462" spans="1:26" x14ac:dyDescent="0.3">
      <c r="A462" s="10">
        <v>10461</v>
      </c>
      <c r="B462" s="11">
        <v>5816</v>
      </c>
      <c r="C462" s="11" t="s">
        <v>34</v>
      </c>
      <c r="D462" s="12">
        <v>64555.51</v>
      </c>
      <c r="E462" s="11">
        <v>81</v>
      </c>
      <c r="F462" s="11" t="s">
        <v>26</v>
      </c>
      <c r="G462" s="13">
        <v>45383</v>
      </c>
      <c r="H462" s="12">
        <v>79878.66</v>
      </c>
      <c r="I462" s="14" t="s">
        <v>47</v>
      </c>
      <c r="J462" s="15" t="s">
        <v>49</v>
      </c>
      <c r="K462" s="15">
        <v>887</v>
      </c>
      <c r="L462" s="16">
        <v>45332</v>
      </c>
      <c r="M462" s="17">
        <v>9</v>
      </c>
      <c r="N462" s="18">
        <v>90461</v>
      </c>
      <c r="O462" s="18" t="s">
        <v>40</v>
      </c>
      <c r="P462" s="19">
        <v>45383</v>
      </c>
      <c r="Q462" s="20">
        <v>0.89339000000000002</v>
      </c>
      <c r="R462" s="21">
        <v>70461</v>
      </c>
      <c r="S462" s="18" t="s">
        <v>45</v>
      </c>
      <c r="T462" s="20">
        <v>130392.3045</v>
      </c>
      <c r="U462" s="18" t="s">
        <v>48</v>
      </c>
      <c r="V462" s="19">
        <v>45422</v>
      </c>
      <c r="W462" s="18" t="s">
        <v>38</v>
      </c>
      <c r="X462" s="19">
        <v>45384</v>
      </c>
      <c r="Y462" s="18" t="s">
        <v>33</v>
      </c>
      <c r="Z462" s="43" t="e">
        <f>TEXT([1]!Table64[[#This Row],[Order date]],"mmm-yyyy")</f>
        <v>#REF!</v>
      </c>
    </row>
    <row r="463" spans="1:26" x14ac:dyDescent="0.3">
      <c r="A463" s="22">
        <v>10462</v>
      </c>
      <c r="B463" s="23">
        <v>5659</v>
      </c>
      <c r="C463" s="23" t="s">
        <v>34</v>
      </c>
      <c r="D463" s="24">
        <v>22582.1</v>
      </c>
      <c r="E463" s="23">
        <v>98</v>
      </c>
      <c r="F463" s="23" t="s">
        <v>43</v>
      </c>
      <c r="G463" s="25">
        <v>45337</v>
      </c>
      <c r="H463" s="24">
        <v>88097.67</v>
      </c>
      <c r="I463" s="26" t="s">
        <v>44</v>
      </c>
      <c r="J463" s="15" t="s">
        <v>49</v>
      </c>
      <c r="K463" s="15">
        <v>1452</v>
      </c>
      <c r="L463" s="16">
        <v>45397</v>
      </c>
      <c r="M463" s="17">
        <v>10</v>
      </c>
      <c r="N463" s="27">
        <v>90462</v>
      </c>
      <c r="O463" s="27" t="s">
        <v>40</v>
      </c>
      <c r="P463" s="28">
        <v>45430</v>
      </c>
      <c r="Q463" s="29">
        <v>0.5796</v>
      </c>
      <c r="R463" s="30">
        <v>70462</v>
      </c>
      <c r="S463" s="27" t="s">
        <v>45</v>
      </c>
      <c r="T463" s="29">
        <v>141656.00330000001</v>
      </c>
      <c r="U463" s="27" t="s">
        <v>42</v>
      </c>
      <c r="V463" s="28">
        <v>45444</v>
      </c>
      <c r="W463" s="27" t="s">
        <v>38</v>
      </c>
      <c r="X463" s="28">
        <v>45376</v>
      </c>
      <c r="Y463" s="27" t="s">
        <v>39</v>
      </c>
      <c r="Z463" s="43" t="e">
        <f>TEXT([1]!Table64[[#This Row],[Order date]],"mmm-yyyy")</f>
        <v>#REF!</v>
      </c>
    </row>
    <row r="464" spans="1:26" x14ac:dyDescent="0.3">
      <c r="A464" s="10">
        <v>10463</v>
      </c>
      <c r="B464" s="11">
        <v>6540</v>
      </c>
      <c r="C464" s="11" t="s">
        <v>34</v>
      </c>
      <c r="D464" s="12">
        <v>45581.599999999999</v>
      </c>
      <c r="E464" s="11">
        <v>88</v>
      </c>
      <c r="F464" s="11" t="s">
        <v>43</v>
      </c>
      <c r="G464" s="13">
        <v>45337</v>
      </c>
      <c r="H464" s="12">
        <v>61829.85</v>
      </c>
      <c r="I464" s="14" t="s">
        <v>27</v>
      </c>
      <c r="J464" s="15" t="s">
        <v>49</v>
      </c>
      <c r="K464" s="15">
        <v>538</v>
      </c>
      <c r="L464" s="16">
        <v>45361</v>
      </c>
      <c r="M464" s="17">
        <v>13</v>
      </c>
      <c r="N464" s="18">
        <v>90463</v>
      </c>
      <c r="O464" s="18" t="s">
        <v>37</v>
      </c>
      <c r="P464" s="19">
        <v>45430</v>
      </c>
      <c r="Q464" s="20">
        <v>0.78320000000000001</v>
      </c>
      <c r="R464" s="21">
        <v>70463</v>
      </c>
      <c r="S464" s="18" t="s">
        <v>30</v>
      </c>
      <c r="T464" s="20">
        <v>191504.80929999999</v>
      </c>
      <c r="U464" s="18" t="s">
        <v>31</v>
      </c>
      <c r="V464" s="19">
        <v>45444</v>
      </c>
      <c r="W464" s="18" t="s">
        <v>38</v>
      </c>
      <c r="X464" s="19">
        <v>45376</v>
      </c>
      <c r="Y464" s="18" t="s">
        <v>33</v>
      </c>
      <c r="Z464" s="43" t="e">
        <f>TEXT([1]!Table64[[#This Row],[Order date]],"mmm-yyyy")</f>
        <v>#REF!</v>
      </c>
    </row>
    <row r="465" spans="1:26" x14ac:dyDescent="0.3">
      <c r="A465" s="22">
        <v>10464</v>
      </c>
      <c r="B465" s="23">
        <v>5547</v>
      </c>
      <c r="C465" s="23" t="s">
        <v>34</v>
      </c>
      <c r="D465" s="24">
        <v>26926.26</v>
      </c>
      <c r="E465" s="23">
        <v>96</v>
      </c>
      <c r="F465" s="23" t="s">
        <v>26</v>
      </c>
      <c r="G465" s="25">
        <v>45361</v>
      </c>
      <c r="H465" s="24">
        <v>78293.58</v>
      </c>
      <c r="I465" s="26" t="s">
        <v>44</v>
      </c>
      <c r="J465" s="15" t="s">
        <v>36</v>
      </c>
      <c r="K465" s="15">
        <v>751</v>
      </c>
      <c r="L465" s="16">
        <v>45361</v>
      </c>
      <c r="M465" s="17">
        <v>12</v>
      </c>
      <c r="N465" s="27">
        <v>90464</v>
      </c>
      <c r="O465" s="27" t="s">
        <v>29</v>
      </c>
      <c r="P465" s="28">
        <v>45352</v>
      </c>
      <c r="Q465" s="29">
        <v>0.78674999999999995</v>
      </c>
      <c r="R465" s="30">
        <v>70464</v>
      </c>
      <c r="S465" s="27" t="s">
        <v>41</v>
      </c>
      <c r="T465" s="29">
        <v>143674.83851999999</v>
      </c>
      <c r="U465" s="27" t="s">
        <v>31</v>
      </c>
      <c r="V465" s="28">
        <v>45422</v>
      </c>
      <c r="W465" s="27" t="s">
        <v>32</v>
      </c>
      <c r="X465" s="28">
        <v>45376</v>
      </c>
      <c r="Y465" s="27" t="s">
        <v>39</v>
      </c>
      <c r="Z465" s="43" t="e">
        <f>TEXT([1]!Table64[[#This Row],[Order date]],"mmm-yyyy")</f>
        <v>#REF!</v>
      </c>
    </row>
    <row r="466" spans="1:26" x14ac:dyDescent="0.3">
      <c r="A466" s="10">
        <v>10465</v>
      </c>
      <c r="B466" s="11">
        <v>6216</v>
      </c>
      <c r="C466" s="11" t="s">
        <v>34</v>
      </c>
      <c r="D466" s="12">
        <v>47765.93</v>
      </c>
      <c r="E466" s="11">
        <v>65</v>
      </c>
      <c r="F466" s="11" t="s">
        <v>43</v>
      </c>
      <c r="G466" s="13">
        <v>45383</v>
      </c>
      <c r="H466" s="12">
        <v>58496.959999999999</v>
      </c>
      <c r="I466" s="14" t="s">
        <v>44</v>
      </c>
      <c r="J466" s="15" t="s">
        <v>28</v>
      </c>
      <c r="K466" s="15">
        <v>736</v>
      </c>
      <c r="L466" s="16">
        <v>45332</v>
      </c>
      <c r="M466" s="17">
        <v>14</v>
      </c>
      <c r="N466" s="18">
        <v>90465</v>
      </c>
      <c r="O466" s="18" t="s">
        <v>50</v>
      </c>
      <c r="P466" s="19">
        <v>45430</v>
      </c>
      <c r="Q466" s="20">
        <v>0.69791999999999998</v>
      </c>
      <c r="R466" s="21">
        <v>70465</v>
      </c>
      <c r="S466" s="18" t="s">
        <v>41</v>
      </c>
      <c r="T466" s="20">
        <v>114214.70140000001</v>
      </c>
      <c r="U466" s="18" t="s">
        <v>42</v>
      </c>
      <c r="V466" s="19">
        <v>45444</v>
      </c>
      <c r="W466" s="18" t="s">
        <v>38</v>
      </c>
      <c r="X466" s="19">
        <v>45384</v>
      </c>
      <c r="Y466" s="18" t="s">
        <v>33</v>
      </c>
      <c r="Z466" s="43" t="e">
        <f>TEXT([1]!Table64[[#This Row],[Order date]],"mmm-yyyy")</f>
        <v>#REF!</v>
      </c>
    </row>
    <row r="467" spans="1:26" x14ac:dyDescent="0.3">
      <c r="A467" s="22">
        <v>10466</v>
      </c>
      <c r="B467" s="23">
        <v>6073</v>
      </c>
      <c r="C467" s="23" t="s">
        <v>25</v>
      </c>
      <c r="D467" s="24">
        <v>30878.57</v>
      </c>
      <c r="E467" s="23">
        <v>8</v>
      </c>
      <c r="F467" s="23" t="s">
        <v>46</v>
      </c>
      <c r="G467" s="25">
        <v>45337</v>
      </c>
      <c r="H467" s="24">
        <v>71523.820000000007</v>
      </c>
      <c r="I467" s="26" t="s">
        <v>44</v>
      </c>
      <c r="J467" s="15" t="s">
        <v>49</v>
      </c>
      <c r="K467" s="15">
        <v>1363</v>
      </c>
      <c r="L467" s="16">
        <v>45397</v>
      </c>
      <c r="M467" s="17">
        <v>1</v>
      </c>
      <c r="N467" s="27">
        <v>90466</v>
      </c>
      <c r="O467" s="27" t="s">
        <v>50</v>
      </c>
      <c r="P467" s="28">
        <v>45430</v>
      </c>
      <c r="Q467" s="29">
        <v>0.32124999999999998</v>
      </c>
      <c r="R467" s="30">
        <v>70466</v>
      </c>
      <c r="S467" s="27" t="s">
        <v>30</v>
      </c>
      <c r="T467" s="29">
        <v>158976.47200000001</v>
      </c>
      <c r="U467" s="27" t="s">
        <v>42</v>
      </c>
      <c r="V467" s="28">
        <v>45444</v>
      </c>
      <c r="W467" s="27" t="s">
        <v>38</v>
      </c>
      <c r="X467" s="28">
        <v>45376</v>
      </c>
      <c r="Y467" s="27" t="s">
        <v>33</v>
      </c>
      <c r="Z467" s="43" t="e">
        <f>TEXT([1]!Table64[[#This Row],[Order date]],"mmm-yyyy")</f>
        <v>#REF!</v>
      </c>
    </row>
    <row r="468" spans="1:26" x14ac:dyDescent="0.3">
      <c r="A468" s="10">
        <v>10467</v>
      </c>
      <c r="B468" s="11">
        <v>6536</v>
      </c>
      <c r="C468" s="11" t="s">
        <v>34</v>
      </c>
      <c r="D468" s="12">
        <v>51097.85</v>
      </c>
      <c r="E468" s="11">
        <v>45</v>
      </c>
      <c r="F468" s="11" t="s">
        <v>35</v>
      </c>
      <c r="G468" s="13">
        <v>45383</v>
      </c>
      <c r="H468" s="12">
        <v>113134.85</v>
      </c>
      <c r="I468" s="14" t="s">
        <v>44</v>
      </c>
      <c r="J468" s="15" t="s">
        <v>49</v>
      </c>
      <c r="K468" s="15">
        <v>1045</v>
      </c>
      <c r="L468" s="16">
        <v>45332</v>
      </c>
      <c r="M468" s="17">
        <v>14</v>
      </c>
      <c r="N468" s="18">
        <v>90467</v>
      </c>
      <c r="O468" s="18" t="s">
        <v>37</v>
      </c>
      <c r="P468" s="19">
        <v>45383</v>
      </c>
      <c r="Q468" s="20">
        <v>0.88010999999999995</v>
      </c>
      <c r="R468" s="21">
        <v>70467</v>
      </c>
      <c r="S468" s="18" t="s">
        <v>41</v>
      </c>
      <c r="T468" s="20">
        <v>122110.91271</v>
      </c>
      <c r="U468" s="18" t="s">
        <v>31</v>
      </c>
      <c r="V468" s="19">
        <v>45392</v>
      </c>
      <c r="W468" s="18" t="s">
        <v>32</v>
      </c>
      <c r="X468" s="19">
        <v>45376</v>
      </c>
      <c r="Y468" s="18" t="s">
        <v>33</v>
      </c>
      <c r="Z468" s="43" t="e">
        <f>TEXT([1]!Table64[[#This Row],[Order date]],"mmm-yyyy")</f>
        <v>#REF!</v>
      </c>
    </row>
    <row r="469" spans="1:26" x14ac:dyDescent="0.3">
      <c r="A469" s="22">
        <v>10468</v>
      </c>
      <c r="B469" s="23">
        <v>5017</v>
      </c>
      <c r="C469" s="23" t="s">
        <v>34</v>
      </c>
      <c r="D469" s="24">
        <v>34764.699999999997</v>
      </c>
      <c r="E469" s="23">
        <v>87</v>
      </c>
      <c r="F469" s="23" t="s">
        <v>46</v>
      </c>
      <c r="G469" s="25">
        <v>45306</v>
      </c>
      <c r="H469" s="24">
        <v>109343.32</v>
      </c>
      <c r="I469" s="26" t="s">
        <v>47</v>
      </c>
      <c r="J469" s="15" t="s">
        <v>28</v>
      </c>
      <c r="K469" s="15">
        <v>406</v>
      </c>
      <c r="L469" s="16">
        <v>45332</v>
      </c>
      <c r="M469" s="17">
        <v>14</v>
      </c>
      <c r="N469" s="27">
        <v>90468</v>
      </c>
      <c r="O469" s="27" t="s">
        <v>50</v>
      </c>
      <c r="P469" s="28">
        <v>45352</v>
      </c>
      <c r="Q469" s="29">
        <v>0.49264999999999998</v>
      </c>
      <c r="R469" s="30">
        <v>70468</v>
      </c>
      <c r="S469" s="27" t="s">
        <v>41</v>
      </c>
      <c r="T469" s="29">
        <v>97316.404899999994</v>
      </c>
      <c r="U469" s="27" t="s">
        <v>31</v>
      </c>
      <c r="V469" s="28">
        <v>45444</v>
      </c>
      <c r="W469" s="27" t="s">
        <v>38</v>
      </c>
      <c r="X469" s="28">
        <v>45384</v>
      </c>
      <c r="Y469" s="27" t="s">
        <v>33</v>
      </c>
      <c r="Z469" s="43" t="e">
        <f>TEXT([1]!Table64[[#This Row],[Order date]],"mmm-yyyy")</f>
        <v>#REF!</v>
      </c>
    </row>
    <row r="470" spans="1:26" x14ac:dyDescent="0.3">
      <c r="A470" s="10">
        <v>10469</v>
      </c>
      <c r="B470" s="11">
        <v>6196</v>
      </c>
      <c r="C470" s="11" t="s">
        <v>25</v>
      </c>
      <c r="D470" s="12">
        <v>52705.51</v>
      </c>
      <c r="E470" s="11">
        <v>47</v>
      </c>
      <c r="F470" s="11" t="s">
        <v>43</v>
      </c>
      <c r="G470" s="13">
        <v>45306</v>
      </c>
      <c r="H470" s="12">
        <v>51785.04</v>
      </c>
      <c r="I470" s="14" t="s">
        <v>44</v>
      </c>
      <c r="J470" s="15" t="s">
        <v>28</v>
      </c>
      <c r="K470" s="15">
        <v>921</v>
      </c>
      <c r="L470" s="16">
        <v>45332</v>
      </c>
      <c r="M470" s="17">
        <v>8</v>
      </c>
      <c r="N470" s="18">
        <v>90469</v>
      </c>
      <c r="O470" s="18" t="s">
        <v>40</v>
      </c>
      <c r="P470" s="19">
        <v>45383</v>
      </c>
      <c r="Q470" s="20">
        <v>0.13979</v>
      </c>
      <c r="R470" s="21">
        <v>70469</v>
      </c>
      <c r="S470" s="18" t="s">
        <v>45</v>
      </c>
      <c r="T470" s="20">
        <v>115698.8873</v>
      </c>
      <c r="U470" s="18" t="s">
        <v>42</v>
      </c>
      <c r="V470" s="19">
        <v>45392</v>
      </c>
      <c r="W470" s="18" t="s">
        <v>38</v>
      </c>
      <c r="X470" s="19">
        <v>45376</v>
      </c>
      <c r="Y470" s="18" t="s">
        <v>39</v>
      </c>
      <c r="Z470" s="43" t="e">
        <f>TEXT([1]!Table64[[#This Row],[Order date]],"mmm-yyyy")</f>
        <v>#REF!</v>
      </c>
    </row>
    <row r="471" spans="1:26" x14ac:dyDescent="0.3">
      <c r="A471" s="22">
        <v>10470</v>
      </c>
      <c r="B471" s="23">
        <v>6244</v>
      </c>
      <c r="C471" s="23" t="s">
        <v>34</v>
      </c>
      <c r="D471" s="24">
        <v>15520.07</v>
      </c>
      <c r="E471" s="23">
        <v>40</v>
      </c>
      <c r="F471" s="23" t="s">
        <v>26</v>
      </c>
      <c r="G471" s="25">
        <v>45337</v>
      </c>
      <c r="H471" s="24">
        <v>98597.35</v>
      </c>
      <c r="I471" s="26" t="s">
        <v>44</v>
      </c>
      <c r="J471" s="15" t="s">
        <v>28</v>
      </c>
      <c r="K471" s="15">
        <v>253</v>
      </c>
      <c r="L471" s="16">
        <v>45332</v>
      </c>
      <c r="M471" s="17">
        <v>14</v>
      </c>
      <c r="N471" s="27">
        <v>90470</v>
      </c>
      <c r="O471" s="27" t="s">
        <v>29</v>
      </c>
      <c r="P471" s="28">
        <v>45352</v>
      </c>
      <c r="Q471" s="29">
        <v>0.32014999999999999</v>
      </c>
      <c r="R471" s="30">
        <v>70470</v>
      </c>
      <c r="S471" s="27" t="s">
        <v>45</v>
      </c>
      <c r="T471" s="29">
        <v>65841.814549999996</v>
      </c>
      <c r="U471" s="27" t="s">
        <v>42</v>
      </c>
      <c r="V471" s="28">
        <v>45422</v>
      </c>
      <c r="W471" s="27" t="s">
        <v>32</v>
      </c>
      <c r="X471" s="28">
        <v>45376</v>
      </c>
      <c r="Y471" s="27" t="s">
        <v>33</v>
      </c>
      <c r="Z471" s="43" t="e">
        <f>TEXT([1]!Table64[[#This Row],[Order date]],"mmm-yyyy")</f>
        <v>#REF!</v>
      </c>
    </row>
    <row r="472" spans="1:26" x14ac:dyDescent="0.3">
      <c r="A472" s="10">
        <v>10471</v>
      </c>
      <c r="B472" s="11">
        <v>5158</v>
      </c>
      <c r="C472" s="11" t="s">
        <v>25</v>
      </c>
      <c r="D472" s="12">
        <v>22972.799999999999</v>
      </c>
      <c r="E472" s="11">
        <v>76</v>
      </c>
      <c r="F472" s="11" t="s">
        <v>26</v>
      </c>
      <c r="G472" s="13">
        <v>45383</v>
      </c>
      <c r="H472" s="12">
        <v>57753.13</v>
      </c>
      <c r="I472" s="14" t="s">
        <v>47</v>
      </c>
      <c r="J472" s="15" t="s">
        <v>28</v>
      </c>
      <c r="K472" s="15">
        <v>1286</v>
      </c>
      <c r="L472" s="16">
        <v>45397</v>
      </c>
      <c r="M472" s="17">
        <v>1</v>
      </c>
      <c r="N472" s="18">
        <v>90471</v>
      </c>
      <c r="O472" s="18" t="s">
        <v>37</v>
      </c>
      <c r="P472" s="19">
        <v>45352</v>
      </c>
      <c r="Q472" s="20">
        <v>0.78898999999999997</v>
      </c>
      <c r="R472" s="21">
        <v>70471</v>
      </c>
      <c r="S472" s="18" t="s">
        <v>41</v>
      </c>
      <c r="T472" s="20">
        <v>163994.8345</v>
      </c>
      <c r="U472" s="18" t="s">
        <v>31</v>
      </c>
      <c r="V472" s="19">
        <v>45392</v>
      </c>
      <c r="W472" s="18" t="s">
        <v>38</v>
      </c>
      <c r="X472" s="19">
        <v>45376</v>
      </c>
      <c r="Y472" s="18" t="s">
        <v>33</v>
      </c>
      <c r="Z472" s="43" t="e">
        <f>TEXT([1]!Table64[[#This Row],[Order date]],"mmm-yyyy")</f>
        <v>#REF!</v>
      </c>
    </row>
    <row r="473" spans="1:26" x14ac:dyDescent="0.3">
      <c r="A473" s="22">
        <v>10472</v>
      </c>
      <c r="B473" s="23">
        <v>5477</v>
      </c>
      <c r="C473" s="23" t="s">
        <v>34</v>
      </c>
      <c r="D473" s="24">
        <v>75111.490000000005</v>
      </c>
      <c r="E473" s="23">
        <v>54</v>
      </c>
      <c r="F473" s="23" t="s">
        <v>46</v>
      </c>
      <c r="G473" s="25">
        <v>45337</v>
      </c>
      <c r="H473" s="24">
        <v>61031.24</v>
      </c>
      <c r="I473" s="26" t="s">
        <v>44</v>
      </c>
      <c r="J473" s="15" t="s">
        <v>28</v>
      </c>
      <c r="K473" s="15">
        <v>601</v>
      </c>
      <c r="L473" s="16">
        <v>45361</v>
      </c>
      <c r="M473" s="17">
        <v>2</v>
      </c>
      <c r="N473" s="27">
        <v>90472</v>
      </c>
      <c r="O473" s="27" t="s">
        <v>29</v>
      </c>
      <c r="P473" s="28">
        <v>45430</v>
      </c>
      <c r="Q473" s="29">
        <v>0.16222</v>
      </c>
      <c r="R473" s="30">
        <v>70472</v>
      </c>
      <c r="S473" s="27" t="s">
        <v>41</v>
      </c>
      <c r="T473" s="29">
        <v>125272.59096</v>
      </c>
      <c r="U473" s="27" t="s">
        <v>48</v>
      </c>
      <c r="V473" s="28">
        <v>45444</v>
      </c>
      <c r="W473" s="27" t="s">
        <v>38</v>
      </c>
      <c r="X473" s="28">
        <v>45384</v>
      </c>
      <c r="Y473" s="27" t="s">
        <v>39</v>
      </c>
      <c r="Z473" s="43" t="e">
        <f>TEXT([1]!Table64[[#This Row],[Order date]],"mmm-yyyy")</f>
        <v>#REF!</v>
      </c>
    </row>
    <row r="474" spans="1:26" x14ac:dyDescent="0.3">
      <c r="A474" s="10">
        <v>10473</v>
      </c>
      <c r="B474" s="11">
        <v>6070</v>
      </c>
      <c r="C474" s="11" t="s">
        <v>25</v>
      </c>
      <c r="D474" s="12">
        <v>83833.22</v>
      </c>
      <c r="E474" s="11">
        <v>76</v>
      </c>
      <c r="F474" s="11" t="s">
        <v>26</v>
      </c>
      <c r="G474" s="13">
        <v>45383</v>
      </c>
      <c r="H474" s="12">
        <v>25085.83</v>
      </c>
      <c r="I474" s="14" t="s">
        <v>27</v>
      </c>
      <c r="J474" s="15" t="s">
        <v>28</v>
      </c>
      <c r="K474" s="15">
        <v>372</v>
      </c>
      <c r="L474" s="16">
        <v>45332</v>
      </c>
      <c r="M474" s="17">
        <v>7</v>
      </c>
      <c r="N474" s="18">
        <v>90473</v>
      </c>
      <c r="O474" s="18" t="s">
        <v>37</v>
      </c>
      <c r="P474" s="19">
        <v>45383</v>
      </c>
      <c r="Q474" s="20">
        <v>0.23263</v>
      </c>
      <c r="R474" s="21">
        <v>70473</v>
      </c>
      <c r="S474" s="18" t="s">
        <v>41</v>
      </c>
      <c r="T474" s="20">
        <v>186832.08979999999</v>
      </c>
      <c r="U474" s="18" t="s">
        <v>31</v>
      </c>
      <c r="V474" s="19">
        <v>45422</v>
      </c>
      <c r="W474" s="18" t="s">
        <v>38</v>
      </c>
      <c r="X474" s="19">
        <v>45376</v>
      </c>
      <c r="Y474" s="18" t="s">
        <v>33</v>
      </c>
      <c r="Z474" s="43" t="e">
        <f>TEXT([1]!Table64[[#This Row],[Order date]],"mmm-yyyy")</f>
        <v>#REF!</v>
      </c>
    </row>
    <row r="475" spans="1:26" x14ac:dyDescent="0.3">
      <c r="A475" s="22">
        <v>10474</v>
      </c>
      <c r="B475" s="23">
        <v>6397</v>
      </c>
      <c r="C475" s="23" t="s">
        <v>25</v>
      </c>
      <c r="D475" s="24">
        <v>89567.65</v>
      </c>
      <c r="E475" s="23">
        <v>46</v>
      </c>
      <c r="F475" s="23" t="s">
        <v>43</v>
      </c>
      <c r="G475" s="25">
        <v>45383</v>
      </c>
      <c r="H475" s="24">
        <v>157330.66</v>
      </c>
      <c r="I475" s="26" t="s">
        <v>44</v>
      </c>
      <c r="J475" s="15" t="s">
        <v>36</v>
      </c>
      <c r="K475" s="15">
        <v>643</v>
      </c>
      <c r="L475" s="16">
        <v>45332</v>
      </c>
      <c r="M475" s="17">
        <v>8</v>
      </c>
      <c r="N475" s="27">
        <v>90474</v>
      </c>
      <c r="O475" s="27" t="s">
        <v>37</v>
      </c>
      <c r="P475" s="28">
        <v>45430</v>
      </c>
      <c r="Q475" s="29">
        <v>0.7248</v>
      </c>
      <c r="R475" s="30">
        <v>70474</v>
      </c>
      <c r="S475" s="27" t="s">
        <v>30</v>
      </c>
      <c r="T475" s="29">
        <v>53830.332649999997</v>
      </c>
      <c r="U475" s="27" t="s">
        <v>42</v>
      </c>
      <c r="V475" s="28">
        <v>45444</v>
      </c>
      <c r="W475" s="27" t="s">
        <v>32</v>
      </c>
      <c r="X475" s="28">
        <v>45376</v>
      </c>
      <c r="Y475" s="27" t="s">
        <v>39</v>
      </c>
      <c r="Z475" s="43" t="e">
        <f>TEXT([1]!Table64[[#This Row],[Order date]],"mmm-yyyy")</f>
        <v>#REF!</v>
      </c>
    </row>
    <row r="476" spans="1:26" x14ac:dyDescent="0.3">
      <c r="A476" s="10">
        <v>10475</v>
      </c>
      <c r="B476" s="11">
        <v>5518</v>
      </c>
      <c r="C476" s="11" t="s">
        <v>34</v>
      </c>
      <c r="D476" s="12">
        <v>65905.279999999999</v>
      </c>
      <c r="E476" s="11">
        <v>47</v>
      </c>
      <c r="F476" s="11" t="s">
        <v>46</v>
      </c>
      <c r="G476" s="13">
        <v>45361</v>
      </c>
      <c r="H476" s="12">
        <v>60993.89</v>
      </c>
      <c r="I476" s="14" t="s">
        <v>44</v>
      </c>
      <c r="J476" s="15" t="s">
        <v>28</v>
      </c>
      <c r="K476" s="15">
        <v>230</v>
      </c>
      <c r="L476" s="16">
        <v>45332</v>
      </c>
      <c r="M476" s="17">
        <v>1</v>
      </c>
      <c r="N476" s="18">
        <v>90475</v>
      </c>
      <c r="O476" s="18" t="s">
        <v>37</v>
      </c>
      <c r="P476" s="19">
        <v>45430</v>
      </c>
      <c r="Q476" s="20">
        <v>0.90334000000000003</v>
      </c>
      <c r="R476" s="21">
        <v>70475</v>
      </c>
      <c r="S476" s="18" t="s">
        <v>30</v>
      </c>
      <c r="T476" s="20">
        <v>154746.51946000001</v>
      </c>
      <c r="U476" s="18" t="s">
        <v>42</v>
      </c>
      <c r="V476" s="19">
        <v>45444</v>
      </c>
      <c r="W476" s="18" t="s">
        <v>38</v>
      </c>
      <c r="X476" s="19">
        <v>45384</v>
      </c>
      <c r="Y476" s="18" t="s">
        <v>33</v>
      </c>
      <c r="Z476" s="43" t="e">
        <f>TEXT([1]!Table64[[#This Row],[Order date]],"mmm-yyyy")</f>
        <v>#REF!</v>
      </c>
    </row>
    <row r="477" spans="1:26" x14ac:dyDescent="0.3">
      <c r="A477" s="22">
        <v>10476</v>
      </c>
      <c r="B477" s="23">
        <v>5099</v>
      </c>
      <c r="C477" s="23" t="s">
        <v>34</v>
      </c>
      <c r="D477" s="24">
        <v>20909.84</v>
      </c>
      <c r="E477" s="23">
        <v>15</v>
      </c>
      <c r="F477" s="23" t="s">
        <v>26</v>
      </c>
      <c r="G477" s="25">
        <v>45361</v>
      </c>
      <c r="H477" s="24">
        <v>107790.39999999999</v>
      </c>
      <c r="I477" s="26" t="s">
        <v>44</v>
      </c>
      <c r="J477" s="15" t="s">
        <v>28</v>
      </c>
      <c r="K477" s="15">
        <v>548</v>
      </c>
      <c r="L477" s="16">
        <v>45332</v>
      </c>
      <c r="M477" s="17">
        <v>3</v>
      </c>
      <c r="N477" s="27">
        <v>90476</v>
      </c>
      <c r="O477" s="27" t="s">
        <v>37</v>
      </c>
      <c r="P477" s="28">
        <v>45430</v>
      </c>
      <c r="Q477" s="29">
        <v>0.67035999999999996</v>
      </c>
      <c r="R477" s="30">
        <v>70476</v>
      </c>
      <c r="S477" s="27" t="s">
        <v>30</v>
      </c>
      <c r="T477" s="29">
        <v>79511.731899999999</v>
      </c>
      <c r="U477" s="27" t="s">
        <v>48</v>
      </c>
      <c r="V477" s="28">
        <v>45392</v>
      </c>
      <c r="W477" s="27" t="s">
        <v>38</v>
      </c>
      <c r="X477" s="28">
        <v>45376</v>
      </c>
      <c r="Y477" s="27" t="s">
        <v>39</v>
      </c>
      <c r="Z477" s="43" t="e">
        <f>TEXT([1]!Table64[[#This Row],[Order date]],"mmm-yyyy")</f>
        <v>#REF!</v>
      </c>
    </row>
    <row r="478" spans="1:26" x14ac:dyDescent="0.3">
      <c r="A478" s="10">
        <v>10477</v>
      </c>
      <c r="B478" s="11">
        <v>6916</v>
      </c>
      <c r="C478" s="11" t="s">
        <v>25</v>
      </c>
      <c r="D478" s="12">
        <v>15388</v>
      </c>
      <c r="E478" s="11">
        <v>19</v>
      </c>
      <c r="F478" s="11" t="s">
        <v>35</v>
      </c>
      <c r="G478" s="13">
        <v>45361</v>
      </c>
      <c r="H478" s="12">
        <v>51337.35</v>
      </c>
      <c r="I478" s="14" t="s">
        <v>44</v>
      </c>
      <c r="J478" s="15" t="s">
        <v>36</v>
      </c>
      <c r="K478" s="15">
        <v>1393</v>
      </c>
      <c r="L478" s="16">
        <v>45361</v>
      </c>
      <c r="M478" s="17">
        <v>7</v>
      </c>
      <c r="N478" s="18">
        <v>90477</v>
      </c>
      <c r="O478" s="18" t="s">
        <v>29</v>
      </c>
      <c r="P478" s="19">
        <v>45352</v>
      </c>
      <c r="Q478" s="20">
        <v>0.30005999999999999</v>
      </c>
      <c r="R478" s="21">
        <v>70477</v>
      </c>
      <c r="S478" s="18" t="s">
        <v>30</v>
      </c>
      <c r="T478" s="20">
        <v>119180.4265</v>
      </c>
      <c r="U478" s="18" t="s">
        <v>31</v>
      </c>
      <c r="V478" s="19">
        <v>45444</v>
      </c>
      <c r="W478" s="18" t="s">
        <v>32</v>
      </c>
      <c r="X478" s="19">
        <v>45376</v>
      </c>
      <c r="Y478" s="18" t="s">
        <v>33</v>
      </c>
      <c r="Z478" s="43" t="e">
        <f>TEXT([1]!Table64[[#This Row],[Order date]],"mmm-yyyy")</f>
        <v>#REF!</v>
      </c>
    </row>
    <row r="479" spans="1:26" x14ac:dyDescent="0.3">
      <c r="A479" s="22">
        <v>10478</v>
      </c>
      <c r="B479" s="23">
        <v>6769</v>
      </c>
      <c r="C479" s="23" t="s">
        <v>25</v>
      </c>
      <c r="D479" s="24">
        <v>89621.31</v>
      </c>
      <c r="E479" s="23">
        <v>26</v>
      </c>
      <c r="F479" s="23" t="s">
        <v>35</v>
      </c>
      <c r="G479" s="25">
        <v>45337</v>
      </c>
      <c r="H479" s="24">
        <v>14015.84</v>
      </c>
      <c r="I479" s="26" t="s">
        <v>44</v>
      </c>
      <c r="J479" s="15" t="s">
        <v>28</v>
      </c>
      <c r="K479" s="15">
        <v>132</v>
      </c>
      <c r="L479" s="16">
        <v>45361</v>
      </c>
      <c r="M479" s="17">
        <v>13</v>
      </c>
      <c r="N479" s="27">
        <v>90478</v>
      </c>
      <c r="O479" s="27" t="s">
        <v>50</v>
      </c>
      <c r="P479" s="28">
        <v>45383</v>
      </c>
      <c r="Q479" s="29">
        <v>0.14807000000000001</v>
      </c>
      <c r="R479" s="30">
        <v>70478</v>
      </c>
      <c r="S479" s="27" t="s">
        <v>30</v>
      </c>
      <c r="T479" s="29">
        <v>108578.7252</v>
      </c>
      <c r="U479" s="27" t="s">
        <v>42</v>
      </c>
      <c r="V479" s="28">
        <v>45392</v>
      </c>
      <c r="W479" s="27" t="s">
        <v>32</v>
      </c>
      <c r="X479" s="28">
        <v>45384</v>
      </c>
      <c r="Y479" s="27" t="s">
        <v>33</v>
      </c>
      <c r="Z479" s="43" t="e">
        <f>TEXT([1]!Table64[[#This Row],[Order date]],"mmm-yyyy")</f>
        <v>#REF!</v>
      </c>
    </row>
    <row r="480" spans="1:26" x14ac:dyDescent="0.3">
      <c r="A480" s="10">
        <v>10479</v>
      </c>
      <c r="B480" s="11">
        <v>6061</v>
      </c>
      <c r="C480" s="11" t="s">
        <v>34</v>
      </c>
      <c r="D480" s="12">
        <v>28481.919999999998</v>
      </c>
      <c r="E480" s="11">
        <v>52</v>
      </c>
      <c r="F480" s="11" t="s">
        <v>43</v>
      </c>
      <c r="G480" s="13">
        <v>45361</v>
      </c>
      <c r="H480" s="12">
        <v>67885.710000000006</v>
      </c>
      <c r="I480" s="14" t="s">
        <v>44</v>
      </c>
      <c r="J480" s="15" t="s">
        <v>49</v>
      </c>
      <c r="K480" s="15">
        <v>352</v>
      </c>
      <c r="L480" s="16">
        <v>45361</v>
      </c>
      <c r="M480" s="17">
        <v>9</v>
      </c>
      <c r="N480" s="18">
        <v>90479</v>
      </c>
      <c r="O480" s="18" t="s">
        <v>37</v>
      </c>
      <c r="P480" s="19">
        <v>45383</v>
      </c>
      <c r="Q480" s="20">
        <v>0.65361000000000002</v>
      </c>
      <c r="R480" s="21">
        <v>70479</v>
      </c>
      <c r="S480" s="18" t="s">
        <v>30</v>
      </c>
      <c r="T480" s="20">
        <v>121864.92483</v>
      </c>
      <c r="U480" s="18" t="s">
        <v>31</v>
      </c>
      <c r="V480" s="19">
        <v>45422</v>
      </c>
      <c r="W480" s="18" t="s">
        <v>38</v>
      </c>
      <c r="X480" s="19">
        <v>45376</v>
      </c>
      <c r="Y480" s="18" t="s">
        <v>39</v>
      </c>
      <c r="Z480" s="43" t="e">
        <f>TEXT([1]!Table64[[#This Row],[Order date]],"mmm-yyyy")</f>
        <v>#REF!</v>
      </c>
    </row>
    <row r="481" spans="1:26" x14ac:dyDescent="0.3">
      <c r="A481" s="22">
        <v>10480</v>
      </c>
      <c r="B481" s="23">
        <v>5280</v>
      </c>
      <c r="C481" s="23" t="s">
        <v>34</v>
      </c>
      <c r="D481" s="24">
        <v>26633.3</v>
      </c>
      <c r="E481" s="23">
        <v>93</v>
      </c>
      <c r="F481" s="23" t="s">
        <v>26</v>
      </c>
      <c r="G481" s="25">
        <v>45361</v>
      </c>
      <c r="H481" s="24">
        <v>85203.58</v>
      </c>
      <c r="I481" s="26" t="s">
        <v>27</v>
      </c>
      <c r="J481" s="15" t="s">
        <v>49</v>
      </c>
      <c r="K481" s="15">
        <v>311</v>
      </c>
      <c r="L481" s="16">
        <v>45361</v>
      </c>
      <c r="M481" s="17">
        <v>8</v>
      </c>
      <c r="N481" s="27">
        <v>90480</v>
      </c>
      <c r="O481" s="27" t="s">
        <v>40</v>
      </c>
      <c r="P481" s="28">
        <v>45430</v>
      </c>
      <c r="Q481" s="29">
        <v>0.14266000000000001</v>
      </c>
      <c r="R481" s="30">
        <v>70480</v>
      </c>
      <c r="S481" s="27" t="s">
        <v>45</v>
      </c>
      <c r="T481" s="29">
        <v>141014.23759</v>
      </c>
      <c r="U481" s="27" t="s">
        <v>42</v>
      </c>
      <c r="V481" s="28">
        <v>45422</v>
      </c>
      <c r="W481" s="27" t="s">
        <v>38</v>
      </c>
      <c r="X481" s="28">
        <v>45376</v>
      </c>
      <c r="Y481" s="27" t="s">
        <v>33</v>
      </c>
      <c r="Z481" s="43" t="e">
        <f>TEXT([1]!Table64[[#This Row],[Order date]],"mmm-yyyy")</f>
        <v>#REF!</v>
      </c>
    </row>
    <row r="482" spans="1:26" x14ac:dyDescent="0.3">
      <c r="A482" s="10">
        <v>10481</v>
      </c>
      <c r="B482" s="11">
        <v>6373</v>
      </c>
      <c r="C482" s="11" t="s">
        <v>34</v>
      </c>
      <c r="D482" s="12">
        <v>14366.92</v>
      </c>
      <c r="E482" s="11">
        <v>22</v>
      </c>
      <c r="F482" s="11" t="s">
        <v>43</v>
      </c>
      <c r="G482" s="13">
        <v>45306</v>
      </c>
      <c r="H482" s="12">
        <v>137168.25</v>
      </c>
      <c r="I482" s="14" t="s">
        <v>44</v>
      </c>
      <c r="J482" s="15" t="s">
        <v>28</v>
      </c>
      <c r="K482" s="15">
        <v>833</v>
      </c>
      <c r="L482" s="16">
        <v>45332</v>
      </c>
      <c r="M482" s="17">
        <v>8</v>
      </c>
      <c r="N482" s="18">
        <v>90481</v>
      </c>
      <c r="O482" s="18" t="s">
        <v>37</v>
      </c>
      <c r="P482" s="19">
        <v>45352</v>
      </c>
      <c r="Q482" s="20">
        <v>0.65144999999999997</v>
      </c>
      <c r="R482" s="21">
        <v>70481</v>
      </c>
      <c r="S482" s="18" t="s">
        <v>41</v>
      </c>
      <c r="T482" s="20">
        <v>67266.484509999995</v>
      </c>
      <c r="U482" s="18" t="s">
        <v>48</v>
      </c>
      <c r="V482" s="19">
        <v>45444</v>
      </c>
      <c r="W482" s="18" t="s">
        <v>38</v>
      </c>
      <c r="X482" s="19">
        <v>45376</v>
      </c>
      <c r="Y482" s="18" t="s">
        <v>39</v>
      </c>
      <c r="Z482" s="43" t="e">
        <f>TEXT([1]!Table64[[#This Row],[Order date]],"mmm-yyyy")</f>
        <v>#REF!</v>
      </c>
    </row>
    <row r="483" spans="1:26" x14ac:dyDescent="0.3">
      <c r="A483" s="22">
        <v>10482</v>
      </c>
      <c r="B483" s="23">
        <v>5497</v>
      </c>
      <c r="C483" s="23" t="s">
        <v>34</v>
      </c>
      <c r="D483" s="24">
        <v>29558.400000000001</v>
      </c>
      <c r="E483" s="23">
        <v>21</v>
      </c>
      <c r="F483" s="23" t="s">
        <v>46</v>
      </c>
      <c r="G483" s="25">
        <v>45383</v>
      </c>
      <c r="H483" s="24">
        <v>120776.75</v>
      </c>
      <c r="I483" s="26" t="s">
        <v>27</v>
      </c>
      <c r="J483" s="15" t="s">
        <v>36</v>
      </c>
      <c r="K483" s="15">
        <v>1273</v>
      </c>
      <c r="L483" s="16">
        <v>45397</v>
      </c>
      <c r="M483" s="17">
        <v>9</v>
      </c>
      <c r="N483" s="27">
        <v>90482</v>
      </c>
      <c r="O483" s="27" t="s">
        <v>29</v>
      </c>
      <c r="P483" s="28">
        <v>45383</v>
      </c>
      <c r="Q483" s="29">
        <v>0.30302000000000001</v>
      </c>
      <c r="R483" s="30">
        <v>70482</v>
      </c>
      <c r="S483" s="27" t="s">
        <v>45</v>
      </c>
      <c r="T483" s="29">
        <v>113796.48219</v>
      </c>
      <c r="U483" s="27" t="s">
        <v>31</v>
      </c>
      <c r="V483" s="28">
        <v>45392</v>
      </c>
      <c r="W483" s="27" t="s">
        <v>38</v>
      </c>
      <c r="X483" s="28">
        <v>45376</v>
      </c>
      <c r="Y483" s="27" t="s">
        <v>39</v>
      </c>
      <c r="Z483" s="43" t="e">
        <f>TEXT([1]!Table64[[#This Row],[Order date]],"mmm-yyyy")</f>
        <v>#REF!</v>
      </c>
    </row>
    <row r="484" spans="1:26" x14ac:dyDescent="0.3">
      <c r="A484" s="10">
        <v>10483</v>
      </c>
      <c r="B484" s="11">
        <v>5302</v>
      </c>
      <c r="C484" s="11" t="s">
        <v>34</v>
      </c>
      <c r="D484" s="12">
        <v>99609.32</v>
      </c>
      <c r="E484" s="11">
        <v>51</v>
      </c>
      <c r="F484" s="11" t="s">
        <v>35</v>
      </c>
      <c r="G484" s="13">
        <v>45383</v>
      </c>
      <c r="H484" s="12">
        <v>90999.58</v>
      </c>
      <c r="I484" s="14" t="s">
        <v>27</v>
      </c>
      <c r="J484" s="15" t="s">
        <v>49</v>
      </c>
      <c r="K484" s="15">
        <v>1313</v>
      </c>
      <c r="L484" s="16">
        <v>45361</v>
      </c>
      <c r="M484" s="17">
        <v>10</v>
      </c>
      <c r="N484" s="18">
        <v>90483</v>
      </c>
      <c r="O484" s="18" t="s">
        <v>37</v>
      </c>
      <c r="P484" s="19">
        <v>45383</v>
      </c>
      <c r="Q484" s="20">
        <v>0.91418999999999995</v>
      </c>
      <c r="R484" s="21">
        <v>70483</v>
      </c>
      <c r="S484" s="18" t="s">
        <v>41</v>
      </c>
      <c r="T484" s="20">
        <v>102072.36575</v>
      </c>
      <c r="U484" s="18" t="s">
        <v>31</v>
      </c>
      <c r="V484" s="19">
        <v>45444</v>
      </c>
      <c r="W484" s="18" t="s">
        <v>32</v>
      </c>
      <c r="X484" s="19">
        <v>45376</v>
      </c>
      <c r="Y484" s="18" t="s">
        <v>39</v>
      </c>
      <c r="Z484" s="43" t="e">
        <f>TEXT([1]!Table64[[#This Row],[Order date]],"mmm-yyyy")</f>
        <v>#REF!</v>
      </c>
    </row>
    <row r="485" spans="1:26" x14ac:dyDescent="0.3">
      <c r="A485" s="22">
        <v>10484</v>
      </c>
      <c r="B485" s="23">
        <v>5181</v>
      </c>
      <c r="C485" s="23" t="s">
        <v>25</v>
      </c>
      <c r="D485" s="24">
        <v>34138.58</v>
      </c>
      <c r="E485" s="23">
        <v>38</v>
      </c>
      <c r="F485" s="23" t="s">
        <v>46</v>
      </c>
      <c r="G485" s="25">
        <v>45361</v>
      </c>
      <c r="H485" s="24">
        <v>149163.04</v>
      </c>
      <c r="I485" s="26" t="s">
        <v>44</v>
      </c>
      <c r="J485" s="15" t="s">
        <v>36</v>
      </c>
      <c r="K485" s="15">
        <v>963</v>
      </c>
      <c r="L485" s="16">
        <v>45361</v>
      </c>
      <c r="M485" s="17">
        <v>3</v>
      </c>
      <c r="N485" s="27">
        <v>90484</v>
      </c>
      <c r="O485" s="27" t="s">
        <v>40</v>
      </c>
      <c r="P485" s="28">
        <v>45430</v>
      </c>
      <c r="Q485" s="29">
        <v>0.52758000000000005</v>
      </c>
      <c r="R485" s="30">
        <v>70484</v>
      </c>
      <c r="S485" s="27" t="s">
        <v>45</v>
      </c>
      <c r="T485" s="29">
        <v>77024.789350000006</v>
      </c>
      <c r="U485" s="27" t="s">
        <v>48</v>
      </c>
      <c r="V485" s="28">
        <v>45444</v>
      </c>
      <c r="W485" s="27" t="s">
        <v>38</v>
      </c>
      <c r="X485" s="28">
        <v>45376</v>
      </c>
      <c r="Y485" s="27" t="s">
        <v>39</v>
      </c>
      <c r="Z485" s="43" t="e">
        <f>TEXT([1]!Table64[[#This Row],[Order date]],"mmm-yyyy")</f>
        <v>#REF!</v>
      </c>
    </row>
    <row r="486" spans="1:26" x14ac:dyDescent="0.3">
      <c r="A486" s="10">
        <v>10485</v>
      </c>
      <c r="B486" s="11">
        <v>5607</v>
      </c>
      <c r="C486" s="11" t="s">
        <v>25</v>
      </c>
      <c r="D486" s="12">
        <v>91186.43</v>
      </c>
      <c r="E486" s="11">
        <v>20</v>
      </c>
      <c r="F486" s="11" t="s">
        <v>26</v>
      </c>
      <c r="G486" s="13">
        <v>45383</v>
      </c>
      <c r="H486" s="12">
        <v>18443.71</v>
      </c>
      <c r="I486" s="14" t="s">
        <v>27</v>
      </c>
      <c r="J486" s="15" t="s">
        <v>49</v>
      </c>
      <c r="K486" s="15">
        <v>741</v>
      </c>
      <c r="L486" s="16">
        <v>45332</v>
      </c>
      <c r="M486" s="17">
        <v>8</v>
      </c>
      <c r="N486" s="18">
        <v>90485</v>
      </c>
      <c r="O486" s="18" t="s">
        <v>29</v>
      </c>
      <c r="P486" s="19">
        <v>45352</v>
      </c>
      <c r="Q486" s="20">
        <v>0.30153999999999997</v>
      </c>
      <c r="R486" s="21">
        <v>70485</v>
      </c>
      <c r="S486" s="18" t="s">
        <v>45</v>
      </c>
      <c r="T486" s="20">
        <v>184918.64817999999</v>
      </c>
      <c r="U486" s="18" t="s">
        <v>42</v>
      </c>
      <c r="V486" s="19">
        <v>45444</v>
      </c>
      <c r="W486" s="18" t="s">
        <v>32</v>
      </c>
      <c r="X486" s="19">
        <v>45376</v>
      </c>
      <c r="Y486" s="18" t="s">
        <v>33</v>
      </c>
      <c r="Z486" s="43" t="e">
        <f>TEXT([1]!Table64[[#This Row],[Order date]],"mmm-yyyy")</f>
        <v>#REF!</v>
      </c>
    </row>
    <row r="487" spans="1:26" x14ac:dyDescent="0.3">
      <c r="A487" s="22">
        <v>10486</v>
      </c>
      <c r="B487" s="23">
        <v>6123</v>
      </c>
      <c r="C487" s="23" t="s">
        <v>34</v>
      </c>
      <c r="D487" s="24">
        <v>69566.559999999998</v>
      </c>
      <c r="E487" s="23">
        <v>29</v>
      </c>
      <c r="F487" s="23" t="s">
        <v>43</v>
      </c>
      <c r="G487" s="25">
        <v>45306</v>
      </c>
      <c r="H487" s="24">
        <v>168958.34</v>
      </c>
      <c r="I487" s="26" t="s">
        <v>44</v>
      </c>
      <c r="J487" s="15" t="s">
        <v>28</v>
      </c>
      <c r="K487" s="15">
        <v>993</v>
      </c>
      <c r="L487" s="16">
        <v>45332</v>
      </c>
      <c r="M487" s="17">
        <v>1</v>
      </c>
      <c r="N487" s="27">
        <v>90486</v>
      </c>
      <c r="O487" s="27" t="s">
        <v>37</v>
      </c>
      <c r="P487" s="28">
        <v>45430</v>
      </c>
      <c r="Q487" s="29">
        <v>0.86782999999999999</v>
      </c>
      <c r="R487" s="30">
        <v>70486</v>
      </c>
      <c r="S487" s="27" t="s">
        <v>30</v>
      </c>
      <c r="T487" s="29">
        <v>178474.8401</v>
      </c>
      <c r="U487" s="27" t="s">
        <v>42</v>
      </c>
      <c r="V487" s="28">
        <v>45444</v>
      </c>
      <c r="W487" s="27" t="s">
        <v>32</v>
      </c>
      <c r="X487" s="28">
        <v>45384</v>
      </c>
      <c r="Y487" s="27" t="s">
        <v>33</v>
      </c>
      <c r="Z487" s="43" t="e">
        <f>TEXT([1]!Table64[[#This Row],[Order date]],"mmm-yyyy")</f>
        <v>#REF!</v>
      </c>
    </row>
    <row r="488" spans="1:26" x14ac:dyDescent="0.3">
      <c r="A488" s="10">
        <v>10487</v>
      </c>
      <c r="B488" s="11">
        <v>5700</v>
      </c>
      <c r="C488" s="11" t="s">
        <v>34</v>
      </c>
      <c r="D488" s="12">
        <v>77554.45</v>
      </c>
      <c r="E488" s="11">
        <v>51</v>
      </c>
      <c r="F488" s="11" t="s">
        <v>43</v>
      </c>
      <c r="G488" s="13">
        <v>45306</v>
      </c>
      <c r="H488" s="12">
        <v>121491.9</v>
      </c>
      <c r="I488" s="14" t="s">
        <v>47</v>
      </c>
      <c r="J488" s="15" t="s">
        <v>36</v>
      </c>
      <c r="K488" s="15">
        <v>732</v>
      </c>
      <c r="L488" s="16">
        <v>45332</v>
      </c>
      <c r="M488" s="17">
        <v>8</v>
      </c>
      <c r="N488" s="18">
        <v>90487</v>
      </c>
      <c r="O488" s="18" t="s">
        <v>40</v>
      </c>
      <c r="P488" s="19">
        <v>45383</v>
      </c>
      <c r="Q488" s="20">
        <v>0.32862999999999998</v>
      </c>
      <c r="R488" s="21">
        <v>70487</v>
      </c>
      <c r="S488" s="18" t="s">
        <v>30</v>
      </c>
      <c r="T488" s="20">
        <v>115490.41153</v>
      </c>
      <c r="U488" s="18" t="s">
        <v>31</v>
      </c>
      <c r="V488" s="19">
        <v>45392</v>
      </c>
      <c r="W488" s="18" t="s">
        <v>38</v>
      </c>
      <c r="X488" s="19">
        <v>45376</v>
      </c>
      <c r="Y488" s="18" t="s">
        <v>39</v>
      </c>
      <c r="Z488" s="43" t="e">
        <f>TEXT([1]!Table64[[#This Row],[Order date]],"mmm-yyyy")</f>
        <v>#REF!</v>
      </c>
    </row>
    <row r="489" spans="1:26" x14ac:dyDescent="0.3">
      <c r="A489" s="22">
        <v>10488</v>
      </c>
      <c r="B489" s="23">
        <v>5993</v>
      </c>
      <c r="C489" s="23" t="s">
        <v>34</v>
      </c>
      <c r="D489" s="24">
        <v>68386.559999999998</v>
      </c>
      <c r="E489" s="23">
        <v>4</v>
      </c>
      <c r="F489" s="23" t="s">
        <v>43</v>
      </c>
      <c r="G489" s="25">
        <v>45361</v>
      </c>
      <c r="H489" s="24">
        <v>152446.6</v>
      </c>
      <c r="I489" s="26" t="s">
        <v>44</v>
      </c>
      <c r="J489" s="15" t="s">
        <v>36</v>
      </c>
      <c r="K489" s="15">
        <v>1368</v>
      </c>
      <c r="L489" s="16">
        <v>45332</v>
      </c>
      <c r="M489" s="17">
        <v>13</v>
      </c>
      <c r="N489" s="27">
        <v>90488</v>
      </c>
      <c r="O489" s="27" t="s">
        <v>29</v>
      </c>
      <c r="P489" s="28">
        <v>45352</v>
      </c>
      <c r="Q489" s="29">
        <v>0.37594</v>
      </c>
      <c r="R489" s="30">
        <v>70488</v>
      </c>
      <c r="S489" s="27" t="s">
        <v>41</v>
      </c>
      <c r="T489" s="29">
        <v>103458.86928</v>
      </c>
      <c r="U489" s="27" t="s">
        <v>48</v>
      </c>
      <c r="V489" s="28">
        <v>45444</v>
      </c>
      <c r="W489" s="27" t="s">
        <v>38</v>
      </c>
      <c r="X489" s="28">
        <v>45384</v>
      </c>
      <c r="Y489" s="27" t="s">
        <v>33</v>
      </c>
      <c r="Z489" s="43" t="e">
        <f>TEXT([1]!Table64[[#This Row],[Order date]],"mmm-yyyy")</f>
        <v>#REF!</v>
      </c>
    </row>
    <row r="490" spans="1:26" x14ac:dyDescent="0.3">
      <c r="A490" s="10">
        <v>10489</v>
      </c>
      <c r="B490" s="11">
        <v>6140</v>
      </c>
      <c r="C490" s="11" t="s">
        <v>34</v>
      </c>
      <c r="D490" s="12">
        <v>65518.73</v>
      </c>
      <c r="E490" s="11">
        <v>55</v>
      </c>
      <c r="F490" s="11" t="s">
        <v>46</v>
      </c>
      <c r="G490" s="13">
        <v>45306</v>
      </c>
      <c r="H490" s="12">
        <v>37584.33</v>
      </c>
      <c r="I490" s="14" t="s">
        <v>27</v>
      </c>
      <c r="J490" s="15" t="s">
        <v>36</v>
      </c>
      <c r="K490" s="15">
        <v>738</v>
      </c>
      <c r="L490" s="16">
        <v>45397</v>
      </c>
      <c r="M490" s="17">
        <v>7</v>
      </c>
      <c r="N490" s="18">
        <v>90489</v>
      </c>
      <c r="O490" s="18" t="s">
        <v>37</v>
      </c>
      <c r="P490" s="19">
        <v>45430</v>
      </c>
      <c r="Q490" s="20">
        <v>0.85085</v>
      </c>
      <c r="R490" s="21">
        <v>70489</v>
      </c>
      <c r="S490" s="18" t="s">
        <v>41</v>
      </c>
      <c r="T490" s="20">
        <v>159309.78842999999</v>
      </c>
      <c r="U490" s="18" t="s">
        <v>31</v>
      </c>
      <c r="V490" s="19">
        <v>45422</v>
      </c>
      <c r="W490" s="18" t="s">
        <v>32</v>
      </c>
      <c r="X490" s="19">
        <v>45376</v>
      </c>
      <c r="Y490" s="18" t="s">
        <v>39</v>
      </c>
      <c r="Z490" s="43" t="e">
        <f>TEXT([1]!Table64[[#This Row],[Order date]],"mmm-yyyy")</f>
        <v>#REF!</v>
      </c>
    </row>
    <row r="491" spans="1:26" x14ac:dyDescent="0.3">
      <c r="A491" s="22">
        <v>10490</v>
      </c>
      <c r="B491" s="23">
        <v>5191</v>
      </c>
      <c r="C491" s="23" t="s">
        <v>34</v>
      </c>
      <c r="D491" s="24">
        <v>95700.07</v>
      </c>
      <c r="E491" s="23">
        <v>71</v>
      </c>
      <c r="F491" s="23" t="s">
        <v>35</v>
      </c>
      <c r="G491" s="25">
        <v>45383</v>
      </c>
      <c r="H491" s="24">
        <v>107638.74</v>
      </c>
      <c r="I491" s="26" t="s">
        <v>47</v>
      </c>
      <c r="J491" s="15" t="s">
        <v>49</v>
      </c>
      <c r="K491" s="15">
        <v>445</v>
      </c>
      <c r="L491" s="16">
        <v>45397</v>
      </c>
      <c r="M491" s="17">
        <v>13</v>
      </c>
      <c r="N491" s="27">
        <v>90490</v>
      </c>
      <c r="O491" s="27" t="s">
        <v>40</v>
      </c>
      <c r="P491" s="28">
        <v>45383</v>
      </c>
      <c r="Q491" s="29">
        <v>0.37791000000000002</v>
      </c>
      <c r="R491" s="30">
        <v>70490</v>
      </c>
      <c r="S491" s="27" t="s">
        <v>30</v>
      </c>
      <c r="T491" s="29">
        <v>73753.651989999998</v>
      </c>
      <c r="U491" s="27" t="s">
        <v>31</v>
      </c>
      <c r="V491" s="28">
        <v>45392</v>
      </c>
      <c r="W491" s="27" t="s">
        <v>38</v>
      </c>
      <c r="X491" s="28">
        <v>45376</v>
      </c>
      <c r="Y491" s="27" t="s">
        <v>39</v>
      </c>
      <c r="Z491" s="43" t="e">
        <f>TEXT([1]!Table64[[#This Row],[Order date]],"mmm-yyyy")</f>
        <v>#REF!</v>
      </c>
    </row>
    <row r="492" spans="1:26" x14ac:dyDescent="0.3">
      <c r="A492" s="10">
        <v>10491</v>
      </c>
      <c r="B492" s="11">
        <v>5253</v>
      </c>
      <c r="C492" s="11" t="s">
        <v>34</v>
      </c>
      <c r="D492" s="12">
        <v>39124.74</v>
      </c>
      <c r="E492" s="11">
        <v>92</v>
      </c>
      <c r="F492" s="11" t="s">
        <v>46</v>
      </c>
      <c r="G492" s="13">
        <v>45337</v>
      </c>
      <c r="H492" s="12">
        <v>80684.67</v>
      </c>
      <c r="I492" s="14" t="s">
        <v>44</v>
      </c>
      <c r="J492" s="15" t="s">
        <v>49</v>
      </c>
      <c r="K492" s="15">
        <v>1211</v>
      </c>
      <c r="L492" s="16">
        <v>45361</v>
      </c>
      <c r="M492" s="17">
        <v>8</v>
      </c>
      <c r="N492" s="18">
        <v>90491</v>
      </c>
      <c r="O492" s="18" t="s">
        <v>29</v>
      </c>
      <c r="P492" s="19">
        <v>45430</v>
      </c>
      <c r="Q492" s="20">
        <v>0.46915000000000001</v>
      </c>
      <c r="R492" s="21">
        <v>70491</v>
      </c>
      <c r="S492" s="18" t="s">
        <v>45</v>
      </c>
      <c r="T492" s="20">
        <v>196743.91649999999</v>
      </c>
      <c r="U492" s="18" t="s">
        <v>42</v>
      </c>
      <c r="V492" s="19">
        <v>45444</v>
      </c>
      <c r="W492" s="18" t="s">
        <v>38</v>
      </c>
      <c r="X492" s="19">
        <v>45376</v>
      </c>
      <c r="Y492" s="18" t="s">
        <v>33</v>
      </c>
      <c r="Z492" s="43" t="e">
        <f>TEXT([1]!Table64[[#This Row],[Order date]],"mmm-yyyy")</f>
        <v>#REF!</v>
      </c>
    </row>
    <row r="493" spans="1:26" x14ac:dyDescent="0.3">
      <c r="A493" s="22">
        <v>10492</v>
      </c>
      <c r="B493" s="23">
        <v>5981</v>
      </c>
      <c r="C493" s="23" t="s">
        <v>34</v>
      </c>
      <c r="D493" s="24">
        <v>53748.62</v>
      </c>
      <c r="E493" s="23">
        <v>28</v>
      </c>
      <c r="F493" s="23" t="s">
        <v>46</v>
      </c>
      <c r="G493" s="25">
        <v>45383</v>
      </c>
      <c r="H493" s="24">
        <v>88932.17</v>
      </c>
      <c r="I493" s="26" t="s">
        <v>27</v>
      </c>
      <c r="J493" s="15" t="s">
        <v>49</v>
      </c>
      <c r="K493" s="15">
        <v>888</v>
      </c>
      <c r="L493" s="16">
        <v>45397</v>
      </c>
      <c r="M493" s="17">
        <v>1</v>
      </c>
      <c r="N493" s="27">
        <v>90492</v>
      </c>
      <c r="O493" s="27" t="s">
        <v>37</v>
      </c>
      <c r="P493" s="28">
        <v>45430</v>
      </c>
      <c r="Q493" s="29">
        <v>0.41289999999999999</v>
      </c>
      <c r="R493" s="30">
        <v>70492</v>
      </c>
      <c r="S493" s="27" t="s">
        <v>41</v>
      </c>
      <c r="T493" s="29">
        <v>87643.763600000006</v>
      </c>
      <c r="U493" s="27" t="s">
        <v>42</v>
      </c>
      <c r="V493" s="28">
        <v>45392</v>
      </c>
      <c r="W493" s="27" t="s">
        <v>38</v>
      </c>
      <c r="X493" s="28">
        <v>45376</v>
      </c>
      <c r="Y493" s="27" t="s">
        <v>39</v>
      </c>
      <c r="Z493" s="43" t="e">
        <f>TEXT([1]!Table64[[#This Row],[Order date]],"mmm-yyyy")</f>
        <v>#REF!</v>
      </c>
    </row>
    <row r="494" spans="1:26" x14ac:dyDescent="0.3">
      <c r="A494" s="10">
        <v>10493</v>
      </c>
      <c r="B494" s="11">
        <v>5928</v>
      </c>
      <c r="C494" s="11" t="s">
        <v>25</v>
      </c>
      <c r="D494" s="12">
        <v>64238.02</v>
      </c>
      <c r="E494" s="11">
        <v>4</v>
      </c>
      <c r="F494" s="11" t="s">
        <v>26</v>
      </c>
      <c r="G494" s="13">
        <v>45337</v>
      </c>
      <c r="H494" s="12">
        <v>60554.01</v>
      </c>
      <c r="I494" s="14" t="s">
        <v>44</v>
      </c>
      <c r="J494" s="15" t="s">
        <v>28</v>
      </c>
      <c r="K494" s="15">
        <v>927</v>
      </c>
      <c r="L494" s="16">
        <v>45361</v>
      </c>
      <c r="M494" s="17">
        <v>6</v>
      </c>
      <c r="N494" s="18">
        <v>90493</v>
      </c>
      <c r="O494" s="18" t="s">
        <v>29</v>
      </c>
      <c r="P494" s="19">
        <v>45430</v>
      </c>
      <c r="Q494" s="20">
        <v>0.20476</v>
      </c>
      <c r="R494" s="21">
        <v>70493</v>
      </c>
      <c r="S494" s="18" t="s">
        <v>41</v>
      </c>
      <c r="T494" s="20">
        <v>167169.03</v>
      </c>
      <c r="U494" s="18" t="s">
        <v>42</v>
      </c>
      <c r="V494" s="19">
        <v>45444</v>
      </c>
      <c r="W494" s="18" t="s">
        <v>32</v>
      </c>
      <c r="X494" s="19">
        <v>45376</v>
      </c>
      <c r="Y494" s="18" t="s">
        <v>39</v>
      </c>
      <c r="Z494" s="43" t="e">
        <f>TEXT([1]!Table64[[#This Row],[Order date]],"mmm-yyyy")</f>
        <v>#REF!</v>
      </c>
    </row>
    <row r="495" spans="1:26" x14ac:dyDescent="0.3">
      <c r="A495" s="22">
        <v>10494</v>
      </c>
      <c r="B495" s="23">
        <v>6185</v>
      </c>
      <c r="C495" s="23" t="s">
        <v>34</v>
      </c>
      <c r="D495" s="24">
        <v>76613.97</v>
      </c>
      <c r="E495" s="23">
        <v>22</v>
      </c>
      <c r="F495" s="23" t="s">
        <v>26</v>
      </c>
      <c r="G495" s="25">
        <v>45361</v>
      </c>
      <c r="H495" s="24">
        <v>49214.17</v>
      </c>
      <c r="I495" s="26" t="s">
        <v>44</v>
      </c>
      <c r="J495" s="15" t="s">
        <v>49</v>
      </c>
      <c r="K495" s="15">
        <v>872</v>
      </c>
      <c r="L495" s="16">
        <v>45361</v>
      </c>
      <c r="M495" s="17">
        <v>7</v>
      </c>
      <c r="N495" s="27">
        <v>90494</v>
      </c>
      <c r="O495" s="27" t="s">
        <v>40</v>
      </c>
      <c r="P495" s="28">
        <v>45352</v>
      </c>
      <c r="Q495" s="29">
        <v>0.13500999999999999</v>
      </c>
      <c r="R495" s="30">
        <v>70494</v>
      </c>
      <c r="S495" s="27" t="s">
        <v>41</v>
      </c>
      <c r="T495" s="29">
        <v>127177.46153</v>
      </c>
      <c r="U495" s="27" t="s">
        <v>42</v>
      </c>
      <c r="V495" s="28">
        <v>45422</v>
      </c>
      <c r="W495" s="27" t="s">
        <v>32</v>
      </c>
      <c r="X495" s="28">
        <v>45384</v>
      </c>
      <c r="Y495" s="27" t="s">
        <v>33</v>
      </c>
      <c r="Z495" s="43" t="e">
        <f>TEXT([1]!Table64[[#This Row],[Order date]],"mmm-yyyy")</f>
        <v>#REF!</v>
      </c>
    </row>
    <row r="496" spans="1:26" x14ac:dyDescent="0.3">
      <c r="A496" s="10">
        <v>10495</v>
      </c>
      <c r="B496" s="11">
        <v>6280</v>
      </c>
      <c r="C496" s="11" t="s">
        <v>25</v>
      </c>
      <c r="D496" s="12">
        <v>87630.52</v>
      </c>
      <c r="E496" s="11">
        <v>76</v>
      </c>
      <c r="F496" s="11" t="s">
        <v>26</v>
      </c>
      <c r="G496" s="13">
        <v>45337</v>
      </c>
      <c r="H496" s="12">
        <v>69181.649999999994</v>
      </c>
      <c r="I496" s="14" t="s">
        <v>44</v>
      </c>
      <c r="J496" s="15" t="s">
        <v>28</v>
      </c>
      <c r="K496" s="15">
        <v>1202</v>
      </c>
      <c r="L496" s="16">
        <v>45397</v>
      </c>
      <c r="M496" s="17">
        <v>14</v>
      </c>
      <c r="N496" s="18">
        <v>90495</v>
      </c>
      <c r="O496" s="18" t="s">
        <v>37</v>
      </c>
      <c r="P496" s="19">
        <v>45383</v>
      </c>
      <c r="Q496" s="20">
        <v>0.75209000000000004</v>
      </c>
      <c r="R496" s="21">
        <v>70495</v>
      </c>
      <c r="S496" s="18" t="s">
        <v>41</v>
      </c>
      <c r="T496" s="20">
        <v>101875.28771</v>
      </c>
      <c r="U496" s="18" t="s">
        <v>42</v>
      </c>
      <c r="V496" s="19">
        <v>45422</v>
      </c>
      <c r="W496" s="18" t="s">
        <v>32</v>
      </c>
      <c r="X496" s="19">
        <v>45376</v>
      </c>
      <c r="Y496" s="18" t="s">
        <v>39</v>
      </c>
      <c r="Z496" s="43" t="e">
        <f>TEXT([1]!Table64[[#This Row],[Order date]],"mmm-yyyy")</f>
        <v>#REF!</v>
      </c>
    </row>
    <row r="497" spans="1:26" x14ac:dyDescent="0.3">
      <c r="A497" s="22">
        <v>10496</v>
      </c>
      <c r="B497" s="23">
        <v>6347</v>
      </c>
      <c r="C497" s="23" t="s">
        <v>34</v>
      </c>
      <c r="D497" s="24">
        <v>32161.58</v>
      </c>
      <c r="E497" s="23">
        <v>45</v>
      </c>
      <c r="F497" s="23" t="s">
        <v>35</v>
      </c>
      <c r="G497" s="25">
        <v>45306</v>
      </c>
      <c r="H497" s="24">
        <v>50749.3</v>
      </c>
      <c r="I497" s="26" t="s">
        <v>44</v>
      </c>
      <c r="J497" s="15" t="s">
        <v>36</v>
      </c>
      <c r="K497" s="15">
        <v>98</v>
      </c>
      <c r="L497" s="16">
        <v>45361</v>
      </c>
      <c r="M497" s="17">
        <v>11</v>
      </c>
      <c r="N497" s="27">
        <v>90496</v>
      </c>
      <c r="O497" s="27" t="s">
        <v>37</v>
      </c>
      <c r="P497" s="28">
        <v>45383</v>
      </c>
      <c r="Q497" s="29">
        <v>0.68062</v>
      </c>
      <c r="R497" s="30">
        <v>70496</v>
      </c>
      <c r="S497" s="27" t="s">
        <v>41</v>
      </c>
      <c r="T497" s="29">
        <v>161268.07206999999</v>
      </c>
      <c r="U497" s="27" t="s">
        <v>48</v>
      </c>
      <c r="V497" s="28">
        <v>45422</v>
      </c>
      <c r="W497" s="27" t="s">
        <v>38</v>
      </c>
      <c r="X497" s="28">
        <v>45376</v>
      </c>
      <c r="Y497" s="27" t="s">
        <v>39</v>
      </c>
      <c r="Z497" s="43" t="e">
        <f>TEXT([1]!Table64[[#This Row],[Order date]],"mmm-yyyy")</f>
        <v>#REF!</v>
      </c>
    </row>
    <row r="498" spans="1:26" x14ac:dyDescent="0.3">
      <c r="A498" s="10">
        <v>10497</v>
      </c>
      <c r="B498" s="11">
        <v>5128</v>
      </c>
      <c r="C498" s="11" t="s">
        <v>25</v>
      </c>
      <c r="D498" s="12">
        <v>85282.06</v>
      </c>
      <c r="E498" s="11">
        <v>67</v>
      </c>
      <c r="F498" s="11" t="s">
        <v>35</v>
      </c>
      <c r="G498" s="13">
        <v>45383</v>
      </c>
      <c r="H498" s="12">
        <v>96633.16</v>
      </c>
      <c r="I498" s="14" t="s">
        <v>44</v>
      </c>
      <c r="J498" s="15" t="s">
        <v>36</v>
      </c>
      <c r="K498" s="15">
        <v>838</v>
      </c>
      <c r="L498" s="16">
        <v>45332</v>
      </c>
      <c r="M498" s="17">
        <v>5</v>
      </c>
      <c r="N498" s="18">
        <v>90497</v>
      </c>
      <c r="O498" s="18" t="s">
        <v>37</v>
      </c>
      <c r="P498" s="19">
        <v>45383</v>
      </c>
      <c r="Q498" s="20">
        <v>0.35413</v>
      </c>
      <c r="R498" s="21">
        <v>70497</v>
      </c>
      <c r="S498" s="18" t="s">
        <v>30</v>
      </c>
      <c r="T498" s="20">
        <v>219976.13519999999</v>
      </c>
      <c r="U498" s="18" t="s">
        <v>31</v>
      </c>
      <c r="V498" s="19">
        <v>45392</v>
      </c>
      <c r="W498" s="18" t="s">
        <v>32</v>
      </c>
      <c r="X498" s="19">
        <v>45376</v>
      </c>
      <c r="Y498" s="18" t="s">
        <v>33</v>
      </c>
      <c r="Z498" s="43" t="e">
        <f>TEXT([1]!Table64[[#This Row],[Order date]],"mmm-yyyy")</f>
        <v>#REF!</v>
      </c>
    </row>
    <row r="499" spans="1:26" x14ac:dyDescent="0.3">
      <c r="A499" s="22">
        <v>10498</v>
      </c>
      <c r="B499" s="23">
        <v>5018</v>
      </c>
      <c r="C499" s="23" t="s">
        <v>34</v>
      </c>
      <c r="D499" s="24">
        <v>14070.11</v>
      </c>
      <c r="E499" s="23">
        <v>86</v>
      </c>
      <c r="F499" s="23" t="s">
        <v>26</v>
      </c>
      <c r="G499" s="25">
        <v>45337</v>
      </c>
      <c r="H499" s="24">
        <v>42286.18</v>
      </c>
      <c r="I499" s="26" t="s">
        <v>27</v>
      </c>
      <c r="J499" s="15" t="s">
        <v>28</v>
      </c>
      <c r="K499" s="15">
        <v>342</v>
      </c>
      <c r="L499" s="16">
        <v>45361</v>
      </c>
      <c r="M499" s="17">
        <v>14</v>
      </c>
      <c r="N499" s="27">
        <v>90498</v>
      </c>
      <c r="O499" s="27" t="s">
        <v>40</v>
      </c>
      <c r="P499" s="28">
        <v>45383</v>
      </c>
      <c r="Q499" s="29">
        <v>0.36603999999999998</v>
      </c>
      <c r="R499" s="30">
        <v>70498</v>
      </c>
      <c r="S499" s="27" t="s">
        <v>30</v>
      </c>
      <c r="T499" s="29">
        <v>54828.326280000001</v>
      </c>
      <c r="U499" s="27" t="s">
        <v>48</v>
      </c>
      <c r="V499" s="28">
        <v>45422</v>
      </c>
      <c r="W499" s="27" t="s">
        <v>38</v>
      </c>
      <c r="X499" s="28">
        <v>45376</v>
      </c>
      <c r="Y499" s="27" t="s">
        <v>33</v>
      </c>
      <c r="Z499" s="43" t="e">
        <f>TEXT([1]!Table64[[#This Row],[Order date]],"mmm-yyyy")</f>
        <v>#REF!</v>
      </c>
    </row>
    <row r="500" spans="1:26" x14ac:dyDescent="0.3">
      <c r="A500" s="10">
        <v>10499</v>
      </c>
      <c r="B500" s="11">
        <v>6817</v>
      </c>
      <c r="C500" s="11" t="s">
        <v>34</v>
      </c>
      <c r="D500" s="12">
        <v>21126.01</v>
      </c>
      <c r="E500" s="11">
        <v>66</v>
      </c>
      <c r="F500" s="11" t="s">
        <v>26</v>
      </c>
      <c r="G500" s="13">
        <v>45383</v>
      </c>
      <c r="H500" s="12">
        <v>22233.759999999998</v>
      </c>
      <c r="I500" s="14" t="s">
        <v>27</v>
      </c>
      <c r="J500" s="15" t="s">
        <v>49</v>
      </c>
      <c r="K500" s="15">
        <v>585</v>
      </c>
      <c r="L500" s="16">
        <v>45332</v>
      </c>
      <c r="M500" s="17">
        <v>5</v>
      </c>
      <c r="N500" s="18">
        <v>90499</v>
      </c>
      <c r="O500" s="18" t="s">
        <v>50</v>
      </c>
      <c r="P500" s="19">
        <v>45352</v>
      </c>
      <c r="Q500" s="20">
        <v>0.95050999999999997</v>
      </c>
      <c r="R500" s="21">
        <v>70499</v>
      </c>
      <c r="S500" s="18" t="s">
        <v>30</v>
      </c>
      <c r="T500" s="20">
        <v>68431.746230000004</v>
      </c>
      <c r="U500" s="18" t="s">
        <v>31</v>
      </c>
      <c r="V500" s="19">
        <v>45444</v>
      </c>
      <c r="W500" s="18" t="s">
        <v>38</v>
      </c>
      <c r="X500" s="19">
        <v>45376</v>
      </c>
      <c r="Y500" s="18" t="s">
        <v>33</v>
      </c>
      <c r="Z500" s="43" t="e">
        <f>TEXT([1]!Table64[[#This Row],[Order date]],"mmm-yyyy")</f>
        <v>#REF!</v>
      </c>
    </row>
    <row r="501" spans="1:26" x14ac:dyDescent="0.3">
      <c r="A501" s="22">
        <v>10500</v>
      </c>
      <c r="B501" s="23">
        <v>6759</v>
      </c>
      <c r="C501" s="23" t="s">
        <v>34</v>
      </c>
      <c r="D501" s="24">
        <v>42130.83</v>
      </c>
      <c r="E501" s="23">
        <v>88</v>
      </c>
      <c r="F501" s="23" t="s">
        <v>35</v>
      </c>
      <c r="G501" s="25">
        <v>45361</v>
      </c>
      <c r="H501" s="24">
        <v>113955.45</v>
      </c>
      <c r="I501" s="26" t="s">
        <v>27</v>
      </c>
      <c r="J501" s="15" t="s">
        <v>28</v>
      </c>
      <c r="K501" s="15">
        <v>360</v>
      </c>
      <c r="L501" s="16">
        <v>45397</v>
      </c>
      <c r="M501" s="17">
        <v>7</v>
      </c>
      <c r="N501" s="27">
        <v>90500</v>
      </c>
      <c r="O501" s="27" t="s">
        <v>37</v>
      </c>
      <c r="P501" s="28">
        <v>45430</v>
      </c>
      <c r="Q501" s="29">
        <v>0.9889</v>
      </c>
      <c r="R501" s="30">
        <v>70500</v>
      </c>
      <c r="S501" s="27" t="s">
        <v>41</v>
      </c>
      <c r="T501" s="29">
        <v>106100.52069</v>
      </c>
      <c r="U501" s="27" t="s">
        <v>42</v>
      </c>
      <c r="V501" s="28">
        <v>45444</v>
      </c>
      <c r="W501" s="27" t="s">
        <v>38</v>
      </c>
      <c r="X501" s="28">
        <v>45384</v>
      </c>
      <c r="Y501" s="27" t="s">
        <v>33</v>
      </c>
      <c r="Z501" s="43" t="e">
        <f>TEXT([1]!Table64[[#This Row],[Order date]],"mmm-yyyy")</f>
        <v>#REF!</v>
      </c>
    </row>
    <row r="502" spans="1:26" x14ac:dyDescent="0.3">
      <c r="A502" s="10">
        <v>10501</v>
      </c>
      <c r="B502" s="11">
        <v>5566</v>
      </c>
      <c r="C502" s="11" t="s">
        <v>34</v>
      </c>
      <c r="D502" s="12">
        <v>21005.46</v>
      </c>
      <c r="E502" s="11">
        <v>34</v>
      </c>
      <c r="F502" s="11" t="s">
        <v>43</v>
      </c>
      <c r="G502" s="13">
        <v>45361</v>
      </c>
      <c r="H502" s="12">
        <v>16619.89</v>
      </c>
      <c r="I502" s="14" t="s">
        <v>44</v>
      </c>
      <c r="J502" s="15" t="s">
        <v>36</v>
      </c>
      <c r="K502" s="15">
        <v>586</v>
      </c>
      <c r="L502" s="16">
        <v>45397</v>
      </c>
      <c r="M502" s="17">
        <v>11</v>
      </c>
      <c r="N502" s="18">
        <v>90501</v>
      </c>
      <c r="O502" s="18" t="s">
        <v>40</v>
      </c>
      <c r="P502" s="19">
        <v>45383</v>
      </c>
      <c r="Q502" s="20">
        <v>0.52608999999999995</v>
      </c>
      <c r="R502" s="21">
        <v>70501</v>
      </c>
      <c r="S502" s="18" t="s">
        <v>41</v>
      </c>
      <c r="T502" s="20">
        <v>180416.50403000001</v>
      </c>
      <c r="U502" s="18" t="s">
        <v>48</v>
      </c>
      <c r="V502" s="19">
        <v>45444</v>
      </c>
      <c r="W502" s="18" t="s">
        <v>32</v>
      </c>
      <c r="X502" s="19">
        <v>45376</v>
      </c>
      <c r="Y502" s="18" t="s">
        <v>39</v>
      </c>
      <c r="Z502" s="43" t="e">
        <f>TEXT([1]!Table64[[#This Row],[Order date]],"mmm-yyyy")</f>
        <v>#REF!</v>
      </c>
    </row>
    <row r="503" spans="1:26" x14ac:dyDescent="0.3">
      <c r="A503" s="22">
        <v>10502</v>
      </c>
      <c r="B503" s="23">
        <v>5570</v>
      </c>
      <c r="C503" s="23" t="s">
        <v>25</v>
      </c>
      <c r="D503" s="24">
        <v>74653.740000000005</v>
      </c>
      <c r="E503" s="23">
        <v>91</v>
      </c>
      <c r="F503" s="23" t="s">
        <v>35</v>
      </c>
      <c r="G503" s="25">
        <v>45306</v>
      </c>
      <c r="H503" s="24">
        <v>19781.88</v>
      </c>
      <c r="I503" s="26" t="s">
        <v>47</v>
      </c>
      <c r="J503" s="15" t="s">
        <v>36</v>
      </c>
      <c r="K503" s="15">
        <v>688</v>
      </c>
      <c r="L503" s="16">
        <v>45361</v>
      </c>
      <c r="M503" s="17">
        <v>3</v>
      </c>
      <c r="N503" s="27">
        <v>90502</v>
      </c>
      <c r="O503" s="27" t="s">
        <v>29</v>
      </c>
      <c r="P503" s="28">
        <v>45352</v>
      </c>
      <c r="Q503" s="29">
        <v>0.82221</v>
      </c>
      <c r="R503" s="30">
        <v>70502</v>
      </c>
      <c r="S503" s="27" t="s">
        <v>41</v>
      </c>
      <c r="T503" s="29">
        <v>189544.42327999999</v>
      </c>
      <c r="U503" s="27" t="s">
        <v>31</v>
      </c>
      <c r="V503" s="28">
        <v>45392</v>
      </c>
      <c r="W503" s="27" t="s">
        <v>38</v>
      </c>
      <c r="X503" s="28">
        <v>45376</v>
      </c>
      <c r="Y503" s="27" t="s">
        <v>33</v>
      </c>
      <c r="Z503" s="43" t="e">
        <f>TEXT([1]!Table64[[#This Row],[Order date]],"mmm-yyyy")</f>
        <v>#REF!</v>
      </c>
    </row>
    <row r="504" spans="1:26" x14ac:dyDescent="0.3">
      <c r="A504" s="10">
        <v>10503</v>
      </c>
      <c r="B504" s="11">
        <v>6347</v>
      </c>
      <c r="C504" s="11" t="s">
        <v>34</v>
      </c>
      <c r="D504" s="12">
        <v>14571.88</v>
      </c>
      <c r="E504" s="11">
        <v>55</v>
      </c>
      <c r="F504" s="11" t="s">
        <v>35</v>
      </c>
      <c r="G504" s="13">
        <v>45361</v>
      </c>
      <c r="H504" s="12">
        <v>140069.01999999999</v>
      </c>
      <c r="I504" s="14" t="s">
        <v>47</v>
      </c>
      <c r="J504" s="15" t="s">
        <v>28</v>
      </c>
      <c r="K504" s="15">
        <v>283</v>
      </c>
      <c r="L504" s="16">
        <v>45332</v>
      </c>
      <c r="M504" s="17">
        <v>6</v>
      </c>
      <c r="N504" s="18">
        <v>90503</v>
      </c>
      <c r="O504" s="18" t="s">
        <v>29</v>
      </c>
      <c r="P504" s="19">
        <v>45430</v>
      </c>
      <c r="Q504" s="20">
        <v>0.76302000000000003</v>
      </c>
      <c r="R504" s="21">
        <v>70503</v>
      </c>
      <c r="S504" s="18" t="s">
        <v>41</v>
      </c>
      <c r="T504" s="20">
        <v>159537.8768</v>
      </c>
      <c r="U504" s="18" t="s">
        <v>42</v>
      </c>
      <c r="V504" s="19">
        <v>45392</v>
      </c>
      <c r="W504" s="18" t="s">
        <v>32</v>
      </c>
      <c r="X504" s="19">
        <v>45384</v>
      </c>
      <c r="Y504" s="18" t="s">
        <v>33</v>
      </c>
      <c r="Z504" s="43" t="e">
        <f>TEXT([1]!Table64[[#This Row],[Order date]],"mmm-yyyy")</f>
        <v>#REF!</v>
      </c>
    </row>
    <row r="505" spans="1:26" x14ac:dyDescent="0.3">
      <c r="A505" s="22">
        <v>10504</v>
      </c>
      <c r="B505" s="23">
        <v>6896</v>
      </c>
      <c r="C505" s="23" t="s">
        <v>25</v>
      </c>
      <c r="D505" s="24">
        <v>40815.449999999997</v>
      </c>
      <c r="E505" s="23">
        <v>1</v>
      </c>
      <c r="F505" s="23" t="s">
        <v>35</v>
      </c>
      <c r="G505" s="25">
        <v>45337</v>
      </c>
      <c r="H505" s="24">
        <v>59745.01</v>
      </c>
      <c r="I505" s="26" t="s">
        <v>47</v>
      </c>
      <c r="J505" s="15" t="s">
        <v>49</v>
      </c>
      <c r="K505" s="15">
        <v>1282</v>
      </c>
      <c r="L505" s="16">
        <v>45361</v>
      </c>
      <c r="M505" s="17">
        <v>7</v>
      </c>
      <c r="N505" s="27">
        <v>90504</v>
      </c>
      <c r="O505" s="27" t="s">
        <v>40</v>
      </c>
      <c r="P505" s="28">
        <v>45352</v>
      </c>
      <c r="Q505" s="29">
        <v>0.36758999999999997</v>
      </c>
      <c r="R505" s="30">
        <v>70504</v>
      </c>
      <c r="S505" s="27" t="s">
        <v>41</v>
      </c>
      <c r="T505" s="29">
        <v>111660.54240000001</v>
      </c>
      <c r="U505" s="27" t="s">
        <v>42</v>
      </c>
      <c r="V505" s="28">
        <v>45422</v>
      </c>
      <c r="W505" s="27" t="s">
        <v>38</v>
      </c>
      <c r="X505" s="28">
        <v>45384</v>
      </c>
      <c r="Y505" s="27" t="s">
        <v>33</v>
      </c>
      <c r="Z505" s="43" t="e">
        <f>TEXT([1]!Table64[[#This Row],[Order date]],"mmm-yyyy")</f>
        <v>#REF!</v>
      </c>
    </row>
    <row r="506" spans="1:26" x14ac:dyDescent="0.3">
      <c r="A506" s="10">
        <v>10505</v>
      </c>
      <c r="B506" s="11">
        <v>5686</v>
      </c>
      <c r="C506" s="11" t="s">
        <v>34</v>
      </c>
      <c r="D506" s="12">
        <v>71804.19</v>
      </c>
      <c r="E506" s="11">
        <v>72</v>
      </c>
      <c r="F506" s="11" t="s">
        <v>26</v>
      </c>
      <c r="G506" s="13">
        <v>45361</v>
      </c>
      <c r="H506" s="12">
        <v>87311.32</v>
      </c>
      <c r="I506" s="14" t="s">
        <v>47</v>
      </c>
      <c r="J506" s="15" t="s">
        <v>49</v>
      </c>
      <c r="K506" s="15">
        <v>654</v>
      </c>
      <c r="L506" s="16">
        <v>45397</v>
      </c>
      <c r="M506" s="17">
        <v>1</v>
      </c>
      <c r="N506" s="18">
        <v>90505</v>
      </c>
      <c r="O506" s="18" t="s">
        <v>50</v>
      </c>
      <c r="P506" s="19">
        <v>45352</v>
      </c>
      <c r="Q506" s="20">
        <v>0.15271000000000001</v>
      </c>
      <c r="R506" s="21">
        <v>70505</v>
      </c>
      <c r="S506" s="18" t="s">
        <v>41</v>
      </c>
      <c r="T506" s="20">
        <v>79439.343840000001</v>
      </c>
      <c r="U506" s="18" t="s">
        <v>48</v>
      </c>
      <c r="V506" s="19">
        <v>45392</v>
      </c>
      <c r="W506" s="18" t="s">
        <v>32</v>
      </c>
      <c r="X506" s="19">
        <v>45376</v>
      </c>
      <c r="Y506" s="18" t="s">
        <v>33</v>
      </c>
      <c r="Z506" s="43" t="e">
        <f>TEXT([1]!Table64[[#This Row],[Order date]],"mmm-yyyy")</f>
        <v>#REF!</v>
      </c>
    </row>
    <row r="507" spans="1:26" x14ac:dyDescent="0.3">
      <c r="A507" s="22">
        <v>10506</v>
      </c>
      <c r="B507" s="23">
        <v>6816</v>
      </c>
      <c r="C507" s="23" t="s">
        <v>34</v>
      </c>
      <c r="D507" s="24">
        <v>86897.39</v>
      </c>
      <c r="E507" s="23">
        <v>87</v>
      </c>
      <c r="F507" s="23" t="s">
        <v>43</v>
      </c>
      <c r="G507" s="25">
        <v>45306</v>
      </c>
      <c r="H507" s="24">
        <v>139236.98000000001</v>
      </c>
      <c r="I507" s="26" t="s">
        <v>47</v>
      </c>
      <c r="J507" s="15" t="s">
        <v>28</v>
      </c>
      <c r="K507" s="15">
        <v>143</v>
      </c>
      <c r="L507" s="16">
        <v>45361</v>
      </c>
      <c r="M507" s="17">
        <v>12</v>
      </c>
      <c r="N507" s="27">
        <v>90506</v>
      </c>
      <c r="O507" s="27" t="s">
        <v>40</v>
      </c>
      <c r="P507" s="28">
        <v>45383</v>
      </c>
      <c r="Q507" s="29">
        <v>0.2283</v>
      </c>
      <c r="R507" s="30">
        <v>70506</v>
      </c>
      <c r="S507" s="27" t="s">
        <v>30</v>
      </c>
      <c r="T507" s="29">
        <v>103881.5325</v>
      </c>
      <c r="U507" s="27" t="s">
        <v>48</v>
      </c>
      <c r="V507" s="28">
        <v>45444</v>
      </c>
      <c r="W507" s="27" t="s">
        <v>32</v>
      </c>
      <c r="X507" s="28">
        <v>45376</v>
      </c>
      <c r="Y507" s="27" t="s">
        <v>33</v>
      </c>
      <c r="Z507" s="43" t="e">
        <f>TEXT([1]!Table64[[#This Row],[Order date]],"mmm-yyyy")</f>
        <v>#REF!</v>
      </c>
    </row>
    <row r="508" spans="1:26" x14ac:dyDescent="0.3">
      <c r="A508" s="10">
        <v>10507</v>
      </c>
      <c r="B508" s="11">
        <v>5626</v>
      </c>
      <c r="C508" s="11" t="s">
        <v>34</v>
      </c>
      <c r="D508" s="12">
        <v>78789.820000000007</v>
      </c>
      <c r="E508" s="11">
        <v>38</v>
      </c>
      <c r="F508" s="11" t="s">
        <v>35</v>
      </c>
      <c r="G508" s="13">
        <v>45383</v>
      </c>
      <c r="H508" s="12">
        <v>139671.4</v>
      </c>
      <c r="I508" s="14" t="s">
        <v>44</v>
      </c>
      <c r="J508" s="15" t="s">
        <v>28</v>
      </c>
      <c r="K508" s="15">
        <v>376</v>
      </c>
      <c r="L508" s="16">
        <v>45361</v>
      </c>
      <c r="M508" s="17">
        <v>2</v>
      </c>
      <c r="N508" s="18">
        <v>90507</v>
      </c>
      <c r="O508" s="18" t="s">
        <v>29</v>
      </c>
      <c r="P508" s="19">
        <v>45383</v>
      </c>
      <c r="Q508" s="20">
        <v>0.85446</v>
      </c>
      <c r="R508" s="21">
        <v>70507</v>
      </c>
      <c r="S508" s="18" t="s">
        <v>41</v>
      </c>
      <c r="T508" s="20">
        <v>67447.144409999994</v>
      </c>
      <c r="U508" s="18" t="s">
        <v>48</v>
      </c>
      <c r="V508" s="19">
        <v>45444</v>
      </c>
      <c r="W508" s="18" t="s">
        <v>32</v>
      </c>
      <c r="X508" s="19">
        <v>45384</v>
      </c>
      <c r="Y508" s="18" t="s">
        <v>39</v>
      </c>
      <c r="Z508" s="43" t="e">
        <f>TEXT([1]!Table64[[#This Row],[Order date]],"mmm-yyyy")</f>
        <v>#REF!</v>
      </c>
    </row>
    <row r="509" spans="1:26" x14ac:dyDescent="0.3">
      <c r="A509" s="22">
        <v>10508</v>
      </c>
      <c r="B509" s="23">
        <v>6312</v>
      </c>
      <c r="C509" s="23" t="s">
        <v>34</v>
      </c>
      <c r="D509" s="24">
        <v>33967.370000000003</v>
      </c>
      <c r="E509" s="23">
        <v>6</v>
      </c>
      <c r="F509" s="23" t="s">
        <v>26</v>
      </c>
      <c r="G509" s="25">
        <v>45383</v>
      </c>
      <c r="H509" s="24">
        <v>137641.93</v>
      </c>
      <c r="I509" s="26" t="s">
        <v>44</v>
      </c>
      <c r="J509" s="15" t="s">
        <v>49</v>
      </c>
      <c r="K509" s="15">
        <v>274</v>
      </c>
      <c r="L509" s="16">
        <v>45332</v>
      </c>
      <c r="M509" s="17">
        <v>12</v>
      </c>
      <c r="N509" s="27">
        <v>90508</v>
      </c>
      <c r="O509" s="27" t="s">
        <v>29</v>
      </c>
      <c r="P509" s="28">
        <v>45430</v>
      </c>
      <c r="Q509" s="29">
        <v>0.75809000000000004</v>
      </c>
      <c r="R509" s="30">
        <v>70508</v>
      </c>
      <c r="S509" s="27" t="s">
        <v>30</v>
      </c>
      <c r="T509" s="29">
        <v>63848.521399999998</v>
      </c>
      <c r="U509" s="27" t="s">
        <v>42</v>
      </c>
      <c r="V509" s="28">
        <v>45444</v>
      </c>
      <c r="W509" s="27" t="s">
        <v>32</v>
      </c>
      <c r="X509" s="28">
        <v>45376</v>
      </c>
      <c r="Y509" s="27" t="s">
        <v>39</v>
      </c>
      <c r="Z509" s="43" t="e">
        <f>TEXT([1]!Table64[[#This Row],[Order date]],"mmm-yyyy")</f>
        <v>#REF!</v>
      </c>
    </row>
    <row r="510" spans="1:26" x14ac:dyDescent="0.3">
      <c r="A510" s="10">
        <v>10509</v>
      </c>
      <c r="B510" s="11">
        <v>6967</v>
      </c>
      <c r="C510" s="11" t="s">
        <v>34</v>
      </c>
      <c r="D510" s="12">
        <v>74576.92</v>
      </c>
      <c r="E510" s="11">
        <v>86</v>
      </c>
      <c r="F510" s="11" t="s">
        <v>46</v>
      </c>
      <c r="G510" s="13">
        <v>45361</v>
      </c>
      <c r="H510" s="12">
        <v>80721.649999999994</v>
      </c>
      <c r="I510" s="14" t="s">
        <v>47</v>
      </c>
      <c r="J510" s="15" t="s">
        <v>36</v>
      </c>
      <c r="K510" s="15">
        <v>1016</v>
      </c>
      <c r="L510" s="16">
        <v>45397</v>
      </c>
      <c r="M510" s="17">
        <v>4</v>
      </c>
      <c r="N510" s="18">
        <v>90509</v>
      </c>
      <c r="O510" s="18" t="s">
        <v>37</v>
      </c>
      <c r="P510" s="19">
        <v>45430</v>
      </c>
      <c r="Q510" s="20">
        <v>0.69789999999999996</v>
      </c>
      <c r="R510" s="21">
        <v>70509</v>
      </c>
      <c r="S510" s="18" t="s">
        <v>30</v>
      </c>
      <c r="T510" s="20">
        <v>68403.473929999993</v>
      </c>
      <c r="U510" s="18" t="s">
        <v>31</v>
      </c>
      <c r="V510" s="19">
        <v>45392</v>
      </c>
      <c r="W510" s="18" t="s">
        <v>32</v>
      </c>
      <c r="X510" s="19">
        <v>45384</v>
      </c>
      <c r="Y510" s="18" t="s">
        <v>33</v>
      </c>
      <c r="Z510" s="43" t="e">
        <f>TEXT([1]!Table64[[#This Row],[Order date]],"mmm-yyyy")</f>
        <v>#REF!</v>
      </c>
    </row>
    <row r="511" spans="1:26" x14ac:dyDescent="0.3">
      <c r="A511" s="22">
        <v>10510</v>
      </c>
      <c r="B511" s="23">
        <v>5854</v>
      </c>
      <c r="C511" s="23" t="s">
        <v>34</v>
      </c>
      <c r="D511" s="24">
        <v>76787.31</v>
      </c>
      <c r="E511" s="23">
        <v>25</v>
      </c>
      <c r="F511" s="23" t="s">
        <v>46</v>
      </c>
      <c r="G511" s="25">
        <v>45337</v>
      </c>
      <c r="H511" s="24">
        <v>43080.27</v>
      </c>
      <c r="I511" s="26" t="s">
        <v>44</v>
      </c>
      <c r="J511" s="15" t="s">
        <v>28</v>
      </c>
      <c r="K511" s="15">
        <v>939</v>
      </c>
      <c r="L511" s="16">
        <v>45361</v>
      </c>
      <c r="M511" s="17">
        <v>13</v>
      </c>
      <c r="N511" s="27">
        <v>90510</v>
      </c>
      <c r="O511" s="27" t="s">
        <v>50</v>
      </c>
      <c r="P511" s="28">
        <v>45383</v>
      </c>
      <c r="Q511" s="29">
        <v>0.21758</v>
      </c>
      <c r="R511" s="30">
        <v>70510</v>
      </c>
      <c r="S511" s="27" t="s">
        <v>41</v>
      </c>
      <c r="T511" s="29">
        <v>97153.004499999995</v>
      </c>
      <c r="U511" s="27" t="s">
        <v>31</v>
      </c>
      <c r="V511" s="28">
        <v>45444</v>
      </c>
      <c r="W511" s="27" t="s">
        <v>32</v>
      </c>
      <c r="X511" s="28">
        <v>45376</v>
      </c>
      <c r="Y511" s="27" t="s">
        <v>33</v>
      </c>
      <c r="Z511" s="43" t="e">
        <f>TEXT([1]!Table64[[#This Row],[Order date]],"mmm-yyyy")</f>
        <v>#REF!</v>
      </c>
    </row>
    <row r="512" spans="1:26" x14ac:dyDescent="0.3">
      <c r="A512" s="10">
        <v>10511</v>
      </c>
      <c r="B512" s="11">
        <v>6687</v>
      </c>
      <c r="C512" s="11" t="s">
        <v>25</v>
      </c>
      <c r="D512" s="12">
        <v>12228.52</v>
      </c>
      <c r="E512" s="11">
        <v>82</v>
      </c>
      <c r="F512" s="11" t="s">
        <v>35</v>
      </c>
      <c r="G512" s="13">
        <v>45306</v>
      </c>
      <c r="H512" s="12">
        <v>142231.35999999999</v>
      </c>
      <c r="I512" s="14" t="s">
        <v>44</v>
      </c>
      <c r="J512" s="15" t="s">
        <v>49</v>
      </c>
      <c r="K512" s="15">
        <v>60</v>
      </c>
      <c r="L512" s="16">
        <v>45332</v>
      </c>
      <c r="M512" s="17">
        <v>8</v>
      </c>
      <c r="N512" s="18">
        <v>90511</v>
      </c>
      <c r="O512" s="18" t="s">
        <v>40</v>
      </c>
      <c r="P512" s="19">
        <v>45352</v>
      </c>
      <c r="Q512" s="20">
        <v>0.67593999999999999</v>
      </c>
      <c r="R512" s="21">
        <v>70511</v>
      </c>
      <c r="S512" s="18" t="s">
        <v>41</v>
      </c>
      <c r="T512" s="20">
        <v>173422.25630000001</v>
      </c>
      <c r="U512" s="18" t="s">
        <v>48</v>
      </c>
      <c r="V512" s="19">
        <v>45422</v>
      </c>
      <c r="W512" s="18" t="s">
        <v>38</v>
      </c>
      <c r="X512" s="19">
        <v>45384</v>
      </c>
      <c r="Y512" s="18" t="s">
        <v>33</v>
      </c>
      <c r="Z512" s="43" t="e">
        <f>TEXT([1]!Table64[[#This Row],[Order date]],"mmm-yyyy")</f>
        <v>#REF!</v>
      </c>
    </row>
    <row r="513" spans="1:26" x14ac:dyDescent="0.3">
      <c r="A513" s="22">
        <v>10512</v>
      </c>
      <c r="B513" s="23">
        <v>5962</v>
      </c>
      <c r="C513" s="23" t="s">
        <v>34</v>
      </c>
      <c r="D513" s="24">
        <v>26840.45</v>
      </c>
      <c r="E513" s="23">
        <v>17</v>
      </c>
      <c r="F513" s="23" t="s">
        <v>46</v>
      </c>
      <c r="G513" s="25">
        <v>45337</v>
      </c>
      <c r="H513" s="24">
        <v>87879.63</v>
      </c>
      <c r="I513" s="26" t="s">
        <v>47</v>
      </c>
      <c r="J513" s="15" t="s">
        <v>49</v>
      </c>
      <c r="K513" s="15">
        <v>1402</v>
      </c>
      <c r="L513" s="16">
        <v>45361</v>
      </c>
      <c r="M513" s="17">
        <v>11</v>
      </c>
      <c r="N513" s="27">
        <v>90512</v>
      </c>
      <c r="O513" s="27" t="s">
        <v>29</v>
      </c>
      <c r="P513" s="28">
        <v>45383</v>
      </c>
      <c r="Q513" s="29">
        <v>0.79493999999999998</v>
      </c>
      <c r="R513" s="30">
        <v>70512</v>
      </c>
      <c r="S513" s="27" t="s">
        <v>45</v>
      </c>
      <c r="T513" s="29">
        <v>214618.58009999999</v>
      </c>
      <c r="U513" s="27" t="s">
        <v>31</v>
      </c>
      <c r="V513" s="28">
        <v>45392</v>
      </c>
      <c r="W513" s="27" t="s">
        <v>38</v>
      </c>
      <c r="X513" s="28">
        <v>45376</v>
      </c>
      <c r="Y513" s="27" t="s">
        <v>39</v>
      </c>
      <c r="Z513" s="43" t="e">
        <f>TEXT([1]!Table64[[#This Row],[Order date]],"mmm-yyyy")</f>
        <v>#REF!</v>
      </c>
    </row>
    <row r="514" spans="1:26" x14ac:dyDescent="0.3">
      <c r="A514" s="10">
        <v>10513</v>
      </c>
      <c r="B514" s="11">
        <v>6663</v>
      </c>
      <c r="C514" s="11" t="s">
        <v>34</v>
      </c>
      <c r="D514" s="12">
        <v>75750.13</v>
      </c>
      <c r="E514" s="11">
        <v>61</v>
      </c>
      <c r="F514" s="11" t="s">
        <v>43</v>
      </c>
      <c r="G514" s="13">
        <v>45306</v>
      </c>
      <c r="H514" s="12">
        <v>113939.66</v>
      </c>
      <c r="I514" s="14" t="s">
        <v>27</v>
      </c>
      <c r="J514" s="15" t="s">
        <v>36</v>
      </c>
      <c r="K514" s="15">
        <v>1085</v>
      </c>
      <c r="L514" s="16">
        <v>45332</v>
      </c>
      <c r="M514" s="17">
        <v>13</v>
      </c>
      <c r="N514" s="18">
        <v>90513</v>
      </c>
      <c r="O514" s="18" t="s">
        <v>29</v>
      </c>
      <c r="P514" s="19">
        <v>45430</v>
      </c>
      <c r="Q514" s="20">
        <v>0.87453999999999998</v>
      </c>
      <c r="R514" s="21">
        <v>70513</v>
      </c>
      <c r="S514" s="18" t="s">
        <v>41</v>
      </c>
      <c r="T514" s="20">
        <v>150122.18150000001</v>
      </c>
      <c r="U514" s="18" t="s">
        <v>42</v>
      </c>
      <c r="V514" s="19">
        <v>45444</v>
      </c>
      <c r="W514" s="18" t="s">
        <v>38</v>
      </c>
      <c r="X514" s="19">
        <v>45376</v>
      </c>
      <c r="Y514" s="18" t="s">
        <v>33</v>
      </c>
      <c r="Z514" s="43" t="e">
        <f>TEXT([1]!Table64[[#This Row],[Order date]],"mmm-yyyy")</f>
        <v>#REF!</v>
      </c>
    </row>
    <row r="515" spans="1:26" x14ac:dyDescent="0.3">
      <c r="A515" s="22">
        <v>10514</v>
      </c>
      <c r="B515" s="23">
        <v>5155</v>
      </c>
      <c r="C515" s="23" t="s">
        <v>34</v>
      </c>
      <c r="D515" s="24">
        <v>94427.47</v>
      </c>
      <c r="E515" s="23">
        <v>12</v>
      </c>
      <c r="F515" s="23" t="s">
        <v>46</v>
      </c>
      <c r="G515" s="25">
        <v>45361</v>
      </c>
      <c r="H515" s="24">
        <v>12015.78</v>
      </c>
      <c r="I515" s="26" t="s">
        <v>44</v>
      </c>
      <c r="J515" s="15" t="s">
        <v>36</v>
      </c>
      <c r="K515" s="15">
        <v>84</v>
      </c>
      <c r="L515" s="16">
        <v>45332</v>
      </c>
      <c r="M515" s="17">
        <v>14</v>
      </c>
      <c r="N515" s="27">
        <v>90514</v>
      </c>
      <c r="O515" s="27" t="s">
        <v>29</v>
      </c>
      <c r="P515" s="28">
        <v>45352</v>
      </c>
      <c r="Q515" s="29">
        <v>0.11191</v>
      </c>
      <c r="R515" s="30">
        <v>70514</v>
      </c>
      <c r="S515" s="27" t="s">
        <v>45</v>
      </c>
      <c r="T515" s="29">
        <v>66104.052800000005</v>
      </c>
      <c r="U515" s="27" t="s">
        <v>31</v>
      </c>
      <c r="V515" s="28">
        <v>45444</v>
      </c>
      <c r="W515" s="27" t="s">
        <v>32</v>
      </c>
      <c r="X515" s="28">
        <v>45376</v>
      </c>
      <c r="Y515" s="27" t="s">
        <v>39</v>
      </c>
      <c r="Z515" s="43" t="e">
        <f>TEXT([1]!Table64[[#This Row],[Order date]],"mmm-yyyy")</f>
        <v>#REF!</v>
      </c>
    </row>
    <row r="516" spans="1:26" x14ac:dyDescent="0.3">
      <c r="A516" s="10">
        <v>10515</v>
      </c>
      <c r="B516" s="11">
        <v>5490</v>
      </c>
      <c r="C516" s="11" t="s">
        <v>25</v>
      </c>
      <c r="D516" s="12">
        <v>35708.89</v>
      </c>
      <c r="E516" s="11">
        <v>6</v>
      </c>
      <c r="F516" s="11" t="s">
        <v>46</v>
      </c>
      <c r="G516" s="13">
        <v>45306</v>
      </c>
      <c r="H516" s="12">
        <v>128993.7</v>
      </c>
      <c r="I516" s="14" t="s">
        <v>27</v>
      </c>
      <c r="J516" s="15" t="s">
        <v>36</v>
      </c>
      <c r="K516" s="15">
        <v>496</v>
      </c>
      <c r="L516" s="16">
        <v>45361</v>
      </c>
      <c r="M516" s="17">
        <v>10</v>
      </c>
      <c r="N516" s="18">
        <v>90515</v>
      </c>
      <c r="O516" s="18" t="s">
        <v>40</v>
      </c>
      <c r="P516" s="19">
        <v>45352</v>
      </c>
      <c r="Q516" s="20">
        <v>0.71603000000000006</v>
      </c>
      <c r="R516" s="21">
        <v>70515</v>
      </c>
      <c r="S516" s="18" t="s">
        <v>41</v>
      </c>
      <c r="T516" s="20">
        <v>151789.88866</v>
      </c>
      <c r="U516" s="18" t="s">
        <v>42</v>
      </c>
      <c r="V516" s="19">
        <v>45392</v>
      </c>
      <c r="W516" s="18" t="s">
        <v>38</v>
      </c>
      <c r="X516" s="19">
        <v>45376</v>
      </c>
      <c r="Y516" s="18" t="s">
        <v>33</v>
      </c>
      <c r="Z516" s="43" t="e">
        <f>TEXT([1]!Table64[[#This Row],[Order date]],"mmm-yyyy")</f>
        <v>#REF!</v>
      </c>
    </row>
    <row r="517" spans="1:26" x14ac:dyDescent="0.3">
      <c r="A517" s="22">
        <v>10516</v>
      </c>
      <c r="B517" s="23">
        <v>6410</v>
      </c>
      <c r="C517" s="23" t="s">
        <v>25</v>
      </c>
      <c r="D517" s="24">
        <v>89514.45</v>
      </c>
      <c r="E517" s="23">
        <v>90</v>
      </c>
      <c r="F517" s="23" t="s">
        <v>43</v>
      </c>
      <c r="G517" s="25">
        <v>45306</v>
      </c>
      <c r="H517" s="24">
        <v>145307.53</v>
      </c>
      <c r="I517" s="26" t="s">
        <v>44</v>
      </c>
      <c r="J517" s="15" t="s">
        <v>36</v>
      </c>
      <c r="K517" s="15">
        <v>1293</v>
      </c>
      <c r="L517" s="16">
        <v>45397</v>
      </c>
      <c r="M517" s="17">
        <v>6</v>
      </c>
      <c r="N517" s="27">
        <v>90516</v>
      </c>
      <c r="O517" s="27" t="s">
        <v>40</v>
      </c>
      <c r="P517" s="28">
        <v>45352</v>
      </c>
      <c r="Q517" s="29">
        <v>0.11719</v>
      </c>
      <c r="R517" s="30">
        <v>70516</v>
      </c>
      <c r="S517" s="27" t="s">
        <v>41</v>
      </c>
      <c r="T517" s="29">
        <v>183568.50330000001</v>
      </c>
      <c r="U517" s="27" t="s">
        <v>48</v>
      </c>
      <c r="V517" s="28">
        <v>45392</v>
      </c>
      <c r="W517" s="27" t="s">
        <v>38</v>
      </c>
      <c r="X517" s="28">
        <v>45376</v>
      </c>
      <c r="Y517" s="27" t="s">
        <v>33</v>
      </c>
      <c r="Z517" s="43" t="e">
        <f>TEXT([1]!Table64[[#This Row],[Order date]],"mmm-yyyy")</f>
        <v>#REF!</v>
      </c>
    </row>
    <row r="518" spans="1:26" x14ac:dyDescent="0.3">
      <c r="A518" s="10">
        <v>10517</v>
      </c>
      <c r="B518" s="11">
        <v>5785</v>
      </c>
      <c r="C518" s="11" t="s">
        <v>34</v>
      </c>
      <c r="D518" s="12">
        <v>66333.73</v>
      </c>
      <c r="E518" s="11">
        <v>27</v>
      </c>
      <c r="F518" s="11" t="s">
        <v>35</v>
      </c>
      <c r="G518" s="13">
        <v>45361</v>
      </c>
      <c r="H518" s="12">
        <v>39750.36</v>
      </c>
      <c r="I518" s="14" t="s">
        <v>44</v>
      </c>
      <c r="J518" s="15" t="s">
        <v>36</v>
      </c>
      <c r="K518" s="15">
        <v>490</v>
      </c>
      <c r="L518" s="16">
        <v>45397</v>
      </c>
      <c r="M518" s="17">
        <v>1</v>
      </c>
      <c r="N518" s="18">
        <v>90517</v>
      </c>
      <c r="O518" s="18" t="s">
        <v>50</v>
      </c>
      <c r="P518" s="19">
        <v>45383</v>
      </c>
      <c r="Q518" s="20">
        <v>0.73619000000000001</v>
      </c>
      <c r="R518" s="21">
        <v>70517</v>
      </c>
      <c r="S518" s="18" t="s">
        <v>41</v>
      </c>
      <c r="T518" s="20">
        <v>100167.75077</v>
      </c>
      <c r="U518" s="18" t="s">
        <v>31</v>
      </c>
      <c r="V518" s="19">
        <v>45422</v>
      </c>
      <c r="W518" s="18" t="s">
        <v>38</v>
      </c>
      <c r="X518" s="19">
        <v>45376</v>
      </c>
      <c r="Y518" s="18" t="s">
        <v>39</v>
      </c>
      <c r="Z518" s="43" t="e">
        <f>TEXT([1]!Table64[[#This Row],[Order date]],"mmm-yyyy")</f>
        <v>#REF!</v>
      </c>
    </row>
    <row r="519" spans="1:26" x14ac:dyDescent="0.3">
      <c r="A519" s="22">
        <v>10518</v>
      </c>
      <c r="B519" s="23">
        <v>6128</v>
      </c>
      <c r="C519" s="23" t="s">
        <v>34</v>
      </c>
      <c r="D519" s="24">
        <v>88632.22</v>
      </c>
      <c r="E519" s="23">
        <v>8</v>
      </c>
      <c r="F519" s="23" t="s">
        <v>35</v>
      </c>
      <c r="G519" s="25">
        <v>45337</v>
      </c>
      <c r="H519" s="24">
        <v>86616.93</v>
      </c>
      <c r="I519" s="26" t="s">
        <v>47</v>
      </c>
      <c r="J519" s="15" t="s">
        <v>28</v>
      </c>
      <c r="K519" s="15">
        <v>702</v>
      </c>
      <c r="L519" s="16">
        <v>45332</v>
      </c>
      <c r="M519" s="17">
        <v>10</v>
      </c>
      <c r="N519" s="27">
        <v>90518</v>
      </c>
      <c r="O519" s="27" t="s">
        <v>37</v>
      </c>
      <c r="P519" s="28">
        <v>45383</v>
      </c>
      <c r="Q519" s="29">
        <v>0.67205999999999999</v>
      </c>
      <c r="R519" s="30">
        <v>70518</v>
      </c>
      <c r="S519" s="27" t="s">
        <v>30</v>
      </c>
      <c r="T519" s="29">
        <v>106552.8116</v>
      </c>
      <c r="U519" s="27" t="s">
        <v>42</v>
      </c>
      <c r="V519" s="28">
        <v>45392</v>
      </c>
      <c r="W519" s="27" t="s">
        <v>32</v>
      </c>
      <c r="X519" s="28">
        <v>45376</v>
      </c>
      <c r="Y519" s="27" t="s">
        <v>33</v>
      </c>
      <c r="Z519" s="43" t="e">
        <f>TEXT([1]!Table64[[#This Row],[Order date]],"mmm-yyyy")</f>
        <v>#REF!</v>
      </c>
    </row>
    <row r="520" spans="1:26" x14ac:dyDescent="0.3">
      <c r="A520" s="10">
        <v>10519</v>
      </c>
      <c r="B520" s="11">
        <v>6953</v>
      </c>
      <c r="C520" s="11" t="s">
        <v>25</v>
      </c>
      <c r="D520" s="12">
        <v>11773.36</v>
      </c>
      <c r="E520" s="11">
        <v>83</v>
      </c>
      <c r="F520" s="11" t="s">
        <v>43</v>
      </c>
      <c r="G520" s="13">
        <v>45361</v>
      </c>
      <c r="H520" s="12">
        <v>71085.55</v>
      </c>
      <c r="I520" s="14" t="s">
        <v>44</v>
      </c>
      <c r="J520" s="15" t="s">
        <v>49</v>
      </c>
      <c r="K520" s="15">
        <v>644</v>
      </c>
      <c r="L520" s="16">
        <v>45397</v>
      </c>
      <c r="M520" s="17">
        <v>5</v>
      </c>
      <c r="N520" s="18">
        <v>90519</v>
      </c>
      <c r="O520" s="18" t="s">
        <v>37</v>
      </c>
      <c r="P520" s="19">
        <v>45430</v>
      </c>
      <c r="Q520" s="20">
        <v>0.23351</v>
      </c>
      <c r="R520" s="21">
        <v>70519</v>
      </c>
      <c r="S520" s="18" t="s">
        <v>30</v>
      </c>
      <c r="T520" s="20">
        <v>128529.09600000001</v>
      </c>
      <c r="U520" s="18" t="s">
        <v>48</v>
      </c>
      <c r="V520" s="19">
        <v>45444</v>
      </c>
      <c r="W520" s="18" t="s">
        <v>32</v>
      </c>
      <c r="X520" s="19">
        <v>45376</v>
      </c>
      <c r="Y520" s="18" t="s">
        <v>39</v>
      </c>
      <c r="Z520" s="43" t="e">
        <f>TEXT([1]!Table64[[#This Row],[Order date]],"mmm-yyyy")</f>
        <v>#REF!</v>
      </c>
    </row>
    <row r="521" spans="1:26" x14ac:dyDescent="0.3">
      <c r="A521" s="22">
        <v>10520</v>
      </c>
      <c r="B521" s="23">
        <v>6417</v>
      </c>
      <c r="C521" s="23" t="s">
        <v>34</v>
      </c>
      <c r="D521" s="24">
        <v>14902.62</v>
      </c>
      <c r="E521" s="23">
        <v>65</v>
      </c>
      <c r="F521" s="23" t="s">
        <v>43</v>
      </c>
      <c r="G521" s="25">
        <v>45306</v>
      </c>
      <c r="H521" s="24">
        <v>174639.18</v>
      </c>
      <c r="I521" s="26" t="s">
        <v>44</v>
      </c>
      <c r="J521" s="15" t="s">
        <v>28</v>
      </c>
      <c r="K521" s="15">
        <v>278</v>
      </c>
      <c r="L521" s="16">
        <v>45332</v>
      </c>
      <c r="M521" s="17">
        <v>7</v>
      </c>
      <c r="N521" s="27">
        <v>90520</v>
      </c>
      <c r="O521" s="27" t="s">
        <v>37</v>
      </c>
      <c r="P521" s="28">
        <v>45352</v>
      </c>
      <c r="Q521" s="29">
        <v>0.78951000000000005</v>
      </c>
      <c r="R521" s="30">
        <v>70520</v>
      </c>
      <c r="S521" s="27" t="s">
        <v>41</v>
      </c>
      <c r="T521" s="29">
        <v>109593.31320999999</v>
      </c>
      <c r="U521" s="27" t="s">
        <v>48</v>
      </c>
      <c r="V521" s="28">
        <v>45422</v>
      </c>
      <c r="W521" s="27" t="s">
        <v>38</v>
      </c>
      <c r="X521" s="28">
        <v>45376</v>
      </c>
      <c r="Y521" s="27" t="s">
        <v>33</v>
      </c>
      <c r="Z521" s="43" t="e">
        <f>TEXT([1]!Table64[[#This Row],[Order date]],"mmm-yyyy")</f>
        <v>#REF!</v>
      </c>
    </row>
    <row r="522" spans="1:26" x14ac:dyDescent="0.3">
      <c r="A522" s="10">
        <v>10521</v>
      </c>
      <c r="B522" s="11">
        <v>6835</v>
      </c>
      <c r="C522" s="11" t="s">
        <v>34</v>
      </c>
      <c r="D522" s="12">
        <v>74880.25</v>
      </c>
      <c r="E522" s="11">
        <v>57</v>
      </c>
      <c r="F522" s="11" t="s">
        <v>43</v>
      </c>
      <c r="G522" s="13">
        <v>45361</v>
      </c>
      <c r="H522" s="12">
        <v>122038.54</v>
      </c>
      <c r="I522" s="14" t="s">
        <v>44</v>
      </c>
      <c r="J522" s="15" t="s">
        <v>28</v>
      </c>
      <c r="K522" s="15">
        <v>393</v>
      </c>
      <c r="L522" s="16">
        <v>45397</v>
      </c>
      <c r="M522" s="17">
        <v>13</v>
      </c>
      <c r="N522" s="18">
        <v>90521</v>
      </c>
      <c r="O522" s="18" t="s">
        <v>29</v>
      </c>
      <c r="P522" s="19">
        <v>45352</v>
      </c>
      <c r="Q522" s="20">
        <v>0.16150999999999999</v>
      </c>
      <c r="R522" s="21">
        <v>70521</v>
      </c>
      <c r="S522" s="18" t="s">
        <v>41</v>
      </c>
      <c r="T522" s="20">
        <v>179727.76357000001</v>
      </c>
      <c r="U522" s="18" t="s">
        <v>48</v>
      </c>
      <c r="V522" s="19">
        <v>45444</v>
      </c>
      <c r="W522" s="18" t="s">
        <v>38</v>
      </c>
      <c r="X522" s="19">
        <v>45384</v>
      </c>
      <c r="Y522" s="18" t="s">
        <v>39</v>
      </c>
      <c r="Z522" s="43" t="e">
        <f>TEXT([1]!Table64[[#This Row],[Order date]],"mmm-yyyy")</f>
        <v>#REF!</v>
      </c>
    </row>
    <row r="523" spans="1:26" x14ac:dyDescent="0.3">
      <c r="A523" s="22">
        <v>10522</v>
      </c>
      <c r="B523" s="23">
        <v>5246</v>
      </c>
      <c r="C523" s="23" t="s">
        <v>34</v>
      </c>
      <c r="D523" s="24">
        <v>35459.96</v>
      </c>
      <c r="E523" s="23">
        <v>93</v>
      </c>
      <c r="F523" s="23" t="s">
        <v>46</v>
      </c>
      <c r="G523" s="25">
        <v>45306</v>
      </c>
      <c r="H523" s="24">
        <v>175364.31</v>
      </c>
      <c r="I523" s="26" t="s">
        <v>47</v>
      </c>
      <c r="J523" s="15" t="s">
        <v>28</v>
      </c>
      <c r="K523" s="15">
        <v>1153</v>
      </c>
      <c r="L523" s="16">
        <v>45361</v>
      </c>
      <c r="M523" s="17">
        <v>6</v>
      </c>
      <c r="N523" s="27">
        <v>90522</v>
      </c>
      <c r="O523" s="27" t="s">
        <v>37</v>
      </c>
      <c r="P523" s="28">
        <v>45383</v>
      </c>
      <c r="Q523" s="29">
        <v>0.84375999999999995</v>
      </c>
      <c r="R523" s="30">
        <v>70522</v>
      </c>
      <c r="S523" s="27" t="s">
        <v>41</v>
      </c>
      <c r="T523" s="29">
        <v>138368.26439999999</v>
      </c>
      <c r="U523" s="27" t="s">
        <v>48</v>
      </c>
      <c r="V523" s="28">
        <v>45444</v>
      </c>
      <c r="W523" s="27" t="s">
        <v>38</v>
      </c>
      <c r="X523" s="28">
        <v>45376</v>
      </c>
      <c r="Y523" s="27" t="s">
        <v>33</v>
      </c>
      <c r="Z523" s="43" t="e">
        <f>TEXT([1]!Table64[[#This Row],[Order date]],"mmm-yyyy")</f>
        <v>#REF!</v>
      </c>
    </row>
    <row r="524" spans="1:26" x14ac:dyDescent="0.3">
      <c r="A524" s="10">
        <v>10523</v>
      </c>
      <c r="B524" s="11">
        <v>6200</v>
      </c>
      <c r="C524" s="11" t="s">
        <v>34</v>
      </c>
      <c r="D524" s="12">
        <v>63465.440000000002</v>
      </c>
      <c r="E524" s="11">
        <v>99</v>
      </c>
      <c r="F524" s="11" t="s">
        <v>43</v>
      </c>
      <c r="G524" s="13">
        <v>45361</v>
      </c>
      <c r="H524" s="12">
        <v>122210.83</v>
      </c>
      <c r="I524" s="14" t="s">
        <v>27</v>
      </c>
      <c r="J524" s="15" t="s">
        <v>28</v>
      </c>
      <c r="K524" s="15">
        <v>1426</v>
      </c>
      <c r="L524" s="16">
        <v>45397</v>
      </c>
      <c r="M524" s="17">
        <v>13</v>
      </c>
      <c r="N524" s="18">
        <v>90523</v>
      </c>
      <c r="O524" s="18" t="s">
        <v>29</v>
      </c>
      <c r="P524" s="19">
        <v>45430</v>
      </c>
      <c r="Q524" s="20">
        <v>0.33573999999999998</v>
      </c>
      <c r="R524" s="21">
        <v>70523</v>
      </c>
      <c r="S524" s="18" t="s">
        <v>41</v>
      </c>
      <c r="T524" s="20">
        <v>197532.56200000001</v>
      </c>
      <c r="U524" s="18" t="s">
        <v>31</v>
      </c>
      <c r="V524" s="19">
        <v>45444</v>
      </c>
      <c r="W524" s="18" t="s">
        <v>38</v>
      </c>
      <c r="X524" s="19">
        <v>45376</v>
      </c>
      <c r="Y524" s="18" t="s">
        <v>39</v>
      </c>
      <c r="Z524" s="43" t="e">
        <f>TEXT([1]!Table64[[#This Row],[Order date]],"mmm-yyyy")</f>
        <v>#REF!</v>
      </c>
    </row>
    <row r="525" spans="1:26" x14ac:dyDescent="0.3">
      <c r="A525" s="22">
        <v>10524</v>
      </c>
      <c r="B525" s="23">
        <v>6063</v>
      </c>
      <c r="C525" s="23" t="s">
        <v>34</v>
      </c>
      <c r="D525" s="24">
        <v>78311.98</v>
      </c>
      <c r="E525" s="23">
        <v>40</v>
      </c>
      <c r="F525" s="23" t="s">
        <v>26</v>
      </c>
      <c r="G525" s="25">
        <v>45383</v>
      </c>
      <c r="H525" s="24">
        <v>128028.52</v>
      </c>
      <c r="I525" s="26" t="s">
        <v>27</v>
      </c>
      <c r="J525" s="15" t="s">
        <v>28</v>
      </c>
      <c r="K525" s="15">
        <v>1469</v>
      </c>
      <c r="L525" s="16">
        <v>45332</v>
      </c>
      <c r="M525" s="17">
        <v>13</v>
      </c>
      <c r="N525" s="27">
        <v>90524</v>
      </c>
      <c r="O525" s="27" t="s">
        <v>50</v>
      </c>
      <c r="P525" s="28">
        <v>45430</v>
      </c>
      <c r="Q525" s="29">
        <v>0.71997</v>
      </c>
      <c r="R525" s="30">
        <v>70524</v>
      </c>
      <c r="S525" s="27" t="s">
        <v>30</v>
      </c>
      <c r="T525" s="29">
        <v>105810.90180000001</v>
      </c>
      <c r="U525" s="27" t="s">
        <v>42</v>
      </c>
      <c r="V525" s="28">
        <v>45392</v>
      </c>
      <c r="W525" s="27" t="s">
        <v>38</v>
      </c>
      <c r="X525" s="28">
        <v>45376</v>
      </c>
      <c r="Y525" s="27" t="s">
        <v>33</v>
      </c>
      <c r="Z525" s="43" t="e">
        <f>TEXT([1]!Table64[[#This Row],[Order date]],"mmm-yyyy")</f>
        <v>#REF!</v>
      </c>
    </row>
    <row r="526" spans="1:26" x14ac:dyDescent="0.3">
      <c r="A526" s="10">
        <v>10525</v>
      </c>
      <c r="B526" s="11">
        <v>6501</v>
      </c>
      <c r="C526" s="11" t="s">
        <v>34</v>
      </c>
      <c r="D526" s="12">
        <v>27639.83</v>
      </c>
      <c r="E526" s="11">
        <v>14</v>
      </c>
      <c r="F526" s="11" t="s">
        <v>46</v>
      </c>
      <c r="G526" s="13">
        <v>45383</v>
      </c>
      <c r="H526" s="12">
        <v>52427.76</v>
      </c>
      <c r="I526" s="14" t="s">
        <v>27</v>
      </c>
      <c r="J526" s="15" t="s">
        <v>36</v>
      </c>
      <c r="K526" s="15">
        <v>1363</v>
      </c>
      <c r="L526" s="16">
        <v>45332</v>
      </c>
      <c r="M526" s="17">
        <v>12</v>
      </c>
      <c r="N526" s="18">
        <v>90525</v>
      </c>
      <c r="O526" s="18" t="s">
        <v>29</v>
      </c>
      <c r="P526" s="19">
        <v>45352</v>
      </c>
      <c r="Q526" s="20">
        <v>0.93132000000000004</v>
      </c>
      <c r="R526" s="21">
        <v>70525</v>
      </c>
      <c r="S526" s="18" t="s">
        <v>41</v>
      </c>
      <c r="T526" s="20">
        <v>106136.15125</v>
      </c>
      <c r="U526" s="18" t="s">
        <v>31</v>
      </c>
      <c r="V526" s="19">
        <v>45392</v>
      </c>
      <c r="W526" s="18" t="s">
        <v>32</v>
      </c>
      <c r="X526" s="19">
        <v>45376</v>
      </c>
      <c r="Y526" s="18" t="s">
        <v>39</v>
      </c>
      <c r="Z526" s="43" t="e">
        <f>TEXT([1]!Table64[[#This Row],[Order date]],"mmm-yyyy")</f>
        <v>#REF!</v>
      </c>
    </row>
    <row r="527" spans="1:26" x14ac:dyDescent="0.3">
      <c r="A527" s="22">
        <v>10526</v>
      </c>
      <c r="B527" s="23">
        <v>6706</v>
      </c>
      <c r="C527" s="23" t="s">
        <v>25</v>
      </c>
      <c r="D527" s="24">
        <v>65684.429999999993</v>
      </c>
      <c r="E527" s="23">
        <v>35</v>
      </c>
      <c r="F527" s="23" t="s">
        <v>35</v>
      </c>
      <c r="G527" s="25">
        <v>45361</v>
      </c>
      <c r="H527" s="24">
        <v>92944.07</v>
      </c>
      <c r="I527" s="26" t="s">
        <v>44</v>
      </c>
      <c r="J527" s="15" t="s">
        <v>36</v>
      </c>
      <c r="K527" s="15">
        <v>1038</v>
      </c>
      <c r="L527" s="16">
        <v>45397</v>
      </c>
      <c r="M527" s="17">
        <v>9</v>
      </c>
      <c r="N527" s="27">
        <v>90526</v>
      </c>
      <c r="O527" s="27" t="s">
        <v>50</v>
      </c>
      <c r="P527" s="28">
        <v>45383</v>
      </c>
      <c r="Q527" s="29">
        <v>0.40583999999999998</v>
      </c>
      <c r="R527" s="30">
        <v>70526</v>
      </c>
      <c r="S527" s="27" t="s">
        <v>30</v>
      </c>
      <c r="T527" s="29">
        <v>64285.521829999998</v>
      </c>
      <c r="U527" s="27" t="s">
        <v>42</v>
      </c>
      <c r="V527" s="28">
        <v>45444</v>
      </c>
      <c r="W527" s="27" t="s">
        <v>38</v>
      </c>
      <c r="X527" s="28">
        <v>45376</v>
      </c>
      <c r="Y527" s="27" t="s">
        <v>33</v>
      </c>
      <c r="Z527" s="43" t="e">
        <f>TEXT([1]!Table64[[#This Row],[Order date]],"mmm-yyyy")</f>
        <v>#REF!</v>
      </c>
    </row>
    <row r="528" spans="1:26" x14ac:dyDescent="0.3">
      <c r="A528" s="10">
        <v>10527</v>
      </c>
      <c r="B528" s="11">
        <v>5759</v>
      </c>
      <c r="C528" s="11" t="s">
        <v>34</v>
      </c>
      <c r="D528" s="12">
        <v>47557.75</v>
      </c>
      <c r="E528" s="11">
        <v>48</v>
      </c>
      <c r="F528" s="11" t="s">
        <v>35</v>
      </c>
      <c r="G528" s="13">
        <v>45337</v>
      </c>
      <c r="H528" s="12">
        <v>76907.460000000006</v>
      </c>
      <c r="I528" s="14" t="s">
        <v>27</v>
      </c>
      <c r="J528" s="15" t="s">
        <v>49</v>
      </c>
      <c r="K528" s="15">
        <v>1201</v>
      </c>
      <c r="L528" s="16">
        <v>45361</v>
      </c>
      <c r="M528" s="17">
        <v>8</v>
      </c>
      <c r="N528" s="18">
        <v>90527</v>
      </c>
      <c r="O528" s="18" t="s">
        <v>50</v>
      </c>
      <c r="P528" s="19">
        <v>45352</v>
      </c>
      <c r="Q528" s="20">
        <v>0.55259999999999998</v>
      </c>
      <c r="R528" s="21">
        <v>70527</v>
      </c>
      <c r="S528" s="18" t="s">
        <v>45</v>
      </c>
      <c r="T528" s="20">
        <v>95093.383199999997</v>
      </c>
      <c r="U528" s="18" t="s">
        <v>48</v>
      </c>
      <c r="V528" s="19">
        <v>45392</v>
      </c>
      <c r="W528" s="18" t="s">
        <v>38</v>
      </c>
      <c r="X528" s="19">
        <v>45384</v>
      </c>
      <c r="Y528" s="18" t="s">
        <v>33</v>
      </c>
      <c r="Z528" s="43" t="e">
        <f>TEXT([1]!Table64[[#This Row],[Order date]],"mmm-yyyy")</f>
        <v>#REF!</v>
      </c>
    </row>
    <row r="529" spans="1:26" x14ac:dyDescent="0.3">
      <c r="A529" s="22">
        <v>10528</v>
      </c>
      <c r="B529" s="23">
        <v>5538</v>
      </c>
      <c r="C529" s="23" t="s">
        <v>34</v>
      </c>
      <c r="D529" s="24">
        <v>69180.94</v>
      </c>
      <c r="E529" s="23">
        <v>84</v>
      </c>
      <c r="F529" s="23" t="s">
        <v>35</v>
      </c>
      <c r="G529" s="25">
        <v>45306</v>
      </c>
      <c r="H529" s="24">
        <v>55043.91</v>
      </c>
      <c r="I529" s="26" t="s">
        <v>27</v>
      </c>
      <c r="J529" s="15" t="s">
        <v>28</v>
      </c>
      <c r="K529" s="15">
        <v>958</v>
      </c>
      <c r="L529" s="16">
        <v>45332</v>
      </c>
      <c r="M529" s="17">
        <v>4</v>
      </c>
      <c r="N529" s="27">
        <v>90528</v>
      </c>
      <c r="O529" s="27" t="s">
        <v>37</v>
      </c>
      <c r="P529" s="28">
        <v>45383</v>
      </c>
      <c r="Q529" s="29">
        <v>0.51680999999999999</v>
      </c>
      <c r="R529" s="30">
        <v>70528</v>
      </c>
      <c r="S529" s="27" t="s">
        <v>45</v>
      </c>
      <c r="T529" s="29">
        <v>53551.923990000003</v>
      </c>
      <c r="U529" s="27" t="s">
        <v>31</v>
      </c>
      <c r="V529" s="28">
        <v>45444</v>
      </c>
      <c r="W529" s="27" t="s">
        <v>38</v>
      </c>
      <c r="X529" s="28">
        <v>45384</v>
      </c>
      <c r="Y529" s="27" t="s">
        <v>33</v>
      </c>
      <c r="Z529" s="43" t="e">
        <f>TEXT([1]!Table64[[#This Row],[Order date]],"mmm-yyyy")</f>
        <v>#REF!</v>
      </c>
    </row>
    <row r="530" spans="1:26" x14ac:dyDescent="0.3">
      <c r="A530" s="10">
        <v>10529</v>
      </c>
      <c r="B530" s="11">
        <v>6891</v>
      </c>
      <c r="C530" s="11" t="s">
        <v>34</v>
      </c>
      <c r="D530" s="12">
        <v>78224.58</v>
      </c>
      <c r="E530" s="11">
        <v>56</v>
      </c>
      <c r="F530" s="11" t="s">
        <v>46</v>
      </c>
      <c r="G530" s="13">
        <v>45383</v>
      </c>
      <c r="H530" s="12">
        <v>136826.76999999999</v>
      </c>
      <c r="I530" s="14" t="s">
        <v>47</v>
      </c>
      <c r="J530" s="15" t="s">
        <v>49</v>
      </c>
      <c r="K530" s="15">
        <v>1432</v>
      </c>
      <c r="L530" s="16">
        <v>45332</v>
      </c>
      <c r="M530" s="17">
        <v>13</v>
      </c>
      <c r="N530" s="18">
        <v>90529</v>
      </c>
      <c r="O530" s="18" t="s">
        <v>37</v>
      </c>
      <c r="P530" s="19">
        <v>45430</v>
      </c>
      <c r="Q530" s="20">
        <v>0.24185000000000001</v>
      </c>
      <c r="R530" s="21">
        <v>70529</v>
      </c>
      <c r="S530" s="18" t="s">
        <v>45</v>
      </c>
      <c r="T530" s="20">
        <v>128324.31087</v>
      </c>
      <c r="U530" s="18" t="s">
        <v>48</v>
      </c>
      <c r="V530" s="19">
        <v>45392</v>
      </c>
      <c r="W530" s="18" t="s">
        <v>38</v>
      </c>
      <c r="X530" s="19">
        <v>45384</v>
      </c>
      <c r="Y530" s="18" t="s">
        <v>39</v>
      </c>
      <c r="Z530" s="43" t="e">
        <f>TEXT([1]!Table64[[#This Row],[Order date]],"mmm-yyyy")</f>
        <v>#REF!</v>
      </c>
    </row>
    <row r="531" spans="1:26" x14ac:dyDescent="0.3">
      <c r="A531" s="22">
        <v>10530</v>
      </c>
      <c r="B531" s="23">
        <v>6842</v>
      </c>
      <c r="C531" s="23" t="s">
        <v>34</v>
      </c>
      <c r="D531" s="24">
        <v>35783.21</v>
      </c>
      <c r="E531" s="23">
        <v>49</v>
      </c>
      <c r="F531" s="23" t="s">
        <v>26</v>
      </c>
      <c r="G531" s="25">
        <v>45337</v>
      </c>
      <c r="H531" s="24">
        <v>15030.19</v>
      </c>
      <c r="I531" s="26" t="s">
        <v>27</v>
      </c>
      <c r="J531" s="15" t="s">
        <v>36</v>
      </c>
      <c r="K531" s="15">
        <v>576</v>
      </c>
      <c r="L531" s="16">
        <v>45332</v>
      </c>
      <c r="M531" s="17">
        <v>11</v>
      </c>
      <c r="N531" s="27">
        <v>90530</v>
      </c>
      <c r="O531" s="27" t="s">
        <v>29</v>
      </c>
      <c r="P531" s="28">
        <v>45352</v>
      </c>
      <c r="Q531" s="29">
        <v>0.63127999999999995</v>
      </c>
      <c r="R531" s="30">
        <v>70530</v>
      </c>
      <c r="S531" s="27" t="s">
        <v>41</v>
      </c>
      <c r="T531" s="29">
        <v>117501.85769999999</v>
      </c>
      <c r="U531" s="27" t="s">
        <v>42</v>
      </c>
      <c r="V531" s="28">
        <v>45392</v>
      </c>
      <c r="W531" s="27" t="s">
        <v>38</v>
      </c>
      <c r="X531" s="28">
        <v>45384</v>
      </c>
      <c r="Y531" s="27" t="s">
        <v>33</v>
      </c>
      <c r="Z531" s="43" t="e">
        <f>TEXT([1]!Table64[[#This Row],[Order date]],"mmm-yyyy")</f>
        <v>#REF!</v>
      </c>
    </row>
    <row r="532" spans="1:26" x14ac:dyDescent="0.3">
      <c r="A532" s="10">
        <v>10531</v>
      </c>
      <c r="B532" s="11">
        <v>5921</v>
      </c>
      <c r="C532" s="11" t="s">
        <v>34</v>
      </c>
      <c r="D532" s="12">
        <v>90170.7</v>
      </c>
      <c r="E532" s="11">
        <v>13</v>
      </c>
      <c r="F532" s="11" t="s">
        <v>43</v>
      </c>
      <c r="G532" s="13">
        <v>45306</v>
      </c>
      <c r="H532" s="12">
        <v>104965.82</v>
      </c>
      <c r="I532" s="14" t="s">
        <v>44</v>
      </c>
      <c r="J532" s="15" t="s">
        <v>36</v>
      </c>
      <c r="K532" s="15">
        <v>1386</v>
      </c>
      <c r="L532" s="16">
        <v>45332</v>
      </c>
      <c r="M532" s="17">
        <v>12</v>
      </c>
      <c r="N532" s="18">
        <v>90531</v>
      </c>
      <c r="O532" s="18" t="s">
        <v>40</v>
      </c>
      <c r="P532" s="19">
        <v>45352</v>
      </c>
      <c r="Q532" s="20">
        <v>0.76870000000000005</v>
      </c>
      <c r="R532" s="21">
        <v>70531</v>
      </c>
      <c r="S532" s="18" t="s">
        <v>45</v>
      </c>
      <c r="T532" s="20">
        <v>192566.61864999999</v>
      </c>
      <c r="U532" s="18" t="s">
        <v>48</v>
      </c>
      <c r="V532" s="19">
        <v>45392</v>
      </c>
      <c r="W532" s="18" t="s">
        <v>38</v>
      </c>
      <c r="X532" s="19">
        <v>45376</v>
      </c>
      <c r="Y532" s="18" t="s">
        <v>33</v>
      </c>
      <c r="Z532" s="43" t="e">
        <f>TEXT([1]!Table64[[#This Row],[Order date]],"mmm-yyyy")</f>
        <v>#REF!</v>
      </c>
    </row>
    <row r="533" spans="1:26" x14ac:dyDescent="0.3">
      <c r="A533" s="22">
        <v>10532</v>
      </c>
      <c r="B533" s="23">
        <v>5408</v>
      </c>
      <c r="C533" s="23" t="s">
        <v>34</v>
      </c>
      <c r="D533" s="24">
        <v>29262.33</v>
      </c>
      <c r="E533" s="23">
        <v>61</v>
      </c>
      <c r="F533" s="23" t="s">
        <v>43</v>
      </c>
      <c r="G533" s="25">
        <v>45383</v>
      </c>
      <c r="H533" s="24">
        <v>15206.02</v>
      </c>
      <c r="I533" s="26" t="s">
        <v>44</v>
      </c>
      <c r="J533" s="15" t="s">
        <v>36</v>
      </c>
      <c r="K533" s="15">
        <v>124</v>
      </c>
      <c r="L533" s="16">
        <v>45332</v>
      </c>
      <c r="M533" s="17">
        <v>5</v>
      </c>
      <c r="N533" s="27">
        <v>90532</v>
      </c>
      <c r="O533" s="27" t="s">
        <v>37</v>
      </c>
      <c r="P533" s="28">
        <v>45352</v>
      </c>
      <c r="Q533" s="29">
        <v>0.92518999999999996</v>
      </c>
      <c r="R533" s="30">
        <v>70532</v>
      </c>
      <c r="S533" s="27" t="s">
        <v>41</v>
      </c>
      <c r="T533" s="29">
        <v>159141.68609999999</v>
      </c>
      <c r="U533" s="27" t="s">
        <v>31</v>
      </c>
      <c r="V533" s="28">
        <v>45422</v>
      </c>
      <c r="W533" s="27" t="s">
        <v>32</v>
      </c>
      <c r="X533" s="28">
        <v>45376</v>
      </c>
      <c r="Y533" s="27" t="s">
        <v>39</v>
      </c>
      <c r="Z533" s="43" t="e">
        <f>TEXT([1]!Table64[[#This Row],[Order date]],"mmm-yyyy")</f>
        <v>#REF!</v>
      </c>
    </row>
    <row r="534" spans="1:26" x14ac:dyDescent="0.3">
      <c r="A534" s="10">
        <v>10533</v>
      </c>
      <c r="B534" s="11">
        <v>5525</v>
      </c>
      <c r="C534" s="11" t="s">
        <v>34</v>
      </c>
      <c r="D534" s="12">
        <v>95717.91</v>
      </c>
      <c r="E534" s="11">
        <v>49</v>
      </c>
      <c r="F534" s="11" t="s">
        <v>35</v>
      </c>
      <c r="G534" s="13">
        <v>45383</v>
      </c>
      <c r="H534" s="12">
        <v>62528.14</v>
      </c>
      <c r="I534" s="14" t="s">
        <v>44</v>
      </c>
      <c r="J534" s="15" t="s">
        <v>28</v>
      </c>
      <c r="K534" s="15">
        <v>245</v>
      </c>
      <c r="L534" s="16">
        <v>45361</v>
      </c>
      <c r="M534" s="17">
        <v>7</v>
      </c>
      <c r="N534" s="18">
        <v>90533</v>
      </c>
      <c r="O534" s="18" t="s">
        <v>37</v>
      </c>
      <c r="P534" s="19">
        <v>45430</v>
      </c>
      <c r="Q534" s="20">
        <v>0.86572000000000005</v>
      </c>
      <c r="R534" s="21">
        <v>70533</v>
      </c>
      <c r="S534" s="18" t="s">
        <v>30</v>
      </c>
      <c r="T534" s="20">
        <v>50158.02433</v>
      </c>
      <c r="U534" s="18" t="s">
        <v>31</v>
      </c>
      <c r="V534" s="19">
        <v>45392</v>
      </c>
      <c r="W534" s="18" t="s">
        <v>38</v>
      </c>
      <c r="X534" s="19">
        <v>45376</v>
      </c>
      <c r="Y534" s="18" t="s">
        <v>33</v>
      </c>
      <c r="Z534" s="43" t="e">
        <f>TEXT([1]!Table64[[#This Row],[Order date]],"mmm-yyyy")</f>
        <v>#REF!</v>
      </c>
    </row>
    <row r="535" spans="1:26" x14ac:dyDescent="0.3">
      <c r="A535" s="22">
        <v>10534</v>
      </c>
      <c r="B535" s="23">
        <v>5828</v>
      </c>
      <c r="C535" s="23" t="s">
        <v>25</v>
      </c>
      <c r="D535" s="24">
        <v>41200.370000000003</v>
      </c>
      <c r="E535" s="23">
        <v>46</v>
      </c>
      <c r="F535" s="23" t="s">
        <v>35</v>
      </c>
      <c r="G535" s="25">
        <v>45361</v>
      </c>
      <c r="H535" s="24">
        <v>73856.59</v>
      </c>
      <c r="I535" s="26" t="s">
        <v>47</v>
      </c>
      <c r="J535" s="15" t="s">
        <v>28</v>
      </c>
      <c r="K535" s="15">
        <v>78</v>
      </c>
      <c r="L535" s="16">
        <v>45397</v>
      </c>
      <c r="M535" s="17">
        <v>8</v>
      </c>
      <c r="N535" s="27">
        <v>90534</v>
      </c>
      <c r="O535" s="27" t="s">
        <v>40</v>
      </c>
      <c r="P535" s="28">
        <v>45352</v>
      </c>
      <c r="Q535" s="29">
        <v>0.55901999999999996</v>
      </c>
      <c r="R535" s="30">
        <v>70534</v>
      </c>
      <c r="S535" s="27" t="s">
        <v>30</v>
      </c>
      <c r="T535" s="29">
        <v>208980.17139999999</v>
      </c>
      <c r="U535" s="27" t="s">
        <v>42</v>
      </c>
      <c r="V535" s="28">
        <v>45422</v>
      </c>
      <c r="W535" s="27" t="s">
        <v>38</v>
      </c>
      <c r="X535" s="28">
        <v>45376</v>
      </c>
      <c r="Y535" s="27" t="s">
        <v>33</v>
      </c>
      <c r="Z535" s="43" t="e">
        <f>TEXT([1]!Table64[[#This Row],[Order date]],"mmm-yyyy")</f>
        <v>#REF!</v>
      </c>
    </row>
    <row r="536" spans="1:26" x14ac:dyDescent="0.3">
      <c r="A536" s="10">
        <v>10535</v>
      </c>
      <c r="B536" s="11">
        <v>6530</v>
      </c>
      <c r="C536" s="11" t="s">
        <v>25</v>
      </c>
      <c r="D536" s="12">
        <v>39331.120000000003</v>
      </c>
      <c r="E536" s="11">
        <v>62</v>
      </c>
      <c r="F536" s="11" t="s">
        <v>46</v>
      </c>
      <c r="G536" s="13">
        <v>45306</v>
      </c>
      <c r="H536" s="12">
        <v>35602.449999999997</v>
      </c>
      <c r="I536" s="14" t="s">
        <v>47</v>
      </c>
      <c r="J536" s="15" t="s">
        <v>36</v>
      </c>
      <c r="K536" s="15">
        <v>755</v>
      </c>
      <c r="L536" s="16">
        <v>45361</v>
      </c>
      <c r="M536" s="17">
        <v>5</v>
      </c>
      <c r="N536" s="18">
        <v>90535</v>
      </c>
      <c r="O536" s="18" t="s">
        <v>40</v>
      </c>
      <c r="P536" s="19">
        <v>45430</v>
      </c>
      <c r="Q536" s="20">
        <v>0.74712000000000001</v>
      </c>
      <c r="R536" s="21">
        <v>70535</v>
      </c>
      <c r="S536" s="18" t="s">
        <v>41</v>
      </c>
      <c r="T536" s="20">
        <v>182275.90969999999</v>
      </c>
      <c r="U536" s="18" t="s">
        <v>42</v>
      </c>
      <c r="V536" s="19">
        <v>45422</v>
      </c>
      <c r="W536" s="18" t="s">
        <v>38</v>
      </c>
      <c r="X536" s="19">
        <v>45376</v>
      </c>
      <c r="Y536" s="18" t="s">
        <v>39</v>
      </c>
      <c r="Z536" s="43" t="e">
        <f>TEXT([1]!Table64[[#This Row],[Order date]],"mmm-yyyy")</f>
        <v>#REF!</v>
      </c>
    </row>
    <row r="537" spans="1:26" x14ac:dyDescent="0.3">
      <c r="A537" s="22">
        <v>10536</v>
      </c>
      <c r="B537" s="23">
        <v>5903</v>
      </c>
      <c r="C537" s="23" t="s">
        <v>34</v>
      </c>
      <c r="D537" s="24">
        <v>22051.86</v>
      </c>
      <c r="E537" s="23">
        <v>8</v>
      </c>
      <c r="F537" s="23" t="s">
        <v>26</v>
      </c>
      <c r="G537" s="25">
        <v>45337</v>
      </c>
      <c r="H537" s="24">
        <v>162887.07</v>
      </c>
      <c r="I537" s="26" t="s">
        <v>44</v>
      </c>
      <c r="J537" s="15" t="s">
        <v>49</v>
      </c>
      <c r="K537" s="15">
        <v>1070</v>
      </c>
      <c r="L537" s="16">
        <v>45361</v>
      </c>
      <c r="M537" s="17">
        <v>9</v>
      </c>
      <c r="N537" s="27">
        <v>90536</v>
      </c>
      <c r="O537" s="27" t="s">
        <v>37</v>
      </c>
      <c r="P537" s="28">
        <v>45383</v>
      </c>
      <c r="Q537" s="29">
        <v>0.82071000000000005</v>
      </c>
      <c r="R537" s="30">
        <v>70536</v>
      </c>
      <c r="S537" s="27" t="s">
        <v>30</v>
      </c>
      <c r="T537" s="29">
        <v>185429.2499</v>
      </c>
      <c r="U537" s="27" t="s">
        <v>31</v>
      </c>
      <c r="V537" s="28">
        <v>45422</v>
      </c>
      <c r="W537" s="27" t="s">
        <v>38</v>
      </c>
      <c r="X537" s="28">
        <v>45376</v>
      </c>
      <c r="Y537" s="27" t="s">
        <v>33</v>
      </c>
      <c r="Z537" s="43" t="e">
        <f>TEXT([1]!Table64[[#This Row],[Order date]],"mmm-yyyy")</f>
        <v>#REF!</v>
      </c>
    </row>
    <row r="538" spans="1:26" x14ac:dyDescent="0.3">
      <c r="A538" s="10">
        <v>10537</v>
      </c>
      <c r="B538" s="11">
        <v>6849</v>
      </c>
      <c r="C538" s="11" t="s">
        <v>34</v>
      </c>
      <c r="D538" s="12">
        <v>39369.5</v>
      </c>
      <c r="E538" s="11">
        <v>43</v>
      </c>
      <c r="F538" s="11" t="s">
        <v>43</v>
      </c>
      <c r="G538" s="13">
        <v>45337</v>
      </c>
      <c r="H538" s="12">
        <v>106443.93</v>
      </c>
      <c r="I538" s="14" t="s">
        <v>27</v>
      </c>
      <c r="J538" s="15" t="s">
        <v>49</v>
      </c>
      <c r="K538" s="15">
        <v>65</v>
      </c>
      <c r="L538" s="16">
        <v>45332</v>
      </c>
      <c r="M538" s="17">
        <v>14</v>
      </c>
      <c r="N538" s="18">
        <v>90537</v>
      </c>
      <c r="O538" s="18" t="s">
        <v>40</v>
      </c>
      <c r="P538" s="19">
        <v>45430</v>
      </c>
      <c r="Q538" s="20">
        <v>0.54413999999999996</v>
      </c>
      <c r="R538" s="21">
        <v>70537</v>
      </c>
      <c r="S538" s="18" t="s">
        <v>30</v>
      </c>
      <c r="T538" s="20">
        <v>166644.53659999999</v>
      </c>
      <c r="U538" s="18" t="s">
        <v>31</v>
      </c>
      <c r="V538" s="19">
        <v>45444</v>
      </c>
      <c r="W538" s="18" t="s">
        <v>38</v>
      </c>
      <c r="X538" s="19">
        <v>45384</v>
      </c>
      <c r="Y538" s="18" t="s">
        <v>33</v>
      </c>
      <c r="Z538" s="43" t="e">
        <f>TEXT([1]!Table64[[#This Row],[Order date]],"mmm-yyyy")</f>
        <v>#REF!</v>
      </c>
    </row>
    <row r="539" spans="1:26" x14ac:dyDescent="0.3">
      <c r="A539" s="22">
        <v>10538</v>
      </c>
      <c r="B539" s="23">
        <v>5036</v>
      </c>
      <c r="C539" s="23" t="s">
        <v>34</v>
      </c>
      <c r="D539" s="24">
        <v>43390.63</v>
      </c>
      <c r="E539" s="23">
        <v>20</v>
      </c>
      <c r="F539" s="23" t="s">
        <v>46</v>
      </c>
      <c r="G539" s="25">
        <v>45337</v>
      </c>
      <c r="H539" s="24">
        <v>23747</v>
      </c>
      <c r="I539" s="26" t="s">
        <v>47</v>
      </c>
      <c r="J539" s="15" t="s">
        <v>36</v>
      </c>
      <c r="K539" s="15">
        <v>1496</v>
      </c>
      <c r="L539" s="16">
        <v>45361</v>
      </c>
      <c r="M539" s="17">
        <v>10</v>
      </c>
      <c r="N539" s="27">
        <v>90538</v>
      </c>
      <c r="O539" s="27" t="s">
        <v>29</v>
      </c>
      <c r="P539" s="28">
        <v>45383</v>
      </c>
      <c r="Q539" s="29">
        <v>0.20388000000000001</v>
      </c>
      <c r="R539" s="30">
        <v>70538</v>
      </c>
      <c r="S539" s="27" t="s">
        <v>41</v>
      </c>
      <c r="T539" s="29">
        <v>63473.614000000001</v>
      </c>
      <c r="U539" s="27" t="s">
        <v>31</v>
      </c>
      <c r="V539" s="28">
        <v>45392</v>
      </c>
      <c r="W539" s="27" t="s">
        <v>38</v>
      </c>
      <c r="X539" s="28">
        <v>45376</v>
      </c>
      <c r="Y539" s="27" t="s">
        <v>33</v>
      </c>
      <c r="Z539" s="43" t="e">
        <f>TEXT([1]!Table64[[#This Row],[Order date]],"mmm-yyyy")</f>
        <v>#REF!</v>
      </c>
    </row>
    <row r="540" spans="1:26" x14ac:dyDescent="0.3">
      <c r="A540" s="10">
        <v>10539</v>
      </c>
      <c r="B540" s="11">
        <v>5685</v>
      </c>
      <c r="C540" s="11" t="s">
        <v>34</v>
      </c>
      <c r="D540" s="12">
        <v>75974.61</v>
      </c>
      <c r="E540" s="11">
        <v>97</v>
      </c>
      <c r="F540" s="11" t="s">
        <v>43</v>
      </c>
      <c r="G540" s="13">
        <v>45306</v>
      </c>
      <c r="H540" s="12">
        <v>132145.26999999999</v>
      </c>
      <c r="I540" s="14" t="s">
        <v>44</v>
      </c>
      <c r="J540" s="15" t="s">
        <v>49</v>
      </c>
      <c r="K540" s="15">
        <v>854</v>
      </c>
      <c r="L540" s="16">
        <v>45332</v>
      </c>
      <c r="M540" s="17">
        <v>12</v>
      </c>
      <c r="N540" s="18">
        <v>90539</v>
      </c>
      <c r="O540" s="18" t="s">
        <v>50</v>
      </c>
      <c r="P540" s="19">
        <v>45430</v>
      </c>
      <c r="Q540" s="20">
        <v>0.49414000000000002</v>
      </c>
      <c r="R540" s="21">
        <v>70539</v>
      </c>
      <c r="S540" s="18" t="s">
        <v>45</v>
      </c>
      <c r="T540" s="20">
        <v>115481.8012</v>
      </c>
      <c r="U540" s="18" t="s">
        <v>31</v>
      </c>
      <c r="V540" s="19">
        <v>45444</v>
      </c>
      <c r="W540" s="18" t="s">
        <v>38</v>
      </c>
      <c r="X540" s="19">
        <v>45376</v>
      </c>
      <c r="Y540" s="18" t="s">
        <v>33</v>
      </c>
      <c r="Z540" s="43" t="e">
        <f>TEXT([1]!Table64[[#This Row],[Order date]],"mmm-yyyy")</f>
        <v>#REF!</v>
      </c>
    </row>
    <row r="541" spans="1:26" x14ac:dyDescent="0.3">
      <c r="A541" s="22">
        <v>10540</v>
      </c>
      <c r="B541" s="23">
        <v>5020</v>
      </c>
      <c r="C541" s="23" t="s">
        <v>34</v>
      </c>
      <c r="D541" s="24">
        <v>29281.48</v>
      </c>
      <c r="E541" s="23">
        <v>90</v>
      </c>
      <c r="F541" s="23" t="s">
        <v>35</v>
      </c>
      <c r="G541" s="25">
        <v>45337</v>
      </c>
      <c r="H541" s="24">
        <v>157122.96</v>
      </c>
      <c r="I541" s="26" t="s">
        <v>44</v>
      </c>
      <c r="J541" s="15" t="s">
        <v>36</v>
      </c>
      <c r="K541" s="15">
        <v>1478</v>
      </c>
      <c r="L541" s="16">
        <v>45361</v>
      </c>
      <c r="M541" s="17">
        <v>4</v>
      </c>
      <c r="N541" s="27">
        <v>90540</v>
      </c>
      <c r="O541" s="27" t="s">
        <v>50</v>
      </c>
      <c r="P541" s="28">
        <v>45430</v>
      </c>
      <c r="Q541" s="29">
        <v>0.85823000000000005</v>
      </c>
      <c r="R541" s="30">
        <v>70540</v>
      </c>
      <c r="S541" s="27" t="s">
        <v>41</v>
      </c>
      <c r="T541" s="29">
        <v>136834.08009</v>
      </c>
      <c r="U541" s="27" t="s">
        <v>42</v>
      </c>
      <c r="V541" s="28">
        <v>45422</v>
      </c>
      <c r="W541" s="27" t="s">
        <v>38</v>
      </c>
      <c r="X541" s="28">
        <v>45376</v>
      </c>
      <c r="Y541" s="27" t="s">
        <v>39</v>
      </c>
      <c r="Z541" s="43" t="e">
        <f>TEXT([1]!Table64[[#This Row],[Order date]],"mmm-yyyy")</f>
        <v>#REF!</v>
      </c>
    </row>
    <row r="542" spans="1:26" x14ac:dyDescent="0.3">
      <c r="A542" s="10">
        <v>10541</v>
      </c>
      <c r="B542" s="11">
        <v>5321</v>
      </c>
      <c r="C542" s="11" t="s">
        <v>34</v>
      </c>
      <c r="D542" s="12">
        <v>75887.710000000006</v>
      </c>
      <c r="E542" s="11">
        <v>39</v>
      </c>
      <c r="F542" s="11" t="s">
        <v>43</v>
      </c>
      <c r="G542" s="13">
        <v>45337</v>
      </c>
      <c r="H542" s="12">
        <v>27832.68</v>
      </c>
      <c r="I542" s="14" t="s">
        <v>47</v>
      </c>
      <c r="J542" s="15" t="s">
        <v>49</v>
      </c>
      <c r="K542" s="15">
        <v>989</v>
      </c>
      <c r="L542" s="16">
        <v>45332</v>
      </c>
      <c r="M542" s="17">
        <v>4</v>
      </c>
      <c r="N542" s="18">
        <v>90541</v>
      </c>
      <c r="O542" s="18" t="s">
        <v>37</v>
      </c>
      <c r="P542" s="19">
        <v>45352</v>
      </c>
      <c r="Q542" s="20">
        <v>0.63697999999999999</v>
      </c>
      <c r="R542" s="21">
        <v>70541</v>
      </c>
      <c r="S542" s="18" t="s">
        <v>41</v>
      </c>
      <c r="T542" s="20">
        <v>186018.26439999999</v>
      </c>
      <c r="U542" s="18" t="s">
        <v>31</v>
      </c>
      <c r="V542" s="19">
        <v>45392</v>
      </c>
      <c r="W542" s="18" t="s">
        <v>38</v>
      </c>
      <c r="X542" s="19">
        <v>45376</v>
      </c>
      <c r="Y542" s="18" t="s">
        <v>33</v>
      </c>
      <c r="Z542" s="43" t="e">
        <f>TEXT([1]!Table64[[#This Row],[Order date]],"mmm-yyyy")</f>
        <v>#REF!</v>
      </c>
    </row>
    <row r="543" spans="1:26" x14ac:dyDescent="0.3">
      <c r="A543" s="22">
        <v>10542</v>
      </c>
      <c r="B543" s="23">
        <v>6800</v>
      </c>
      <c r="C543" s="23" t="s">
        <v>34</v>
      </c>
      <c r="D543" s="24">
        <v>10936.33</v>
      </c>
      <c r="E543" s="23">
        <v>85</v>
      </c>
      <c r="F543" s="23" t="s">
        <v>26</v>
      </c>
      <c r="G543" s="25">
        <v>45337</v>
      </c>
      <c r="H543" s="24">
        <v>83712.36</v>
      </c>
      <c r="I543" s="26" t="s">
        <v>47</v>
      </c>
      <c r="J543" s="15" t="s">
        <v>36</v>
      </c>
      <c r="K543" s="15">
        <v>1016</v>
      </c>
      <c r="L543" s="16">
        <v>45332</v>
      </c>
      <c r="M543" s="17">
        <v>13</v>
      </c>
      <c r="N543" s="27">
        <v>90542</v>
      </c>
      <c r="O543" s="27" t="s">
        <v>37</v>
      </c>
      <c r="P543" s="28">
        <v>45430</v>
      </c>
      <c r="Q543" s="29">
        <v>0.75200999999999996</v>
      </c>
      <c r="R543" s="30">
        <v>70542</v>
      </c>
      <c r="S543" s="27" t="s">
        <v>30</v>
      </c>
      <c r="T543" s="29">
        <v>125027.6492</v>
      </c>
      <c r="U543" s="27" t="s">
        <v>42</v>
      </c>
      <c r="V543" s="28">
        <v>45444</v>
      </c>
      <c r="W543" s="27" t="s">
        <v>38</v>
      </c>
      <c r="X543" s="28">
        <v>45384</v>
      </c>
      <c r="Y543" s="27" t="s">
        <v>33</v>
      </c>
      <c r="Z543" s="43" t="e">
        <f>TEXT([1]!Table64[[#This Row],[Order date]],"mmm-yyyy")</f>
        <v>#REF!</v>
      </c>
    </row>
    <row r="544" spans="1:26" x14ac:dyDescent="0.3">
      <c r="A544" s="10">
        <v>10543</v>
      </c>
      <c r="B544" s="11">
        <v>5512</v>
      </c>
      <c r="C544" s="11" t="s">
        <v>34</v>
      </c>
      <c r="D544" s="12">
        <v>45482.06</v>
      </c>
      <c r="E544" s="11">
        <v>49</v>
      </c>
      <c r="F544" s="11" t="s">
        <v>26</v>
      </c>
      <c r="G544" s="13">
        <v>45361</v>
      </c>
      <c r="H544" s="12">
        <v>42232.66</v>
      </c>
      <c r="I544" s="14" t="s">
        <v>47</v>
      </c>
      <c r="J544" s="15" t="s">
        <v>49</v>
      </c>
      <c r="K544" s="15">
        <v>1150</v>
      </c>
      <c r="L544" s="16">
        <v>45361</v>
      </c>
      <c r="M544" s="17">
        <v>8</v>
      </c>
      <c r="N544" s="18">
        <v>90543</v>
      </c>
      <c r="O544" s="18" t="s">
        <v>29</v>
      </c>
      <c r="P544" s="19">
        <v>45352</v>
      </c>
      <c r="Q544" s="20">
        <v>0.26673999999999998</v>
      </c>
      <c r="R544" s="21">
        <v>70543</v>
      </c>
      <c r="S544" s="18" t="s">
        <v>41</v>
      </c>
      <c r="T544" s="20">
        <v>115847.60042</v>
      </c>
      <c r="U544" s="18" t="s">
        <v>31</v>
      </c>
      <c r="V544" s="19">
        <v>45422</v>
      </c>
      <c r="W544" s="18" t="s">
        <v>32</v>
      </c>
      <c r="X544" s="19">
        <v>45376</v>
      </c>
      <c r="Y544" s="18" t="s">
        <v>33</v>
      </c>
      <c r="Z544" s="43" t="e">
        <f>TEXT([1]!Table64[[#This Row],[Order date]],"mmm-yyyy")</f>
        <v>#REF!</v>
      </c>
    </row>
    <row r="545" spans="1:26" x14ac:dyDescent="0.3">
      <c r="A545" s="22">
        <v>10544</v>
      </c>
      <c r="B545" s="23">
        <v>5400</v>
      </c>
      <c r="C545" s="23" t="s">
        <v>34</v>
      </c>
      <c r="D545" s="24">
        <v>17798.099999999999</v>
      </c>
      <c r="E545" s="23">
        <v>64</v>
      </c>
      <c r="F545" s="23" t="s">
        <v>35</v>
      </c>
      <c r="G545" s="25">
        <v>45361</v>
      </c>
      <c r="H545" s="24">
        <v>137787.96</v>
      </c>
      <c r="I545" s="26" t="s">
        <v>44</v>
      </c>
      <c r="J545" s="15" t="s">
        <v>28</v>
      </c>
      <c r="K545" s="15">
        <v>278</v>
      </c>
      <c r="L545" s="16">
        <v>45361</v>
      </c>
      <c r="M545" s="17">
        <v>1</v>
      </c>
      <c r="N545" s="27">
        <v>90544</v>
      </c>
      <c r="O545" s="27" t="s">
        <v>40</v>
      </c>
      <c r="P545" s="28">
        <v>45383</v>
      </c>
      <c r="Q545" s="29">
        <v>0.96789999999999998</v>
      </c>
      <c r="R545" s="30">
        <v>70544</v>
      </c>
      <c r="S545" s="27" t="s">
        <v>30</v>
      </c>
      <c r="T545" s="29">
        <v>153302.20402</v>
      </c>
      <c r="U545" s="27" t="s">
        <v>31</v>
      </c>
      <c r="V545" s="28">
        <v>45444</v>
      </c>
      <c r="W545" s="27" t="s">
        <v>38</v>
      </c>
      <c r="X545" s="28">
        <v>45376</v>
      </c>
      <c r="Y545" s="27" t="s">
        <v>33</v>
      </c>
      <c r="Z545" s="43" t="e">
        <f>TEXT([1]!Table64[[#This Row],[Order date]],"mmm-yyyy")</f>
        <v>#REF!</v>
      </c>
    </row>
    <row r="546" spans="1:26" x14ac:dyDescent="0.3">
      <c r="A546" s="10">
        <v>10545</v>
      </c>
      <c r="B546" s="11">
        <v>5654</v>
      </c>
      <c r="C546" s="11" t="s">
        <v>34</v>
      </c>
      <c r="D546" s="12">
        <v>75610.98</v>
      </c>
      <c r="E546" s="11">
        <v>62</v>
      </c>
      <c r="F546" s="11" t="s">
        <v>26</v>
      </c>
      <c r="G546" s="13">
        <v>45306</v>
      </c>
      <c r="H546" s="12">
        <v>131721.48000000001</v>
      </c>
      <c r="I546" s="14" t="s">
        <v>44</v>
      </c>
      <c r="J546" s="15" t="s">
        <v>36</v>
      </c>
      <c r="K546" s="15">
        <v>1011</v>
      </c>
      <c r="L546" s="16">
        <v>45397</v>
      </c>
      <c r="M546" s="17">
        <v>8</v>
      </c>
      <c r="N546" s="18">
        <v>90545</v>
      </c>
      <c r="O546" s="18" t="s">
        <v>37</v>
      </c>
      <c r="P546" s="19">
        <v>45383</v>
      </c>
      <c r="Q546" s="20">
        <v>0.46367000000000003</v>
      </c>
      <c r="R546" s="21">
        <v>70545</v>
      </c>
      <c r="S546" s="18" t="s">
        <v>45</v>
      </c>
      <c r="T546" s="20">
        <v>116176.90238</v>
      </c>
      <c r="U546" s="18" t="s">
        <v>48</v>
      </c>
      <c r="V546" s="19">
        <v>45444</v>
      </c>
      <c r="W546" s="18" t="s">
        <v>32</v>
      </c>
      <c r="X546" s="19">
        <v>45376</v>
      </c>
      <c r="Y546" s="18" t="s">
        <v>39</v>
      </c>
      <c r="Z546" s="43" t="e">
        <f>TEXT([1]!Table64[[#This Row],[Order date]],"mmm-yyyy")</f>
        <v>#REF!</v>
      </c>
    </row>
    <row r="547" spans="1:26" x14ac:dyDescent="0.3">
      <c r="A547" s="22">
        <v>10546</v>
      </c>
      <c r="B547" s="23">
        <v>5972</v>
      </c>
      <c r="C547" s="23" t="s">
        <v>34</v>
      </c>
      <c r="D547" s="24">
        <v>12824.96</v>
      </c>
      <c r="E547" s="23">
        <v>54</v>
      </c>
      <c r="F547" s="23" t="s">
        <v>26</v>
      </c>
      <c r="G547" s="25">
        <v>45306</v>
      </c>
      <c r="H547" s="24">
        <v>126078.6</v>
      </c>
      <c r="I547" s="26" t="s">
        <v>44</v>
      </c>
      <c r="J547" s="15" t="s">
        <v>36</v>
      </c>
      <c r="K547" s="15">
        <v>1370</v>
      </c>
      <c r="L547" s="16">
        <v>45397</v>
      </c>
      <c r="M547" s="17">
        <v>5</v>
      </c>
      <c r="N547" s="27">
        <v>90546</v>
      </c>
      <c r="O547" s="27" t="s">
        <v>50</v>
      </c>
      <c r="P547" s="28">
        <v>45352</v>
      </c>
      <c r="Q547" s="29">
        <v>0.68827000000000005</v>
      </c>
      <c r="R547" s="30">
        <v>70546</v>
      </c>
      <c r="S547" s="27" t="s">
        <v>30</v>
      </c>
      <c r="T547" s="29">
        <v>144596.78018999999</v>
      </c>
      <c r="U547" s="27" t="s">
        <v>48</v>
      </c>
      <c r="V547" s="28">
        <v>45392</v>
      </c>
      <c r="W547" s="27" t="s">
        <v>38</v>
      </c>
      <c r="X547" s="28">
        <v>45376</v>
      </c>
      <c r="Y547" s="27" t="s">
        <v>39</v>
      </c>
      <c r="Z547" s="43" t="e">
        <f>TEXT([1]!Table64[[#This Row],[Order date]],"mmm-yyyy")</f>
        <v>#REF!</v>
      </c>
    </row>
    <row r="548" spans="1:26" x14ac:dyDescent="0.3">
      <c r="A548" s="10">
        <v>10547</v>
      </c>
      <c r="B548" s="11">
        <v>6907</v>
      </c>
      <c r="C548" s="11" t="s">
        <v>34</v>
      </c>
      <c r="D548" s="12">
        <v>43551.33</v>
      </c>
      <c r="E548" s="11">
        <v>9</v>
      </c>
      <c r="F548" s="11" t="s">
        <v>46</v>
      </c>
      <c r="G548" s="13">
        <v>45337</v>
      </c>
      <c r="H548" s="12">
        <v>24471.87</v>
      </c>
      <c r="I548" s="14" t="s">
        <v>44</v>
      </c>
      <c r="J548" s="15" t="s">
        <v>49</v>
      </c>
      <c r="K548" s="15">
        <v>764</v>
      </c>
      <c r="L548" s="16">
        <v>45397</v>
      </c>
      <c r="M548" s="17">
        <v>13</v>
      </c>
      <c r="N548" s="18">
        <v>90547</v>
      </c>
      <c r="O548" s="18" t="s">
        <v>29</v>
      </c>
      <c r="P548" s="19">
        <v>45383</v>
      </c>
      <c r="Q548" s="20">
        <v>0.11699</v>
      </c>
      <c r="R548" s="21">
        <v>70547</v>
      </c>
      <c r="S548" s="18" t="s">
        <v>41</v>
      </c>
      <c r="T548" s="20">
        <v>69166.771900000007</v>
      </c>
      <c r="U548" s="18" t="s">
        <v>31</v>
      </c>
      <c r="V548" s="19">
        <v>45392</v>
      </c>
      <c r="W548" s="18" t="s">
        <v>38</v>
      </c>
      <c r="X548" s="19">
        <v>45376</v>
      </c>
      <c r="Y548" s="18" t="s">
        <v>39</v>
      </c>
      <c r="Z548" s="43" t="e">
        <f>TEXT([1]!Table64[[#This Row],[Order date]],"mmm-yyyy")</f>
        <v>#REF!</v>
      </c>
    </row>
    <row r="549" spans="1:26" x14ac:dyDescent="0.3">
      <c r="A549" s="22">
        <v>10548</v>
      </c>
      <c r="B549" s="23">
        <v>5471</v>
      </c>
      <c r="C549" s="23" t="s">
        <v>34</v>
      </c>
      <c r="D549" s="24">
        <v>15123.02</v>
      </c>
      <c r="E549" s="23">
        <v>88</v>
      </c>
      <c r="F549" s="23" t="s">
        <v>43</v>
      </c>
      <c r="G549" s="25">
        <v>45361</v>
      </c>
      <c r="H549" s="24">
        <v>32331.72</v>
      </c>
      <c r="I549" s="26" t="s">
        <v>27</v>
      </c>
      <c r="J549" s="15" t="s">
        <v>36</v>
      </c>
      <c r="K549" s="15">
        <v>1033</v>
      </c>
      <c r="L549" s="16">
        <v>45361</v>
      </c>
      <c r="M549" s="17">
        <v>14</v>
      </c>
      <c r="N549" s="27">
        <v>90548</v>
      </c>
      <c r="O549" s="27" t="s">
        <v>29</v>
      </c>
      <c r="P549" s="28">
        <v>45430</v>
      </c>
      <c r="Q549" s="29">
        <v>0.21459</v>
      </c>
      <c r="R549" s="30">
        <v>70548</v>
      </c>
      <c r="S549" s="27" t="s">
        <v>45</v>
      </c>
      <c r="T549" s="29">
        <v>129837.452</v>
      </c>
      <c r="U549" s="27" t="s">
        <v>42</v>
      </c>
      <c r="V549" s="28">
        <v>45444</v>
      </c>
      <c r="W549" s="27" t="s">
        <v>38</v>
      </c>
      <c r="X549" s="28">
        <v>45376</v>
      </c>
      <c r="Y549" s="27" t="s">
        <v>39</v>
      </c>
      <c r="Z549" s="43" t="e">
        <f>TEXT([1]!Table64[[#This Row],[Order date]],"mmm-yyyy")</f>
        <v>#REF!</v>
      </c>
    </row>
    <row r="550" spans="1:26" x14ac:dyDescent="0.3">
      <c r="A550" s="10">
        <v>10549</v>
      </c>
      <c r="B550" s="11">
        <v>6167</v>
      </c>
      <c r="C550" s="11" t="s">
        <v>34</v>
      </c>
      <c r="D550" s="12">
        <v>21201</v>
      </c>
      <c r="E550" s="11">
        <v>37</v>
      </c>
      <c r="F550" s="11" t="s">
        <v>35</v>
      </c>
      <c r="G550" s="13">
        <v>45383</v>
      </c>
      <c r="H550" s="12">
        <v>143927.57999999999</v>
      </c>
      <c r="I550" s="14" t="s">
        <v>44</v>
      </c>
      <c r="J550" s="15" t="s">
        <v>36</v>
      </c>
      <c r="K550" s="15">
        <v>622</v>
      </c>
      <c r="L550" s="16">
        <v>45361</v>
      </c>
      <c r="M550" s="17">
        <v>11</v>
      </c>
      <c r="N550" s="18">
        <v>90549</v>
      </c>
      <c r="O550" s="18" t="s">
        <v>40</v>
      </c>
      <c r="P550" s="19">
        <v>45352</v>
      </c>
      <c r="Q550" s="20">
        <v>0.80383000000000004</v>
      </c>
      <c r="R550" s="21">
        <v>70549</v>
      </c>
      <c r="S550" s="18" t="s">
        <v>45</v>
      </c>
      <c r="T550" s="20">
        <v>141366.27729999999</v>
      </c>
      <c r="U550" s="18" t="s">
        <v>31</v>
      </c>
      <c r="V550" s="19">
        <v>45392</v>
      </c>
      <c r="W550" s="18" t="s">
        <v>38</v>
      </c>
      <c r="X550" s="19">
        <v>45384</v>
      </c>
      <c r="Y550" s="18" t="s">
        <v>33</v>
      </c>
      <c r="Z550" s="43" t="e">
        <f>TEXT([1]!Table64[[#This Row],[Order date]],"mmm-yyyy")</f>
        <v>#REF!</v>
      </c>
    </row>
    <row r="551" spans="1:26" x14ac:dyDescent="0.3">
      <c r="A551" s="22">
        <v>10550</v>
      </c>
      <c r="B551" s="23">
        <v>6116</v>
      </c>
      <c r="C551" s="23" t="s">
        <v>34</v>
      </c>
      <c r="D551" s="24">
        <v>78573.009999999995</v>
      </c>
      <c r="E551" s="23">
        <v>49</v>
      </c>
      <c r="F551" s="23" t="s">
        <v>35</v>
      </c>
      <c r="G551" s="25">
        <v>45383</v>
      </c>
      <c r="H551" s="24">
        <v>18620.23</v>
      </c>
      <c r="I551" s="26" t="s">
        <v>44</v>
      </c>
      <c r="J551" s="15" t="s">
        <v>36</v>
      </c>
      <c r="K551" s="15">
        <v>664</v>
      </c>
      <c r="L551" s="16">
        <v>45332</v>
      </c>
      <c r="M551" s="17">
        <v>1</v>
      </c>
      <c r="N551" s="27">
        <v>90550</v>
      </c>
      <c r="O551" s="27" t="s">
        <v>37</v>
      </c>
      <c r="P551" s="28">
        <v>45352</v>
      </c>
      <c r="Q551" s="29">
        <v>0.97116999999999998</v>
      </c>
      <c r="R551" s="30">
        <v>70550</v>
      </c>
      <c r="S551" s="27" t="s">
        <v>45</v>
      </c>
      <c r="T551" s="29">
        <v>69419.171300000002</v>
      </c>
      <c r="U551" s="27" t="s">
        <v>48</v>
      </c>
      <c r="V551" s="28">
        <v>45392</v>
      </c>
      <c r="W551" s="27" t="s">
        <v>38</v>
      </c>
      <c r="X551" s="28">
        <v>45384</v>
      </c>
      <c r="Y551" s="27" t="s">
        <v>33</v>
      </c>
      <c r="Z551" s="43" t="e">
        <f>TEXT([1]!Table64[[#This Row],[Order date]],"mmm-yyyy")</f>
        <v>#REF!</v>
      </c>
    </row>
    <row r="552" spans="1:26" x14ac:dyDescent="0.3">
      <c r="A552" s="10">
        <v>10551</v>
      </c>
      <c r="B552" s="11">
        <v>6378</v>
      </c>
      <c r="C552" s="11" t="s">
        <v>25</v>
      </c>
      <c r="D552" s="12">
        <v>31488.27</v>
      </c>
      <c r="E552" s="11">
        <v>41</v>
      </c>
      <c r="F552" s="11" t="s">
        <v>35</v>
      </c>
      <c r="G552" s="13">
        <v>45337</v>
      </c>
      <c r="H552" s="12">
        <v>145404.9</v>
      </c>
      <c r="I552" s="14" t="s">
        <v>47</v>
      </c>
      <c r="J552" s="15" t="s">
        <v>28</v>
      </c>
      <c r="K552" s="15">
        <v>375</v>
      </c>
      <c r="L552" s="16">
        <v>45397</v>
      </c>
      <c r="M552" s="17">
        <v>4</v>
      </c>
      <c r="N552" s="18">
        <v>90551</v>
      </c>
      <c r="O552" s="18" t="s">
        <v>37</v>
      </c>
      <c r="P552" s="19">
        <v>45352</v>
      </c>
      <c r="Q552" s="20">
        <v>0.38805000000000001</v>
      </c>
      <c r="R552" s="21">
        <v>70551</v>
      </c>
      <c r="S552" s="18" t="s">
        <v>41</v>
      </c>
      <c r="T552" s="20">
        <v>219094.01800000001</v>
      </c>
      <c r="U552" s="18" t="s">
        <v>31</v>
      </c>
      <c r="V552" s="19">
        <v>45444</v>
      </c>
      <c r="W552" s="18" t="s">
        <v>38</v>
      </c>
      <c r="X552" s="19">
        <v>45376</v>
      </c>
      <c r="Y552" s="18" t="s">
        <v>39</v>
      </c>
      <c r="Z552" s="43" t="e">
        <f>TEXT([1]!Table64[[#This Row],[Order date]],"mmm-yyyy")</f>
        <v>#REF!</v>
      </c>
    </row>
    <row r="553" spans="1:26" x14ac:dyDescent="0.3">
      <c r="A553" s="22">
        <v>10552</v>
      </c>
      <c r="B553" s="23">
        <v>5834</v>
      </c>
      <c r="C553" s="23" t="s">
        <v>34</v>
      </c>
      <c r="D553" s="24">
        <v>38295.03</v>
      </c>
      <c r="E553" s="23">
        <v>17</v>
      </c>
      <c r="F553" s="23" t="s">
        <v>35</v>
      </c>
      <c r="G553" s="25">
        <v>45337</v>
      </c>
      <c r="H553" s="24">
        <v>12536.45</v>
      </c>
      <c r="I553" s="26" t="s">
        <v>47</v>
      </c>
      <c r="J553" s="15" t="s">
        <v>28</v>
      </c>
      <c r="K553" s="15">
        <v>1436</v>
      </c>
      <c r="L553" s="16">
        <v>45332</v>
      </c>
      <c r="M553" s="17">
        <v>2</v>
      </c>
      <c r="N553" s="27">
        <v>90552</v>
      </c>
      <c r="O553" s="27" t="s">
        <v>29</v>
      </c>
      <c r="P553" s="28">
        <v>45383</v>
      </c>
      <c r="Q553" s="29">
        <v>0.13346</v>
      </c>
      <c r="R553" s="30">
        <v>70552</v>
      </c>
      <c r="S553" s="27" t="s">
        <v>41</v>
      </c>
      <c r="T553" s="29">
        <v>217361.96049999999</v>
      </c>
      <c r="U553" s="27" t="s">
        <v>48</v>
      </c>
      <c r="V553" s="28">
        <v>45392</v>
      </c>
      <c r="W553" s="27" t="s">
        <v>38</v>
      </c>
      <c r="X553" s="28">
        <v>45384</v>
      </c>
      <c r="Y553" s="27" t="s">
        <v>33</v>
      </c>
      <c r="Z553" s="43" t="e">
        <f>TEXT([1]!Table64[[#This Row],[Order date]],"mmm-yyyy")</f>
        <v>#REF!</v>
      </c>
    </row>
    <row r="554" spans="1:26" x14ac:dyDescent="0.3">
      <c r="A554" s="10">
        <v>10553</v>
      </c>
      <c r="B554" s="11">
        <v>6824</v>
      </c>
      <c r="C554" s="11" t="s">
        <v>34</v>
      </c>
      <c r="D554" s="12">
        <v>22630.14</v>
      </c>
      <c r="E554" s="11">
        <v>88</v>
      </c>
      <c r="F554" s="11" t="s">
        <v>35</v>
      </c>
      <c r="G554" s="13">
        <v>45361</v>
      </c>
      <c r="H554" s="12">
        <v>90315.4</v>
      </c>
      <c r="I554" s="14" t="s">
        <v>27</v>
      </c>
      <c r="J554" s="15" t="s">
        <v>49</v>
      </c>
      <c r="K554" s="15">
        <v>924</v>
      </c>
      <c r="L554" s="16">
        <v>45332</v>
      </c>
      <c r="M554" s="17">
        <v>4</v>
      </c>
      <c r="N554" s="18">
        <v>90553</v>
      </c>
      <c r="O554" s="18" t="s">
        <v>50</v>
      </c>
      <c r="P554" s="19">
        <v>45383</v>
      </c>
      <c r="Q554" s="20">
        <v>0.42477999999999999</v>
      </c>
      <c r="R554" s="21">
        <v>70553</v>
      </c>
      <c r="S554" s="18" t="s">
        <v>41</v>
      </c>
      <c r="T554" s="20">
        <v>202773.4761</v>
      </c>
      <c r="U554" s="18" t="s">
        <v>31</v>
      </c>
      <c r="V554" s="19">
        <v>45392</v>
      </c>
      <c r="W554" s="18" t="s">
        <v>38</v>
      </c>
      <c r="X554" s="19">
        <v>45384</v>
      </c>
      <c r="Y554" s="18" t="s">
        <v>39</v>
      </c>
      <c r="Z554" s="43" t="e">
        <f>TEXT([1]!Table64[[#This Row],[Order date]],"mmm-yyyy")</f>
        <v>#REF!</v>
      </c>
    </row>
    <row r="555" spans="1:26" x14ac:dyDescent="0.3">
      <c r="A555" s="22">
        <v>10554</v>
      </c>
      <c r="B555" s="23">
        <v>5727</v>
      </c>
      <c r="C555" s="23" t="s">
        <v>34</v>
      </c>
      <c r="D555" s="24">
        <v>46725.64</v>
      </c>
      <c r="E555" s="23">
        <v>21</v>
      </c>
      <c r="F555" s="23" t="s">
        <v>26</v>
      </c>
      <c r="G555" s="25">
        <v>45361</v>
      </c>
      <c r="H555" s="24">
        <v>146743.04999999999</v>
      </c>
      <c r="I555" s="26" t="s">
        <v>44</v>
      </c>
      <c r="J555" s="15" t="s">
        <v>28</v>
      </c>
      <c r="K555" s="15">
        <v>408</v>
      </c>
      <c r="L555" s="16">
        <v>45332</v>
      </c>
      <c r="M555" s="17">
        <v>8</v>
      </c>
      <c r="N555" s="27">
        <v>90554</v>
      </c>
      <c r="O555" s="27" t="s">
        <v>37</v>
      </c>
      <c r="P555" s="28">
        <v>45430</v>
      </c>
      <c r="Q555" s="29">
        <v>0.11572</v>
      </c>
      <c r="R555" s="30">
        <v>70554</v>
      </c>
      <c r="S555" s="27" t="s">
        <v>45</v>
      </c>
      <c r="T555" s="29">
        <v>114021.2452</v>
      </c>
      <c r="U555" s="27" t="s">
        <v>31</v>
      </c>
      <c r="V555" s="28">
        <v>45422</v>
      </c>
      <c r="W555" s="27" t="s">
        <v>32</v>
      </c>
      <c r="X555" s="28">
        <v>45384</v>
      </c>
      <c r="Y555" s="27" t="s">
        <v>39</v>
      </c>
      <c r="Z555" s="43" t="e">
        <f>TEXT([1]!Table64[[#This Row],[Order date]],"mmm-yyyy")</f>
        <v>#REF!</v>
      </c>
    </row>
    <row r="556" spans="1:26" x14ac:dyDescent="0.3">
      <c r="A556" s="10">
        <v>10555</v>
      </c>
      <c r="B556" s="11">
        <v>6983</v>
      </c>
      <c r="C556" s="11" t="s">
        <v>34</v>
      </c>
      <c r="D556" s="12">
        <v>78907.520000000004</v>
      </c>
      <c r="E556" s="11">
        <v>51</v>
      </c>
      <c r="F556" s="11" t="s">
        <v>46</v>
      </c>
      <c r="G556" s="13">
        <v>45361</v>
      </c>
      <c r="H556" s="12">
        <v>74529.100000000006</v>
      </c>
      <c r="I556" s="14" t="s">
        <v>47</v>
      </c>
      <c r="J556" s="15" t="s">
        <v>49</v>
      </c>
      <c r="K556" s="15">
        <v>373</v>
      </c>
      <c r="L556" s="16">
        <v>45332</v>
      </c>
      <c r="M556" s="17">
        <v>5</v>
      </c>
      <c r="N556" s="18">
        <v>90555</v>
      </c>
      <c r="O556" s="18" t="s">
        <v>50</v>
      </c>
      <c r="P556" s="19">
        <v>45430</v>
      </c>
      <c r="Q556" s="20">
        <v>0.27313999999999999</v>
      </c>
      <c r="R556" s="21">
        <v>70555</v>
      </c>
      <c r="S556" s="18" t="s">
        <v>30</v>
      </c>
      <c r="T556" s="20">
        <v>167050.58077</v>
      </c>
      <c r="U556" s="18" t="s">
        <v>42</v>
      </c>
      <c r="V556" s="19">
        <v>45392</v>
      </c>
      <c r="W556" s="18" t="s">
        <v>38</v>
      </c>
      <c r="X556" s="19">
        <v>45376</v>
      </c>
      <c r="Y556" s="18" t="s">
        <v>39</v>
      </c>
      <c r="Z556" s="43" t="e">
        <f>TEXT([1]!Table64[[#This Row],[Order date]],"mmm-yyyy")</f>
        <v>#REF!</v>
      </c>
    </row>
    <row r="557" spans="1:26" x14ac:dyDescent="0.3">
      <c r="A557" s="22">
        <v>10556</v>
      </c>
      <c r="B557" s="23">
        <v>5854</v>
      </c>
      <c r="C557" s="23" t="s">
        <v>34</v>
      </c>
      <c r="D557" s="24">
        <v>36582.58</v>
      </c>
      <c r="E557" s="23">
        <v>59</v>
      </c>
      <c r="F557" s="23" t="s">
        <v>35</v>
      </c>
      <c r="G557" s="25">
        <v>45306</v>
      </c>
      <c r="H557" s="24">
        <v>86901.29</v>
      </c>
      <c r="I557" s="26" t="s">
        <v>47</v>
      </c>
      <c r="J557" s="15" t="s">
        <v>28</v>
      </c>
      <c r="K557" s="15">
        <v>1399</v>
      </c>
      <c r="L557" s="16">
        <v>45397</v>
      </c>
      <c r="M557" s="17">
        <v>1</v>
      </c>
      <c r="N557" s="27">
        <v>90556</v>
      </c>
      <c r="O557" s="27" t="s">
        <v>29</v>
      </c>
      <c r="P557" s="28">
        <v>45352</v>
      </c>
      <c r="Q557" s="29">
        <v>0.77722000000000002</v>
      </c>
      <c r="R557" s="30">
        <v>70556</v>
      </c>
      <c r="S557" s="27" t="s">
        <v>45</v>
      </c>
      <c r="T557" s="29">
        <v>67560.266050000006</v>
      </c>
      <c r="U557" s="27" t="s">
        <v>48</v>
      </c>
      <c r="V557" s="28">
        <v>45422</v>
      </c>
      <c r="W557" s="27" t="s">
        <v>38</v>
      </c>
      <c r="X557" s="28">
        <v>45376</v>
      </c>
      <c r="Y557" s="27" t="s">
        <v>33</v>
      </c>
      <c r="Z557" s="43" t="e">
        <f>TEXT([1]!Table64[[#This Row],[Order date]],"mmm-yyyy")</f>
        <v>#REF!</v>
      </c>
    </row>
    <row r="558" spans="1:26" x14ac:dyDescent="0.3">
      <c r="A558" s="10">
        <v>10557</v>
      </c>
      <c r="B558" s="11">
        <v>5051</v>
      </c>
      <c r="C558" s="11" t="s">
        <v>25</v>
      </c>
      <c r="D558" s="12">
        <v>66133.149999999994</v>
      </c>
      <c r="E558" s="11">
        <v>39</v>
      </c>
      <c r="F558" s="11" t="s">
        <v>46</v>
      </c>
      <c r="G558" s="13">
        <v>45306</v>
      </c>
      <c r="H558" s="12">
        <v>89667.51</v>
      </c>
      <c r="I558" s="14" t="s">
        <v>44</v>
      </c>
      <c r="J558" s="15" t="s">
        <v>49</v>
      </c>
      <c r="K558" s="15">
        <v>214</v>
      </c>
      <c r="L558" s="16">
        <v>45332</v>
      </c>
      <c r="M558" s="17">
        <v>7</v>
      </c>
      <c r="N558" s="18">
        <v>90557</v>
      </c>
      <c r="O558" s="18" t="s">
        <v>37</v>
      </c>
      <c r="P558" s="19">
        <v>45430</v>
      </c>
      <c r="Q558" s="20">
        <v>0.94338</v>
      </c>
      <c r="R558" s="21">
        <v>70557</v>
      </c>
      <c r="S558" s="18" t="s">
        <v>41</v>
      </c>
      <c r="T558" s="20">
        <v>175751.07120999999</v>
      </c>
      <c r="U558" s="18" t="s">
        <v>48</v>
      </c>
      <c r="V558" s="19">
        <v>45444</v>
      </c>
      <c r="W558" s="18" t="s">
        <v>38</v>
      </c>
      <c r="X558" s="19">
        <v>45376</v>
      </c>
      <c r="Y558" s="18" t="s">
        <v>33</v>
      </c>
      <c r="Z558" s="43" t="e">
        <f>TEXT([1]!Table64[[#This Row],[Order date]],"mmm-yyyy")</f>
        <v>#REF!</v>
      </c>
    </row>
    <row r="559" spans="1:26" x14ac:dyDescent="0.3">
      <c r="A559" s="22">
        <v>10558</v>
      </c>
      <c r="B559" s="23">
        <v>6689</v>
      </c>
      <c r="C559" s="23" t="s">
        <v>34</v>
      </c>
      <c r="D559" s="24">
        <v>89333.98</v>
      </c>
      <c r="E559" s="23">
        <v>55</v>
      </c>
      <c r="F559" s="23" t="s">
        <v>46</v>
      </c>
      <c r="G559" s="25">
        <v>45337</v>
      </c>
      <c r="H559" s="24">
        <v>104281.79</v>
      </c>
      <c r="I559" s="26" t="s">
        <v>44</v>
      </c>
      <c r="J559" s="15" t="s">
        <v>28</v>
      </c>
      <c r="K559" s="15">
        <v>847</v>
      </c>
      <c r="L559" s="16">
        <v>45361</v>
      </c>
      <c r="M559" s="17">
        <v>1</v>
      </c>
      <c r="N559" s="27">
        <v>90558</v>
      </c>
      <c r="O559" s="27" t="s">
        <v>50</v>
      </c>
      <c r="P559" s="28">
        <v>45383</v>
      </c>
      <c r="Q559" s="29">
        <v>0.1787</v>
      </c>
      <c r="R559" s="30">
        <v>70558</v>
      </c>
      <c r="S559" s="27" t="s">
        <v>45</v>
      </c>
      <c r="T559" s="29">
        <v>141602.65401999999</v>
      </c>
      <c r="U559" s="27" t="s">
        <v>48</v>
      </c>
      <c r="V559" s="28">
        <v>45422</v>
      </c>
      <c r="W559" s="27" t="s">
        <v>38</v>
      </c>
      <c r="X559" s="28">
        <v>45376</v>
      </c>
      <c r="Y559" s="27" t="s">
        <v>33</v>
      </c>
      <c r="Z559" s="43" t="e">
        <f>TEXT([1]!Table64[[#This Row],[Order date]],"mmm-yyyy")</f>
        <v>#REF!</v>
      </c>
    </row>
    <row r="560" spans="1:26" x14ac:dyDescent="0.3">
      <c r="A560" s="10">
        <v>10559</v>
      </c>
      <c r="B560" s="11">
        <v>6722</v>
      </c>
      <c r="C560" s="11" t="s">
        <v>25</v>
      </c>
      <c r="D560" s="12">
        <v>67739.7</v>
      </c>
      <c r="E560" s="11">
        <v>41</v>
      </c>
      <c r="F560" s="11" t="s">
        <v>26</v>
      </c>
      <c r="G560" s="13">
        <v>45306</v>
      </c>
      <c r="H560" s="12">
        <v>94794.8</v>
      </c>
      <c r="I560" s="14" t="s">
        <v>47</v>
      </c>
      <c r="J560" s="15" t="s">
        <v>28</v>
      </c>
      <c r="K560" s="15">
        <v>504</v>
      </c>
      <c r="L560" s="16">
        <v>45361</v>
      </c>
      <c r="M560" s="17">
        <v>9</v>
      </c>
      <c r="N560" s="18">
        <v>90559</v>
      </c>
      <c r="O560" s="18" t="s">
        <v>29</v>
      </c>
      <c r="P560" s="19">
        <v>45430</v>
      </c>
      <c r="Q560" s="20">
        <v>0.60211000000000003</v>
      </c>
      <c r="R560" s="21">
        <v>70559</v>
      </c>
      <c r="S560" s="18" t="s">
        <v>41</v>
      </c>
      <c r="T560" s="20">
        <v>50059.899720000001</v>
      </c>
      <c r="U560" s="18" t="s">
        <v>42</v>
      </c>
      <c r="V560" s="19">
        <v>45444</v>
      </c>
      <c r="W560" s="18" t="s">
        <v>38</v>
      </c>
      <c r="X560" s="19">
        <v>45376</v>
      </c>
      <c r="Y560" s="18" t="s">
        <v>39</v>
      </c>
      <c r="Z560" s="43" t="e">
        <f>TEXT([1]!Table64[[#This Row],[Order date]],"mmm-yyyy")</f>
        <v>#REF!</v>
      </c>
    </row>
    <row r="561" spans="1:26" x14ac:dyDescent="0.3">
      <c r="A561" s="22">
        <v>10560</v>
      </c>
      <c r="B561" s="23">
        <v>5575</v>
      </c>
      <c r="C561" s="23" t="s">
        <v>34</v>
      </c>
      <c r="D561" s="24">
        <v>78946.929999999993</v>
      </c>
      <c r="E561" s="23">
        <v>39</v>
      </c>
      <c r="F561" s="23" t="s">
        <v>35</v>
      </c>
      <c r="G561" s="25">
        <v>45361</v>
      </c>
      <c r="H561" s="24">
        <v>50489.48</v>
      </c>
      <c r="I561" s="26" t="s">
        <v>44</v>
      </c>
      <c r="J561" s="15" t="s">
        <v>49</v>
      </c>
      <c r="K561" s="15">
        <v>1226</v>
      </c>
      <c r="L561" s="16">
        <v>45361</v>
      </c>
      <c r="M561" s="17">
        <v>3</v>
      </c>
      <c r="N561" s="27">
        <v>90560</v>
      </c>
      <c r="O561" s="27" t="s">
        <v>50</v>
      </c>
      <c r="P561" s="28">
        <v>45383</v>
      </c>
      <c r="Q561" s="29">
        <v>0.32849</v>
      </c>
      <c r="R561" s="30">
        <v>70560</v>
      </c>
      <c r="S561" s="27" t="s">
        <v>45</v>
      </c>
      <c r="T561" s="29">
        <v>215703.4926</v>
      </c>
      <c r="U561" s="27" t="s">
        <v>31</v>
      </c>
      <c r="V561" s="28">
        <v>45392</v>
      </c>
      <c r="W561" s="27" t="s">
        <v>32</v>
      </c>
      <c r="X561" s="28">
        <v>45384</v>
      </c>
      <c r="Y561" s="27" t="s">
        <v>33</v>
      </c>
      <c r="Z561" s="43" t="e">
        <f>TEXT([1]!Table64[[#This Row],[Order date]],"mmm-yyyy")</f>
        <v>#REF!</v>
      </c>
    </row>
    <row r="562" spans="1:26" x14ac:dyDescent="0.3">
      <c r="A562" s="10">
        <v>10561</v>
      </c>
      <c r="B562" s="11">
        <v>6214</v>
      </c>
      <c r="C562" s="11" t="s">
        <v>34</v>
      </c>
      <c r="D562" s="12">
        <v>67552.289999999994</v>
      </c>
      <c r="E562" s="11">
        <v>13</v>
      </c>
      <c r="F562" s="11" t="s">
        <v>26</v>
      </c>
      <c r="G562" s="13">
        <v>45361</v>
      </c>
      <c r="H562" s="12">
        <v>15231.8</v>
      </c>
      <c r="I562" s="14" t="s">
        <v>27</v>
      </c>
      <c r="J562" s="15" t="s">
        <v>36</v>
      </c>
      <c r="K562" s="15">
        <v>1200</v>
      </c>
      <c r="L562" s="16">
        <v>45397</v>
      </c>
      <c r="M562" s="17">
        <v>12</v>
      </c>
      <c r="N562" s="18">
        <v>90561</v>
      </c>
      <c r="O562" s="18" t="s">
        <v>37</v>
      </c>
      <c r="P562" s="19">
        <v>45430</v>
      </c>
      <c r="Q562" s="20">
        <v>0.22514999999999999</v>
      </c>
      <c r="R562" s="21">
        <v>70561</v>
      </c>
      <c r="S562" s="18" t="s">
        <v>30</v>
      </c>
      <c r="T562" s="20">
        <v>191921.05961</v>
      </c>
      <c r="U562" s="18" t="s">
        <v>42</v>
      </c>
      <c r="V562" s="19">
        <v>45392</v>
      </c>
      <c r="W562" s="18" t="s">
        <v>38</v>
      </c>
      <c r="X562" s="19">
        <v>45376</v>
      </c>
      <c r="Y562" s="18" t="s">
        <v>33</v>
      </c>
      <c r="Z562" s="43" t="e">
        <f>TEXT([1]!Table64[[#This Row],[Order date]],"mmm-yyyy")</f>
        <v>#REF!</v>
      </c>
    </row>
    <row r="563" spans="1:26" x14ac:dyDescent="0.3">
      <c r="A563" s="22">
        <v>10562</v>
      </c>
      <c r="B563" s="23">
        <v>6149</v>
      </c>
      <c r="C563" s="23" t="s">
        <v>34</v>
      </c>
      <c r="D563" s="24">
        <v>12628.71</v>
      </c>
      <c r="E563" s="23">
        <v>64</v>
      </c>
      <c r="F563" s="23" t="s">
        <v>35</v>
      </c>
      <c r="G563" s="25">
        <v>45306</v>
      </c>
      <c r="H563" s="24">
        <v>157059.01999999999</v>
      </c>
      <c r="I563" s="26" t="s">
        <v>47</v>
      </c>
      <c r="J563" s="15" t="s">
        <v>36</v>
      </c>
      <c r="K563" s="15">
        <v>242</v>
      </c>
      <c r="L563" s="16">
        <v>45332</v>
      </c>
      <c r="M563" s="17">
        <v>3</v>
      </c>
      <c r="N563" s="27">
        <v>90562</v>
      </c>
      <c r="O563" s="27" t="s">
        <v>40</v>
      </c>
      <c r="P563" s="28">
        <v>45383</v>
      </c>
      <c r="Q563" s="29">
        <v>0.29708000000000001</v>
      </c>
      <c r="R563" s="30">
        <v>70562</v>
      </c>
      <c r="S563" s="27" t="s">
        <v>41</v>
      </c>
      <c r="T563" s="29">
        <v>100709.9605</v>
      </c>
      <c r="U563" s="27" t="s">
        <v>31</v>
      </c>
      <c r="V563" s="28">
        <v>45422</v>
      </c>
      <c r="W563" s="27" t="s">
        <v>38</v>
      </c>
      <c r="X563" s="28">
        <v>45376</v>
      </c>
      <c r="Y563" s="27" t="s">
        <v>33</v>
      </c>
      <c r="Z563" s="43" t="e">
        <f>TEXT([1]!Table64[[#This Row],[Order date]],"mmm-yyyy")</f>
        <v>#REF!</v>
      </c>
    </row>
    <row r="564" spans="1:26" x14ac:dyDescent="0.3">
      <c r="A564" s="10">
        <v>10563</v>
      </c>
      <c r="B564" s="11">
        <v>5150</v>
      </c>
      <c r="C564" s="11" t="s">
        <v>34</v>
      </c>
      <c r="D564" s="12">
        <v>29489.37</v>
      </c>
      <c r="E564" s="11">
        <v>11</v>
      </c>
      <c r="F564" s="11" t="s">
        <v>26</v>
      </c>
      <c r="G564" s="13">
        <v>45383</v>
      </c>
      <c r="H564" s="12">
        <v>14547.45</v>
      </c>
      <c r="I564" s="14" t="s">
        <v>44</v>
      </c>
      <c r="J564" s="15" t="s">
        <v>28</v>
      </c>
      <c r="K564" s="15">
        <v>676</v>
      </c>
      <c r="L564" s="16">
        <v>45397</v>
      </c>
      <c r="M564" s="17">
        <v>6</v>
      </c>
      <c r="N564" s="18">
        <v>90563</v>
      </c>
      <c r="O564" s="18" t="s">
        <v>50</v>
      </c>
      <c r="P564" s="19">
        <v>45383</v>
      </c>
      <c r="Q564" s="20">
        <v>0.61999000000000004</v>
      </c>
      <c r="R564" s="21">
        <v>70563</v>
      </c>
      <c r="S564" s="18" t="s">
        <v>30</v>
      </c>
      <c r="T564" s="20">
        <v>68005.916379999995</v>
      </c>
      <c r="U564" s="18" t="s">
        <v>42</v>
      </c>
      <c r="V564" s="19">
        <v>45444</v>
      </c>
      <c r="W564" s="18" t="s">
        <v>32</v>
      </c>
      <c r="X564" s="19">
        <v>45384</v>
      </c>
      <c r="Y564" s="18" t="s">
        <v>39</v>
      </c>
      <c r="Z564" s="43" t="e">
        <f>TEXT([1]!Table64[[#This Row],[Order date]],"mmm-yyyy")</f>
        <v>#REF!</v>
      </c>
    </row>
    <row r="565" spans="1:26" x14ac:dyDescent="0.3">
      <c r="A565" s="22">
        <v>10564</v>
      </c>
      <c r="B565" s="23">
        <v>5314</v>
      </c>
      <c r="C565" s="23" t="s">
        <v>34</v>
      </c>
      <c r="D565" s="24">
        <v>48076.47</v>
      </c>
      <c r="E565" s="23">
        <v>19</v>
      </c>
      <c r="F565" s="23" t="s">
        <v>46</v>
      </c>
      <c r="G565" s="25">
        <v>45337</v>
      </c>
      <c r="H565" s="24">
        <v>144530.28</v>
      </c>
      <c r="I565" s="26" t="s">
        <v>27</v>
      </c>
      <c r="J565" s="15" t="s">
        <v>49</v>
      </c>
      <c r="K565" s="15">
        <v>579</v>
      </c>
      <c r="L565" s="16">
        <v>45332</v>
      </c>
      <c r="M565" s="17">
        <v>10</v>
      </c>
      <c r="N565" s="27">
        <v>90564</v>
      </c>
      <c r="O565" s="27" t="s">
        <v>40</v>
      </c>
      <c r="P565" s="28">
        <v>45430</v>
      </c>
      <c r="Q565" s="29">
        <v>0.15862000000000001</v>
      </c>
      <c r="R565" s="30">
        <v>70564</v>
      </c>
      <c r="S565" s="27" t="s">
        <v>45</v>
      </c>
      <c r="T565" s="29">
        <v>126533.61620999999</v>
      </c>
      <c r="U565" s="27" t="s">
        <v>42</v>
      </c>
      <c r="V565" s="28">
        <v>45392</v>
      </c>
      <c r="W565" s="27" t="s">
        <v>38</v>
      </c>
      <c r="X565" s="28">
        <v>45376</v>
      </c>
      <c r="Y565" s="27" t="s">
        <v>33</v>
      </c>
      <c r="Z565" s="43" t="e">
        <f>TEXT([1]!Table64[[#This Row],[Order date]],"mmm-yyyy")</f>
        <v>#REF!</v>
      </c>
    </row>
    <row r="566" spans="1:26" x14ac:dyDescent="0.3">
      <c r="A566" s="10">
        <v>10565</v>
      </c>
      <c r="B566" s="11">
        <v>5570</v>
      </c>
      <c r="C566" s="11" t="s">
        <v>34</v>
      </c>
      <c r="D566" s="12">
        <v>55039.27</v>
      </c>
      <c r="E566" s="11">
        <v>11</v>
      </c>
      <c r="F566" s="11" t="s">
        <v>35</v>
      </c>
      <c r="G566" s="13">
        <v>45383</v>
      </c>
      <c r="H566" s="12">
        <v>92000.4</v>
      </c>
      <c r="I566" s="14" t="s">
        <v>44</v>
      </c>
      <c r="J566" s="15" t="s">
        <v>36</v>
      </c>
      <c r="K566" s="15">
        <v>1083</v>
      </c>
      <c r="L566" s="16">
        <v>45397</v>
      </c>
      <c r="M566" s="17">
        <v>6</v>
      </c>
      <c r="N566" s="18">
        <v>90565</v>
      </c>
      <c r="O566" s="18" t="s">
        <v>37</v>
      </c>
      <c r="P566" s="19">
        <v>45430</v>
      </c>
      <c r="Q566" s="20">
        <v>0.49080000000000001</v>
      </c>
      <c r="R566" s="21">
        <v>70565</v>
      </c>
      <c r="S566" s="18" t="s">
        <v>41</v>
      </c>
      <c r="T566" s="20">
        <v>145901.17634999999</v>
      </c>
      <c r="U566" s="18" t="s">
        <v>48</v>
      </c>
      <c r="V566" s="19">
        <v>45422</v>
      </c>
      <c r="W566" s="18" t="s">
        <v>38</v>
      </c>
      <c r="X566" s="19">
        <v>45384</v>
      </c>
      <c r="Y566" s="18" t="s">
        <v>33</v>
      </c>
      <c r="Z566" s="43" t="e">
        <f>TEXT([1]!Table64[[#This Row],[Order date]],"mmm-yyyy")</f>
        <v>#REF!</v>
      </c>
    </row>
    <row r="567" spans="1:26" x14ac:dyDescent="0.3">
      <c r="A567" s="22">
        <v>10566</v>
      </c>
      <c r="B567" s="23">
        <v>6366</v>
      </c>
      <c r="C567" s="23" t="s">
        <v>34</v>
      </c>
      <c r="D567" s="24">
        <v>56955.199999999997</v>
      </c>
      <c r="E567" s="23">
        <v>77</v>
      </c>
      <c r="F567" s="23" t="s">
        <v>43</v>
      </c>
      <c r="G567" s="25">
        <v>45337</v>
      </c>
      <c r="H567" s="24">
        <v>101052.14</v>
      </c>
      <c r="I567" s="26" t="s">
        <v>44</v>
      </c>
      <c r="J567" s="15" t="s">
        <v>49</v>
      </c>
      <c r="K567" s="15">
        <v>141</v>
      </c>
      <c r="L567" s="16">
        <v>45397</v>
      </c>
      <c r="M567" s="17">
        <v>13</v>
      </c>
      <c r="N567" s="27">
        <v>90566</v>
      </c>
      <c r="O567" s="27" t="s">
        <v>40</v>
      </c>
      <c r="P567" s="28">
        <v>45383</v>
      </c>
      <c r="Q567" s="29">
        <v>0.22170999999999999</v>
      </c>
      <c r="R567" s="30">
        <v>70566</v>
      </c>
      <c r="S567" s="27" t="s">
        <v>41</v>
      </c>
      <c r="T567" s="29">
        <v>110173.4715</v>
      </c>
      <c r="U567" s="27" t="s">
        <v>42</v>
      </c>
      <c r="V567" s="28">
        <v>45422</v>
      </c>
      <c r="W567" s="27" t="s">
        <v>38</v>
      </c>
      <c r="X567" s="28">
        <v>45376</v>
      </c>
      <c r="Y567" s="27" t="s">
        <v>39</v>
      </c>
      <c r="Z567" s="43" t="e">
        <f>TEXT([1]!Table64[[#This Row],[Order date]],"mmm-yyyy")</f>
        <v>#REF!</v>
      </c>
    </row>
    <row r="568" spans="1:26" x14ac:dyDescent="0.3">
      <c r="A568" s="10">
        <v>10567</v>
      </c>
      <c r="B568" s="11">
        <v>5305</v>
      </c>
      <c r="C568" s="11" t="s">
        <v>34</v>
      </c>
      <c r="D568" s="12">
        <v>32850.99</v>
      </c>
      <c r="E568" s="11">
        <v>46</v>
      </c>
      <c r="F568" s="11" t="s">
        <v>46</v>
      </c>
      <c r="G568" s="13">
        <v>45383</v>
      </c>
      <c r="H568" s="12">
        <v>177370.64</v>
      </c>
      <c r="I568" s="14" t="s">
        <v>44</v>
      </c>
      <c r="J568" s="15" t="s">
        <v>36</v>
      </c>
      <c r="K568" s="15">
        <v>188</v>
      </c>
      <c r="L568" s="16">
        <v>45332</v>
      </c>
      <c r="M568" s="17">
        <v>11</v>
      </c>
      <c r="N568" s="18">
        <v>90567</v>
      </c>
      <c r="O568" s="18" t="s">
        <v>29</v>
      </c>
      <c r="P568" s="19">
        <v>45352</v>
      </c>
      <c r="Q568" s="20">
        <v>0.34540999999999999</v>
      </c>
      <c r="R568" s="21">
        <v>70567</v>
      </c>
      <c r="S568" s="18" t="s">
        <v>41</v>
      </c>
      <c r="T568" s="20">
        <v>177340.33314</v>
      </c>
      <c r="U568" s="18" t="s">
        <v>31</v>
      </c>
      <c r="V568" s="19">
        <v>45422</v>
      </c>
      <c r="W568" s="18" t="s">
        <v>38</v>
      </c>
      <c r="X568" s="19">
        <v>45384</v>
      </c>
      <c r="Y568" s="18" t="s">
        <v>39</v>
      </c>
      <c r="Z568" s="43" t="e">
        <f>TEXT([1]!Table64[[#This Row],[Order date]],"mmm-yyyy")</f>
        <v>#REF!</v>
      </c>
    </row>
    <row r="569" spans="1:26" x14ac:dyDescent="0.3">
      <c r="A569" s="22">
        <v>10568</v>
      </c>
      <c r="B569" s="23">
        <v>6716</v>
      </c>
      <c r="C569" s="23" t="s">
        <v>25</v>
      </c>
      <c r="D569" s="24">
        <v>46916.86</v>
      </c>
      <c r="E569" s="23">
        <v>45</v>
      </c>
      <c r="F569" s="23" t="s">
        <v>43</v>
      </c>
      <c r="G569" s="25">
        <v>45306</v>
      </c>
      <c r="H569" s="24">
        <v>106156.84</v>
      </c>
      <c r="I569" s="26" t="s">
        <v>47</v>
      </c>
      <c r="J569" s="15" t="s">
        <v>49</v>
      </c>
      <c r="K569" s="15">
        <v>530</v>
      </c>
      <c r="L569" s="16">
        <v>45397</v>
      </c>
      <c r="M569" s="17">
        <v>11</v>
      </c>
      <c r="N569" s="27">
        <v>90568</v>
      </c>
      <c r="O569" s="27" t="s">
        <v>40</v>
      </c>
      <c r="P569" s="28">
        <v>45430</v>
      </c>
      <c r="Q569" s="29">
        <v>0.27167999999999998</v>
      </c>
      <c r="R569" s="30">
        <v>70568</v>
      </c>
      <c r="S569" s="27" t="s">
        <v>30</v>
      </c>
      <c r="T569" s="29">
        <v>107025.9479</v>
      </c>
      <c r="U569" s="27" t="s">
        <v>42</v>
      </c>
      <c r="V569" s="28">
        <v>45392</v>
      </c>
      <c r="W569" s="27" t="s">
        <v>38</v>
      </c>
      <c r="X569" s="28">
        <v>45376</v>
      </c>
      <c r="Y569" s="27" t="s">
        <v>33</v>
      </c>
      <c r="Z569" s="43" t="e">
        <f>TEXT([1]!Table64[[#This Row],[Order date]],"mmm-yyyy")</f>
        <v>#REF!</v>
      </c>
    </row>
    <row r="570" spans="1:26" x14ac:dyDescent="0.3">
      <c r="A570" s="10">
        <v>10569</v>
      </c>
      <c r="B570" s="11">
        <v>5682</v>
      </c>
      <c r="C570" s="11" t="s">
        <v>34</v>
      </c>
      <c r="D570" s="12">
        <v>61806</v>
      </c>
      <c r="E570" s="11">
        <v>1</v>
      </c>
      <c r="F570" s="11" t="s">
        <v>46</v>
      </c>
      <c r="G570" s="13">
        <v>45337</v>
      </c>
      <c r="H570" s="12">
        <v>42648.63</v>
      </c>
      <c r="I570" s="14" t="s">
        <v>44</v>
      </c>
      <c r="J570" s="15" t="s">
        <v>28</v>
      </c>
      <c r="K570" s="15">
        <v>498</v>
      </c>
      <c r="L570" s="16">
        <v>45332</v>
      </c>
      <c r="M570" s="17">
        <v>6</v>
      </c>
      <c r="N570" s="18">
        <v>90569</v>
      </c>
      <c r="O570" s="18" t="s">
        <v>50</v>
      </c>
      <c r="P570" s="19">
        <v>45383</v>
      </c>
      <c r="Q570" s="20">
        <v>0.89468000000000003</v>
      </c>
      <c r="R570" s="21">
        <v>70569</v>
      </c>
      <c r="S570" s="18" t="s">
        <v>41</v>
      </c>
      <c r="T570" s="20">
        <v>82613.624100000001</v>
      </c>
      <c r="U570" s="18" t="s">
        <v>42</v>
      </c>
      <c r="V570" s="19">
        <v>45444</v>
      </c>
      <c r="W570" s="18" t="s">
        <v>32</v>
      </c>
      <c r="X570" s="19">
        <v>45376</v>
      </c>
      <c r="Y570" s="18" t="s">
        <v>33</v>
      </c>
      <c r="Z570" s="43" t="e">
        <f>TEXT([1]!Table64[[#This Row],[Order date]],"mmm-yyyy")</f>
        <v>#REF!</v>
      </c>
    </row>
    <row r="571" spans="1:26" x14ac:dyDescent="0.3">
      <c r="A571" s="22">
        <v>10570</v>
      </c>
      <c r="B571" s="23">
        <v>5838</v>
      </c>
      <c r="C571" s="23" t="s">
        <v>34</v>
      </c>
      <c r="D571" s="24">
        <v>84350.56</v>
      </c>
      <c r="E571" s="23">
        <v>40</v>
      </c>
      <c r="F571" s="23" t="s">
        <v>26</v>
      </c>
      <c r="G571" s="25">
        <v>45337</v>
      </c>
      <c r="H571" s="24">
        <v>64112.63</v>
      </c>
      <c r="I571" s="26" t="s">
        <v>44</v>
      </c>
      <c r="J571" s="15" t="s">
        <v>49</v>
      </c>
      <c r="K571" s="15">
        <v>1406</v>
      </c>
      <c r="L571" s="16">
        <v>45361</v>
      </c>
      <c r="M571" s="17">
        <v>13</v>
      </c>
      <c r="N571" s="27">
        <v>90570</v>
      </c>
      <c r="O571" s="27" t="s">
        <v>50</v>
      </c>
      <c r="P571" s="28">
        <v>45430</v>
      </c>
      <c r="Q571" s="29">
        <v>0.73721000000000003</v>
      </c>
      <c r="R571" s="30">
        <v>70570</v>
      </c>
      <c r="S571" s="27" t="s">
        <v>41</v>
      </c>
      <c r="T571" s="29">
        <v>211718.29639999999</v>
      </c>
      <c r="U571" s="27" t="s">
        <v>31</v>
      </c>
      <c r="V571" s="28">
        <v>45392</v>
      </c>
      <c r="W571" s="27" t="s">
        <v>32</v>
      </c>
      <c r="X571" s="28">
        <v>45376</v>
      </c>
      <c r="Y571" s="27" t="s">
        <v>39</v>
      </c>
      <c r="Z571" s="43" t="e">
        <f>TEXT([1]!Table64[[#This Row],[Order date]],"mmm-yyyy")</f>
        <v>#REF!</v>
      </c>
    </row>
    <row r="572" spans="1:26" x14ac:dyDescent="0.3">
      <c r="A572" s="10">
        <v>10571</v>
      </c>
      <c r="B572" s="11">
        <v>6807</v>
      </c>
      <c r="C572" s="11" t="s">
        <v>34</v>
      </c>
      <c r="D572" s="12">
        <v>55727.59</v>
      </c>
      <c r="E572" s="11">
        <v>19</v>
      </c>
      <c r="F572" s="11" t="s">
        <v>35</v>
      </c>
      <c r="G572" s="13">
        <v>45337</v>
      </c>
      <c r="H572" s="12">
        <v>40899.99</v>
      </c>
      <c r="I572" s="14" t="s">
        <v>27</v>
      </c>
      <c r="J572" s="15" t="s">
        <v>36</v>
      </c>
      <c r="K572" s="15">
        <v>918</v>
      </c>
      <c r="L572" s="16">
        <v>45361</v>
      </c>
      <c r="M572" s="17">
        <v>1</v>
      </c>
      <c r="N572" s="18">
        <v>90571</v>
      </c>
      <c r="O572" s="18" t="s">
        <v>40</v>
      </c>
      <c r="P572" s="19">
        <v>45430</v>
      </c>
      <c r="Q572" s="20">
        <v>0.88161999999999996</v>
      </c>
      <c r="R572" s="21">
        <v>70571</v>
      </c>
      <c r="S572" s="18" t="s">
        <v>41</v>
      </c>
      <c r="T572" s="20">
        <v>76121.172999999995</v>
      </c>
      <c r="U572" s="18" t="s">
        <v>48</v>
      </c>
      <c r="V572" s="19">
        <v>45392</v>
      </c>
      <c r="W572" s="18" t="s">
        <v>38</v>
      </c>
      <c r="X572" s="19">
        <v>45376</v>
      </c>
      <c r="Y572" s="18" t="s">
        <v>33</v>
      </c>
      <c r="Z572" s="43" t="e">
        <f>TEXT([1]!Table64[[#This Row],[Order date]],"mmm-yyyy")</f>
        <v>#REF!</v>
      </c>
    </row>
    <row r="573" spans="1:26" x14ac:dyDescent="0.3">
      <c r="A573" s="22">
        <v>10572</v>
      </c>
      <c r="B573" s="23">
        <v>6078</v>
      </c>
      <c r="C573" s="23" t="s">
        <v>25</v>
      </c>
      <c r="D573" s="24">
        <v>47637.77</v>
      </c>
      <c r="E573" s="23">
        <v>76</v>
      </c>
      <c r="F573" s="23" t="s">
        <v>46</v>
      </c>
      <c r="G573" s="25">
        <v>45361</v>
      </c>
      <c r="H573" s="24">
        <v>97572.63</v>
      </c>
      <c r="I573" s="26" t="s">
        <v>47</v>
      </c>
      <c r="J573" s="15" t="s">
        <v>28</v>
      </c>
      <c r="K573" s="15">
        <v>389</v>
      </c>
      <c r="L573" s="16">
        <v>45361</v>
      </c>
      <c r="M573" s="17">
        <v>5</v>
      </c>
      <c r="N573" s="27">
        <v>90572</v>
      </c>
      <c r="O573" s="27" t="s">
        <v>29</v>
      </c>
      <c r="P573" s="28">
        <v>45430</v>
      </c>
      <c r="Q573" s="29">
        <v>0.44512000000000002</v>
      </c>
      <c r="R573" s="30">
        <v>70572</v>
      </c>
      <c r="S573" s="27" t="s">
        <v>41</v>
      </c>
      <c r="T573" s="29">
        <v>74045.200150000004</v>
      </c>
      <c r="U573" s="27" t="s">
        <v>31</v>
      </c>
      <c r="V573" s="28">
        <v>45444</v>
      </c>
      <c r="W573" s="27" t="s">
        <v>38</v>
      </c>
      <c r="X573" s="28">
        <v>45384</v>
      </c>
      <c r="Y573" s="27" t="s">
        <v>39</v>
      </c>
      <c r="Z573" s="43" t="e">
        <f>TEXT([1]!Table64[[#This Row],[Order date]],"mmm-yyyy")</f>
        <v>#REF!</v>
      </c>
    </row>
    <row r="574" spans="1:26" x14ac:dyDescent="0.3">
      <c r="A574" s="10">
        <v>10573</v>
      </c>
      <c r="B574" s="11">
        <v>6003</v>
      </c>
      <c r="C574" s="11" t="s">
        <v>34</v>
      </c>
      <c r="D574" s="12">
        <v>90561.5</v>
      </c>
      <c r="E574" s="11">
        <v>72</v>
      </c>
      <c r="F574" s="11" t="s">
        <v>26</v>
      </c>
      <c r="G574" s="13">
        <v>45361</v>
      </c>
      <c r="H574" s="12">
        <v>76862.720000000001</v>
      </c>
      <c r="I574" s="14" t="s">
        <v>47</v>
      </c>
      <c r="J574" s="15" t="s">
        <v>49</v>
      </c>
      <c r="K574" s="15">
        <v>1125</v>
      </c>
      <c r="L574" s="16">
        <v>45397</v>
      </c>
      <c r="M574" s="17">
        <v>12</v>
      </c>
      <c r="N574" s="18">
        <v>90573</v>
      </c>
      <c r="O574" s="18" t="s">
        <v>37</v>
      </c>
      <c r="P574" s="19">
        <v>45430</v>
      </c>
      <c r="Q574" s="20">
        <v>0.38207000000000002</v>
      </c>
      <c r="R574" s="21">
        <v>70573</v>
      </c>
      <c r="S574" s="18" t="s">
        <v>41</v>
      </c>
      <c r="T574" s="20">
        <v>82134.254140000005</v>
      </c>
      <c r="U574" s="18" t="s">
        <v>31</v>
      </c>
      <c r="V574" s="19">
        <v>45422</v>
      </c>
      <c r="W574" s="18" t="s">
        <v>38</v>
      </c>
      <c r="X574" s="19">
        <v>45376</v>
      </c>
      <c r="Y574" s="18" t="s">
        <v>33</v>
      </c>
      <c r="Z574" s="43" t="e">
        <f>TEXT([1]!Table64[[#This Row],[Order date]],"mmm-yyyy")</f>
        <v>#REF!</v>
      </c>
    </row>
    <row r="575" spans="1:26" x14ac:dyDescent="0.3">
      <c r="A575" s="22">
        <v>10574</v>
      </c>
      <c r="B575" s="23">
        <v>5444</v>
      </c>
      <c r="C575" s="23" t="s">
        <v>25</v>
      </c>
      <c r="D575" s="24">
        <v>38400.230000000003</v>
      </c>
      <c r="E575" s="23">
        <v>72</v>
      </c>
      <c r="F575" s="23" t="s">
        <v>35</v>
      </c>
      <c r="G575" s="25">
        <v>45383</v>
      </c>
      <c r="H575" s="24">
        <v>44020.15</v>
      </c>
      <c r="I575" s="26" t="s">
        <v>27</v>
      </c>
      <c r="J575" s="15" t="s">
        <v>36</v>
      </c>
      <c r="K575" s="15">
        <v>515</v>
      </c>
      <c r="L575" s="16">
        <v>45361</v>
      </c>
      <c r="M575" s="17">
        <v>6</v>
      </c>
      <c r="N575" s="27">
        <v>90574</v>
      </c>
      <c r="O575" s="27" t="s">
        <v>40</v>
      </c>
      <c r="P575" s="28">
        <v>45430</v>
      </c>
      <c r="Q575" s="29">
        <v>0.44252999999999998</v>
      </c>
      <c r="R575" s="30">
        <v>70574</v>
      </c>
      <c r="S575" s="27" t="s">
        <v>30</v>
      </c>
      <c r="T575" s="29">
        <v>189311.573</v>
      </c>
      <c r="U575" s="27" t="s">
        <v>31</v>
      </c>
      <c r="V575" s="28">
        <v>45392</v>
      </c>
      <c r="W575" s="27" t="s">
        <v>32</v>
      </c>
      <c r="X575" s="28">
        <v>45376</v>
      </c>
      <c r="Y575" s="27" t="s">
        <v>33</v>
      </c>
      <c r="Z575" s="43" t="e">
        <f>TEXT([1]!Table64[[#This Row],[Order date]],"mmm-yyyy")</f>
        <v>#REF!</v>
      </c>
    </row>
    <row r="576" spans="1:26" x14ac:dyDescent="0.3">
      <c r="A576" s="10">
        <v>10575</v>
      </c>
      <c r="B576" s="11">
        <v>5613</v>
      </c>
      <c r="C576" s="11" t="s">
        <v>25</v>
      </c>
      <c r="D576" s="12">
        <v>37834.31</v>
      </c>
      <c r="E576" s="11">
        <v>61</v>
      </c>
      <c r="F576" s="11" t="s">
        <v>35</v>
      </c>
      <c r="G576" s="13">
        <v>45306</v>
      </c>
      <c r="H576" s="12">
        <v>140413.62</v>
      </c>
      <c r="I576" s="14" t="s">
        <v>44</v>
      </c>
      <c r="J576" s="15" t="s">
        <v>28</v>
      </c>
      <c r="K576" s="15">
        <v>767</v>
      </c>
      <c r="L576" s="16">
        <v>45332</v>
      </c>
      <c r="M576" s="17">
        <v>8</v>
      </c>
      <c r="N576" s="18">
        <v>90575</v>
      </c>
      <c r="O576" s="18" t="s">
        <v>50</v>
      </c>
      <c r="P576" s="19">
        <v>45352</v>
      </c>
      <c r="Q576" s="20">
        <v>0.11669</v>
      </c>
      <c r="R576" s="21">
        <v>70575</v>
      </c>
      <c r="S576" s="18" t="s">
        <v>41</v>
      </c>
      <c r="T576" s="20">
        <v>149932.3468</v>
      </c>
      <c r="U576" s="18" t="s">
        <v>42</v>
      </c>
      <c r="V576" s="19">
        <v>45422</v>
      </c>
      <c r="W576" s="18" t="s">
        <v>32</v>
      </c>
      <c r="X576" s="19">
        <v>45376</v>
      </c>
      <c r="Y576" s="18" t="s">
        <v>39</v>
      </c>
      <c r="Z576" s="43" t="e">
        <f>TEXT([1]!Table64[[#This Row],[Order date]],"mmm-yyyy")</f>
        <v>#REF!</v>
      </c>
    </row>
    <row r="577" spans="1:26" x14ac:dyDescent="0.3">
      <c r="A577" s="22">
        <v>10576</v>
      </c>
      <c r="B577" s="23">
        <v>5993</v>
      </c>
      <c r="C577" s="23" t="s">
        <v>34</v>
      </c>
      <c r="D577" s="24">
        <v>63163.79</v>
      </c>
      <c r="E577" s="23">
        <v>12</v>
      </c>
      <c r="F577" s="23" t="s">
        <v>46</v>
      </c>
      <c r="G577" s="25">
        <v>45361</v>
      </c>
      <c r="H577" s="24">
        <v>87887.55</v>
      </c>
      <c r="I577" s="26" t="s">
        <v>44</v>
      </c>
      <c r="J577" s="15" t="s">
        <v>49</v>
      </c>
      <c r="K577" s="15">
        <v>848</v>
      </c>
      <c r="L577" s="16">
        <v>45361</v>
      </c>
      <c r="M577" s="17">
        <v>13</v>
      </c>
      <c r="N577" s="27">
        <v>90576</v>
      </c>
      <c r="O577" s="27" t="s">
        <v>50</v>
      </c>
      <c r="P577" s="28">
        <v>45352</v>
      </c>
      <c r="Q577" s="29">
        <v>0.75222999999999995</v>
      </c>
      <c r="R577" s="30">
        <v>70576</v>
      </c>
      <c r="S577" s="27" t="s">
        <v>45</v>
      </c>
      <c r="T577" s="29">
        <v>51464.110959999998</v>
      </c>
      <c r="U577" s="27" t="s">
        <v>42</v>
      </c>
      <c r="V577" s="28">
        <v>45422</v>
      </c>
      <c r="W577" s="27" t="s">
        <v>32</v>
      </c>
      <c r="X577" s="28">
        <v>45376</v>
      </c>
      <c r="Y577" s="27" t="s">
        <v>33</v>
      </c>
      <c r="Z577" s="43" t="e">
        <f>TEXT([1]!Table64[[#This Row],[Order date]],"mmm-yyyy")</f>
        <v>#REF!</v>
      </c>
    </row>
    <row r="578" spans="1:26" x14ac:dyDescent="0.3">
      <c r="A578" s="10">
        <v>10577</v>
      </c>
      <c r="B578" s="11">
        <v>5264</v>
      </c>
      <c r="C578" s="11" t="s">
        <v>34</v>
      </c>
      <c r="D578" s="12">
        <v>22886.84</v>
      </c>
      <c r="E578" s="11">
        <v>61</v>
      </c>
      <c r="F578" s="11" t="s">
        <v>35</v>
      </c>
      <c r="G578" s="13">
        <v>45337</v>
      </c>
      <c r="H578" s="12">
        <v>46271.62</v>
      </c>
      <c r="I578" s="14" t="s">
        <v>44</v>
      </c>
      <c r="J578" s="15" t="s">
        <v>36</v>
      </c>
      <c r="K578" s="15">
        <v>524</v>
      </c>
      <c r="L578" s="16">
        <v>45361</v>
      </c>
      <c r="M578" s="17">
        <v>1</v>
      </c>
      <c r="N578" s="18">
        <v>90577</v>
      </c>
      <c r="O578" s="18" t="s">
        <v>40</v>
      </c>
      <c r="P578" s="19">
        <v>45352</v>
      </c>
      <c r="Q578" s="20">
        <v>0.4148</v>
      </c>
      <c r="R578" s="21">
        <v>70577</v>
      </c>
      <c r="S578" s="18" t="s">
        <v>41</v>
      </c>
      <c r="T578" s="20">
        <v>123634.18253000001</v>
      </c>
      <c r="U578" s="18" t="s">
        <v>31</v>
      </c>
      <c r="V578" s="19">
        <v>45444</v>
      </c>
      <c r="W578" s="18" t="s">
        <v>32</v>
      </c>
      <c r="X578" s="19">
        <v>45376</v>
      </c>
      <c r="Y578" s="18" t="s">
        <v>33</v>
      </c>
      <c r="Z578" s="43" t="e">
        <f>TEXT([1]!Table64[[#This Row],[Order date]],"mmm-yyyy")</f>
        <v>#REF!</v>
      </c>
    </row>
    <row r="579" spans="1:26" x14ac:dyDescent="0.3">
      <c r="A579" s="22">
        <v>10578</v>
      </c>
      <c r="B579" s="23">
        <v>6077</v>
      </c>
      <c r="C579" s="23" t="s">
        <v>34</v>
      </c>
      <c r="D579" s="24">
        <v>59916.04</v>
      </c>
      <c r="E579" s="23">
        <v>33</v>
      </c>
      <c r="F579" s="23" t="s">
        <v>46</v>
      </c>
      <c r="G579" s="25">
        <v>45361</v>
      </c>
      <c r="H579" s="24">
        <v>117963.97</v>
      </c>
      <c r="I579" s="26" t="s">
        <v>27</v>
      </c>
      <c r="J579" s="15" t="s">
        <v>49</v>
      </c>
      <c r="K579" s="15">
        <v>450</v>
      </c>
      <c r="L579" s="16">
        <v>45397</v>
      </c>
      <c r="M579" s="17">
        <v>5</v>
      </c>
      <c r="N579" s="27">
        <v>90578</v>
      </c>
      <c r="O579" s="27" t="s">
        <v>40</v>
      </c>
      <c r="P579" s="28">
        <v>45383</v>
      </c>
      <c r="Q579" s="29">
        <v>0.38199</v>
      </c>
      <c r="R579" s="30">
        <v>70578</v>
      </c>
      <c r="S579" s="27" t="s">
        <v>45</v>
      </c>
      <c r="T579" s="29">
        <v>89819.139049999998</v>
      </c>
      <c r="U579" s="27" t="s">
        <v>31</v>
      </c>
      <c r="V579" s="28">
        <v>45444</v>
      </c>
      <c r="W579" s="27" t="s">
        <v>32</v>
      </c>
      <c r="X579" s="28">
        <v>45384</v>
      </c>
      <c r="Y579" s="27" t="s">
        <v>39</v>
      </c>
      <c r="Z579" s="43" t="e">
        <f>TEXT([1]!Table64[[#This Row],[Order date]],"mmm-yyyy")</f>
        <v>#REF!</v>
      </c>
    </row>
    <row r="580" spans="1:26" x14ac:dyDescent="0.3">
      <c r="A580" s="10">
        <v>10579</v>
      </c>
      <c r="B580" s="11">
        <v>6596</v>
      </c>
      <c r="C580" s="11" t="s">
        <v>34</v>
      </c>
      <c r="D580" s="12">
        <v>12805.76</v>
      </c>
      <c r="E580" s="11">
        <v>45</v>
      </c>
      <c r="F580" s="11" t="s">
        <v>35</v>
      </c>
      <c r="G580" s="13">
        <v>45306</v>
      </c>
      <c r="H580" s="12">
        <v>73802.42</v>
      </c>
      <c r="I580" s="14" t="s">
        <v>47</v>
      </c>
      <c r="J580" s="15" t="s">
        <v>49</v>
      </c>
      <c r="K580" s="15">
        <v>654</v>
      </c>
      <c r="L580" s="16">
        <v>45332</v>
      </c>
      <c r="M580" s="17">
        <v>3</v>
      </c>
      <c r="N580" s="18">
        <v>90579</v>
      </c>
      <c r="O580" s="18" t="s">
        <v>40</v>
      </c>
      <c r="P580" s="19">
        <v>45352</v>
      </c>
      <c r="Q580" s="20">
        <v>0.63832999999999995</v>
      </c>
      <c r="R580" s="21">
        <v>70579</v>
      </c>
      <c r="S580" s="18" t="s">
        <v>45</v>
      </c>
      <c r="T580" s="20">
        <v>214091.76550000001</v>
      </c>
      <c r="U580" s="18" t="s">
        <v>48</v>
      </c>
      <c r="V580" s="19">
        <v>45444</v>
      </c>
      <c r="W580" s="18" t="s">
        <v>38</v>
      </c>
      <c r="X580" s="19">
        <v>45376</v>
      </c>
      <c r="Y580" s="18" t="s">
        <v>33</v>
      </c>
      <c r="Z580" s="43" t="e">
        <f>TEXT([1]!Table64[[#This Row],[Order date]],"mmm-yyyy")</f>
        <v>#REF!</v>
      </c>
    </row>
    <row r="581" spans="1:26" x14ac:dyDescent="0.3">
      <c r="A581" s="22">
        <v>10580</v>
      </c>
      <c r="B581" s="23">
        <v>6004</v>
      </c>
      <c r="C581" s="23" t="s">
        <v>34</v>
      </c>
      <c r="D581" s="24">
        <v>28218.94</v>
      </c>
      <c r="E581" s="23">
        <v>90</v>
      </c>
      <c r="F581" s="23" t="s">
        <v>43</v>
      </c>
      <c r="G581" s="25">
        <v>45361</v>
      </c>
      <c r="H581" s="24">
        <v>95764.27</v>
      </c>
      <c r="I581" s="26" t="s">
        <v>44</v>
      </c>
      <c r="J581" s="15" t="s">
        <v>28</v>
      </c>
      <c r="K581" s="15">
        <v>981</v>
      </c>
      <c r="L581" s="16">
        <v>45397</v>
      </c>
      <c r="M581" s="17">
        <v>2</v>
      </c>
      <c r="N581" s="27">
        <v>90580</v>
      </c>
      <c r="O581" s="27" t="s">
        <v>37</v>
      </c>
      <c r="P581" s="28">
        <v>45352</v>
      </c>
      <c r="Q581" s="29">
        <v>0.49262</v>
      </c>
      <c r="R581" s="30">
        <v>70580</v>
      </c>
      <c r="S581" s="27" t="s">
        <v>41</v>
      </c>
      <c r="T581" s="29">
        <v>174467.56518999999</v>
      </c>
      <c r="U581" s="27" t="s">
        <v>42</v>
      </c>
      <c r="V581" s="28">
        <v>45422</v>
      </c>
      <c r="W581" s="27" t="s">
        <v>38</v>
      </c>
      <c r="X581" s="28">
        <v>45376</v>
      </c>
      <c r="Y581" s="27" t="s">
        <v>39</v>
      </c>
      <c r="Z581" s="43" t="e">
        <f>TEXT([1]!Table64[[#This Row],[Order date]],"mmm-yyyy")</f>
        <v>#REF!</v>
      </c>
    </row>
    <row r="582" spans="1:26" x14ac:dyDescent="0.3">
      <c r="A582" s="10">
        <v>10581</v>
      </c>
      <c r="B582" s="11">
        <v>6644</v>
      </c>
      <c r="C582" s="11" t="s">
        <v>34</v>
      </c>
      <c r="D582" s="12">
        <v>39283.019999999997</v>
      </c>
      <c r="E582" s="11">
        <v>92</v>
      </c>
      <c r="F582" s="11" t="s">
        <v>26</v>
      </c>
      <c r="G582" s="13">
        <v>45337</v>
      </c>
      <c r="H582" s="12">
        <v>81162.75</v>
      </c>
      <c r="I582" s="14" t="s">
        <v>47</v>
      </c>
      <c r="J582" s="15" t="s">
        <v>28</v>
      </c>
      <c r="K582" s="15">
        <v>1046</v>
      </c>
      <c r="L582" s="16">
        <v>45397</v>
      </c>
      <c r="M582" s="17">
        <v>11</v>
      </c>
      <c r="N582" s="18">
        <v>90581</v>
      </c>
      <c r="O582" s="18" t="s">
        <v>50</v>
      </c>
      <c r="P582" s="19">
        <v>45383</v>
      </c>
      <c r="Q582" s="20">
        <v>0.98275999999999997</v>
      </c>
      <c r="R582" s="21">
        <v>70581</v>
      </c>
      <c r="S582" s="18" t="s">
        <v>45</v>
      </c>
      <c r="T582" s="20">
        <v>194006.26800000001</v>
      </c>
      <c r="U582" s="18" t="s">
        <v>42</v>
      </c>
      <c r="V582" s="19">
        <v>45422</v>
      </c>
      <c r="W582" s="18" t="s">
        <v>32</v>
      </c>
      <c r="X582" s="19">
        <v>45376</v>
      </c>
      <c r="Y582" s="18" t="s">
        <v>33</v>
      </c>
      <c r="Z582" s="43" t="e">
        <f>TEXT([1]!Table64[[#This Row],[Order date]],"mmm-yyyy")</f>
        <v>#REF!</v>
      </c>
    </row>
    <row r="583" spans="1:26" x14ac:dyDescent="0.3">
      <c r="A583" s="22">
        <v>10582</v>
      </c>
      <c r="B583" s="23">
        <v>5005</v>
      </c>
      <c r="C583" s="23" t="s">
        <v>34</v>
      </c>
      <c r="D583" s="24">
        <v>53124.62</v>
      </c>
      <c r="E583" s="23">
        <v>69</v>
      </c>
      <c r="F583" s="23" t="s">
        <v>43</v>
      </c>
      <c r="G583" s="25">
        <v>45383</v>
      </c>
      <c r="H583" s="24">
        <v>130383.76</v>
      </c>
      <c r="I583" s="26" t="s">
        <v>27</v>
      </c>
      <c r="J583" s="15" t="s">
        <v>36</v>
      </c>
      <c r="K583" s="15">
        <v>971</v>
      </c>
      <c r="L583" s="16">
        <v>45332</v>
      </c>
      <c r="M583" s="17">
        <v>8</v>
      </c>
      <c r="N583" s="27">
        <v>90582</v>
      </c>
      <c r="O583" s="27" t="s">
        <v>50</v>
      </c>
      <c r="P583" s="28">
        <v>45352</v>
      </c>
      <c r="Q583" s="29">
        <v>0.42063</v>
      </c>
      <c r="R583" s="30">
        <v>70582</v>
      </c>
      <c r="S583" s="27" t="s">
        <v>45</v>
      </c>
      <c r="T583" s="29">
        <v>204952.595</v>
      </c>
      <c r="U583" s="27" t="s">
        <v>42</v>
      </c>
      <c r="V583" s="28">
        <v>45392</v>
      </c>
      <c r="W583" s="27" t="s">
        <v>38</v>
      </c>
      <c r="X583" s="28">
        <v>45384</v>
      </c>
      <c r="Y583" s="27" t="s">
        <v>33</v>
      </c>
      <c r="Z583" s="43" t="e">
        <f>TEXT([1]!Table64[[#This Row],[Order date]],"mmm-yyyy")</f>
        <v>#REF!</v>
      </c>
    </row>
    <row r="584" spans="1:26" x14ac:dyDescent="0.3">
      <c r="A584" s="10">
        <v>10583</v>
      </c>
      <c r="B584" s="11">
        <v>6127</v>
      </c>
      <c r="C584" s="11" t="s">
        <v>34</v>
      </c>
      <c r="D584" s="12">
        <v>19475.96</v>
      </c>
      <c r="E584" s="11">
        <v>8</v>
      </c>
      <c r="F584" s="11" t="s">
        <v>46</v>
      </c>
      <c r="G584" s="13">
        <v>45337</v>
      </c>
      <c r="H584" s="12">
        <v>140480.67000000001</v>
      </c>
      <c r="I584" s="14" t="s">
        <v>44</v>
      </c>
      <c r="J584" s="15" t="s">
        <v>28</v>
      </c>
      <c r="K584" s="15">
        <v>870</v>
      </c>
      <c r="L584" s="16">
        <v>45397</v>
      </c>
      <c r="M584" s="17">
        <v>7</v>
      </c>
      <c r="N584" s="18">
        <v>90583</v>
      </c>
      <c r="O584" s="18" t="s">
        <v>50</v>
      </c>
      <c r="P584" s="19">
        <v>45430</v>
      </c>
      <c r="Q584" s="20">
        <v>0.65251000000000003</v>
      </c>
      <c r="R584" s="21">
        <v>70583</v>
      </c>
      <c r="S584" s="18" t="s">
        <v>30</v>
      </c>
      <c r="T584" s="20">
        <v>202795.2163</v>
      </c>
      <c r="U584" s="18" t="s">
        <v>42</v>
      </c>
      <c r="V584" s="19">
        <v>45422</v>
      </c>
      <c r="W584" s="18" t="s">
        <v>38</v>
      </c>
      <c r="X584" s="19">
        <v>45376</v>
      </c>
      <c r="Y584" s="18" t="s">
        <v>33</v>
      </c>
      <c r="Z584" s="43" t="e">
        <f>TEXT([1]!Table64[[#This Row],[Order date]],"mmm-yyyy")</f>
        <v>#REF!</v>
      </c>
    </row>
    <row r="585" spans="1:26" x14ac:dyDescent="0.3">
      <c r="A585" s="22">
        <v>10584</v>
      </c>
      <c r="B585" s="23">
        <v>6220</v>
      </c>
      <c r="C585" s="23" t="s">
        <v>34</v>
      </c>
      <c r="D585" s="24">
        <v>10422.25</v>
      </c>
      <c r="E585" s="23">
        <v>25</v>
      </c>
      <c r="F585" s="23" t="s">
        <v>43</v>
      </c>
      <c r="G585" s="25">
        <v>45306</v>
      </c>
      <c r="H585" s="24">
        <v>69703.41</v>
      </c>
      <c r="I585" s="26" t="s">
        <v>44</v>
      </c>
      <c r="J585" s="15" t="s">
        <v>36</v>
      </c>
      <c r="K585" s="15">
        <v>706</v>
      </c>
      <c r="L585" s="16">
        <v>45332</v>
      </c>
      <c r="M585" s="17">
        <v>10</v>
      </c>
      <c r="N585" s="27">
        <v>90584</v>
      </c>
      <c r="O585" s="27" t="s">
        <v>37</v>
      </c>
      <c r="P585" s="28">
        <v>45352</v>
      </c>
      <c r="Q585" s="29">
        <v>0.38048999999999999</v>
      </c>
      <c r="R585" s="30">
        <v>70584</v>
      </c>
      <c r="S585" s="27" t="s">
        <v>45</v>
      </c>
      <c r="T585" s="29">
        <v>87696.434500000003</v>
      </c>
      <c r="U585" s="27" t="s">
        <v>31</v>
      </c>
      <c r="V585" s="28">
        <v>45444</v>
      </c>
      <c r="W585" s="27" t="s">
        <v>38</v>
      </c>
      <c r="X585" s="28">
        <v>45384</v>
      </c>
      <c r="Y585" s="27" t="s">
        <v>33</v>
      </c>
      <c r="Z585" s="43" t="e">
        <f>TEXT([1]!Table64[[#This Row],[Order date]],"mmm-yyyy")</f>
        <v>#REF!</v>
      </c>
    </row>
    <row r="586" spans="1:26" x14ac:dyDescent="0.3">
      <c r="A586" s="10">
        <v>10585</v>
      </c>
      <c r="B586" s="11">
        <v>5774</v>
      </c>
      <c r="C586" s="11" t="s">
        <v>34</v>
      </c>
      <c r="D586" s="12">
        <v>57373.31</v>
      </c>
      <c r="E586" s="11">
        <v>91</v>
      </c>
      <c r="F586" s="11" t="s">
        <v>46</v>
      </c>
      <c r="G586" s="13">
        <v>45383</v>
      </c>
      <c r="H586" s="12">
        <v>102702.08</v>
      </c>
      <c r="I586" s="14" t="s">
        <v>47</v>
      </c>
      <c r="J586" s="15" t="s">
        <v>49</v>
      </c>
      <c r="K586" s="15">
        <v>647</v>
      </c>
      <c r="L586" s="16">
        <v>45361</v>
      </c>
      <c r="M586" s="17">
        <v>7</v>
      </c>
      <c r="N586" s="18">
        <v>90585</v>
      </c>
      <c r="O586" s="18" t="s">
        <v>29</v>
      </c>
      <c r="P586" s="19">
        <v>45352</v>
      </c>
      <c r="Q586" s="20">
        <v>0.99153999999999998</v>
      </c>
      <c r="R586" s="21">
        <v>70585</v>
      </c>
      <c r="S586" s="18" t="s">
        <v>41</v>
      </c>
      <c r="T586" s="20">
        <v>181044.48980000001</v>
      </c>
      <c r="U586" s="18" t="s">
        <v>31</v>
      </c>
      <c r="V586" s="19">
        <v>45444</v>
      </c>
      <c r="W586" s="18" t="s">
        <v>38</v>
      </c>
      <c r="X586" s="19">
        <v>45384</v>
      </c>
      <c r="Y586" s="18" t="s">
        <v>33</v>
      </c>
      <c r="Z586" s="43" t="e">
        <f>TEXT([1]!Table64[[#This Row],[Order date]],"mmm-yyyy")</f>
        <v>#REF!</v>
      </c>
    </row>
    <row r="587" spans="1:26" x14ac:dyDescent="0.3">
      <c r="A587" s="22">
        <v>10586</v>
      </c>
      <c r="B587" s="23">
        <v>5877</v>
      </c>
      <c r="C587" s="23" t="s">
        <v>25</v>
      </c>
      <c r="D587" s="24">
        <v>9914.02</v>
      </c>
      <c r="E587" s="23">
        <v>46</v>
      </c>
      <c r="F587" s="23" t="s">
        <v>35</v>
      </c>
      <c r="G587" s="25">
        <v>45361</v>
      </c>
      <c r="H587" s="24">
        <v>147115.25</v>
      </c>
      <c r="I587" s="26" t="s">
        <v>47</v>
      </c>
      <c r="J587" s="15" t="s">
        <v>49</v>
      </c>
      <c r="K587" s="15">
        <v>1226</v>
      </c>
      <c r="L587" s="16">
        <v>45332</v>
      </c>
      <c r="M587" s="17">
        <v>5</v>
      </c>
      <c r="N587" s="27">
        <v>90586</v>
      </c>
      <c r="O587" s="27" t="s">
        <v>50</v>
      </c>
      <c r="P587" s="28">
        <v>45352</v>
      </c>
      <c r="Q587" s="29">
        <v>0.50060000000000004</v>
      </c>
      <c r="R587" s="30">
        <v>70586</v>
      </c>
      <c r="S587" s="27" t="s">
        <v>45</v>
      </c>
      <c r="T587" s="29">
        <v>165098.79749999999</v>
      </c>
      <c r="U587" s="27" t="s">
        <v>48</v>
      </c>
      <c r="V587" s="28">
        <v>45444</v>
      </c>
      <c r="W587" s="27" t="s">
        <v>38</v>
      </c>
      <c r="X587" s="28">
        <v>45376</v>
      </c>
      <c r="Y587" s="27" t="s">
        <v>33</v>
      </c>
      <c r="Z587" s="43" t="e">
        <f>TEXT([1]!Table64[[#This Row],[Order date]],"mmm-yyyy")</f>
        <v>#REF!</v>
      </c>
    </row>
    <row r="588" spans="1:26" x14ac:dyDescent="0.3">
      <c r="A588" s="10">
        <v>10587</v>
      </c>
      <c r="B588" s="11">
        <v>5992</v>
      </c>
      <c r="C588" s="11" t="s">
        <v>25</v>
      </c>
      <c r="D588" s="12">
        <v>53659.98</v>
      </c>
      <c r="E588" s="11">
        <v>87</v>
      </c>
      <c r="F588" s="11" t="s">
        <v>35</v>
      </c>
      <c r="G588" s="13">
        <v>45361</v>
      </c>
      <c r="H588" s="12">
        <v>111781.71</v>
      </c>
      <c r="I588" s="14" t="s">
        <v>47</v>
      </c>
      <c r="J588" s="15" t="s">
        <v>36</v>
      </c>
      <c r="K588" s="15">
        <v>563</v>
      </c>
      <c r="L588" s="16">
        <v>45332</v>
      </c>
      <c r="M588" s="17">
        <v>12</v>
      </c>
      <c r="N588" s="18">
        <v>90587</v>
      </c>
      <c r="O588" s="18" t="s">
        <v>50</v>
      </c>
      <c r="P588" s="19">
        <v>45430</v>
      </c>
      <c r="Q588" s="20">
        <v>0.67071999999999998</v>
      </c>
      <c r="R588" s="21">
        <v>70587</v>
      </c>
      <c r="S588" s="18" t="s">
        <v>41</v>
      </c>
      <c r="T588" s="20">
        <v>188383.4184</v>
      </c>
      <c r="U588" s="18" t="s">
        <v>42</v>
      </c>
      <c r="V588" s="19">
        <v>45444</v>
      </c>
      <c r="W588" s="18" t="s">
        <v>32</v>
      </c>
      <c r="X588" s="19">
        <v>45384</v>
      </c>
      <c r="Y588" s="18" t="s">
        <v>33</v>
      </c>
      <c r="Z588" s="43" t="e">
        <f>TEXT([1]!Table64[[#This Row],[Order date]],"mmm-yyyy")</f>
        <v>#REF!</v>
      </c>
    </row>
    <row r="589" spans="1:26" x14ac:dyDescent="0.3">
      <c r="A589" s="22">
        <v>10588</v>
      </c>
      <c r="B589" s="23">
        <v>5884</v>
      </c>
      <c r="C589" s="23" t="s">
        <v>25</v>
      </c>
      <c r="D589" s="24">
        <v>79343.87</v>
      </c>
      <c r="E589" s="23">
        <v>30</v>
      </c>
      <c r="F589" s="23" t="s">
        <v>46</v>
      </c>
      <c r="G589" s="25">
        <v>45361</v>
      </c>
      <c r="H589" s="24">
        <v>92313.64</v>
      </c>
      <c r="I589" s="26" t="s">
        <v>44</v>
      </c>
      <c r="J589" s="15" t="s">
        <v>49</v>
      </c>
      <c r="K589" s="15">
        <v>1079</v>
      </c>
      <c r="L589" s="16">
        <v>45332</v>
      </c>
      <c r="M589" s="17">
        <v>13</v>
      </c>
      <c r="N589" s="27">
        <v>90588</v>
      </c>
      <c r="O589" s="27" t="s">
        <v>29</v>
      </c>
      <c r="P589" s="28">
        <v>45430</v>
      </c>
      <c r="Q589" s="29">
        <v>0.21404999999999999</v>
      </c>
      <c r="R589" s="30">
        <v>70588</v>
      </c>
      <c r="S589" s="27" t="s">
        <v>41</v>
      </c>
      <c r="T589" s="29">
        <v>179061.9522</v>
      </c>
      <c r="U589" s="27" t="s">
        <v>42</v>
      </c>
      <c r="V589" s="28">
        <v>45422</v>
      </c>
      <c r="W589" s="27" t="s">
        <v>38</v>
      </c>
      <c r="X589" s="28">
        <v>45376</v>
      </c>
      <c r="Y589" s="27" t="s">
        <v>39</v>
      </c>
      <c r="Z589" s="43" t="e">
        <f>TEXT([1]!Table64[[#This Row],[Order date]],"mmm-yyyy")</f>
        <v>#REF!</v>
      </c>
    </row>
    <row r="590" spans="1:26" x14ac:dyDescent="0.3">
      <c r="A590" s="10">
        <v>10589</v>
      </c>
      <c r="B590" s="11">
        <v>6374</v>
      </c>
      <c r="C590" s="11" t="s">
        <v>34</v>
      </c>
      <c r="D590" s="12">
        <v>9551.8799999999992</v>
      </c>
      <c r="E590" s="11">
        <v>47</v>
      </c>
      <c r="F590" s="11" t="s">
        <v>43</v>
      </c>
      <c r="G590" s="13">
        <v>45383</v>
      </c>
      <c r="H590" s="12">
        <v>112230.47</v>
      </c>
      <c r="I590" s="14" t="s">
        <v>44</v>
      </c>
      <c r="J590" s="15" t="s">
        <v>28</v>
      </c>
      <c r="K590" s="15">
        <v>549</v>
      </c>
      <c r="L590" s="16">
        <v>45397</v>
      </c>
      <c r="M590" s="17">
        <v>9</v>
      </c>
      <c r="N590" s="18">
        <v>90589</v>
      </c>
      <c r="O590" s="18" t="s">
        <v>37</v>
      </c>
      <c r="P590" s="19">
        <v>45430</v>
      </c>
      <c r="Q590" s="20">
        <v>0.75971999999999995</v>
      </c>
      <c r="R590" s="21">
        <v>70589</v>
      </c>
      <c r="S590" s="18" t="s">
        <v>45</v>
      </c>
      <c r="T590" s="20">
        <v>170518.89600000001</v>
      </c>
      <c r="U590" s="18" t="s">
        <v>31</v>
      </c>
      <c r="V590" s="19">
        <v>45444</v>
      </c>
      <c r="W590" s="18" t="s">
        <v>32</v>
      </c>
      <c r="X590" s="19">
        <v>45376</v>
      </c>
      <c r="Y590" s="18" t="s">
        <v>33</v>
      </c>
      <c r="Z590" s="43" t="e">
        <f>TEXT([1]!Table64[[#This Row],[Order date]],"mmm-yyyy")</f>
        <v>#REF!</v>
      </c>
    </row>
    <row r="591" spans="1:26" x14ac:dyDescent="0.3">
      <c r="A591" s="22">
        <v>10590</v>
      </c>
      <c r="B591" s="23">
        <v>5047</v>
      </c>
      <c r="C591" s="23" t="s">
        <v>34</v>
      </c>
      <c r="D591" s="24">
        <v>60017.96</v>
      </c>
      <c r="E591" s="23">
        <v>87</v>
      </c>
      <c r="F591" s="23" t="s">
        <v>35</v>
      </c>
      <c r="G591" s="25">
        <v>45337</v>
      </c>
      <c r="H591" s="24">
        <v>85583.47</v>
      </c>
      <c r="I591" s="26" t="s">
        <v>44</v>
      </c>
      <c r="J591" s="15" t="s">
        <v>49</v>
      </c>
      <c r="K591" s="15">
        <v>766</v>
      </c>
      <c r="L591" s="16">
        <v>45332</v>
      </c>
      <c r="M591" s="17">
        <v>5</v>
      </c>
      <c r="N591" s="27">
        <v>90590</v>
      </c>
      <c r="O591" s="27" t="s">
        <v>29</v>
      </c>
      <c r="P591" s="28">
        <v>45430</v>
      </c>
      <c r="Q591" s="29">
        <v>0.34228999999999998</v>
      </c>
      <c r="R591" s="30">
        <v>70590</v>
      </c>
      <c r="S591" s="27" t="s">
        <v>45</v>
      </c>
      <c r="T591" s="29">
        <v>110678.8395</v>
      </c>
      <c r="U591" s="27" t="s">
        <v>48</v>
      </c>
      <c r="V591" s="28">
        <v>45392</v>
      </c>
      <c r="W591" s="27" t="s">
        <v>38</v>
      </c>
      <c r="X591" s="28">
        <v>45376</v>
      </c>
      <c r="Y591" s="27" t="s">
        <v>39</v>
      </c>
      <c r="Z591" s="43" t="e">
        <f>TEXT([1]!Table64[[#This Row],[Order date]],"mmm-yyyy")</f>
        <v>#REF!</v>
      </c>
    </row>
    <row r="592" spans="1:26" x14ac:dyDescent="0.3">
      <c r="A592" s="10">
        <v>10591</v>
      </c>
      <c r="B592" s="11">
        <v>5867</v>
      </c>
      <c r="C592" s="11" t="s">
        <v>34</v>
      </c>
      <c r="D592" s="12">
        <v>10496.38</v>
      </c>
      <c r="E592" s="11">
        <v>49</v>
      </c>
      <c r="F592" s="11" t="s">
        <v>26</v>
      </c>
      <c r="G592" s="13">
        <v>45383</v>
      </c>
      <c r="H592" s="12">
        <v>166561.13</v>
      </c>
      <c r="I592" s="14" t="s">
        <v>44</v>
      </c>
      <c r="J592" s="15" t="s">
        <v>28</v>
      </c>
      <c r="K592" s="15">
        <v>1191</v>
      </c>
      <c r="L592" s="16">
        <v>45332</v>
      </c>
      <c r="M592" s="17">
        <v>2</v>
      </c>
      <c r="N592" s="18">
        <v>90591</v>
      </c>
      <c r="O592" s="18" t="s">
        <v>29</v>
      </c>
      <c r="P592" s="19">
        <v>45383</v>
      </c>
      <c r="Q592" s="20">
        <v>0.50375000000000003</v>
      </c>
      <c r="R592" s="21">
        <v>70591</v>
      </c>
      <c r="S592" s="18" t="s">
        <v>45</v>
      </c>
      <c r="T592" s="20">
        <v>89679.520329999999</v>
      </c>
      <c r="U592" s="18" t="s">
        <v>31</v>
      </c>
      <c r="V592" s="19">
        <v>45422</v>
      </c>
      <c r="W592" s="18" t="s">
        <v>38</v>
      </c>
      <c r="X592" s="19">
        <v>45376</v>
      </c>
      <c r="Y592" s="18" t="s">
        <v>33</v>
      </c>
      <c r="Z592" s="43" t="e">
        <f>TEXT([1]!Table64[[#This Row],[Order date]],"mmm-yyyy")</f>
        <v>#REF!</v>
      </c>
    </row>
    <row r="593" spans="1:26" x14ac:dyDescent="0.3">
      <c r="A593" s="22">
        <v>10592</v>
      </c>
      <c r="B593" s="23">
        <v>5823</v>
      </c>
      <c r="C593" s="23" t="s">
        <v>34</v>
      </c>
      <c r="D593" s="24">
        <v>38910.699999999997</v>
      </c>
      <c r="E593" s="23">
        <v>47</v>
      </c>
      <c r="F593" s="23" t="s">
        <v>35</v>
      </c>
      <c r="G593" s="25">
        <v>45383</v>
      </c>
      <c r="H593" s="24">
        <v>100915.3</v>
      </c>
      <c r="I593" s="26" t="s">
        <v>44</v>
      </c>
      <c r="J593" s="15" t="s">
        <v>36</v>
      </c>
      <c r="K593" s="15">
        <v>650</v>
      </c>
      <c r="L593" s="16">
        <v>45332</v>
      </c>
      <c r="M593" s="17">
        <v>3</v>
      </c>
      <c r="N593" s="27">
        <v>90592</v>
      </c>
      <c r="O593" s="27" t="s">
        <v>29</v>
      </c>
      <c r="P593" s="28">
        <v>45430</v>
      </c>
      <c r="Q593" s="29">
        <v>0.89481999999999995</v>
      </c>
      <c r="R593" s="30">
        <v>70592</v>
      </c>
      <c r="S593" s="27" t="s">
        <v>41</v>
      </c>
      <c r="T593" s="29">
        <v>189120.4313</v>
      </c>
      <c r="U593" s="27" t="s">
        <v>42</v>
      </c>
      <c r="V593" s="28">
        <v>45444</v>
      </c>
      <c r="W593" s="27" t="s">
        <v>38</v>
      </c>
      <c r="X593" s="28">
        <v>45376</v>
      </c>
      <c r="Y593" s="27" t="s">
        <v>33</v>
      </c>
      <c r="Z593" s="43" t="e">
        <f>TEXT([1]!Table64[[#This Row],[Order date]],"mmm-yyyy")</f>
        <v>#REF!</v>
      </c>
    </row>
    <row r="594" spans="1:26" x14ac:dyDescent="0.3">
      <c r="A594" s="10">
        <v>10593</v>
      </c>
      <c r="B594" s="11">
        <v>5936</v>
      </c>
      <c r="C594" s="11" t="s">
        <v>25</v>
      </c>
      <c r="D594" s="12">
        <v>67217.16</v>
      </c>
      <c r="E594" s="11">
        <v>84</v>
      </c>
      <c r="F594" s="11" t="s">
        <v>26</v>
      </c>
      <c r="G594" s="13">
        <v>45306</v>
      </c>
      <c r="H594" s="12">
        <v>22146.21</v>
      </c>
      <c r="I594" s="14" t="s">
        <v>27</v>
      </c>
      <c r="J594" s="15" t="s">
        <v>36</v>
      </c>
      <c r="K594" s="15">
        <v>715</v>
      </c>
      <c r="L594" s="16">
        <v>45361</v>
      </c>
      <c r="M594" s="17">
        <v>4</v>
      </c>
      <c r="N594" s="18">
        <v>90593</v>
      </c>
      <c r="O594" s="18" t="s">
        <v>29</v>
      </c>
      <c r="P594" s="19">
        <v>45430</v>
      </c>
      <c r="Q594" s="20">
        <v>0.97350000000000003</v>
      </c>
      <c r="R594" s="21">
        <v>70593</v>
      </c>
      <c r="S594" s="18" t="s">
        <v>30</v>
      </c>
      <c r="T594" s="20">
        <v>171874.54493999999</v>
      </c>
      <c r="U594" s="18" t="s">
        <v>42</v>
      </c>
      <c r="V594" s="19">
        <v>45392</v>
      </c>
      <c r="W594" s="18" t="s">
        <v>32</v>
      </c>
      <c r="X594" s="19">
        <v>45376</v>
      </c>
      <c r="Y594" s="18" t="s">
        <v>33</v>
      </c>
      <c r="Z594" s="43" t="e">
        <f>TEXT([1]!Table64[[#This Row],[Order date]],"mmm-yyyy")</f>
        <v>#REF!</v>
      </c>
    </row>
    <row r="595" spans="1:26" x14ac:dyDescent="0.3">
      <c r="A595" s="22">
        <v>10594</v>
      </c>
      <c r="B595" s="23">
        <v>6844</v>
      </c>
      <c r="C595" s="23" t="s">
        <v>34</v>
      </c>
      <c r="D595" s="24">
        <v>34048.89</v>
      </c>
      <c r="E595" s="23">
        <v>82</v>
      </c>
      <c r="F595" s="23" t="s">
        <v>43</v>
      </c>
      <c r="G595" s="25">
        <v>45383</v>
      </c>
      <c r="H595" s="24">
        <v>48856.43</v>
      </c>
      <c r="I595" s="26" t="s">
        <v>27</v>
      </c>
      <c r="J595" s="15" t="s">
        <v>49</v>
      </c>
      <c r="K595" s="15">
        <v>517</v>
      </c>
      <c r="L595" s="16">
        <v>45332</v>
      </c>
      <c r="M595" s="17">
        <v>5</v>
      </c>
      <c r="N595" s="27">
        <v>90594</v>
      </c>
      <c r="O595" s="27" t="s">
        <v>37</v>
      </c>
      <c r="P595" s="28">
        <v>45430</v>
      </c>
      <c r="Q595" s="29">
        <v>0.48210999999999998</v>
      </c>
      <c r="R595" s="30">
        <v>70594</v>
      </c>
      <c r="S595" s="27" t="s">
        <v>45</v>
      </c>
      <c r="T595" s="29">
        <v>121159.3711</v>
      </c>
      <c r="U595" s="27" t="s">
        <v>48</v>
      </c>
      <c r="V595" s="28">
        <v>45444</v>
      </c>
      <c r="W595" s="27" t="s">
        <v>38</v>
      </c>
      <c r="X595" s="28">
        <v>45384</v>
      </c>
      <c r="Y595" s="27" t="s">
        <v>33</v>
      </c>
      <c r="Z595" s="43" t="e">
        <f>TEXT([1]!Table64[[#This Row],[Order date]],"mmm-yyyy")</f>
        <v>#REF!</v>
      </c>
    </row>
    <row r="596" spans="1:26" x14ac:dyDescent="0.3">
      <c r="A596" s="10">
        <v>10595</v>
      </c>
      <c r="B596" s="11">
        <v>5656</v>
      </c>
      <c r="C596" s="11" t="s">
        <v>34</v>
      </c>
      <c r="D596" s="12">
        <v>51108.72</v>
      </c>
      <c r="E596" s="11">
        <v>18</v>
      </c>
      <c r="F596" s="11" t="s">
        <v>26</v>
      </c>
      <c r="G596" s="13">
        <v>45361</v>
      </c>
      <c r="H596" s="12">
        <v>48997.01</v>
      </c>
      <c r="I596" s="14" t="s">
        <v>27</v>
      </c>
      <c r="J596" s="15" t="s">
        <v>49</v>
      </c>
      <c r="K596" s="15">
        <v>210</v>
      </c>
      <c r="L596" s="16">
        <v>45397</v>
      </c>
      <c r="M596" s="17">
        <v>13</v>
      </c>
      <c r="N596" s="18">
        <v>90595</v>
      </c>
      <c r="O596" s="18" t="s">
        <v>37</v>
      </c>
      <c r="P596" s="19">
        <v>45430</v>
      </c>
      <c r="Q596" s="20">
        <v>0.85131999999999997</v>
      </c>
      <c r="R596" s="21">
        <v>70595</v>
      </c>
      <c r="S596" s="18" t="s">
        <v>41</v>
      </c>
      <c r="T596" s="20">
        <v>189137.15239999999</v>
      </c>
      <c r="U596" s="18" t="s">
        <v>31</v>
      </c>
      <c r="V596" s="19">
        <v>45422</v>
      </c>
      <c r="W596" s="18" t="s">
        <v>38</v>
      </c>
      <c r="X596" s="19">
        <v>45376</v>
      </c>
      <c r="Y596" s="18" t="s">
        <v>33</v>
      </c>
      <c r="Z596" s="43" t="e">
        <f>TEXT([1]!Table64[[#This Row],[Order date]],"mmm-yyyy")</f>
        <v>#REF!</v>
      </c>
    </row>
    <row r="597" spans="1:26" x14ac:dyDescent="0.3">
      <c r="A597" s="22">
        <v>10596</v>
      </c>
      <c r="B597" s="23">
        <v>5269</v>
      </c>
      <c r="C597" s="23" t="s">
        <v>34</v>
      </c>
      <c r="D597" s="24">
        <v>64823.839999999997</v>
      </c>
      <c r="E597" s="23">
        <v>66</v>
      </c>
      <c r="F597" s="23" t="s">
        <v>26</v>
      </c>
      <c r="G597" s="25">
        <v>45337</v>
      </c>
      <c r="H597" s="24">
        <v>143850.46</v>
      </c>
      <c r="I597" s="26" t="s">
        <v>44</v>
      </c>
      <c r="J597" s="15" t="s">
        <v>28</v>
      </c>
      <c r="K597" s="15">
        <v>319</v>
      </c>
      <c r="L597" s="16">
        <v>45332</v>
      </c>
      <c r="M597" s="17">
        <v>3</v>
      </c>
      <c r="N597" s="27">
        <v>90596</v>
      </c>
      <c r="O597" s="27" t="s">
        <v>29</v>
      </c>
      <c r="P597" s="28">
        <v>45383</v>
      </c>
      <c r="Q597" s="29">
        <v>0.14801</v>
      </c>
      <c r="R597" s="30">
        <v>70596</v>
      </c>
      <c r="S597" s="27" t="s">
        <v>30</v>
      </c>
      <c r="T597" s="29">
        <v>155443.61314</v>
      </c>
      <c r="U597" s="27" t="s">
        <v>42</v>
      </c>
      <c r="V597" s="28">
        <v>45422</v>
      </c>
      <c r="W597" s="27" t="s">
        <v>38</v>
      </c>
      <c r="X597" s="28">
        <v>45384</v>
      </c>
      <c r="Y597" s="27" t="s">
        <v>39</v>
      </c>
      <c r="Z597" s="43" t="e">
        <f>TEXT([1]!Table64[[#This Row],[Order date]],"mmm-yyyy")</f>
        <v>#REF!</v>
      </c>
    </row>
    <row r="598" spans="1:26" x14ac:dyDescent="0.3">
      <c r="A598" s="10">
        <v>10597</v>
      </c>
      <c r="B598" s="11">
        <v>5370</v>
      </c>
      <c r="C598" s="11" t="s">
        <v>34</v>
      </c>
      <c r="D598" s="12">
        <v>47725.79</v>
      </c>
      <c r="E598" s="11">
        <v>68</v>
      </c>
      <c r="F598" s="11" t="s">
        <v>26</v>
      </c>
      <c r="G598" s="13">
        <v>45337</v>
      </c>
      <c r="H598" s="12">
        <v>148872.28</v>
      </c>
      <c r="I598" s="14" t="s">
        <v>44</v>
      </c>
      <c r="J598" s="15" t="s">
        <v>28</v>
      </c>
      <c r="K598" s="15">
        <v>1129</v>
      </c>
      <c r="L598" s="16">
        <v>45332</v>
      </c>
      <c r="M598" s="17">
        <v>12</v>
      </c>
      <c r="N598" s="18">
        <v>90597</v>
      </c>
      <c r="O598" s="18" t="s">
        <v>40</v>
      </c>
      <c r="P598" s="19">
        <v>45352</v>
      </c>
      <c r="Q598" s="20">
        <v>0.86282000000000003</v>
      </c>
      <c r="R598" s="21">
        <v>70597</v>
      </c>
      <c r="S598" s="18" t="s">
        <v>30</v>
      </c>
      <c r="T598" s="20">
        <v>183597.698</v>
      </c>
      <c r="U598" s="18" t="s">
        <v>42</v>
      </c>
      <c r="V598" s="19">
        <v>45392</v>
      </c>
      <c r="W598" s="18" t="s">
        <v>38</v>
      </c>
      <c r="X598" s="19">
        <v>45384</v>
      </c>
      <c r="Y598" s="18" t="s">
        <v>39</v>
      </c>
      <c r="Z598" s="43" t="e">
        <f>TEXT([1]!Table64[[#This Row],[Order date]],"mmm-yyyy")</f>
        <v>#REF!</v>
      </c>
    </row>
    <row r="599" spans="1:26" x14ac:dyDescent="0.3">
      <c r="A599" s="22">
        <v>10598</v>
      </c>
      <c r="B599" s="23">
        <v>5636</v>
      </c>
      <c r="C599" s="23" t="s">
        <v>34</v>
      </c>
      <c r="D599" s="24">
        <v>67724.509999999995</v>
      </c>
      <c r="E599" s="23">
        <v>94</v>
      </c>
      <c r="F599" s="23" t="s">
        <v>26</v>
      </c>
      <c r="G599" s="25">
        <v>45337</v>
      </c>
      <c r="H599" s="24">
        <v>46445.75</v>
      </c>
      <c r="I599" s="26" t="s">
        <v>44</v>
      </c>
      <c r="J599" s="15" t="s">
        <v>49</v>
      </c>
      <c r="K599" s="15">
        <v>277</v>
      </c>
      <c r="L599" s="16">
        <v>45361</v>
      </c>
      <c r="M599" s="17">
        <v>14</v>
      </c>
      <c r="N599" s="27">
        <v>90598</v>
      </c>
      <c r="O599" s="27" t="s">
        <v>40</v>
      </c>
      <c r="P599" s="28">
        <v>45352</v>
      </c>
      <c r="Q599" s="29">
        <v>0.66656000000000004</v>
      </c>
      <c r="R599" s="30">
        <v>70598</v>
      </c>
      <c r="S599" s="27" t="s">
        <v>30</v>
      </c>
      <c r="T599" s="29">
        <v>99474.644629999995</v>
      </c>
      <c r="U599" s="27" t="s">
        <v>48</v>
      </c>
      <c r="V599" s="28">
        <v>45422</v>
      </c>
      <c r="W599" s="27" t="s">
        <v>38</v>
      </c>
      <c r="X599" s="28">
        <v>45376</v>
      </c>
      <c r="Y599" s="27" t="s">
        <v>39</v>
      </c>
      <c r="Z599" s="43" t="e">
        <f>TEXT([1]!Table64[[#This Row],[Order date]],"mmm-yyyy")</f>
        <v>#REF!</v>
      </c>
    </row>
    <row r="600" spans="1:26" x14ac:dyDescent="0.3">
      <c r="A600" s="10">
        <v>10599</v>
      </c>
      <c r="B600" s="11">
        <v>6130</v>
      </c>
      <c r="C600" s="11" t="s">
        <v>34</v>
      </c>
      <c r="D600" s="12">
        <v>30361.38</v>
      </c>
      <c r="E600" s="11">
        <v>33</v>
      </c>
      <c r="F600" s="11" t="s">
        <v>35</v>
      </c>
      <c r="G600" s="13">
        <v>45361</v>
      </c>
      <c r="H600" s="12">
        <v>65940.850000000006</v>
      </c>
      <c r="I600" s="14" t="s">
        <v>27</v>
      </c>
      <c r="J600" s="15" t="s">
        <v>49</v>
      </c>
      <c r="K600" s="15">
        <v>898</v>
      </c>
      <c r="L600" s="16">
        <v>45332</v>
      </c>
      <c r="M600" s="17">
        <v>7</v>
      </c>
      <c r="N600" s="18">
        <v>90599</v>
      </c>
      <c r="O600" s="18" t="s">
        <v>40</v>
      </c>
      <c r="P600" s="19">
        <v>45430</v>
      </c>
      <c r="Q600" s="20">
        <v>0.53983999999999999</v>
      </c>
      <c r="R600" s="21">
        <v>70599</v>
      </c>
      <c r="S600" s="18" t="s">
        <v>45</v>
      </c>
      <c r="T600" s="20">
        <v>153155.06469999999</v>
      </c>
      <c r="U600" s="18" t="s">
        <v>42</v>
      </c>
      <c r="V600" s="19">
        <v>45392</v>
      </c>
      <c r="W600" s="18" t="s">
        <v>32</v>
      </c>
      <c r="X600" s="19">
        <v>45376</v>
      </c>
      <c r="Y600" s="18" t="s">
        <v>33</v>
      </c>
      <c r="Z600" s="43" t="e">
        <f>TEXT([1]!Table64[[#This Row],[Order date]],"mmm-yyyy")</f>
        <v>#REF!</v>
      </c>
    </row>
    <row r="601" spans="1:26" x14ac:dyDescent="0.3">
      <c r="A601" s="22">
        <v>10600</v>
      </c>
      <c r="B601" s="23">
        <v>6694</v>
      </c>
      <c r="C601" s="23" t="s">
        <v>25</v>
      </c>
      <c r="D601" s="24">
        <v>53445.37</v>
      </c>
      <c r="E601" s="23">
        <v>36</v>
      </c>
      <c r="F601" s="23" t="s">
        <v>26</v>
      </c>
      <c r="G601" s="25">
        <v>45361</v>
      </c>
      <c r="H601" s="24">
        <v>69811.100000000006</v>
      </c>
      <c r="I601" s="26" t="s">
        <v>44</v>
      </c>
      <c r="J601" s="15" t="s">
        <v>36</v>
      </c>
      <c r="K601" s="15">
        <v>198</v>
      </c>
      <c r="L601" s="16">
        <v>45397</v>
      </c>
      <c r="M601" s="17">
        <v>5</v>
      </c>
      <c r="N601" s="27">
        <v>90600</v>
      </c>
      <c r="O601" s="27" t="s">
        <v>40</v>
      </c>
      <c r="P601" s="28">
        <v>45430</v>
      </c>
      <c r="Q601" s="29">
        <v>0.90097000000000005</v>
      </c>
      <c r="R601" s="30">
        <v>70600</v>
      </c>
      <c r="S601" s="27" t="s">
        <v>41</v>
      </c>
      <c r="T601" s="29">
        <v>65325.417999999998</v>
      </c>
      <c r="U601" s="27" t="s">
        <v>42</v>
      </c>
      <c r="V601" s="28">
        <v>45444</v>
      </c>
      <c r="W601" s="27" t="s">
        <v>38</v>
      </c>
      <c r="X601" s="28">
        <v>45376</v>
      </c>
      <c r="Y601" s="27" t="s">
        <v>33</v>
      </c>
      <c r="Z601" s="43" t="e">
        <f>TEXT([1]!Table64[[#This Row],[Order date]],"mmm-yyyy")</f>
        <v>#REF!</v>
      </c>
    </row>
    <row r="602" spans="1:26" x14ac:dyDescent="0.3">
      <c r="A602" s="10">
        <v>10601</v>
      </c>
      <c r="B602" s="11">
        <v>6683</v>
      </c>
      <c r="C602" s="11" t="s">
        <v>34</v>
      </c>
      <c r="D602" s="12">
        <v>20441.79</v>
      </c>
      <c r="E602" s="11">
        <v>82</v>
      </c>
      <c r="F602" s="11" t="s">
        <v>35</v>
      </c>
      <c r="G602" s="13">
        <v>45361</v>
      </c>
      <c r="H602" s="12">
        <v>143440.12</v>
      </c>
      <c r="I602" s="14" t="s">
        <v>44</v>
      </c>
      <c r="J602" s="15" t="s">
        <v>36</v>
      </c>
      <c r="K602" s="15">
        <v>1119</v>
      </c>
      <c r="L602" s="16">
        <v>45332</v>
      </c>
      <c r="M602" s="17">
        <v>5</v>
      </c>
      <c r="N602" s="18">
        <v>90601</v>
      </c>
      <c r="O602" s="18" t="s">
        <v>50</v>
      </c>
      <c r="P602" s="19">
        <v>45430</v>
      </c>
      <c r="Q602" s="20">
        <v>0.86080000000000001</v>
      </c>
      <c r="R602" s="21">
        <v>70601</v>
      </c>
      <c r="S602" s="18" t="s">
        <v>41</v>
      </c>
      <c r="T602" s="20">
        <v>191309.7243</v>
      </c>
      <c r="U602" s="18" t="s">
        <v>31</v>
      </c>
      <c r="V602" s="19">
        <v>45422</v>
      </c>
      <c r="W602" s="18" t="s">
        <v>38</v>
      </c>
      <c r="X602" s="19">
        <v>45384</v>
      </c>
      <c r="Y602" s="18" t="s">
        <v>33</v>
      </c>
      <c r="Z602" s="43" t="e">
        <f>TEXT([1]!Table64[[#This Row],[Order date]],"mmm-yyyy")</f>
        <v>#REF!</v>
      </c>
    </row>
    <row r="603" spans="1:26" x14ac:dyDescent="0.3">
      <c r="A603" s="22">
        <v>10602</v>
      </c>
      <c r="B603" s="23">
        <v>5657</v>
      </c>
      <c r="C603" s="23" t="s">
        <v>34</v>
      </c>
      <c r="D603" s="24">
        <v>46579.63</v>
      </c>
      <c r="E603" s="23">
        <v>19</v>
      </c>
      <c r="F603" s="23" t="s">
        <v>26</v>
      </c>
      <c r="G603" s="25">
        <v>45361</v>
      </c>
      <c r="H603" s="24">
        <v>76494.05</v>
      </c>
      <c r="I603" s="26" t="s">
        <v>47</v>
      </c>
      <c r="J603" s="15" t="s">
        <v>36</v>
      </c>
      <c r="K603" s="15">
        <v>1217</v>
      </c>
      <c r="L603" s="16">
        <v>45397</v>
      </c>
      <c r="M603" s="17">
        <v>6</v>
      </c>
      <c r="N603" s="27">
        <v>90602</v>
      </c>
      <c r="O603" s="27" t="s">
        <v>37</v>
      </c>
      <c r="P603" s="28">
        <v>45352</v>
      </c>
      <c r="Q603" s="29">
        <v>0.36725000000000002</v>
      </c>
      <c r="R603" s="30">
        <v>70602</v>
      </c>
      <c r="S603" s="27" t="s">
        <v>45</v>
      </c>
      <c r="T603" s="29">
        <v>102616.46795999999</v>
      </c>
      <c r="U603" s="27" t="s">
        <v>48</v>
      </c>
      <c r="V603" s="28">
        <v>45444</v>
      </c>
      <c r="W603" s="27" t="s">
        <v>32</v>
      </c>
      <c r="X603" s="28">
        <v>45384</v>
      </c>
      <c r="Y603" s="27" t="s">
        <v>33</v>
      </c>
      <c r="Z603" s="43" t="e">
        <f>TEXT([1]!Table64[[#This Row],[Order date]],"mmm-yyyy")</f>
        <v>#REF!</v>
      </c>
    </row>
    <row r="604" spans="1:26" x14ac:dyDescent="0.3">
      <c r="A604" s="10">
        <v>10603</v>
      </c>
      <c r="B604" s="11">
        <v>5120</v>
      </c>
      <c r="C604" s="11" t="s">
        <v>34</v>
      </c>
      <c r="D604" s="12">
        <v>70198.63</v>
      </c>
      <c r="E604" s="11">
        <v>28</v>
      </c>
      <c r="F604" s="11" t="s">
        <v>46</v>
      </c>
      <c r="G604" s="13">
        <v>45361</v>
      </c>
      <c r="H604" s="12">
        <v>157688.22</v>
      </c>
      <c r="I604" s="14" t="s">
        <v>44</v>
      </c>
      <c r="J604" s="15" t="s">
        <v>49</v>
      </c>
      <c r="K604" s="15">
        <v>681</v>
      </c>
      <c r="L604" s="16">
        <v>45361</v>
      </c>
      <c r="M604" s="17">
        <v>7</v>
      </c>
      <c r="N604" s="18">
        <v>90603</v>
      </c>
      <c r="O604" s="18" t="s">
        <v>37</v>
      </c>
      <c r="P604" s="19">
        <v>45352</v>
      </c>
      <c r="Q604" s="20">
        <v>0.81233999999999995</v>
      </c>
      <c r="R604" s="21">
        <v>70603</v>
      </c>
      <c r="S604" s="18" t="s">
        <v>41</v>
      </c>
      <c r="T604" s="20">
        <v>196090.19127000001</v>
      </c>
      <c r="U604" s="18" t="s">
        <v>48</v>
      </c>
      <c r="V604" s="19">
        <v>45444</v>
      </c>
      <c r="W604" s="18" t="s">
        <v>38</v>
      </c>
      <c r="X604" s="19">
        <v>45376</v>
      </c>
      <c r="Y604" s="18" t="s">
        <v>33</v>
      </c>
      <c r="Z604" s="43" t="e">
        <f>TEXT([1]!Table64[[#This Row],[Order date]],"mmm-yyyy")</f>
        <v>#REF!</v>
      </c>
    </row>
    <row r="605" spans="1:26" x14ac:dyDescent="0.3">
      <c r="A605" s="22">
        <v>10604</v>
      </c>
      <c r="B605" s="23">
        <v>5831</v>
      </c>
      <c r="C605" s="23" t="s">
        <v>34</v>
      </c>
      <c r="D605" s="24">
        <v>48231.17</v>
      </c>
      <c r="E605" s="23">
        <v>40</v>
      </c>
      <c r="F605" s="23" t="s">
        <v>43</v>
      </c>
      <c r="G605" s="25">
        <v>45383</v>
      </c>
      <c r="H605" s="24">
        <v>91438.28</v>
      </c>
      <c r="I605" s="26" t="s">
        <v>47</v>
      </c>
      <c r="J605" s="15" t="s">
        <v>49</v>
      </c>
      <c r="K605" s="15">
        <v>1413</v>
      </c>
      <c r="L605" s="16">
        <v>45332</v>
      </c>
      <c r="M605" s="17">
        <v>10</v>
      </c>
      <c r="N605" s="27">
        <v>90604</v>
      </c>
      <c r="O605" s="27" t="s">
        <v>29</v>
      </c>
      <c r="P605" s="28">
        <v>45430</v>
      </c>
      <c r="Q605" s="29">
        <v>0.18953999999999999</v>
      </c>
      <c r="R605" s="30">
        <v>70604</v>
      </c>
      <c r="S605" s="27" t="s">
        <v>41</v>
      </c>
      <c r="T605" s="29">
        <v>164084.41857000001</v>
      </c>
      <c r="U605" s="27" t="s">
        <v>48</v>
      </c>
      <c r="V605" s="28">
        <v>45422</v>
      </c>
      <c r="W605" s="27" t="s">
        <v>38</v>
      </c>
      <c r="X605" s="28">
        <v>45384</v>
      </c>
      <c r="Y605" s="27" t="s">
        <v>33</v>
      </c>
      <c r="Z605" s="43" t="e">
        <f>TEXT([1]!Table64[[#This Row],[Order date]],"mmm-yyyy")</f>
        <v>#REF!</v>
      </c>
    </row>
    <row r="606" spans="1:26" x14ac:dyDescent="0.3">
      <c r="A606" s="10">
        <v>10605</v>
      </c>
      <c r="B606" s="11">
        <v>6811</v>
      </c>
      <c r="C606" s="11" t="s">
        <v>34</v>
      </c>
      <c r="D606" s="12">
        <v>92210.55</v>
      </c>
      <c r="E606" s="11">
        <v>84</v>
      </c>
      <c r="F606" s="11" t="s">
        <v>26</v>
      </c>
      <c r="G606" s="13">
        <v>45361</v>
      </c>
      <c r="H606" s="12">
        <v>134599.70000000001</v>
      </c>
      <c r="I606" s="14" t="s">
        <v>44</v>
      </c>
      <c r="J606" s="15" t="s">
        <v>49</v>
      </c>
      <c r="K606" s="15">
        <v>462</v>
      </c>
      <c r="L606" s="16">
        <v>45361</v>
      </c>
      <c r="M606" s="17">
        <v>10</v>
      </c>
      <c r="N606" s="18">
        <v>90605</v>
      </c>
      <c r="O606" s="18" t="s">
        <v>50</v>
      </c>
      <c r="P606" s="19">
        <v>45352</v>
      </c>
      <c r="Q606" s="20">
        <v>0.84048999999999996</v>
      </c>
      <c r="R606" s="21">
        <v>70605</v>
      </c>
      <c r="S606" s="18" t="s">
        <v>41</v>
      </c>
      <c r="T606" s="20">
        <v>129116.624</v>
      </c>
      <c r="U606" s="18" t="s">
        <v>31</v>
      </c>
      <c r="V606" s="19">
        <v>45444</v>
      </c>
      <c r="W606" s="18" t="s">
        <v>38</v>
      </c>
      <c r="X606" s="19">
        <v>45384</v>
      </c>
      <c r="Y606" s="18" t="s">
        <v>33</v>
      </c>
      <c r="Z606" s="43" t="e">
        <f>TEXT([1]!Table64[[#This Row],[Order date]],"mmm-yyyy")</f>
        <v>#REF!</v>
      </c>
    </row>
    <row r="607" spans="1:26" x14ac:dyDescent="0.3">
      <c r="A607" s="22">
        <v>10606</v>
      </c>
      <c r="B607" s="23">
        <v>6628</v>
      </c>
      <c r="C607" s="23" t="s">
        <v>34</v>
      </c>
      <c r="D607" s="24">
        <v>60619.05</v>
      </c>
      <c r="E607" s="23">
        <v>97</v>
      </c>
      <c r="F607" s="23" t="s">
        <v>46</v>
      </c>
      <c r="G607" s="25">
        <v>45361</v>
      </c>
      <c r="H607" s="24">
        <v>101491.36</v>
      </c>
      <c r="I607" s="26" t="s">
        <v>44</v>
      </c>
      <c r="J607" s="15" t="s">
        <v>36</v>
      </c>
      <c r="K607" s="15">
        <v>569</v>
      </c>
      <c r="L607" s="16">
        <v>45332</v>
      </c>
      <c r="M607" s="17">
        <v>8</v>
      </c>
      <c r="N607" s="27">
        <v>90606</v>
      </c>
      <c r="O607" s="27" t="s">
        <v>29</v>
      </c>
      <c r="P607" s="28">
        <v>45383</v>
      </c>
      <c r="Q607" s="29">
        <v>0.70791000000000004</v>
      </c>
      <c r="R607" s="30">
        <v>70606</v>
      </c>
      <c r="S607" s="27" t="s">
        <v>45</v>
      </c>
      <c r="T607" s="29">
        <v>90812.288499999995</v>
      </c>
      <c r="U607" s="27" t="s">
        <v>48</v>
      </c>
      <c r="V607" s="28">
        <v>45392</v>
      </c>
      <c r="W607" s="27" t="s">
        <v>38</v>
      </c>
      <c r="X607" s="28">
        <v>45376</v>
      </c>
      <c r="Y607" s="27" t="s">
        <v>33</v>
      </c>
      <c r="Z607" s="43" t="e">
        <f>TEXT([1]!Table64[[#This Row],[Order date]],"mmm-yyyy")</f>
        <v>#REF!</v>
      </c>
    </row>
    <row r="608" spans="1:26" x14ac:dyDescent="0.3">
      <c r="A608" s="10">
        <v>10607</v>
      </c>
      <c r="B608" s="11">
        <v>6082</v>
      </c>
      <c r="C608" s="11" t="s">
        <v>34</v>
      </c>
      <c r="D608" s="12">
        <v>84896.49</v>
      </c>
      <c r="E608" s="11">
        <v>76</v>
      </c>
      <c r="F608" s="11" t="s">
        <v>26</v>
      </c>
      <c r="G608" s="13">
        <v>45361</v>
      </c>
      <c r="H608" s="12">
        <v>39542.839999999997</v>
      </c>
      <c r="I608" s="14" t="s">
        <v>27</v>
      </c>
      <c r="J608" s="15" t="s">
        <v>49</v>
      </c>
      <c r="K608" s="15">
        <v>1417</v>
      </c>
      <c r="L608" s="16">
        <v>45397</v>
      </c>
      <c r="M608" s="17">
        <v>9</v>
      </c>
      <c r="N608" s="18">
        <v>90607</v>
      </c>
      <c r="O608" s="18" t="s">
        <v>29</v>
      </c>
      <c r="P608" s="19">
        <v>45430</v>
      </c>
      <c r="Q608" s="20">
        <v>0.17907999999999999</v>
      </c>
      <c r="R608" s="21">
        <v>70607</v>
      </c>
      <c r="S608" s="18" t="s">
        <v>41</v>
      </c>
      <c r="T608" s="20">
        <v>129602.10324</v>
      </c>
      <c r="U608" s="18" t="s">
        <v>42</v>
      </c>
      <c r="V608" s="19">
        <v>45392</v>
      </c>
      <c r="W608" s="18" t="s">
        <v>32</v>
      </c>
      <c r="X608" s="19">
        <v>45376</v>
      </c>
      <c r="Y608" s="18" t="s">
        <v>39</v>
      </c>
      <c r="Z608" s="43" t="e">
        <f>TEXT([1]!Table64[[#This Row],[Order date]],"mmm-yyyy")</f>
        <v>#REF!</v>
      </c>
    </row>
    <row r="609" spans="1:26" x14ac:dyDescent="0.3">
      <c r="A609" s="22">
        <v>10608</v>
      </c>
      <c r="B609" s="23">
        <v>6975</v>
      </c>
      <c r="C609" s="23" t="s">
        <v>34</v>
      </c>
      <c r="D609" s="24">
        <v>35822.43</v>
      </c>
      <c r="E609" s="23">
        <v>15</v>
      </c>
      <c r="F609" s="23" t="s">
        <v>26</v>
      </c>
      <c r="G609" s="25">
        <v>45361</v>
      </c>
      <c r="H609" s="24">
        <v>134920.99</v>
      </c>
      <c r="I609" s="26" t="s">
        <v>47</v>
      </c>
      <c r="J609" s="15" t="s">
        <v>28</v>
      </c>
      <c r="K609" s="15">
        <v>436</v>
      </c>
      <c r="L609" s="16">
        <v>45361</v>
      </c>
      <c r="M609" s="17">
        <v>11</v>
      </c>
      <c r="N609" s="27">
        <v>90608</v>
      </c>
      <c r="O609" s="27" t="s">
        <v>37</v>
      </c>
      <c r="P609" s="28">
        <v>45430</v>
      </c>
      <c r="Q609" s="29">
        <v>0.71477000000000002</v>
      </c>
      <c r="R609" s="30">
        <v>70608</v>
      </c>
      <c r="S609" s="27" t="s">
        <v>45</v>
      </c>
      <c r="T609" s="29">
        <v>164100.33348</v>
      </c>
      <c r="U609" s="27" t="s">
        <v>48</v>
      </c>
      <c r="V609" s="28">
        <v>45392</v>
      </c>
      <c r="W609" s="27" t="s">
        <v>32</v>
      </c>
      <c r="X609" s="28">
        <v>45376</v>
      </c>
      <c r="Y609" s="27" t="s">
        <v>33</v>
      </c>
      <c r="Z609" s="43" t="e">
        <f>TEXT([1]!Table64[[#This Row],[Order date]],"mmm-yyyy")</f>
        <v>#REF!</v>
      </c>
    </row>
    <row r="610" spans="1:26" x14ac:dyDescent="0.3">
      <c r="A610" s="10">
        <v>10609</v>
      </c>
      <c r="B610" s="11">
        <v>6370</v>
      </c>
      <c r="C610" s="11" t="s">
        <v>34</v>
      </c>
      <c r="D610" s="12">
        <v>99298.87</v>
      </c>
      <c r="E610" s="11">
        <v>41</v>
      </c>
      <c r="F610" s="11" t="s">
        <v>26</v>
      </c>
      <c r="G610" s="13">
        <v>45337</v>
      </c>
      <c r="H610" s="12">
        <v>27854.31</v>
      </c>
      <c r="I610" s="14" t="s">
        <v>27</v>
      </c>
      <c r="J610" s="15" t="s">
        <v>49</v>
      </c>
      <c r="K610" s="15">
        <v>324</v>
      </c>
      <c r="L610" s="16">
        <v>45332</v>
      </c>
      <c r="M610" s="17">
        <v>4</v>
      </c>
      <c r="N610" s="18">
        <v>90609</v>
      </c>
      <c r="O610" s="18" t="s">
        <v>50</v>
      </c>
      <c r="P610" s="19">
        <v>45383</v>
      </c>
      <c r="Q610" s="20">
        <v>0.62246999999999997</v>
      </c>
      <c r="R610" s="21">
        <v>70609</v>
      </c>
      <c r="S610" s="18" t="s">
        <v>41</v>
      </c>
      <c r="T610" s="20">
        <v>156191.2513</v>
      </c>
      <c r="U610" s="18" t="s">
        <v>42</v>
      </c>
      <c r="V610" s="19">
        <v>45422</v>
      </c>
      <c r="W610" s="18" t="s">
        <v>38</v>
      </c>
      <c r="X610" s="19">
        <v>45376</v>
      </c>
      <c r="Y610" s="18" t="s">
        <v>33</v>
      </c>
      <c r="Z610" s="43" t="e">
        <f>TEXT([1]!Table64[[#This Row],[Order date]],"mmm-yyyy")</f>
        <v>#REF!</v>
      </c>
    </row>
    <row r="611" spans="1:26" x14ac:dyDescent="0.3">
      <c r="A611" s="22">
        <v>10610</v>
      </c>
      <c r="B611" s="23">
        <v>5741</v>
      </c>
      <c r="C611" s="23" t="s">
        <v>34</v>
      </c>
      <c r="D611" s="24">
        <v>18457.2</v>
      </c>
      <c r="E611" s="23">
        <v>39</v>
      </c>
      <c r="F611" s="23" t="s">
        <v>46</v>
      </c>
      <c r="G611" s="25">
        <v>45361</v>
      </c>
      <c r="H611" s="24">
        <v>98326.76</v>
      </c>
      <c r="I611" s="26" t="s">
        <v>47</v>
      </c>
      <c r="J611" s="15" t="s">
        <v>49</v>
      </c>
      <c r="K611" s="15">
        <v>402</v>
      </c>
      <c r="L611" s="16">
        <v>45397</v>
      </c>
      <c r="M611" s="17">
        <v>5</v>
      </c>
      <c r="N611" s="27">
        <v>90610</v>
      </c>
      <c r="O611" s="27" t="s">
        <v>40</v>
      </c>
      <c r="P611" s="28">
        <v>45383</v>
      </c>
      <c r="Q611" s="29">
        <v>0.6351</v>
      </c>
      <c r="R611" s="30">
        <v>70610</v>
      </c>
      <c r="S611" s="27" t="s">
        <v>30</v>
      </c>
      <c r="T611" s="29">
        <v>218044.86610000001</v>
      </c>
      <c r="U611" s="27" t="s">
        <v>48</v>
      </c>
      <c r="V611" s="28">
        <v>45444</v>
      </c>
      <c r="W611" s="27" t="s">
        <v>38</v>
      </c>
      <c r="X611" s="28">
        <v>45376</v>
      </c>
      <c r="Y611" s="27" t="s">
        <v>39</v>
      </c>
      <c r="Z611" s="43" t="e">
        <f>TEXT([1]!Table64[[#This Row],[Order date]],"mmm-yyyy")</f>
        <v>#REF!</v>
      </c>
    </row>
    <row r="612" spans="1:26" x14ac:dyDescent="0.3">
      <c r="A612" s="10">
        <v>10611</v>
      </c>
      <c r="B612" s="11">
        <v>6498</v>
      </c>
      <c r="C612" s="11" t="s">
        <v>25</v>
      </c>
      <c r="D612" s="12">
        <v>17172.53</v>
      </c>
      <c r="E612" s="11">
        <v>2</v>
      </c>
      <c r="F612" s="11" t="s">
        <v>43</v>
      </c>
      <c r="G612" s="13">
        <v>45383</v>
      </c>
      <c r="H612" s="12">
        <v>86345.22</v>
      </c>
      <c r="I612" s="14" t="s">
        <v>47</v>
      </c>
      <c r="J612" s="15" t="s">
        <v>49</v>
      </c>
      <c r="K612" s="15">
        <v>1139</v>
      </c>
      <c r="L612" s="16">
        <v>45361</v>
      </c>
      <c r="M612" s="17">
        <v>5</v>
      </c>
      <c r="N612" s="18">
        <v>90611</v>
      </c>
      <c r="O612" s="18" t="s">
        <v>37</v>
      </c>
      <c r="P612" s="19">
        <v>45352</v>
      </c>
      <c r="Q612" s="20">
        <v>0.36177999999999999</v>
      </c>
      <c r="R612" s="21">
        <v>70611</v>
      </c>
      <c r="S612" s="18" t="s">
        <v>45</v>
      </c>
      <c r="T612" s="20">
        <v>202567.0759</v>
      </c>
      <c r="U612" s="18" t="s">
        <v>48</v>
      </c>
      <c r="V612" s="19">
        <v>45444</v>
      </c>
      <c r="W612" s="18" t="s">
        <v>32</v>
      </c>
      <c r="X612" s="19">
        <v>45384</v>
      </c>
      <c r="Y612" s="18" t="s">
        <v>33</v>
      </c>
      <c r="Z612" s="43" t="e">
        <f>TEXT([1]!Table64[[#This Row],[Order date]],"mmm-yyyy")</f>
        <v>#REF!</v>
      </c>
    </row>
    <row r="613" spans="1:26" x14ac:dyDescent="0.3">
      <c r="A613" s="22">
        <v>10612</v>
      </c>
      <c r="B613" s="23">
        <v>5117</v>
      </c>
      <c r="C613" s="23" t="s">
        <v>25</v>
      </c>
      <c r="D613" s="24">
        <v>39502.6</v>
      </c>
      <c r="E613" s="23">
        <v>63</v>
      </c>
      <c r="F613" s="23" t="s">
        <v>46</v>
      </c>
      <c r="G613" s="25">
        <v>45383</v>
      </c>
      <c r="H613" s="24">
        <v>66516.899999999994</v>
      </c>
      <c r="I613" s="26" t="s">
        <v>47</v>
      </c>
      <c r="J613" s="15" t="s">
        <v>49</v>
      </c>
      <c r="K613" s="15">
        <v>1152</v>
      </c>
      <c r="L613" s="16">
        <v>45332</v>
      </c>
      <c r="M613" s="17">
        <v>8</v>
      </c>
      <c r="N613" s="27">
        <v>90612</v>
      </c>
      <c r="O613" s="27" t="s">
        <v>50</v>
      </c>
      <c r="P613" s="28">
        <v>45383</v>
      </c>
      <c r="Q613" s="29">
        <v>0.33984999999999999</v>
      </c>
      <c r="R613" s="30">
        <v>70612</v>
      </c>
      <c r="S613" s="27" t="s">
        <v>41</v>
      </c>
      <c r="T613" s="29">
        <v>179472.43040000001</v>
      </c>
      <c r="U613" s="27" t="s">
        <v>31</v>
      </c>
      <c r="V613" s="28">
        <v>45444</v>
      </c>
      <c r="W613" s="27" t="s">
        <v>32</v>
      </c>
      <c r="X613" s="28">
        <v>45384</v>
      </c>
      <c r="Y613" s="27" t="s">
        <v>39</v>
      </c>
      <c r="Z613" s="43" t="e">
        <f>TEXT([1]!Table64[[#This Row],[Order date]],"mmm-yyyy")</f>
        <v>#REF!</v>
      </c>
    </row>
    <row r="614" spans="1:26" x14ac:dyDescent="0.3">
      <c r="A614" s="10">
        <v>10613</v>
      </c>
      <c r="B614" s="11">
        <v>6854</v>
      </c>
      <c r="C614" s="11" t="s">
        <v>34</v>
      </c>
      <c r="D614" s="12">
        <v>57204.800000000003</v>
      </c>
      <c r="E614" s="11">
        <v>29</v>
      </c>
      <c r="F614" s="11" t="s">
        <v>43</v>
      </c>
      <c r="G614" s="13">
        <v>45383</v>
      </c>
      <c r="H614" s="12">
        <v>71406.78</v>
      </c>
      <c r="I614" s="14" t="s">
        <v>44</v>
      </c>
      <c r="J614" s="15" t="s">
        <v>49</v>
      </c>
      <c r="K614" s="15">
        <v>647</v>
      </c>
      <c r="L614" s="16">
        <v>45361</v>
      </c>
      <c r="M614" s="17">
        <v>9</v>
      </c>
      <c r="N614" s="18">
        <v>90613</v>
      </c>
      <c r="O614" s="18" t="s">
        <v>50</v>
      </c>
      <c r="P614" s="19">
        <v>45430</v>
      </c>
      <c r="Q614" s="20">
        <v>0.78627999999999998</v>
      </c>
      <c r="R614" s="21">
        <v>70613</v>
      </c>
      <c r="S614" s="18" t="s">
        <v>30</v>
      </c>
      <c r="T614" s="20">
        <v>152342.36444</v>
      </c>
      <c r="U614" s="18" t="s">
        <v>48</v>
      </c>
      <c r="V614" s="19">
        <v>45444</v>
      </c>
      <c r="W614" s="18" t="s">
        <v>38</v>
      </c>
      <c r="X614" s="19">
        <v>45376</v>
      </c>
      <c r="Y614" s="18" t="s">
        <v>33</v>
      </c>
      <c r="Z614" s="43" t="e">
        <f>TEXT([1]!Table64[[#This Row],[Order date]],"mmm-yyyy")</f>
        <v>#REF!</v>
      </c>
    </row>
    <row r="615" spans="1:26" x14ac:dyDescent="0.3">
      <c r="A615" s="22">
        <v>10614</v>
      </c>
      <c r="B615" s="23">
        <v>5791</v>
      </c>
      <c r="C615" s="23" t="s">
        <v>34</v>
      </c>
      <c r="D615" s="24">
        <v>9414.5</v>
      </c>
      <c r="E615" s="23">
        <v>74</v>
      </c>
      <c r="F615" s="23" t="s">
        <v>26</v>
      </c>
      <c r="G615" s="25">
        <v>45306</v>
      </c>
      <c r="H615" s="24">
        <v>81768.87</v>
      </c>
      <c r="I615" s="26" t="s">
        <v>44</v>
      </c>
      <c r="J615" s="15" t="s">
        <v>28</v>
      </c>
      <c r="K615" s="15">
        <v>1275</v>
      </c>
      <c r="L615" s="16">
        <v>45332</v>
      </c>
      <c r="M615" s="17">
        <v>7</v>
      </c>
      <c r="N615" s="27">
        <v>90614</v>
      </c>
      <c r="O615" s="27" t="s">
        <v>37</v>
      </c>
      <c r="P615" s="28">
        <v>45352</v>
      </c>
      <c r="Q615" s="29">
        <v>0.33112999999999998</v>
      </c>
      <c r="R615" s="30">
        <v>70614</v>
      </c>
      <c r="S615" s="27" t="s">
        <v>30</v>
      </c>
      <c r="T615" s="29">
        <v>95568.611690000005</v>
      </c>
      <c r="U615" s="27" t="s">
        <v>48</v>
      </c>
      <c r="V615" s="28">
        <v>45392</v>
      </c>
      <c r="W615" s="27" t="s">
        <v>38</v>
      </c>
      <c r="X615" s="28">
        <v>45384</v>
      </c>
      <c r="Y615" s="27" t="s">
        <v>39</v>
      </c>
      <c r="Z615" s="43" t="e">
        <f>TEXT([1]!Table64[[#This Row],[Order date]],"mmm-yyyy")</f>
        <v>#REF!</v>
      </c>
    </row>
    <row r="616" spans="1:26" x14ac:dyDescent="0.3">
      <c r="A616" s="10">
        <v>10615</v>
      </c>
      <c r="B616" s="11">
        <v>6151</v>
      </c>
      <c r="C616" s="11" t="s">
        <v>34</v>
      </c>
      <c r="D616" s="12">
        <v>73000.179999999993</v>
      </c>
      <c r="E616" s="11">
        <v>66</v>
      </c>
      <c r="F616" s="11" t="s">
        <v>35</v>
      </c>
      <c r="G616" s="13">
        <v>45337</v>
      </c>
      <c r="H616" s="12">
        <v>110261.22</v>
      </c>
      <c r="I616" s="14" t="s">
        <v>47</v>
      </c>
      <c r="J616" s="15" t="s">
        <v>28</v>
      </c>
      <c r="K616" s="15">
        <v>607</v>
      </c>
      <c r="L616" s="16">
        <v>45397</v>
      </c>
      <c r="M616" s="17">
        <v>5</v>
      </c>
      <c r="N616" s="18">
        <v>90615</v>
      </c>
      <c r="O616" s="18" t="s">
        <v>37</v>
      </c>
      <c r="P616" s="19">
        <v>45383</v>
      </c>
      <c r="Q616" s="20">
        <v>0.50163999999999997</v>
      </c>
      <c r="R616" s="21">
        <v>70615</v>
      </c>
      <c r="S616" s="18" t="s">
        <v>45</v>
      </c>
      <c r="T616" s="20">
        <v>137498.15689000001</v>
      </c>
      <c r="U616" s="18" t="s">
        <v>31</v>
      </c>
      <c r="V616" s="19">
        <v>45422</v>
      </c>
      <c r="W616" s="18" t="s">
        <v>32</v>
      </c>
      <c r="X616" s="19">
        <v>45376</v>
      </c>
      <c r="Y616" s="18" t="s">
        <v>39</v>
      </c>
      <c r="Z616" s="43" t="e">
        <f>TEXT([1]!Table64[[#This Row],[Order date]],"mmm-yyyy")</f>
        <v>#REF!</v>
      </c>
    </row>
    <row r="617" spans="1:26" x14ac:dyDescent="0.3">
      <c r="A617" s="22">
        <v>10616</v>
      </c>
      <c r="B617" s="23">
        <v>6417</v>
      </c>
      <c r="C617" s="23" t="s">
        <v>34</v>
      </c>
      <c r="D617" s="24">
        <v>54352.52</v>
      </c>
      <c r="E617" s="23">
        <v>51</v>
      </c>
      <c r="F617" s="23" t="s">
        <v>26</v>
      </c>
      <c r="G617" s="25">
        <v>45361</v>
      </c>
      <c r="H617" s="24">
        <v>176587.19</v>
      </c>
      <c r="I617" s="26" t="s">
        <v>44</v>
      </c>
      <c r="J617" s="15" t="s">
        <v>49</v>
      </c>
      <c r="K617" s="15">
        <v>162</v>
      </c>
      <c r="L617" s="16">
        <v>45397</v>
      </c>
      <c r="M617" s="17">
        <v>3</v>
      </c>
      <c r="N617" s="27">
        <v>90616</v>
      </c>
      <c r="O617" s="27" t="s">
        <v>29</v>
      </c>
      <c r="P617" s="28">
        <v>45352</v>
      </c>
      <c r="Q617" s="29">
        <v>0.72531000000000001</v>
      </c>
      <c r="R617" s="30">
        <v>70616</v>
      </c>
      <c r="S617" s="27" t="s">
        <v>41</v>
      </c>
      <c r="T617" s="29">
        <v>65316.203200000004</v>
      </c>
      <c r="U617" s="27" t="s">
        <v>42</v>
      </c>
      <c r="V617" s="28">
        <v>45392</v>
      </c>
      <c r="W617" s="27" t="s">
        <v>38</v>
      </c>
      <c r="X617" s="28">
        <v>45376</v>
      </c>
      <c r="Y617" s="27" t="s">
        <v>33</v>
      </c>
      <c r="Z617" s="43" t="e">
        <f>TEXT([1]!Table64[[#This Row],[Order date]],"mmm-yyyy")</f>
        <v>#REF!</v>
      </c>
    </row>
    <row r="618" spans="1:26" x14ac:dyDescent="0.3">
      <c r="A618" s="10">
        <v>10617</v>
      </c>
      <c r="B618" s="11">
        <v>6932</v>
      </c>
      <c r="C618" s="11" t="s">
        <v>25</v>
      </c>
      <c r="D618" s="12">
        <v>36915.129999999997</v>
      </c>
      <c r="E618" s="11">
        <v>75</v>
      </c>
      <c r="F618" s="11" t="s">
        <v>43</v>
      </c>
      <c r="G618" s="13">
        <v>45306</v>
      </c>
      <c r="H618" s="12">
        <v>98995.18</v>
      </c>
      <c r="I618" s="14" t="s">
        <v>47</v>
      </c>
      <c r="J618" s="15" t="s">
        <v>36</v>
      </c>
      <c r="K618" s="15">
        <v>1164</v>
      </c>
      <c r="L618" s="16">
        <v>45361</v>
      </c>
      <c r="M618" s="17">
        <v>1</v>
      </c>
      <c r="N618" s="18">
        <v>90617</v>
      </c>
      <c r="O618" s="18" t="s">
        <v>29</v>
      </c>
      <c r="P618" s="19">
        <v>45352</v>
      </c>
      <c r="Q618" s="20">
        <v>0.17165</v>
      </c>
      <c r="R618" s="21">
        <v>70617</v>
      </c>
      <c r="S618" s="18" t="s">
        <v>30</v>
      </c>
      <c r="T618" s="20">
        <v>82815.766080000001</v>
      </c>
      <c r="U618" s="18" t="s">
        <v>48</v>
      </c>
      <c r="V618" s="19">
        <v>45392</v>
      </c>
      <c r="W618" s="18" t="s">
        <v>32</v>
      </c>
      <c r="X618" s="19">
        <v>45376</v>
      </c>
      <c r="Y618" s="18" t="s">
        <v>33</v>
      </c>
      <c r="Z618" s="43" t="e">
        <f>TEXT([1]!Table64[[#This Row],[Order date]],"mmm-yyyy")</f>
        <v>#REF!</v>
      </c>
    </row>
    <row r="619" spans="1:26" x14ac:dyDescent="0.3">
      <c r="A619" s="22">
        <v>10618</v>
      </c>
      <c r="B619" s="23">
        <v>6013</v>
      </c>
      <c r="C619" s="23" t="s">
        <v>34</v>
      </c>
      <c r="D619" s="24">
        <v>47579.59</v>
      </c>
      <c r="E619" s="23">
        <v>77</v>
      </c>
      <c r="F619" s="23" t="s">
        <v>46</v>
      </c>
      <c r="G619" s="25">
        <v>45361</v>
      </c>
      <c r="H619" s="24">
        <v>152960.66</v>
      </c>
      <c r="I619" s="26" t="s">
        <v>44</v>
      </c>
      <c r="J619" s="15" t="s">
        <v>49</v>
      </c>
      <c r="K619" s="15">
        <v>190</v>
      </c>
      <c r="L619" s="16">
        <v>45361</v>
      </c>
      <c r="M619" s="17">
        <v>11</v>
      </c>
      <c r="N619" s="27">
        <v>90618</v>
      </c>
      <c r="O619" s="27" t="s">
        <v>29</v>
      </c>
      <c r="P619" s="28">
        <v>45352</v>
      </c>
      <c r="Q619" s="29">
        <v>0.63509000000000004</v>
      </c>
      <c r="R619" s="30">
        <v>70618</v>
      </c>
      <c r="S619" s="27" t="s">
        <v>45</v>
      </c>
      <c r="T619" s="29">
        <v>161227.69054000001</v>
      </c>
      <c r="U619" s="27" t="s">
        <v>48</v>
      </c>
      <c r="V619" s="28">
        <v>45422</v>
      </c>
      <c r="W619" s="27" t="s">
        <v>38</v>
      </c>
      <c r="X619" s="28">
        <v>45384</v>
      </c>
      <c r="Y619" s="27" t="s">
        <v>33</v>
      </c>
      <c r="Z619" s="43" t="e">
        <f>TEXT([1]!Table64[[#This Row],[Order date]],"mmm-yyyy")</f>
        <v>#REF!</v>
      </c>
    </row>
    <row r="620" spans="1:26" x14ac:dyDescent="0.3">
      <c r="A620" s="10">
        <v>10619</v>
      </c>
      <c r="B620" s="11">
        <v>6665</v>
      </c>
      <c r="C620" s="11" t="s">
        <v>25</v>
      </c>
      <c r="D620" s="12">
        <v>95850.67</v>
      </c>
      <c r="E620" s="11">
        <v>10</v>
      </c>
      <c r="F620" s="11" t="s">
        <v>26</v>
      </c>
      <c r="G620" s="13">
        <v>45306</v>
      </c>
      <c r="H620" s="12">
        <v>76191.62</v>
      </c>
      <c r="I620" s="14" t="s">
        <v>47</v>
      </c>
      <c r="J620" s="15" t="s">
        <v>49</v>
      </c>
      <c r="K620" s="15">
        <v>1362</v>
      </c>
      <c r="L620" s="16">
        <v>45332</v>
      </c>
      <c r="M620" s="17">
        <v>9</v>
      </c>
      <c r="N620" s="18">
        <v>90619</v>
      </c>
      <c r="O620" s="18" t="s">
        <v>40</v>
      </c>
      <c r="P620" s="19">
        <v>45352</v>
      </c>
      <c r="Q620" s="20">
        <v>0.63044</v>
      </c>
      <c r="R620" s="21">
        <v>70619</v>
      </c>
      <c r="S620" s="18" t="s">
        <v>30</v>
      </c>
      <c r="T620" s="20">
        <v>155515.02775000001</v>
      </c>
      <c r="U620" s="18" t="s">
        <v>42</v>
      </c>
      <c r="V620" s="19">
        <v>45422</v>
      </c>
      <c r="W620" s="18" t="s">
        <v>38</v>
      </c>
      <c r="X620" s="19">
        <v>45384</v>
      </c>
      <c r="Y620" s="18" t="s">
        <v>33</v>
      </c>
      <c r="Z620" s="43" t="e">
        <f>TEXT([1]!Table64[[#This Row],[Order date]],"mmm-yyyy")</f>
        <v>#REF!</v>
      </c>
    </row>
    <row r="621" spans="1:26" x14ac:dyDescent="0.3">
      <c r="A621" s="22">
        <v>10620</v>
      </c>
      <c r="B621" s="23">
        <v>6082</v>
      </c>
      <c r="C621" s="23" t="s">
        <v>34</v>
      </c>
      <c r="D621" s="24">
        <v>55355.23</v>
      </c>
      <c r="E621" s="23">
        <v>14</v>
      </c>
      <c r="F621" s="23" t="s">
        <v>46</v>
      </c>
      <c r="G621" s="25">
        <v>45306</v>
      </c>
      <c r="H621" s="24">
        <v>84333.08</v>
      </c>
      <c r="I621" s="26" t="s">
        <v>44</v>
      </c>
      <c r="J621" s="15" t="s">
        <v>49</v>
      </c>
      <c r="K621" s="15">
        <v>779</v>
      </c>
      <c r="L621" s="16">
        <v>45397</v>
      </c>
      <c r="M621" s="17">
        <v>5</v>
      </c>
      <c r="N621" s="27">
        <v>90620</v>
      </c>
      <c r="O621" s="27" t="s">
        <v>37</v>
      </c>
      <c r="P621" s="28">
        <v>45383</v>
      </c>
      <c r="Q621" s="29">
        <v>0.71580999999999995</v>
      </c>
      <c r="R621" s="30">
        <v>70620</v>
      </c>
      <c r="S621" s="27" t="s">
        <v>41</v>
      </c>
      <c r="T621" s="29">
        <v>112795.89169999999</v>
      </c>
      <c r="U621" s="27" t="s">
        <v>31</v>
      </c>
      <c r="V621" s="28">
        <v>45392</v>
      </c>
      <c r="W621" s="27" t="s">
        <v>38</v>
      </c>
      <c r="X621" s="28">
        <v>45376</v>
      </c>
      <c r="Y621" s="27" t="s">
        <v>33</v>
      </c>
      <c r="Z621" s="43" t="e">
        <f>TEXT([1]!Table64[[#This Row],[Order date]],"mmm-yyyy")</f>
        <v>#REF!</v>
      </c>
    </row>
    <row r="622" spans="1:26" x14ac:dyDescent="0.3">
      <c r="A622" s="10">
        <v>10621</v>
      </c>
      <c r="B622" s="11">
        <v>5634</v>
      </c>
      <c r="C622" s="11" t="s">
        <v>34</v>
      </c>
      <c r="D622" s="12">
        <v>54030.06</v>
      </c>
      <c r="E622" s="11">
        <v>82</v>
      </c>
      <c r="F622" s="11" t="s">
        <v>46</v>
      </c>
      <c r="G622" s="13">
        <v>45383</v>
      </c>
      <c r="H622" s="12">
        <v>67378.06</v>
      </c>
      <c r="I622" s="14" t="s">
        <v>44</v>
      </c>
      <c r="J622" s="15" t="s">
        <v>36</v>
      </c>
      <c r="K622" s="15">
        <v>638</v>
      </c>
      <c r="L622" s="16">
        <v>45332</v>
      </c>
      <c r="M622" s="17">
        <v>9</v>
      </c>
      <c r="N622" s="18">
        <v>90621</v>
      </c>
      <c r="O622" s="18" t="s">
        <v>50</v>
      </c>
      <c r="P622" s="19">
        <v>45430</v>
      </c>
      <c r="Q622" s="20">
        <v>0.43293999999999999</v>
      </c>
      <c r="R622" s="21">
        <v>70621</v>
      </c>
      <c r="S622" s="18" t="s">
        <v>45</v>
      </c>
      <c r="T622" s="20">
        <v>148928.57678999999</v>
      </c>
      <c r="U622" s="18" t="s">
        <v>48</v>
      </c>
      <c r="V622" s="19">
        <v>45444</v>
      </c>
      <c r="W622" s="18" t="s">
        <v>38</v>
      </c>
      <c r="X622" s="19">
        <v>45384</v>
      </c>
      <c r="Y622" s="18" t="s">
        <v>39</v>
      </c>
      <c r="Z622" s="43" t="e">
        <f>TEXT([1]!Table64[[#This Row],[Order date]],"mmm-yyyy")</f>
        <v>#REF!</v>
      </c>
    </row>
    <row r="623" spans="1:26" x14ac:dyDescent="0.3">
      <c r="A623" s="22">
        <v>10622</v>
      </c>
      <c r="B623" s="23">
        <v>5513</v>
      </c>
      <c r="C623" s="23" t="s">
        <v>34</v>
      </c>
      <c r="D623" s="24">
        <v>25536.04</v>
      </c>
      <c r="E623" s="23">
        <v>51</v>
      </c>
      <c r="F623" s="23" t="s">
        <v>46</v>
      </c>
      <c r="G623" s="25">
        <v>45383</v>
      </c>
      <c r="H623" s="24">
        <v>52313.84</v>
      </c>
      <c r="I623" s="26" t="s">
        <v>44</v>
      </c>
      <c r="J623" s="15" t="s">
        <v>36</v>
      </c>
      <c r="K623" s="15">
        <v>460</v>
      </c>
      <c r="L623" s="16">
        <v>45397</v>
      </c>
      <c r="M623" s="17">
        <v>10</v>
      </c>
      <c r="N623" s="27">
        <v>90622</v>
      </c>
      <c r="O623" s="27" t="s">
        <v>37</v>
      </c>
      <c r="P623" s="28">
        <v>45430</v>
      </c>
      <c r="Q623" s="29">
        <v>0.50407999999999997</v>
      </c>
      <c r="R623" s="30">
        <v>70622</v>
      </c>
      <c r="S623" s="27" t="s">
        <v>30</v>
      </c>
      <c r="T623" s="29">
        <v>110148.80777</v>
      </c>
      <c r="U623" s="27" t="s">
        <v>31</v>
      </c>
      <c r="V623" s="28">
        <v>45422</v>
      </c>
      <c r="W623" s="27" t="s">
        <v>32</v>
      </c>
      <c r="X623" s="28">
        <v>45384</v>
      </c>
      <c r="Y623" s="27" t="s">
        <v>33</v>
      </c>
      <c r="Z623" s="43" t="e">
        <f>TEXT([1]!Table64[[#This Row],[Order date]],"mmm-yyyy")</f>
        <v>#REF!</v>
      </c>
    </row>
    <row r="624" spans="1:26" x14ac:dyDescent="0.3">
      <c r="A624" s="10">
        <v>10623</v>
      </c>
      <c r="B624" s="11">
        <v>6775</v>
      </c>
      <c r="C624" s="11" t="s">
        <v>34</v>
      </c>
      <c r="D624" s="12">
        <v>68508.28</v>
      </c>
      <c r="E624" s="11">
        <v>73</v>
      </c>
      <c r="F624" s="11" t="s">
        <v>26</v>
      </c>
      <c r="G624" s="13">
        <v>45306</v>
      </c>
      <c r="H624" s="12">
        <v>50587.66</v>
      </c>
      <c r="I624" s="14" t="s">
        <v>44</v>
      </c>
      <c r="J624" s="15" t="s">
        <v>36</v>
      </c>
      <c r="K624" s="15">
        <v>426</v>
      </c>
      <c r="L624" s="16">
        <v>45361</v>
      </c>
      <c r="M624" s="17">
        <v>12</v>
      </c>
      <c r="N624" s="18">
        <v>90623</v>
      </c>
      <c r="O624" s="18" t="s">
        <v>50</v>
      </c>
      <c r="P624" s="19">
        <v>45383</v>
      </c>
      <c r="Q624" s="20">
        <v>0.39696999999999999</v>
      </c>
      <c r="R624" s="21">
        <v>70623</v>
      </c>
      <c r="S624" s="18" t="s">
        <v>45</v>
      </c>
      <c r="T624" s="20">
        <v>148009.4938</v>
      </c>
      <c r="U624" s="18" t="s">
        <v>42</v>
      </c>
      <c r="V624" s="19">
        <v>45422</v>
      </c>
      <c r="W624" s="18" t="s">
        <v>32</v>
      </c>
      <c r="X624" s="19">
        <v>45384</v>
      </c>
      <c r="Y624" s="18" t="s">
        <v>39</v>
      </c>
      <c r="Z624" s="43" t="e">
        <f>TEXT([1]!Table64[[#This Row],[Order date]],"mmm-yyyy")</f>
        <v>#REF!</v>
      </c>
    </row>
    <row r="625" spans="1:26" x14ac:dyDescent="0.3">
      <c r="A625" s="22">
        <v>10624</v>
      </c>
      <c r="B625" s="23">
        <v>5802</v>
      </c>
      <c r="C625" s="23" t="s">
        <v>34</v>
      </c>
      <c r="D625" s="24">
        <v>28552.33</v>
      </c>
      <c r="E625" s="23">
        <v>39</v>
      </c>
      <c r="F625" s="23" t="s">
        <v>46</v>
      </c>
      <c r="G625" s="25">
        <v>45383</v>
      </c>
      <c r="H625" s="24">
        <v>57436.57</v>
      </c>
      <c r="I625" s="26" t="s">
        <v>44</v>
      </c>
      <c r="J625" s="15" t="s">
        <v>28</v>
      </c>
      <c r="K625" s="15">
        <v>1457</v>
      </c>
      <c r="L625" s="16">
        <v>45332</v>
      </c>
      <c r="M625" s="17">
        <v>13</v>
      </c>
      <c r="N625" s="27">
        <v>90624</v>
      </c>
      <c r="O625" s="27" t="s">
        <v>40</v>
      </c>
      <c r="P625" s="28">
        <v>45430</v>
      </c>
      <c r="Q625" s="29">
        <v>0.82735000000000003</v>
      </c>
      <c r="R625" s="30">
        <v>70624</v>
      </c>
      <c r="S625" s="27" t="s">
        <v>45</v>
      </c>
      <c r="T625" s="29">
        <v>206019.13130000001</v>
      </c>
      <c r="U625" s="27" t="s">
        <v>42</v>
      </c>
      <c r="V625" s="28">
        <v>45392</v>
      </c>
      <c r="W625" s="27" t="s">
        <v>38</v>
      </c>
      <c r="X625" s="28">
        <v>45376</v>
      </c>
      <c r="Y625" s="27" t="s">
        <v>33</v>
      </c>
      <c r="Z625" s="43" t="e">
        <f>TEXT([1]!Table64[[#This Row],[Order date]],"mmm-yyyy")</f>
        <v>#REF!</v>
      </c>
    </row>
    <row r="626" spans="1:26" x14ac:dyDescent="0.3">
      <c r="A626" s="10">
        <v>10625</v>
      </c>
      <c r="B626" s="11">
        <v>6120</v>
      </c>
      <c r="C626" s="11" t="s">
        <v>34</v>
      </c>
      <c r="D626" s="12">
        <v>34934.46</v>
      </c>
      <c r="E626" s="11">
        <v>28</v>
      </c>
      <c r="F626" s="11" t="s">
        <v>46</v>
      </c>
      <c r="G626" s="13">
        <v>45306</v>
      </c>
      <c r="H626" s="12">
        <v>165769.16</v>
      </c>
      <c r="I626" s="14" t="s">
        <v>27</v>
      </c>
      <c r="J626" s="15" t="s">
        <v>36</v>
      </c>
      <c r="K626" s="15">
        <v>1225</v>
      </c>
      <c r="L626" s="16">
        <v>45332</v>
      </c>
      <c r="M626" s="17">
        <v>14</v>
      </c>
      <c r="N626" s="18">
        <v>90625</v>
      </c>
      <c r="O626" s="18" t="s">
        <v>37</v>
      </c>
      <c r="P626" s="19">
        <v>45352</v>
      </c>
      <c r="Q626" s="20">
        <v>0.21754999999999999</v>
      </c>
      <c r="R626" s="21">
        <v>70625</v>
      </c>
      <c r="S626" s="18" t="s">
        <v>41</v>
      </c>
      <c r="T626" s="20">
        <v>164769.9179</v>
      </c>
      <c r="U626" s="18" t="s">
        <v>31</v>
      </c>
      <c r="V626" s="19">
        <v>45444</v>
      </c>
      <c r="W626" s="18" t="s">
        <v>32</v>
      </c>
      <c r="X626" s="19">
        <v>45384</v>
      </c>
      <c r="Y626" s="18" t="s">
        <v>33</v>
      </c>
      <c r="Z626" s="43" t="e">
        <f>TEXT([1]!Table64[[#This Row],[Order date]],"mmm-yyyy")</f>
        <v>#REF!</v>
      </c>
    </row>
    <row r="627" spans="1:26" x14ac:dyDescent="0.3">
      <c r="A627" s="22">
        <v>10626</v>
      </c>
      <c r="B627" s="23">
        <v>6662</v>
      </c>
      <c r="C627" s="23" t="s">
        <v>34</v>
      </c>
      <c r="D627" s="24">
        <v>12202.22</v>
      </c>
      <c r="E627" s="23">
        <v>3</v>
      </c>
      <c r="F627" s="23" t="s">
        <v>26</v>
      </c>
      <c r="G627" s="25">
        <v>45337</v>
      </c>
      <c r="H627" s="24">
        <v>112952.57</v>
      </c>
      <c r="I627" s="26" t="s">
        <v>27</v>
      </c>
      <c r="J627" s="15" t="s">
        <v>28</v>
      </c>
      <c r="K627" s="15">
        <v>800</v>
      </c>
      <c r="L627" s="16">
        <v>45397</v>
      </c>
      <c r="M627" s="17">
        <v>4</v>
      </c>
      <c r="N627" s="27">
        <v>90626</v>
      </c>
      <c r="O627" s="27" t="s">
        <v>50</v>
      </c>
      <c r="P627" s="28">
        <v>45352</v>
      </c>
      <c r="Q627" s="29">
        <v>0.96665999999999996</v>
      </c>
      <c r="R627" s="30">
        <v>70626</v>
      </c>
      <c r="S627" s="27" t="s">
        <v>41</v>
      </c>
      <c r="T627" s="29">
        <v>161478.5551</v>
      </c>
      <c r="U627" s="27" t="s">
        <v>42</v>
      </c>
      <c r="V627" s="28">
        <v>45422</v>
      </c>
      <c r="W627" s="27" t="s">
        <v>32</v>
      </c>
      <c r="X627" s="28">
        <v>45384</v>
      </c>
      <c r="Y627" s="27" t="s">
        <v>39</v>
      </c>
      <c r="Z627" s="43" t="e">
        <f>TEXT([1]!Table64[[#This Row],[Order date]],"mmm-yyyy")</f>
        <v>#REF!</v>
      </c>
    </row>
    <row r="628" spans="1:26" x14ac:dyDescent="0.3">
      <c r="A628" s="10">
        <v>10627</v>
      </c>
      <c r="B628" s="11">
        <v>6142</v>
      </c>
      <c r="C628" s="11" t="s">
        <v>34</v>
      </c>
      <c r="D628" s="12">
        <v>32664</v>
      </c>
      <c r="E628" s="11">
        <v>84</v>
      </c>
      <c r="F628" s="11" t="s">
        <v>46</v>
      </c>
      <c r="G628" s="13">
        <v>45383</v>
      </c>
      <c r="H628" s="12">
        <v>61703.82</v>
      </c>
      <c r="I628" s="14" t="s">
        <v>27</v>
      </c>
      <c r="J628" s="15" t="s">
        <v>28</v>
      </c>
      <c r="K628" s="15">
        <v>676</v>
      </c>
      <c r="L628" s="16">
        <v>45397</v>
      </c>
      <c r="M628" s="17">
        <v>5</v>
      </c>
      <c r="N628" s="18">
        <v>90627</v>
      </c>
      <c r="O628" s="18" t="s">
        <v>50</v>
      </c>
      <c r="P628" s="19">
        <v>45352</v>
      </c>
      <c r="Q628" s="20">
        <v>0.67135</v>
      </c>
      <c r="R628" s="21">
        <v>70627</v>
      </c>
      <c r="S628" s="18" t="s">
        <v>30</v>
      </c>
      <c r="T628" s="20">
        <v>176540.21844999999</v>
      </c>
      <c r="U628" s="18" t="s">
        <v>42</v>
      </c>
      <c r="V628" s="19">
        <v>45392</v>
      </c>
      <c r="W628" s="18" t="s">
        <v>38</v>
      </c>
      <c r="X628" s="19">
        <v>45376</v>
      </c>
      <c r="Y628" s="18" t="s">
        <v>33</v>
      </c>
      <c r="Z628" s="43" t="e">
        <f>TEXT([1]!Table64[[#This Row],[Order date]],"mmm-yyyy")</f>
        <v>#REF!</v>
      </c>
    </row>
    <row r="629" spans="1:26" x14ac:dyDescent="0.3">
      <c r="A629" s="22">
        <v>10628</v>
      </c>
      <c r="B629" s="23">
        <v>5560</v>
      </c>
      <c r="C629" s="23" t="s">
        <v>34</v>
      </c>
      <c r="D629" s="24">
        <v>67094.41</v>
      </c>
      <c r="E629" s="23">
        <v>70</v>
      </c>
      <c r="F629" s="23" t="s">
        <v>26</v>
      </c>
      <c r="G629" s="25">
        <v>45383</v>
      </c>
      <c r="H629" s="24">
        <v>31001.53</v>
      </c>
      <c r="I629" s="26" t="s">
        <v>44</v>
      </c>
      <c r="J629" s="15" t="s">
        <v>36</v>
      </c>
      <c r="K629" s="15">
        <v>1392</v>
      </c>
      <c r="L629" s="16">
        <v>45397</v>
      </c>
      <c r="M629" s="17">
        <v>4</v>
      </c>
      <c r="N629" s="27">
        <v>90628</v>
      </c>
      <c r="O629" s="27" t="s">
        <v>29</v>
      </c>
      <c r="P629" s="28">
        <v>45383</v>
      </c>
      <c r="Q629" s="29">
        <v>0.89822000000000002</v>
      </c>
      <c r="R629" s="30">
        <v>70628</v>
      </c>
      <c r="S629" s="27" t="s">
        <v>45</v>
      </c>
      <c r="T629" s="29">
        <v>214351.723</v>
      </c>
      <c r="U629" s="27" t="s">
        <v>48</v>
      </c>
      <c r="V629" s="28">
        <v>45422</v>
      </c>
      <c r="W629" s="27" t="s">
        <v>38</v>
      </c>
      <c r="X629" s="28">
        <v>45376</v>
      </c>
      <c r="Y629" s="27" t="s">
        <v>33</v>
      </c>
      <c r="Z629" s="43" t="e">
        <f>TEXT([1]!Table64[[#This Row],[Order date]],"mmm-yyyy")</f>
        <v>#REF!</v>
      </c>
    </row>
    <row r="630" spans="1:26" x14ac:dyDescent="0.3">
      <c r="A630" s="10">
        <v>10629</v>
      </c>
      <c r="B630" s="11">
        <v>6625</v>
      </c>
      <c r="C630" s="11" t="s">
        <v>34</v>
      </c>
      <c r="D630" s="12">
        <v>22807.200000000001</v>
      </c>
      <c r="E630" s="11">
        <v>27</v>
      </c>
      <c r="F630" s="11" t="s">
        <v>43</v>
      </c>
      <c r="G630" s="13">
        <v>45383</v>
      </c>
      <c r="H630" s="12">
        <v>75398.600000000006</v>
      </c>
      <c r="I630" s="14" t="s">
        <v>47</v>
      </c>
      <c r="J630" s="15" t="s">
        <v>36</v>
      </c>
      <c r="K630" s="15">
        <v>1442</v>
      </c>
      <c r="L630" s="16">
        <v>45361</v>
      </c>
      <c r="M630" s="17">
        <v>2</v>
      </c>
      <c r="N630" s="18">
        <v>90629</v>
      </c>
      <c r="O630" s="18" t="s">
        <v>40</v>
      </c>
      <c r="P630" s="19">
        <v>45352</v>
      </c>
      <c r="Q630" s="20">
        <v>0.48360999999999998</v>
      </c>
      <c r="R630" s="21">
        <v>70629</v>
      </c>
      <c r="S630" s="18" t="s">
        <v>45</v>
      </c>
      <c r="T630" s="20">
        <v>174709.5276</v>
      </c>
      <c r="U630" s="18" t="s">
        <v>31</v>
      </c>
      <c r="V630" s="19">
        <v>45444</v>
      </c>
      <c r="W630" s="18" t="s">
        <v>38</v>
      </c>
      <c r="X630" s="19">
        <v>45376</v>
      </c>
      <c r="Y630" s="18" t="s">
        <v>33</v>
      </c>
      <c r="Z630" s="43" t="e">
        <f>TEXT([1]!Table64[[#This Row],[Order date]],"mmm-yyyy")</f>
        <v>#REF!</v>
      </c>
    </row>
    <row r="631" spans="1:26" x14ac:dyDescent="0.3">
      <c r="A631" s="22">
        <v>10630</v>
      </c>
      <c r="B631" s="23">
        <v>5488</v>
      </c>
      <c r="C631" s="23" t="s">
        <v>34</v>
      </c>
      <c r="D631" s="24">
        <v>45485.36</v>
      </c>
      <c r="E631" s="23">
        <v>2</v>
      </c>
      <c r="F631" s="23" t="s">
        <v>43</v>
      </c>
      <c r="G631" s="25">
        <v>45337</v>
      </c>
      <c r="H631" s="24">
        <v>164654.31</v>
      </c>
      <c r="I631" s="26" t="s">
        <v>44</v>
      </c>
      <c r="J631" s="15" t="s">
        <v>36</v>
      </c>
      <c r="K631" s="15">
        <v>1044</v>
      </c>
      <c r="L631" s="16">
        <v>45332</v>
      </c>
      <c r="M631" s="17">
        <v>12</v>
      </c>
      <c r="N631" s="27">
        <v>90630</v>
      </c>
      <c r="O631" s="27" t="s">
        <v>37</v>
      </c>
      <c r="P631" s="28">
        <v>45352</v>
      </c>
      <c r="Q631" s="29">
        <v>0.39905000000000002</v>
      </c>
      <c r="R631" s="30">
        <v>70630</v>
      </c>
      <c r="S631" s="27" t="s">
        <v>41</v>
      </c>
      <c r="T631" s="29">
        <v>86455.383499999996</v>
      </c>
      <c r="U631" s="27" t="s">
        <v>48</v>
      </c>
      <c r="V631" s="28">
        <v>45392</v>
      </c>
      <c r="W631" s="27" t="s">
        <v>38</v>
      </c>
      <c r="X631" s="28">
        <v>45376</v>
      </c>
      <c r="Y631" s="27" t="s">
        <v>33</v>
      </c>
      <c r="Z631" s="43" t="e">
        <f>TEXT([1]!Table64[[#This Row],[Order date]],"mmm-yyyy")</f>
        <v>#REF!</v>
      </c>
    </row>
    <row r="632" spans="1:26" x14ac:dyDescent="0.3">
      <c r="A632" s="10">
        <v>10631</v>
      </c>
      <c r="B632" s="11">
        <v>6261</v>
      </c>
      <c r="C632" s="11" t="s">
        <v>34</v>
      </c>
      <c r="D632" s="12">
        <v>8791.91</v>
      </c>
      <c r="E632" s="11">
        <v>93</v>
      </c>
      <c r="F632" s="11" t="s">
        <v>43</v>
      </c>
      <c r="G632" s="13">
        <v>45306</v>
      </c>
      <c r="H632" s="12">
        <v>73285.5</v>
      </c>
      <c r="I632" s="14" t="s">
        <v>44</v>
      </c>
      <c r="J632" s="15" t="s">
        <v>28</v>
      </c>
      <c r="K632" s="15">
        <v>752</v>
      </c>
      <c r="L632" s="16">
        <v>45397</v>
      </c>
      <c r="M632" s="17">
        <v>1</v>
      </c>
      <c r="N632" s="18">
        <v>90631</v>
      </c>
      <c r="O632" s="18" t="s">
        <v>29</v>
      </c>
      <c r="P632" s="19">
        <v>45383</v>
      </c>
      <c r="Q632" s="20">
        <v>0.91064999999999996</v>
      </c>
      <c r="R632" s="21">
        <v>70631</v>
      </c>
      <c r="S632" s="18" t="s">
        <v>45</v>
      </c>
      <c r="T632" s="20">
        <v>167633.59099</v>
      </c>
      <c r="U632" s="18" t="s">
        <v>31</v>
      </c>
      <c r="V632" s="19">
        <v>45392</v>
      </c>
      <c r="W632" s="18" t="s">
        <v>38</v>
      </c>
      <c r="X632" s="19">
        <v>45384</v>
      </c>
      <c r="Y632" s="18" t="s">
        <v>39</v>
      </c>
      <c r="Z632" s="43" t="e">
        <f>TEXT([1]!Table64[[#This Row],[Order date]],"mmm-yyyy")</f>
        <v>#REF!</v>
      </c>
    </row>
    <row r="633" spans="1:26" x14ac:dyDescent="0.3">
      <c r="A633" s="22">
        <v>10632</v>
      </c>
      <c r="B633" s="23">
        <v>6909</v>
      </c>
      <c r="C633" s="23" t="s">
        <v>25</v>
      </c>
      <c r="D633" s="24">
        <v>82880.789999999994</v>
      </c>
      <c r="E633" s="23">
        <v>38</v>
      </c>
      <c r="F633" s="23" t="s">
        <v>46</v>
      </c>
      <c r="G633" s="25">
        <v>45361</v>
      </c>
      <c r="H633" s="24">
        <v>119165.48</v>
      </c>
      <c r="I633" s="26" t="s">
        <v>44</v>
      </c>
      <c r="J633" s="15" t="s">
        <v>49</v>
      </c>
      <c r="K633" s="15">
        <v>511</v>
      </c>
      <c r="L633" s="16">
        <v>45361</v>
      </c>
      <c r="M633" s="17">
        <v>8</v>
      </c>
      <c r="N633" s="27">
        <v>90632</v>
      </c>
      <c r="O633" s="27" t="s">
        <v>40</v>
      </c>
      <c r="P633" s="28">
        <v>45352</v>
      </c>
      <c r="Q633" s="29">
        <v>0.18898999999999999</v>
      </c>
      <c r="R633" s="30">
        <v>70632</v>
      </c>
      <c r="S633" s="27" t="s">
        <v>41</v>
      </c>
      <c r="T633" s="29">
        <v>122018.41365</v>
      </c>
      <c r="U633" s="27" t="s">
        <v>48</v>
      </c>
      <c r="V633" s="28">
        <v>45444</v>
      </c>
      <c r="W633" s="27" t="s">
        <v>38</v>
      </c>
      <c r="X633" s="28">
        <v>45384</v>
      </c>
      <c r="Y633" s="27" t="s">
        <v>39</v>
      </c>
      <c r="Z633" s="43" t="e">
        <f>TEXT([1]!Table64[[#This Row],[Order date]],"mmm-yyyy")</f>
        <v>#REF!</v>
      </c>
    </row>
    <row r="634" spans="1:26" x14ac:dyDescent="0.3">
      <c r="A634" s="10">
        <v>10633</v>
      </c>
      <c r="B634" s="11">
        <v>5897</v>
      </c>
      <c r="C634" s="11" t="s">
        <v>25</v>
      </c>
      <c r="D634" s="12">
        <v>48007.62</v>
      </c>
      <c r="E634" s="11">
        <v>3</v>
      </c>
      <c r="F634" s="11" t="s">
        <v>35</v>
      </c>
      <c r="G634" s="13">
        <v>45383</v>
      </c>
      <c r="H634" s="12">
        <v>150005.63</v>
      </c>
      <c r="I634" s="14" t="s">
        <v>27</v>
      </c>
      <c r="J634" s="15" t="s">
        <v>36</v>
      </c>
      <c r="K634" s="15">
        <v>61</v>
      </c>
      <c r="L634" s="16">
        <v>45397</v>
      </c>
      <c r="M634" s="17">
        <v>4</v>
      </c>
      <c r="N634" s="18">
        <v>90633</v>
      </c>
      <c r="O634" s="18" t="s">
        <v>29</v>
      </c>
      <c r="P634" s="19">
        <v>45352</v>
      </c>
      <c r="Q634" s="20">
        <v>0.2054</v>
      </c>
      <c r="R634" s="21">
        <v>70633</v>
      </c>
      <c r="S634" s="18" t="s">
        <v>45</v>
      </c>
      <c r="T634" s="20">
        <v>159557.85680000001</v>
      </c>
      <c r="U634" s="18" t="s">
        <v>42</v>
      </c>
      <c r="V634" s="19">
        <v>45392</v>
      </c>
      <c r="W634" s="18" t="s">
        <v>32</v>
      </c>
      <c r="X634" s="19">
        <v>45384</v>
      </c>
      <c r="Y634" s="18" t="s">
        <v>39</v>
      </c>
      <c r="Z634" s="43" t="e">
        <f>TEXT([1]!Table64[[#This Row],[Order date]],"mmm-yyyy")</f>
        <v>#REF!</v>
      </c>
    </row>
    <row r="635" spans="1:26" x14ac:dyDescent="0.3">
      <c r="A635" s="22">
        <v>10634</v>
      </c>
      <c r="B635" s="23">
        <v>6296</v>
      </c>
      <c r="C635" s="23" t="s">
        <v>34</v>
      </c>
      <c r="D635" s="24">
        <v>33873.08</v>
      </c>
      <c r="E635" s="23">
        <v>16</v>
      </c>
      <c r="F635" s="23" t="s">
        <v>35</v>
      </c>
      <c r="G635" s="25">
        <v>45306</v>
      </c>
      <c r="H635" s="24">
        <v>61273.73</v>
      </c>
      <c r="I635" s="26" t="s">
        <v>44</v>
      </c>
      <c r="J635" s="15" t="s">
        <v>36</v>
      </c>
      <c r="K635" s="15">
        <v>1229</v>
      </c>
      <c r="L635" s="16">
        <v>45332</v>
      </c>
      <c r="M635" s="17">
        <v>5</v>
      </c>
      <c r="N635" s="27">
        <v>90634</v>
      </c>
      <c r="O635" s="27" t="s">
        <v>37</v>
      </c>
      <c r="P635" s="28">
        <v>45430</v>
      </c>
      <c r="Q635" s="29">
        <v>0.36941000000000002</v>
      </c>
      <c r="R635" s="30">
        <v>70634</v>
      </c>
      <c r="S635" s="27" t="s">
        <v>41</v>
      </c>
      <c r="T635" s="29">
        <v>52996.47294</v>
      </c>
      <c r="U635" s="27" t="s">
        <v>31</v>
      </c>
      <c r="V635" s="28">
        <v>45444</v>
      </c>
      <c r="W635" s="27" t="s">
        <v>38</v>
      </c>
      <c r="X635" s="28">
        <v>45376</v>
      </c>
      <c r="Y635" s="27" t="s">
        <v>33</v>
      </c>
      <c r="Z635" s="43" t="e">
        <f>TEXT([1]!Table64[[#This Row],[Order date]],"mmm-yyyy")</f>
        <v>#REF!</v>
      </c>
    </row>
    <row r="636" spans="1:26" x14ac:dyDescent="0.3">
      <c r="A636" s="10">
        <v>10635</v>
      </c>
      <c r="B636" s="11">
        <v>6213</v>
      </c>
      <c r="C636" s="11" t="s">
        <v>34</v>
      </c>
      <c r="D636" s="12">
        <v>62091.49</v>
      </c>
      <c r="E636" s="11">
        <v>94</v>
      </c>
      <c r="F636" s="11" t="s">
        <v>46</v>
      </c>
      <c r="G636" s="13">
        <v>45337</v>
      </c>
      <c r="H636" s="12">
        <v>10691.92</v>
      </c>
      <c r="I636" s="14" t="s">
        <v>27</v>
      </c>
      <c r="J636" s="15" t="s">
        <v>36</v>
      </c>
      <c r="K636" s="15">
        <v>526</v>
      </c>
      <c r="L636" s="16">
        <v>45397</v>
      </c>
      <c r="M636" s="17">
        <v>6</v>
      </c>
      <c r="N636" s="18">
        <v>90635</v>
      </c>
      <c r="O636" s="18" t="s">
        <v>50</v>
      </c>
      <c r="P636" s="19">
        <v>45383</v>
      </c>
      <c r="Q636" s="20">
        <v>0.96379999999999999</v>
      </c>
      <c r="R636" s="21">
        <v>70635</v>
      </c>
      <c r="S636" s="18" t="s">
        <v>41</v>
      </c>
      <c r="T636" s="20">
        <v>136543.18018</v>
      </c>
      <c r="U636" s="18" t="s">
        <v>31</v>
      </c>
      <c r="V636" s="19">
        <v>45392</v>
      </c>
      <c r="W636" s="18" t="s">
        <v>38</v>
      </c>
      <c r="X636" s="19">
        <v>45376</v>
      </c>
      <c r="Y636" s="18" t="s">
        <v>33</v>
      </c>
      <c r="Z636" s="43" t="e">
        <f>TEXT([1]!Table64[[#This Row],[Order date]],"mmm-yyyy")</f>
        <v>#REF!</v>
      </c>
    </row>
    <row r="637" spans="1:26" x14ac:dyDescent="0.3">
      <c r="A637" s="22">
        <v>10636</v>
      </c>
      <c r="B637" s="23">
        <v>5704</v>
      </c>
      <c r="C637" s="23" t="s">
        <v>25</v>
      </c>
      <c r="D637" s="24">
        <v>44025.21</v>
      </c>
      <c r="E637" s="23">
        <v>40</v>
      </c>
      <c r="F637" s="23" t="s">
        <v>35</v>
      </c>
      <c r="G637" s="25">
        <v>45361</v>
      </c>
      <c r="H637" s="24">
        <v>110292.1</v>
      </c>
      <c r="I637" s="26" t="s">
        <v>47</v>
      </c>
      <c r="J637" s="15" t="s">
        <v>28</v>
      </c>
      <c r="K637" s="15">
        <v>988</v>
      </c>
      <c r="L637" s="16">
        <v>45332</v>
      </c>
      <c r="M637" s="17">
        <v>14</v>
      </c>
      <c r="N637" s="27">
        <v>90636</v>
      </c>
      <c r="O637" s="27" t="s">
        <v>37</v>
      </c>
      <c r="P637" s="28">
        <v>45352</v>
      </c>
      <c r="Q637" s="29">
        <v>0.66976000000000002</v>
      </c>
      <c r="R637" s="30">
        <v>70636</v>
      </c>
      <c r="S637" s="27" t="s">
        <v>30</v>
      </c>
      <c r="T637" s="29">
        <v>61125.075599999996</v>
      </c>
      <c r="U637" s="27" t="s">
        <v>31</v>
      </c>
      <c r="V637" s="28">
        <v>45444</v>
      </c>
      <c r="W637" s="27" t="s">
        <v>38</v>
      </c>
      <c r="X637" s="28">
        <v>45384</v>
      </c>
      <c r="Y637" s="27" t="s">
        <v>33</v>
      </c>
      <c r="Z637" s="43" t="e">
        <f>TEXT([1]!Table64[[#This Row],[Order date]],"mmm-yyyy")</f>
        <v>#REF!</v>
      </c>
    </row>
    <row r="638" spans="1:26" x14ac:dyDescent="0.3">
      <c r="A638" s="10">
        <v>10637</v>
      </c>
      <c r="B638" s="11">
        <v>6471</v>
      </c>
      <c r="C638" s="11" t="s">
        <v>34</v>
      </c>
      <c r="D638" s="12">
        <v>58105.61</v>
      </c>
      <c r="E638" s="11">
        <v>2</v>
      </c>
      <c r="F638" s="11" t="s">
        <v>26</v>
      </c>
      <c r="G638" s="13">
        <v>45383</v>
      </c>
      <c r="H638" s="12">
        <v>63063.47</v>
      </c>
      <c r="I638" s="14" t="s">
        <v>44</v>
      </c>
      <c r="J638" s="15" t="s">
        <v>28</v>
      </c>
      <c r="K638" s="15">
        <v>450</v>
      </c>
      <c r="L638" s="16">
        <v>45361</v>
      </c>
      <c r="M638" s="17">
        <v>8</v>
      </c>
      <c r="N638" s="18">
        <v>90637</v>
      </c>
      <c r="O638" s="18" t="s">
        <v>40</v>
      </c>
      <c r="P638" s="19">
        <v>45352</v>
      </c>
      <c r="Q638" s="20">
        <v>0.59877000000000002</v>
      </c>
      <c r="R638" s="21">
        <v>70637</v>
      </c>
      <c r="S638" s="18" t="s">
        <v>41</v>
      </c>
      <c r="T638" s="20">
        <v>219678.71979999999</v>
      </c>
      <c r="U638" s="18" t="s">
        <v>31</v>
      </c>
      <c r="V638" s="19">
        <v>45422</v>
      </c>
      <c r="W638" s="18" t="s">
        <v>38</v>
      </c>
      <c r="X638" s="19">
        <v>45384</v>
      </c>
      <c r="Y638" s="18" t="s">
        <v>39</v>
      </c>
      <c r="Z638" s="43" t="e">
        <f>TEXT([1]!Table64[[#This Row],[Order date]],"mmm-yyyy")</f>
        <v>#REF!</v>
      </c>
    </row>
    <row r="639" spans="1:26" x14ac:dyDescent="0.3">
      <c r="A639" s="22">
        <v>10638</v>
      </c>
      <c r="B639" s="23">
        <v>5581</v>
      </c>
      <c r="C639" s="23" t="s">
        <v>25</v>
      </c>
      <c r="D639" s="24">
        <v>58841.74</v>
      </c>
      <c r="E639" s="23">
        <v>81</v>
      </c>
      <c r="F639" s="23" t="s">
        <v>35</v>
      </c>
      <c r="G639" s="25">
        <v>45337</v>
      </c>
      <c r="H639" s="24">
        <v>100357.72</v>
      </c>
      <c r="I639" s="26" t="s">
        <v>44</v>
      </c>
      <c r="J639" s="15" t="s">
        <v>49</v>
      </c>
      <c r="K639" s="15">
        <v>857</v>
      </c>
      <c r="L639" s="16">
        <v>45361</v>
      </c>
      <c r="M639" s="17">
        <v>11</v>
      </c>
      <c r="N639" s="27">
        <v>90638</v>
      </c>
      <c r="O639" s="27" t="s">
        <v>37</v>
      </c>
      <c r="P639" s="28">
        <v>45352</v>
      </c>
      <c r="Q639" s="29">
        <v>0.73482000000000003</v>
      </c>
      <c r="R639" s="30">
        <v>70638</v>
      </c>
      <c r="S639" s="27" t="s">
        <v>30</v>
      </c>
      <c r="T639" s="29">
        <v>162899.2568</v>
      </c>
      <c r="U639" s="27" t="s">
        <v>42</v>
      </c>
      <c r="V639" s="28">
        <v>45422</v>
      </c>
      <c r="W639" s="27" t="s">
        <v>32</v>
      </c>
      <c r="X639" s="28">
        <v>45384</v>
      </c>
      <c r="Y639" s="27" t="s">
        <v>39</v>
      </c>
      <c r="Z639" s="43" t="e">
        <f>TEXT([1]!Table64[[#This Row],[Order date]],"mmm-yyyy")</f>
        <v>#REF!</v>
      </c>
    </row>
    <row r="640" spans="1:26" x14ac:dyDescent="0.3">
      <c r="A640" s="10">
        <v>10639</v>
      </c>
      <c r="B640" s="11">
        <v>5790</v>
      </c>
      <c r="C640" s="11" t="s">
        <v>34</v>
      </c>
      <c r="D640" s="12">
        <v>33879.870000000003</v>
      </c>
      <c r="E640" s="11">
        <v>41</v>
      </c>
      <c r="F640" s="11" t="s">
        <v>46</v>
      </c>
      <c r="G640" s="13">
        <v>45337</v>
      </c>
      <c r="H640" s="12">
        <v>36133.39</v>
      </c>
      <c r="I640" s="14" t="s">
        <v>27</v>
      </c>
      <c r="J640" s="15" t="s">
        <v>36</v>
      </c>
      <c r="K640" s="15">
        <v>226</v>
      </c>
      <c r="L640" s="16">
        <v>45397</v>
      </c>
      <c r="M640" s="17">
        <v>8</v>
      </c>
      <c r="N640" s="18">
        <v>90639</v>
      </c>
      <c r="O640" s="18" t="s">
        <v>40</v>
      </c>
      <c r="P640" s="19">
        <v>45352</v>
      </c>
      <c r="Q640" s="20">
        <v>0.47572999999999999</v>
      </c>
      <c r="R640" s="21">
        <v>70639</v>
      </c>
      <c r="S640" s="18" t="s">
        <v>30</v>
      </c>
      <c r="T640" s="20">
        <v>89186.552649999998</v>
      </c>
      <c r="U640" s="18" t="s">
        <v>42</v>
      </c>
      <c r="V640" s="19">
        <v>45422</v>
      </c>
      <c r="W640" s="18" t="s">
        <v>32</v>
      </c>
      <c r="X640" s="19">
        <v>45376</v>
      </c>
      <c r="Y640" s="18" t="s">
        <v>33</v>
      </c>
      <c r="Z640" s="43" t="e">
        <f>TEXT([1]!Table64[[#This Row],[Order date]],"mmm-yyyy")</f>
        <v>#REF!</v>
      </c>
    </row>
    <row r="641" spans="1:26" x14ac:dyDescent="0.3">
      <c r="A641" s="22">
        <v>10640</v>
      </c>
      <c r="B641" s="23">
        <v>5861</v>
      </c>
      <c r="C641" s="23" t="s">
        <v>34</v>
      </c>
      <c r="D641" s="24">
        <v>29706.29</v>
      </c>
      <c r="E641" s="23">
        <v>12</v>
      </c>
      <c r="F641" s="23" t="s">
        <v>46</v>
      </c>
      <c r="G641" s="25">
        <v>45361</v>
      </c>
      <c r="H641" s="24">
        <v>37097.5</v>
      </c>
      <c r="I641" s="26" t="s">
        <v>27</v>
      </c>
      <c r="J641" s="15" t="s">
        <v>28</v>
      </c>
      <c r="K641" s="15">
        <v>1414</v>
      </c>
      <c r="L641" s="16">
        <v>45332</v>
      </c>
      <c r="M641" s="17">
        <v>7</v>
      </c>
      <c r="N641" s="27">
        <v>90640</v>
      </c>
      <c r="O641" s="27" t="s">
        <v>29</v>
      </c>
      <c r="P641" s="28">
        <v>45430</v>
      </c>
      <c r="Q641" s="29">
        <v>0.78227000000000002</v>
      </c>
      <c r="R641" s="30">
        <v>70640</v>
      </c>
      <c r="S641" s="27" t="s">
        <v>30</v>
      </c>
      <c r="T641" s="29">
        <v>110952.03109999999</v>
      </c>
      <c r="U641" s="27" t="s">
        <v>42</v>
      </c>
      <c r="V641" s="28">
        <v>45392</v>
      </c>
      <c r="W641" s="27" t="s">
        <v>38</v>
      </c>
      <c r="X641" s="28">
        <v>45376</v>
      </c>
      <c r="Y641" s="27" t="s">
        <v>33</v>
      </c>
      <c r="Z641" s="43" t="e">
        <f>TEXT([1]!Table64[[#This Row],[Order date]],"mmm-yyyy")</f>
        <v>#REF!</v>
      </c>
    </row>
    <row r="642" spans="1:26" x14ac:dyDescent="0.3">
      <c r="A642" s="10">
        <v>10641</v>
      </c>
      <c r="B642" s="11">
        <v>5247</v>
      </c>
      <c r="C642" s="11" t="s">
        <v>34</v>
      </c>
      <c r="D642" s="12">
        <v>28173.14</v>
      </c>
      <c r="E642" s="11">
        <v>35</v>
      </c>
      <c r="F642" s="11" t="s">
        <v>26</v>
      </c>
      <c r="G642" s="13">
        <v>45306</v>
      </c>
      <c r="H642" s="12">
        <v>83392.05</v>
      </c>
      <c r="I642" s="14" t="s">
        <v>47</v>
      </c>
      <c r="J642" s="15" t="s">
        <v>49</v>
      </c>
      <c r="K642" s="15">
        <v>106</v>
      </c>
      <c r="L642" s="16">
        <v>45332</v>
      </c>
      <c r="M642" s="17">
        <v>4</v>
      </c>
      <c r="N642" s="18">
        <v>90641</v>
      </c>
      <c r="O642" s="18" t="s">
        <v>40</v>
      </c>
      <c r="P642" s="19">
        <v>45430</v>
      </c>
      <c r="Q642" s="20">
        <v>0.45390999999999998</v>
      </c>
      <c r="R642" s="21">
        <v>70641</v>
      </c>
      <c r="S642" s="18" t="s">
        <v>30</v>
      </c>
      <c r="T642" s="20">
        <v>109200.95419999999</v>
      </c>
      <c r="U642" s="18" t="s">
        <v>48</v>
      </c>
      <c r="V642" s="19">
        <v>45444</v>
      </c>
      <c r="W642" s="18" t="s">
        <v>32</v>
      </c>
      <c r="X642" s="19">
        <v>45376</v>
      </c>
      <c r="Y642" s="18" t="s">
        <v>33</v>
      </c>
      <c r="Z642" s="43" t="e">
        <f>TEXT([1]!Table64[[#This Row],[Order date]],"mmm-yyyy")</f>
        <v>#REF!</v>
      </c>
    </row>
    <row r="643" spans="1:26" x14ac:dyDescent="0.3">
      <c r="A643" s="22">
        <v>10642</v>
      </c>
      <c r="B643" s="23">
        <v>6987</v>
      </c>
      <c r="C643" s="23" t="s">
        <v>25</v>
      </c>
      <c r="D643" s="24">
        <v>67438.62</v>
      </c>
      <c r="E643" s="23">
        <v>65</v>
      </c>
      <c r="F643" s="23" t="s">
        <v>43</v>
      </c>
      <c r="G643" s="25">
        <v>45383</v>
      </c>
      <c r="H643" s="24">
        <v>34820.36</v>
      </c>
      <c r="I643" s="26" t="s">
        <v>47</v>
      </c>
      <c r="J643" s="15" t="s">
        <v>36</v>
      </c>
      <c r="K643" s="15">
        <v>497</v>
      </c>
      <c r="L643" s="16">
        <v>45332</v>
      </c>
      <c r="M643" s="17">
        <v>6</v>
      </c>
      <c r="N643" s="27">
        <v>90642</v>
      </c>
      <c r="O643" s="27" t="s">
        <v>50</v>
      </c>
      <c r="P643" s="28">
        <v>45430</v>
      </c>
      <c r="Q643" s="29">
        <v>0.84372999999999998</v>
      </c>
      <c r="R643" s="30">
        <v>70642</v>
      </c>
      <c r="S643" s="27" t="s">
        <v>41</v>
      </c>
      <c r="T643" s="29">
        <v>115890.8766</v>
      </c>
      <c r="U643" s="27" t="s">
        <v>42</v>
      </c>
      <c r="V643" s="28">
        <v>45444</v>
      </c>
      <c r="W643" s="27" t="s">
        <v>38</v>
      </c>
      <c r="X643" s="28">
        <v>45384</v>
      </c>
      <c r="Y643" s="27" t="s">
        <v>39</v>
      </c>
      <c r="Z643" s="43" t="e">
        <f>TEXT([1]!Table64[[#This Row],[Order date]],"mmm-yyyy")</f>
        <v>#REF!</v>
      </c>
    </row>
    <row r="644" spans="1:26" x14ac:dyDescent="0.3">
      <c r="A644" s="10">
        <v>10643</v>
      </c>
      <c r="B644" s="11">
        <v>6100</v>
      </c>
      <c r="C644" s="11" t="s">
        <v>34</v>
      </c>
      <c r="D644" s="12">
        <v>70102.44</v>
      </c>
      <c r="E644" s="11">
        <v>55</v>
      </c>
      <c r="F644" s="11" t="s">
        <v>46</v>
      </c>
      <c r="G644" s="13">
        <v>45383</v>
      </c>
      <c r="H644" s="12">
        <v>95038.88</v>
      </c>
      <c r="I644" s="14" t="s">
        <v>27</v>
      </c>
      <c r="J644" s="15" t="s">
        <v>28</v>
      </c>
      <c r="K644" s="15">
        <v>252</v>
      </c>
      <c r="L644" s="16">
        <v>45397</v>
      </c>
      <c r="M644" s="17">
        <v>4</v>
      </c>
      <c r="N644" s="18">
        <v>90643</v>
      </c>
      <c r="O644" s="18" t="s">
        <v>50</v>
      </c>
      <c r="P644" s="19">
        <v>45430</v>
      </c>
      <c r="Q644" s="20">
        <v>0.34056999999999998</v>
      </c>
      <c r="R644" s="21">
        <v>70643</v>
      </c>
      <c r="S644" s="18" t="s">
        <v>41</v>
      </c>
      <c r="T644" s="20">
        <v>79229.329759999993</v>
      </c>
      <c r="U644" s="18" t="s">
        <v>48</v>
      </c>
      <c r="V644" s="19">
        <v>45422</v>
      </c>
      <c r="W644" s="18" t="s">
        <v>32</v>
      </c>
      <c r="X644" s="19">
        <v>45376</v>
      </c>
      <c r="Y644" s="18" t="s">
        <v>39</v>
      </c>
      <c r="Z644" s="43" t="e">
        <f>TEXT([1]!Table64[[#This Row],[Order date]],"mmm-yyyy")</f>
        <v>#REF!</v>
      </c>
    </row>
    <row r="645" spans="1:26" x14ac:dyDescent="0.3">
      <c r="A645" s="22">
        <v>10644</v>
      </c>
      <c r="B645" s="23">
        <v>5154</v>
      </c>
      <c r="C645" s="23" t="s">
        <v>34</v>
      </c>
      <c r="D645" s="24">
        <v>48046.09</v>
      </c>
      <c r="E645" s="23">
        <v>45</v>
      </c>
      <c r="F645" s="23" t="s">
        <v>26</v>
      </c>
      <c r="G645" s="25">
        <v>45306</v>
      </c>
      <c r="H645" s="24">
        <v>19800.04</v>
      </c>
      <c r="I645" s="26" t="s">
        <v>47</v>
      </c>
      <c r="J645" s="15" t="s">
        <v>36</v>
      </c>
      <c r="K645" s="15">
        <v>787</v>
      </c>
      <c r="L645" s="16">
        <v>45332</v>
      </c>
      <c r="M645" s="17">
        <v>14</v>
      </c>
      <c r="N645" s="27">
        <v>90644</v>
      </c>
      <c r="O645" s="27" t="s">
        <v>50</v>
      </c>
      <c r="P645" s="28">
        <v>45383</v>
      </c>
      <c r="Q645" s="29">
        <v>0.34978999999999999</v>
      </c>
      <c r="R645" s="30">
        <v>70644</v>
      </c>
      <c r="S645" s="27" t="s">
        <v>45</v>
      </c>
      <c r="T645" s="29">
        <v>86655.716020000007</v>
      </c>
      <c r="U645" s="27" t="s">
        <v>48</v>
      </c>
      <c r="V645" s="28">
        <v>45422</v>
      </c>
      <c r="W645" s="27" t="s">
        <v>38</v>
      </c>
      <c r="X645" s="28">
        <v>45384</v>
      </c>
      <c r="Y645" s="27" t="s">
        <v>33</v>
      </c>
      <c r="Z645" s="43" t="e">
        <f>TEXT([1]!Table64[[#This Row],[Order date]],"mmm-yyyy")</f>
        <v>#REF!</v>
      </c>
    </row>
    <row r="646" spans="1:26" x14ac:dyDescent="0.3">
      <c r="A646" s="10">
        <v>10645</v>
      </c>
      <c r="B646" s="11">
        <v>6680</v>
      </c>
      <c r="C646" s="11" t="s">
        <v>34</v>
      </c>
      <c r="D646" s="12">
        <v>60313.83</v>
      </c>
      <c r="E646" s="11">
        <v>79</v>
      </c>
      <c r="F646" s="11" t="s">
        <v>35</v>
      </c>
      <c r="G646" s="13">
        <v>45306</v>
      </c>
      <c r="H646" s="12">
        <v>170009.95</v>
      </c>
      <c r="I646" s="14" t="s">
        <v>44</v>
      </c>
      <c r="J646" s="15" t="s">
        <v>36</v>
      </c>
      <c r="K646" s="15">
        <v>251</v>
      </c>
      <c r="L646" s="16">
        <v>45332</v>
      </c>
      <c r="M646" s="17">
        <v>7</v>
      </c>
      <c r="N646" s="18">
        <v>90645</v>
      </c>
      <c r="O646" s="18" t="s">
        <v>29</v>
      </c>
      <c r="P646" s="19">
        <v>45352</v>
      </c>
      <c r="Q646" s="20">
        <v>0.57013999999999998</v>
      </c>
      <c r="R646" s="21">
        <v>70645</v>
      </c>
      <c r="S646" s="18" t="s">
        <v>41</v>
      </c>
      <c r="T646" s="20">
        <v>101160.52622</v>
      </c>
      <c r="U646" s="18" t="s">
        <v>42</v>
      </c>
      <c r="V646" s="19">
        <v>45422</v>
      </c>
      <c r="W646" s="18" t="s">
        <v>32</v>
      </c>
      <c r="X646" s="19">
        <v>45376</v>
      </c>
      <c r="Y646" s="18" t="s">
        <v>39</v>
      </c>
      <c r="Z646" s="43" t="e">
        <f>TEXT([1]!Table64[[#This Row],[Order date]],"mmm-yyyy")</f>
        <v>#REF!</v>
      </c>
    </row>
    <row r="647" spans="1:26" x14ac:dyDescent="0.3">
      <c r="A647" s="22">
        <v>10646</v>
      </c>
      <c r="B647" s="23">
        <v>6459</v>
      </c>
      <c r="C647" s="23" t="s">
        <v>34</v>
      </c>
      <c r="D647" s="24">
        <v>38715.660000000003</v>
      </c>
      <c r="E647" s="23">
        <v>90</v>
      </c>
      <c r="F647" s="23" t="s">
        <v>35</v>
      </c>
      <c r="G647" s="25">
        <v>45306</v>
      </c>
      <c r="H647" s="24">
        <v>71066.97</v>
      </c>
      <c r="I647" s="26" t="s">
        <v>47</v>
      </c>
      <c r="J647" s="15" t="s">
        <v>28</v>
      </c>
      <c r="K647" s="15">
        <v>1403</v>
      </c>
      <c r="L647" s="16">
        <v>45332</v>
      </c>
      <c r="M647" s="17">
        <v>12</v>
      </c>
      <c r="N647" s="27">
        <v>90646</v>
      </c>
      <c r="O647" s="27" t="s">
        <v>40</v>
      </c>
      <c r="P647" s="28">
        <v>45430</v>
      </c>
      <c r="Q647" s="29">
        <v>0.48769000000000001</v>
      </c>
      <c r="R647" s="30">
        <v>70646</v>
      </c>
      <c r="S647" s="27" t="s">
        <v>41</v>
      </c>
      <c r="T647" s="29">
        <v>165874.00855</v>
      </c>
      <c r="U647" s="27" t="s">
        <v>42</v>
      </c>
      <c r="V647" s="28">
        <v>45444</v>
      </c>
      <c r="W647" s="27" t="s">
        <v>38</v>
      </c>
      <c r="X647" s="28">
        <v>45376</v>
      </c>
      <c r="Y647" s="27" t="s">
        <v>33</v>
      </c>
      <c r="Z647" s="43" t="e">
        <f>TEXT([1]!Table64[[#This Row],[Order date]],"mmm-yyyy")</f>
        <v>#REF!</v>
      </c>
    </row>
    <row r="648" spans="1:26" x14ac:dyDescent="0.3">
      <c r="A648" s="10">
        <v>10647</v>
      </c>
      <c r="B648" s="11">
        <v>5997</v>
      </c>
      <c r="C648" s="11" t="s">
        <v>34</v>
      </c>
      <c r="D648" s="12">
        <v>77343.399999999994</v>
      </c>
      <c r="E648" s="11">
        <v>85</v>
      </c>
      <c r="F648" s="11" t="s">
        <v>26</v>
      </c>
      <c r="G648" s="13">
        <v>45361</v>
      </c>
      <c r="H648" s="12">
        <v>135817.53</v>
      </c>
      <c r="I648" s="14" t="s">
        <v>47</v>
      </c>
      <c r="J648" s="15" t="s">
        <v>28</v>
      </c>
      <c r="K648" s="15">
        <v>412</v>
      </c>
      <c r="L648" s="16">
        <v>45332</v>
      </c>
      <c r="M648" s="17">
        <v>13</v>
      </c>
      <c r="N648" s="18">
        <v>90647</v>
      </c>
      <c r="O648" s="18" t="s">
        <v>29</v>
      </c>
      <c r="P648" s="19">
        <v>45352</v>
      </c>
      <c r="Q648" s="20">
        <v>0.68330000000000002</v>
      </c>
      <c r="R648" s="21">
        <v>70647</v>
      </c>
      <c r="S648" s="18" t="s">
        <v>45</v>
      </c>
      <c r="T648" s="20">
        <v>130249.16</v>
      </c>
      <c r="U648" s="18" t="s">
        <v>42</v>
      </c>
      <c r="V648" s="19">
        <v>45422</v>
      </c>
      <c r="W648" s="18" t="s">
        <v>38</v>
      </c>
      <c r="X648" s="19">
        <v>45376</v>
      </c>
      <c r="Y648" s="18" t="s">
        <v>33</v>
      </c>
      <c r="Z648" s="43" t="e">
        <f>TEXT([1]!Table64[[#This Row],[Order date]],"mmm-yyyy")</f>
        <v>#REF!</v>
      </c>
    </row>
    <row r="649" spans="1:26" x14ac:dyDescent="0.3">
      <c r="A649" s="22">
        <v>10648</v>
      </c>
      <c r="B649" s="23">
        <v>6110</v>
      </c>
      <c r="C649" s="23" t="s">
        <v>34</v>
      </c>
      <c r="D649" s="24">
        <v>42136.68</v>
      </c>
      <c r="E649" s="23">
        <v>62</v>
      </c>
      <c r="F649" s="23" t="s">
        <v>26</v>
      </c>
      <c r="G649" s="25">
        <v>45361</v>
      </c>
      <c r="H649" s="24">
        <v>136571.74</v>
      </c>
      <c r="I649" s="26" t="s">
        <v>27</v>
      </c>
      <c r="J649" s="15" t="s">
        <v>28</v>
      </c>
      <c r="K649" s="15">
        <v>941</v>
      </c>
      <c r="L649" s="16">
        <v>45397</v>
      </c>
      <c r="M649" s="17">
        <v>12</v>
      </c>
      <c r="N649" s="27">
        <v>90648</v>
      </c>
      <c r="O649" s="27" t="s">
        <v>37</v>
      </c>
      <c r="P649" s="28">
        <v>45383</v>
      </c>
      <c r="Q649" s="29">
        <v>0.42786000000000002</v>
      </c>
      <c r="R649" s="30">
        <v>70648</v>
      </c>
      <c r="S649" s="27" t="s">
        <v>30</v>
      </c>
      <c r="T649" s="29">
        <v>108012.65691999999</v>
      </c>
      <c r="U649" s="27" t="s">
        <v>48</v>
      </c>
      <c r="V649" s="28">
        <v>45392</v>
      </c>
      <c r="W649" s="27" t="s">
        <v>38</v>
      </c>
      <c r="X649" s="28">
        <v>45384</v>
      </c>
      <c r="Y649" s="27" t="s">
        <v>39</v>
      </c>
      <c r="Z649" s="43" t="e">
        <f>TEXT([1]!Table64[[#This Row],[Order date]],"mmm-yyyy")</f>
        <v>#REF!</v>
      </c>
    </row>
    <row r="650" spans="1:26" x14ac:dyDescent="0.3">
      <c r="A650" s="10">
        <v>10649</v>
      </c>
      <c r="B650" s="11">
        <v>5697</v>
      </c>
      <c r="C650" s="11" t="s">
        <v>34</v>
      </c>
      <c r="D650" s="12">
        <v>33435.46</v>
      </c>
      <c r="E650" s="11">
        <v>49</v>
      </c>
      <c r="F650" s="11" t="s">
        <v>46</v>
      </c>
      <c r="G650" s="13">
        <v>45383</v>
      </c>
      <c r="H650" s="12">
        <v>85104.35</v>
      </c>
      <c r="I650" s="14" t="s">
        <v>27</v>
      </c>
      <c r="J650" s="15" t="s">
        <v>36</v>
      </c>
      <c r="K650" s="15">
        <v>503</v>
      </c>
      <c r="L650" s="16">
        <v>45397</v>
      </c>
      <c r="M650" s="17">
        <v>13</v>
      </c>
      <c r="N650" s="18">
        <v>90649</v>
      </c>
      <c r="O650" s="18" t="s">
        <v>37</v>
      </c>
      <c r="P650" s="19">
        <v>45352</v>
      </c>
      <c r="Q650" s="20">
        <v>0.3075</v>
      </c>
      <c r="R650" s="21">
        <v>70649</v>
      </c>
      <c r="S650" s="18" t="s">
        <v>45</v>
      </c>
      <c r="T650" s="20">
        <v>105216.59166000001</v>
      </c>
      <c r="U650" s="18" t="s">
        <v>31</v>
      </c>
      <c r="V650" s="19">
        <v>45422</v>
      </c>
      <c r="W650" s="18" t="s">
        <v>38</v>
      </c>
      <c r="X650" s="19">
        <v>45376</v>
      </c>
      <c r="Y650" s="18" t="s">
        <v>33</v>
      </c>
      <c r="Z650" s="43" t="e">
        <f>TEXT([1]!Table64[[#This Row],[Order date]],"mmm-yyyy")</f>
        <v>#REF!</v>
      </c>
    </row>
    <row r="651" spans="1:26" x14ac:dyDescent="0.3">
      <c r="A651" s="22">
        <v>10650</v>
      </c>
      <c r="B651" s="23">
        <v>6309</v>
      </c>
      <c r="C651" s="23" t="s">
        <v>34</v>
      </c>
      <c r="D651" s="24">
        <v>50251.07</v>
      </c>
      <c r="E651" s="23">
        <v>95</v>
      </c>
      <c r="F651" s="23" t="s">
        <v>35</v>
      </c>
      <c r="G651" s="25">
        <v>45361</v>
      </c>
      <c r="H651" s="24">
        <v>11696.59</v>
      </c>
      <c r="I651" s="26" t="s">
        <v>44</v>
      </c>
      <c r="J651" s="15" t="s">
        <v>36</v>
      </c>
      <c r="K651" s="15">
        <v>405</v>
      </c>
      <c r="L651" s="16">
        <v>45332</v>
      </c>
      <c r="M651" s="17">
        <v>13</v>
      </c>
      <c r="N651" s="27">
        <v>90650</v>
      </c>
      <c r="O651" s="27" t="s">
        <v>37</v>
      </c>
      <c r="P651" s="28">
        <v>45352</v>
      </c>
      <c r="Q651" s="29">
        <v>0.52283000000000002</v>
      </c>
      <c r="R651" s="30">
        <v>70650</v>
      </c>
      <c r="S651" s="27" t="s">
        <v>45</v>
      </c>
      <c r="T651" s="29">
        <v>60414.542999999998</v>
      </c>
      <c r="U651" s="27" t="s">
        <v>42</v>
      </c>
      <c r="V651" s="28">
        <v>45422</v>
      </c>
      <c r="W651" s="27" t="s">
        <v>32</v>
      </c>
      <c r="X651" s="28">
        <v>45376</v>
      </c>
      <c r="Y651" s="27" t="s">
        <v>33</v>
      </c>
      <c r="Z651" s="43" t="e">
        <f>TEXT([1]!Table64[[#This Row],[Order date]],"mmm-yyyy")</f>
        <v>#REF!</v>
      </c>
    </row>
    <row r="652" spans="1:26" x14ac:dyDescent="0.3">
      <c r="A652" s="10">
        <v>10651</v>
      </c>
      <c r="B652" s="11">
        <v>6998</v>
      </c>
      <c r="C652" s="11" t="s">
        <v>34</v>
      </c>
      <c r="D652" s="12">
        <v>66704.820000000007</v>
      </c>
      <c r="E652" s="11">
        <v>25</v>
      </c>
      <c r="F652" s="11" t="s">
        <v>26</v>
      </c>
      <c r="G652" s="13">
        <v>45337</v>
      </c>
      <c r="H652" s="12">
        <v>126477.18</v>
      </c>
      <c r="I652" s="14" t="s">
        <v>44</v>
      </c>
      <c r="J652" s="15" t="s">
        <v>49</v>
      </c>
      <c r="K652" s="15">
        <v>265</v>
      </c>
      <c r="L652" s="16">
        <v>45332</v>
      </c>
      <c r="M652" s="17">
        <v>11</v>
      </c>
      <c r="N652" s="18">
        <v>90651</v>
      </c>
      <c r="O652" s="18" t="s">
        <v>37</v>
      </c>
      <c r="P652" s="19">
        <v>45430</v>
      </c>
      <c r="Q652" s="20">
        <v>0.60485999999999995</v>
      </c>
      <c r="R652" s="21">
        <v>70651</v>
      </c>
      <c r="S652" s="18" t="s">
        <v>41</v>
      </c>
      <c r="T652" s="20">
        <v>201294.73250000001</v>
      </c>
      <c r="U652" s="18" t="s">
        <v>48</v>
      </c>
      <c r="V652" s="19">
        <v>45444</v>
      </c>
      <c r="W652" s="18" t="s">
        <v>38</v>
      </c>
      <c r="X652" s="19">
        <v>45384</v>
      </c>
      <c r="Y652" s="18" t="s">
        <v>33</v>
      </c>
      <c r="Z652" s="43" t="e">
        <f>TEXT([1]!Table64[[#This Row],[Order date]],"mmm-yyyy")</f>
        <v>#REF!</v>
      </c>
    </row>
    <row r="653" spans="1:26" x14ac:dyDescent="0.3">
      <c r="A653" s="22">
        <v>10652</v>
      </c>
      <c r="B653" s="23">
        <v>6244</v>
      </c>
      <c r="C653" s="23" t="s">
        <v>34</v>
      </c>
      <c r="D653" s="24">
        <v>97148.23</v>
      </c>
      <c r="E653" s="23">
        <v>23</v>
      </c>
      <c r="F653" s="23" t="s">
        <v>35</v>
      </c>
      <c r="G653" s="25">
        <v>45383</v>
      </c>
      <c r="H653" s="24">
        <v>26369.93</v>
      </c>
      <c r="I653" s="26" t="s">
        <v>27</v>
      </c>
      <c r="J653" s="15" t="s">
        <v>36</v>
      </c>
      <c r="K653" s="15">
        <v>1021</v>
      </c>
      <c r="L653" s="16">
        <v>45361</v>
      </c>
      <c r="M653" s="17">
        <v>14</v>
      </c>
      <c r="N653" s="27">
        <v>90652</v>
      </c>
      <c r="O653" s="27" t="s">
        <v>50</v>
      </c>
      <c r="P653" s="28">
        <v>45430</v>
      </c>
      <c r="Q653" s="29">
        <v>0.22833999999999999</v>
      </c>
      <c r="R653" s="30">
        <v>70652</v>
      </c>
      <c r="S653" s="27" t="s">
        <v>45</v>
      </c>
      <c r="T653" s="29">
        <v>97209.601920000001</v>
      </c>
      <c r="U653" s="27" t="s">
        <v>48</v>
      </c>
      <c r="V653" s="28">
        <v>45392</v>
      </c>
      <c r="W653" s="27" t="s">
        <v>38</v>
      </c>
      <c r="X653" s="28">
        <v>45384</v>
      </c>
      <c r="Y653" s="27" t="s">
        <v>39</v>
      </c>
      <c r="Z653" s="43" t="e">
        <f>TEXT([1]!Table64[[#This Row],[Order date]],"mmm-yyyy")</f>
        <v>#REF!</v>
      </c>
    </row>
    <row r="654" spans="1:26" x14ac:dyDescent="0.3">
      <c r="A654" s="10">
        <v>10653</v>
      </c>
      <c r="B654" s="11">
        <v>6093</v>
      </c>
      <c r="C654" s="11" t="s">
        <v>34</v>
      </c>
      <c r="D654" s="12">
        <v>17310.87</v>
      </c>
      <c r="E654" s="11">
        <v>24</v>
      </c>
      <c r="F654" s="11" t="s">
        <v>26</v>
      </c>
      <c r="G654" s="13">
        <v>45361</v>
      </c>
      <c r="H654" s="12">
        <v>96166.78</v>
      </c>
      <c r="I654" s="14" t="s">
        <v>47</v>
      </c>
      <c r="J654" s="15" t="s">
        <v>28</v>
      </c>
      <c r="K654" s="15">
        <v>604</v>
      </c>
      <c r="L654" s="16">
        <v>45361</v>
      </c>
      <c r="M654" s="17">
        <v>1</v>
      </c>
      <c r="N654" s="18">
        <v>90653</v>
      </c>
      <c r="O654" s="18" t="s">
        <v>40</v>
      </c>
      <c r="P654" s="19">
        <v>45383</v>
      </c>
      <c r="Q654" s="20">
        <v>0.60104999999999997</v>
      </c>
      <c r="R654" s="21">
        <v>70653</v>
      </c>
      <c r="S654" s="18" t="s">
        <v>30</v>
      </c>
      <c r="T654" s="20">
        <v>115773.3691</v>
      </c>
      <c r="U654" s="18" t="s">
        <v>42</v>
      </c>
      <c r="V654" s="19">
        <v>45444</v>
      </c>
      <c r="W654" s="18" t="s">
        <v>38</v>
      </c>
      <c r="X654" s="19">
        <v>45384</v>
      </c>
      <c r="Y654" s="18" t="s">
        <v>33</v>
      </c>
      <c r="Z654" s="43" t="e">
        <f>TEXT([1]!Table64[[#This Row],[Order date]],"mmm-yyyy")</f>
        <v>#REF!</v>
      </c>
    </row>
    <row r="655" spans="1:26" x14ac:dyDescent="0.3">
      <c r="A655" s="22">
        <v>10654</v>
      </c>
      <c r="B655" s="23">
        <v>6071</v>
      </c>
      <c r="C655" s="23" t="s">
        <v>34</v>
      </c>
      <c r="D655" s="24">
        <v>56566.67</v>
      </c>
      <c r="E655" s="23">
        <v>38</v>
      </c>
      <c r="F655" s="23" t="s">
        <v>35</v>
      </c>
      <c r="G655" s="25">
        <v>45306</v>
      </c>
      <c r="H655" s="24">
        <v>159024.75</v>
      </c>
      <c r="I655" s="26" t="s">
        <v>47</v>
      </c>
      <c r="J655" s="15" t="s">
        <v>36</v>
      </c>
      <c r="K655" s="15">
        <v>936</v>
      </c>
      <c r="L655" s="16">
        <v>45332</v>
      </c>
      <c r="M655" s="17">
        <v>5</v>
      </c>
      <c r="N655" s="27">
        <v>90654</v>
      </c>
      <c r="O655" s="27" t="s">
        <v>50</v>
      </c>
      <c r="P655" s="28">
        <v>45352</v>
      </c>
      <c r="Q655" s="29">
        <v>0.38733000000000001</v>
      </c>
      <c r="R655" s="30">
        <v>70654</v>
      </c>
      <c r="S655" s="27" t="s">
        <v>41</v>
      </c>
      <c r="T655" s="29">
        <v>146328.16990000001</v>
      </c>
      <c r="U655" s="27" t="s">
        <v>48</v>
      </c>
      <c r="V655" s="28">
        <v>45392</v>
      </c>
      <c r="W655" s="27" t="s">
        <v>38</v>
      </c>
      <c r="X655" s="28">
        <v>45376</v>
      </c>
      <c r="Y655" s="27" t="s">
        <v>33</v>
      </c>
      <c r="Z655" s="43" t="e">
        <f>TEXT([1]!Table64[[#This Row],[Order date]],"mmm-yyyy")</f>
        <v>#REF!</v>
      </c>
    </row>
    <row r="656" spans="1:26" x14ac:dyDescent="0.3">
      <c r="A656" s="10">
        <v>10655</v>
      </c>
      <c r="B656" s="11">
        <v>6009</v>
      </c>
      <c r="C656" s="11" t="s">
        <v>34</v>
      </c>
      <c r="D656" s="12">
        <v>75725.95</v>
      </c>
      <c r="E656" s="11">
        <v>28</v>
      </c>
      <c r="F656" s="11" t="s">
        <v>43</v>
      </c>
      <c r="G656" s="13">
        <v>45337</v>
      </c>
      <c r="H656" s="12">
        <v>21640.92</v>
      </c>
      <c r="I656" s="14" t="s">
        <v>44</v>
      </c>
      <c r="J656" s="15" t="s">
        <v>49</v>
      </c>
      <c r="K656" s="15">
        <v>72</v>
      </c>
      <c r="L656" s="16">
        <v>45332</v>
      </c>
      <c r="M656" s="17">
        <v>14</v>
      </c>
      <c r="N656" s="18">
        <v>90655</v>
      </c>
      <c r="O656" s="18" t="s">
        <v>40</v>
      </c>
      <c r="P656" s="19">
        <v>45430</v>
      </c>
      <c r="Q656" s="20">
        <v>0.45321</v>
      </c>
      <c r="R656" s="21">
        <v>70655</v>
      </c>
      <c r="S656" s="18" t="s">
        <v>41</v>
      </c>
      <c r="T656" s="20">
        <v>70532.613230000003</v>
      </c>
      <c r="U656" s="18" t="s">
        <v>42</v>
      </c>
      <c r="V656" s="19">
        <v>45392</v>
      </c>
      <c r="W656" s="18" t="s">
        <v>32</v>
      </c>
      <c r="X656" s="19">
        <v>45384</v>
      </c>
      <c r="Y656" s="18" t="s">
        <v>33</v>
      </c>
      <c r="Z656" s="43" t="e">
        <f>TEXT([1]!Table64[[#This Row],[Order date]],"mmm-yyyy")</f>
        <v>#REF!</v>
      </c>
    </row>
    <row r="657" spans="1:26" x14ac:dyDescent="0.3">
      <c r="A657" s="22">
        <v>10656</v>
      </c>
      <c r="B657" s="23">
        <v>5094</v>
      </c>
      <c r="C657" s="23" t="s">
        <v>34</v>
      </c>
      <c r="D657" s="24">
        <v>27409.040000000001</v>
      </c>
      <c r="E657" s="23">
        <v>21</v>
      </c>
      <c r="F657" s="23" t="s">
        <v>46</v>
      </c>
      <c r="G657" s="25">
        <v>45306</v>
      </c>
      <c r="H657" s="24">
        <v>101902.31</v>
      </c>
      <c r="I657" s="26" t="s">
        <v>44</v>
      </c>
      <c r="J657" s="15" t="s">
        <v>49</v>
      </c>
      <c r="K657" s="15">
        <v>204</v>
      </c>
      <c r="L657" s="16">
        <v>45361</v>
      </c>
      <c r="M657" s="17">
        <v>10</v>
      </c>
      <c r="N657" s="27">
        <v>90656</v>
      </c>
      <c r="O657" s="27" t="s">
        <v>40</v>
      </c>
      <c r="P657" s="28">
        <v>45430</v>
      </c>
      <c r="Q657" s="29">
        <v>0.35138999999999998</v>
      </c>
      <c r="R657" s="30">
        <v>70656</v>
      </c>
      <c r="S657" s="27" t="s">
        <v>41</v>
      </c>
      <c r="T657" s="29">
        <v>80538.248099999997</v>
      </c>
      <c r="U657" s="27" t="s">
        <v>48</v>
      </c>
      <c r="V657" s="28">
        <v>45422</v>
      </c>
      <c r="W657" s="27" t="s">
        <v>32</v>
      </c>
      <c r="X657" s="28">
        <v>45376</v>
      </c>
      <c r="Y657" s="27" t="s">
        <v>39</v>
      </c>
      <c r="Z657" s="43" t="e">
        <f>TEXT([1]!Table64[[#This Row],[Order date]],"mmm-yyyy")</f>
        <v>#REF!</v>
      </c>
    </row>
    <row r="658" spans="1:26" x14ac:dyDescent="0.3">
      <c r="A658" s="10">
        <v>10657</v>
      </c>
      <c r="B658" s="11">
        <v>6774</v>
      </c>
      <c r="C658" s="11" t="s">
        <v>34</v>
      </c>
      <c r="D658" s="12">
        <v>69254.63</v>
      </c>
      <c r="E658" s="11">
        <v>54</v>
      </c>
      <c r="F658" s="11" t="s">
        <v>35</v>
      </c>
      <c r="G658" s="13">
        <v>45383</v>
      </c>
      <c r="H658" s="12">
        <v>37067.35</v>
      </c>
      <c r="I658" s="14" t="s">
        <v>44</v>
      </c>
      <c r="J658" s="15" t="s">
        <v>28</v>
      </c>
      <c r="K658" s="15">
        <v>1259</v>
      </c>
      <c r="L658" s="16">
        <v>45361</v>
      </c>
      <c r="M658" s="17">
        <v>12</v>
      </c>
      <c r="N658" s="18">
        <v>90657</v>
      </c>
      <c r="O658" s="18" t="s">
        <v>29</v>
      </c>
      <c r="P658" s="19">
        <v>45430</v>
      </c>
      <c r="Q658" s="20">
        <v>0.93827000000000005</v>
      </c>
      <c r="R658" s="21">
        <v>70657</v>
      </c>
      <c r="S658" s="18" t="s">
        <v>30</v>
      </c>
      <c r="T658" s="20">
        <v>134872.68924000001</v>
      </c>
      <c r="U658" s="18" t="s">
        <v>31</v>
      </c>
      <c r="V658" s="19">
        <v>45422</v>
      </c>
      <c r="W658" s="18" t="s">
        <v>32</v>
      </c>
      <c r="X658" s="19">
        <v>45376</v>
      </c>
      <c r="Y658" s="18" t="s">
        <v>33</v>
      </c>
      <c r="Z658" s="43" t="e">
        <f>TEXT([1]!Table64[[#This Row],[Order date]],"mmm-yyyy")</f>
        <v>#REF!</v>
      </c>
    </row>
    <row r="659" spans="1:26" x14ac:dyDescent="0.3">
      <c r="A659" s="22">
        <v>10658</v>
      </c>
      <c r="B659" s="23">
        <v>5958</v>
      </c>
      <c r="C659" s="23" t="s">
        <v>34</v>
      </c>
      <c r="D659" s="24">
        <v>72831.77</v>
      </c>
      <c r="E659" s="23">
        <v>18</v>
      </c>
      <c r="F659" s="23" t="s">
        <v>43</v>
      </c>
      <c r="G659" s="25">
        <v>45306</v>
      </c>
      <c r="H659" s="24">
        <v>113298.34</v>
      </c>
      <c r="I659" s="26" t="s">
        <v>44</v>
      </c>
      <c r="J659" s="15" t="s">
        <v>28</v>
      </c>
      <c r="K659" s="15">
        <v>298</v>
      </c>
      <c r="L659" s="16">
        <v>45332</v>
      </c>
      <c r="M659" s="17">
        <v>10</v>
      </c>
      <c r="N659" s="27">
        <v>90658</v>
      </c>
      <c r="O659" s="27" t="s">
        <v>37</v>
      </c>
      <c r="P659" s="28">
        <v>45383</v>
      </c>
      <c r="Q659" s="29">
        <v>0.71499999999999997</v>
      </c>
      <c r="R659" s="30">
        <v>70658</v>
      </c>
      <c r="S659" s="27" t="s">
        <v>30</v>
      </c>
      <c r="T659" s="29">
        <v>116676.7592</v>
      </c>
      <c r="U659" s="27" t="s">
        <v>48</v>
      </c>
      <c r="V659" s="28">
        <v>45444</v>
      </c>
      <c r="W659" s="27" t="s">
        <v>38</v>
      </c>
      <c r="X659" s="28">
        <v>45384</v>
      </c>
      <c r="Y659" s="27" t="s">
        <v>33</v>
      </c>
      <c r="Z659" s="43" t="e">
        <f>TEXT([1]!Table64[[#This Row],[Order date]],"mmm-yyyy")</f>
        <v>#REF!</v>
      </c>
    </row>
    <row r="660" spans="1:26" x14ac:dyDescent="0.3">
      <c r="A660" s="10">
        <v>10659</v>
      </c>
      <c r="B660" s="11">
        <v>6012</v>
      </c>
      <c r="C660" s="11" t="s">
        <v>34</v>
      </c>
      <c r="D660" s="12">
        <v>96366.97</v>
      </c>
      <c r="E660" s="11">
        <v>36</v>
      </c>
      <c r="F660" s="11" t="s">
        <v>35</v>
      </c>
      <c r="G660" s="13">
        <v>45361</v>
      </c>
      <c r="H660" s="12">
        <v>122718.29</v>
      </c>
      <c r="I660" s="14" t="s">
        <v>44</v>
      </c>
      <c r="J660" s="15" t="s">
        <v>49</v>
      </c>
      <c r="K660" s="15">
        <v>798</v>
      </c>
      <c r="L660" s="16">
        <v>45397</v>
      </c>
      <c r="M660" s="17">
        <v>4</v>
      </c>
      <c r="N660" s="18">
        <v>90659</v>
      </c>
      <c r="O660" s="18" t="s">
        <v>40</v>
      </c>
      <c r="P660" s="19">
        <v>45352</v>
      </c>
      <c r="Q660" s="20">
        <v>0.33621000000000001</v>
      </c>
      <c r="R660" s="21">
        <v>70659</v>
      </c>
      <c r="S660" s="18" t="s">
        <v>45</v>
      </c>
      <c r="T660" s="20">
        <v>64179.657599999999</v>
      </c>
      <c r="U660" s="18" t="s">
        <v>42</v>
      </c>
      <c r="V660" s="19">
        <v>45444</v>
      </c>
      <c r="W660" s="18" t="s">
        <v>32</v>
      </c>
      <c r="X660" s="19">
        <v>45376</v>
      </c>
      <c r="Y660" s="18" t="s">
        <v>39</v>
      </c>
      <c r="Z660" s="43" t="e">
        <f>TEXT([1]!Table64[[#This Row],[Order date]],"mmm-yyyy")</f>
        <v>#REF!</v>
      </c>
    </row>
    <row r="661" spans="1:26" x14ac:dyDescent="0.3">
      <c r="A661" s="22">
        <v>10660</v>
      </c>
      <c r="B661" s="23">
        <v>5453</v>
      </c>
      <c r="C661" s="23" t="s">
        <v>34</v>
      </c>
      <c r="D661" s="24">
        <v>61822.76</v>
      </c>
      <c r="E661" s="23">
        <v>99</v>
      </c>
      <c r="F661" s="23" t="s">
        <v>35</v>
      </c>
      <c r="G661" s="25">
        <v>45361</v>
      </c>
      <c r="H661" s="24">
        <v>113068.58</v>
      </c>
      <c r="I661" s="26" t="s">
        <v>44</v>
      </c>
      <c r="J661" s="15" t="s">
        <v>49</v>
      </c>
      <c r="K661" s="15">
        <v>854</v>
      </c>
      <c r="L661" s="16">
        <v>45397</v>
      </c>
      <c r="M661" s="17">
        <v>11</v>
      </c>
      <c r="N661" s="27">
        <v>90660</v>
      </c>
      <c r="O661" s="27" t="s">
        <v>37</v>
      </c>
      <c r="P661" s="28">
        <v>45430</v>
      </c>
      <c r="Q661" s="29">
        <v>0.68052999999999997</v>
      </c>
      <c r="R661" s="30">
        <v>70660</v>
      </c>
      <c r="S661" s="27" t="s">
        <v>41</v>
      </c>
      <c r="T661" s="29">
        <v>185957.44605</v>
      </c>
      <c r="U661" s="27" t="s">
        <v>31</v>
      </c>
      <c r="V661" s="28">
        <v>45444</v>
      </c>
      <c r="W661" s="27" t="s">
        <v>38</v>
      </c>
      <c r="X661" s="28">
        <v>45376</v>
      </c>
      <c r="Y661" s="27" t="s">
        <v>39</v>
      </c>
      <c r="Z661" s="43" t="e">
        <f>TEXT([1]!Table64[[#This Row],[Order date]],"mmm-yyyy")</f>
        <v>#REF!</v>
      </c>
    </row>
    <row r="662" spans="1:26" x14ac:dyDescent="0.3">
      <c r="A662" s="10">
        <v>10661</v>
      </c>
      <c r="B662" s="11">
        <v>6228</v>
      </c>
      <c r="C662" s="11" t="s">
        <v>34</v>
      </c>
      <c r="D662" s="12">
        <v>80326.710000000006</v>
      </c>
      <c r="E662" s="11">
        <v>45</v>
      </c>
      <c r="F662" s="11" t="s">
        <v>43</v>
      </c>
      <c r="G662" s="13">
        <v>45383</v>
      </c>
      <c r="H662" s="12">
        <v>42989.5</v>
      </c>
      <c r="I662" s="14" t="s">
        <v>47</v>
      </c>
      <c r="J662" s="15" t="s">
        <v>49</v>
      </c>
      <c r="K662" s="15">
        <v>183</v>
      </c>
      <c r="L662" s="16">
        <v>45332</v>
      </c>
      <c r="M662" s="17">
        <v>7</v>
      </c>
      <c r="N662" s="18">
        <v>90661</v>
      </c>
      <c r="O662" s="18" t="s">
        <v>37</v>
      </c>
      <c r="P662" s="19">
        <v>45352</v>
      </c>
      <c r="Q662" s="20">
        <v>0.86372000000000004</v>
      </c>
      <c r="R662" s="21">
        <v>70661</v>
      </c>
      <c r="S662" s="18" t="s">
        <v>30</v>
      </c>
      <c r="T662" s="20">
        <v>151878.74160000001</v>
      </c>
      <c r="U662" s="18" t="s">
        <v>42</v>
      </c>
      <c r="V662" s="19">
        <v>45392</v>
      </c>
      <c r="W662" s="18" t="s">
        <v>38</v>
      </c>
      <c r="X662" s="19">
        <v>45376</v>
      </c>
      <c r="Y662" s="18" t="s">
        <v>39</v>
      </c>
      <c r="Z662" s="43" t="e">
        <f>TEXT([1]!Table64[[#This Row],[Order date]],"mmm-yyyy")</f>
        <v>#REF!</v>
      </c>
    </row>
    <row r="663" spans="1:26" x14ac:dyDescent="0.3">
      <c r="A663" s="22">
        <v>10662</v>
      </c>
      <c r="B663" s="23">
        <v>5912</v>
      </c>
      <c r="C663" s="23" t="s">
        <v>34</v>
      </c>
      <c r="D663" s="24">
        <v>31283.67</v>
      </c>
      <c r="E663" s="23">
        <v>73</v>
      </c>
      <c r="F663" s="23" t="s">
        <v>35</v>
      </c>
      <c r="G663" s="25">
        <v>45306</v>
      </c>
      <c r="H663" s="24">
        <v>65987.850000000006</v>
      </c>
      <c r="I663" s="26" t="s">
        <v>44</v>
      </c>
      <c r="J663" s="15" t="s">
        <v>28</v>
      </c>
      <c r="K663" s="15">
        <v>370</v>
      </c>
      <c r="L663" s="16">
        <v>45332</v>
      </c>
      <c r="M663" s="17">
        <v>13</v>
      </c>
      <c r="N663" s="27">
        <v>90662</v>
      </c>
      <c r="O663" s="27" t="s">
        <v>37</v>
      </c>
      <c r="P663" s="28">
        <v>45383</v>
      </c>
      <c r="Q663" s="29">
        <v>0.46146999999999999</v>
      </c>
      <c r="R663" s="30">
        <v>70662</v>
      </c>
      <c r="S663" s="27" t="s">
        <v>30</v>
      </c>
      <c r="T663" s="29">
        <v>145666.67459000001</v>
      </c>
      <c r="U663" s="27" t="s">
        <v>48</v>
      </c>
      <c r="V663" s="28">
        <v>45444</v>
      </c>
      <c r="W663" s="27" t="s">
        <v>32</v>
      </c>
      <c r="X663" s="28">
        <v>45376</v>
      </c>
      <c r="Y663" s="27" t="s">
        <v>39</v>
      </c>
      <c r="Z663" s="43" t="e">
        <f>TEXT([1]!Table64[[#This Row],[Order date]],"mmm-yyyy")</f>
        <v>#REF!</v>
      </c>
    </row>
    <row r="664" spans="1:26" x14ac:dyDescent="0.3">
      <c r="A664" s="10">
        <v>10663</v>
      </c>
      <c r="B664" s="11">
        <v>5218</v>
      </c>
      <c r="C664" s="11" t="s">
        <v>34</v>
      </c>
      <c r="D664" s="12">
        <v>94979.44</v>
      </c>
      <c r="E664" s="11">
        <v>53</v>
      </c>
      <c r="F664" s="11" t="s">
        <v>35</v>
      </c>
      <c r="G664" s="13">
        <v>45383</v>
      </c>
      <c r="H664" s="12">
        <v>63958.36</v>
      </c>
      <c r="I664" s="14" t="s">
        <v>44</v>
      </c>
      <c r="J664" s="15" t="s">
        <v>49</v>
      </c>
      <c r="K664" s="15">
        <v>439</v>
      </c>
      <c r="L664" s="16">
        <v>45361</v>
      </c>
      <c r="M664" s="17">
        <v>9</v>
      </c>
      <c r="N664" s="18">
        <v>90663</v>
      </c>
      <c r="O664" s="18" t="s">
        <v>50</v>
      </c>
      <c r="P664" s="19">
        <v>45352</v>
      </c>
      <c r="Q664" s="20">
        <v>0.84696000000000005</v>
      </c>
      <c r="R664" s="21">
        <v>70663</v>
      </c>
      <c r="S664" s="18" t="s">
        <v>30</v>
      </c>
      <c r="T664" s="20">
        <v>203187.80590000001</v>
      </c>
      <c r="U664" s="18" t="s">
        <v>31</v>
      </c>
      <c r="V664" s="19">
        <v>45392</v>
      </c>
      <c r="W664" s="18" t="s">
        <v>38</v>
      </c>
      <c r="X664" s="19">
        <v>45384</v>
      </c>
      <c r="Y664" s="18" t="s">
        <v>33</v>
      </c>
      <c r="Z664" s="43" t="e">
        <f>TEXT([1]!Table64[[#This Row],[Order date]],"mmm-yyyy")</f>
        <v>#REF!</v>
      </c>
    </row>
    <row r="665" spans="1:26" x14ac:dyDescent="0.3">
      <c r="A665" s="22">
        <v>10664</v>
      </c>
      <c r="B665" s="23">
        <v>5474</v>
      </c>
      <c r="C665" s="23" t="s">
        <v>25</v>
      </c>
      <c r="D665" s="24">
        <v>62191.27</v>
      </c>
      <c r="E665" s="23">
        <v>30</v>
      </c>
      <c r="F665" s="23" t="s">
        <v>46</v>
      </c>
      <c r="G665" s="25">
        <v>45306</v>
      </c>
      <c r="H665" s="24">
        <v>37606.339999999997</v>
      </c>
      <c r="I665" s="26" t="s">
        <v>47</v>
      </c>
      <c r="J665" s="15" t="s">
        <v>49</v>
      </c>
      <c r="K665" s="15">
        <v>483</v>
      </c>
      <c r="L665" s="16">
        <v>45361</v>
      </c>
      <c r="M665" s="17">
        <v>5</v>
      </c>
      <c r="N665" s="27">
        <v>90664</v>
      </c>
      <c r="O665" s="27" t="s">
        <v>37</v>
      </c>
      <c r="P665" s="28">
        <v>45430</v>
      </c>
      <c r="Q665" s="29">
        <v>0.23896999999999999</v>
      </c>
      <c r="R665" s="30">
        <v>70664</v>
      </c>
      <c r="S665" s="27" t="s">
        <v>41</v>
      </c>
      <c r="T665" s="29">
        <v>140586.71012</v>
      </c>
      <c r="U665" s="27" t="s">
        <v>31</v>
      </c>
      <c r="V665" s="28">
        <v>45392</v>
      </c>
      <c r="W665" s="27" t="s">
        <v>38</v>
      </c>
      <c r="X665" s="28">
        <v>45376</v>
      </c>
      <c r="Y665" s="27" t="s">
        <v>33</v>
      </c>
      <c r="Z665" s="43" t="e">
        <f>TEXT([1]!Table64[[#This Row],[Order date]],"mmm-yyyy")</f>
        <v>#REF!</v>
      </c>
    </row>
    <row r="666" spans="1:26" x14ac:dyDescent="0.3">
      <c r="A666" s="10">
        <v>10665</v>
      </c>
      <c r="B666" s="11">
        <v>5432</v>
      </c>
      <c r="C666" s="11" t="s">
        <v>34</v>
      </c>
      <c r="D666" s="12">
        <v>83754.55</v>
      </c>
      <c r="E666" s="11">
        <v>60</v>
      </c>
      <c r="F666" s="11" t="s">
        <v>43</v>
      </c>
      <c r="G666" s="13">
        <v>45337</v>
      </c>
      <c r="H666" s="12">
        <v>92084.91</v>
      </c>
      <c r="I666" s="14" t="s">
        <v>44</v>
      </c>
      <c r="J666" s="15" t="s">
        <v>28</v>
      </c>
      <c r="K666" s="15">
        <v>1095</v>
      </c>
      <c r="L666" s="16">
        <v>45397</v>
      </c>
      <c r="M666" s="17">
        <v>4</v>
      </c>
      <c r="N666" s="18">
        <v>90665</v>
      </c>
      <c r="O666" s="18" t="s">
        <v>40</v>
      </c>
      <c r="P666" s="19">
        <v>45352</v>
      </c>
      <c r="Q666" s="20">
        <v>0.84050000000000002</v>
      </c>
      <c r="R666" s="21">
        <v>70665</v>
      </c>
      <c r="S666" s="18" t="s">
        <v>41</v>
      </c>
      <c r="T666" s="20">
        <v>74313.460600000006</v>
      </c>
      <c r="U666" s="18" t="s">
        <v>48</v>
      </c>
      <c r="V666" s="19">
        <v>45392</v>
      </c>
      <c r="W666" s="18" t="s">
        <v>32</v>
      </c>
      <c r="X666" s="19">
        <v>45376</v>
      </c>
      <c r="Y666" s="18" t="s">
        <v>33</v>
      </c>
      <c r="Z666" s="43" t="e">
        <f>TEXT([1]!Table64[[#This Row],[Order date]],"mmm-yyyy")</f>
        <v>#REF!</v>
      </c>
    </row>
    <row r="667" spans="1:26" x14ac:dyDescent="0.3">
      <c r="A667" s="22">
        <v>10666</v>
      </c>
      <c r="B667" s="23">
        <v>5341</v>
      </c>
      <c r="C667" s="23" t="s">
        <v>25</v>
      </c>
      <c r="D667" s="24">
        <v>43776.41</v>
      </c>
      <c r="E667" s="23">
        <v>98</v>
      </c>
      <c r="F667" s="23" t="s">
        <v>43</v>
      </c>
      <c r="G667" s="25">
        <v>45361</v>
      </c>
      <c r="H667" s="24">
        <v>39656.07</v>
      </c>
      <c r="I667" s="26" t="s">
        <v>47</v>
      </c>
      <c r="J667" s="15" t="s">
        <v>36</v>
      </c>
      <c r="K667" s="15">
        <v>922</v>
      </c>
      <c r="L667" s="16">
        <v>45332</v>
      </c>
      <c r="M667" s="17">
        <v>9</v>
      </c>
      <c r="N667" s="27">
        <v>90666</v>
      </c>
      <c r="O667" s="27" t="s">
        <v>50</v>
      </c>
      <c r="P667" s="28">
        <v>45352</v>
      </c>
      <c r="Q667" s="29">
        <v>0.58626</v>
      </c>
      <c r="R667" s="30">
        <v>70666</v>
      </c>
      <c r="S667" s="27" t="s">
        <v>41</v>
      </c>
      <c r="T667" s="29">
        <v>142943.14721</v>
      </c>
      <c r="U667" s="27" t="s">
        <v>31</v>
      </c>
      <c r="V667" s="28">
        <v>45392</v>
      </c>
      <c r="W667" s="27" t="s">
        <v>38</v>
      </c>
      <c r="X667" s="28">
        <v>45376</v>
      </c>
      <c r="Y667" s="27" t="s">
        <v>39</v>
      </c>
      <c r="Z667" s="43" t="e">
        <f>TEXT([1]!Table64[[#This Row],[Order date]],"mmm-yyyy")</f>
        <v>#REF!</v>
      </c>
    </row>
    <row r="668" spans="1:26" x14ac:dyDescent="0.3">
      <c r="A668" s="10">
        <v>10667</v>
      </c>
      <c r="B668" s="11">
        <v>5551</v>
      </c>
      <c r="C668" s="11" t="s">
        <v>34</v>
      </c>
      <c r="D668" s="12">
        <v>28152.75</v>
      </c>
      <c r="E668" s="11">
        <v>32</v>
      </c>
      <c r="F668" s="11" t="s">
        <v>26</v>
      </c>
      <c r="G668" s="13">
        <v>45383</v>
      </c>
      <c r="H668" s="12">
        <v>57697.23</v>
      </c>
      <c r="I668" s="14" t="s">
        <v>44</v>
      </c>
      <c r="J668" s="15" t="s">
        <v>36</v>
      </c>
      <c r="K668" s="15">
        <v>1198</v>
      </c>
      <c r="L668" s="16">
        <v>45361</v>
      </c>
      <c r="M668" s="17">
        <v>5</v>
      </c>
      <c r="N668" s="18">
        <v>90667</v>
      </c>
      <c r="O668" s="18" t="s">
        <v>37</v>
      </c>
      <c r="P668" s="19">
        <v>45383</v>
      </c>
      <c r="Q668" s="20">
        <v>0.30068</v>
      </c>
      <c r="R668" s="21">
        <v>70667</v>
      </c>
      <c r="S668" s="18" t="s">
        <v>45</v>
      </c>
      <c r="T668" s="20">
        <v>113083.4742</v>
      </c>
      <c r="U668" s="18" t="s">
        <v>31</v>
      </c>
      <c r="V668" s="19">
        <v>45392</v>
      </c>
      <c r="W668" s="18" t="s">
        <v>32</v>
      </c>
      <c r="X668" s="19">
        <v>45376</v>
      </c>
      <c r="Y668" s="18" t="s">
        <v>39</v>
      </c>
      <c r="Z668" s="43" t="e">
        <f>TEXT([1]!Table64[[#This Row],[Order date]],"mmm-yyyy")</f>
        <v>#REF!</v>
      </c>
    </row>
    <row r="669" spans="1:26" x14ac:dyDescent="0.3">
      <c r="A669" s="22">
        <v>10668</v>
      </c>
      <c r="B669" s="23">
        <v>6636</v>
      </c>
      <c r="C669" s="23" t="s">
        <v>34</v>
      </c>
      <c r="D669" s="24">
        <v>48602.47</v>
      </c>
      <c r="E669" s="23">
        <v>67</v>
      </c>
      <c r="F669" s="23" t="s">
        <v>35</v>
      </c>
      <c r="G669" s="25">
        <v>45337</v>
      </c>
      <c r="H669" s="24">
        <v>174909.36</v>
      </c>
      <c r="I669" s="26" t="s">
        <v>47</v>
      </c>
      <c r="J669" s="15" t="s">
        <v>49</v>
      </c>
      <c r="K669" s="15">
        <v>1152</v>
      </c>
      <c r="L669" s="16">
        <v>45397</v>
      </c>
      <c r="M669" s="17">
        <v>9</v>
      </c>
      <c r="N669" s="27">
        <v>90668</v>
      </c>
      <c r="O669" s="27" t="s">
        <v>29</v>
      </c>
      <c r="P669" s="28">
        <v>45383</v>
      </c>
      <c r="Q669" s="29">
        <v>0.46643000000000001</v>
      </c>
      <c r="R669" s="30">
        <v>70668</v>
      </c>
      <c r="S669" s="27" t="s">
        <v>45</v>
      </c>
      <c r="T669" s="29">
        <v>121120.51182</v>
      </c>
      <c r="U669" s="27" t="s">
        <v>31</v>
      </c>
      <c r="V669" s="28">
        <v>45422</v>
      </c>
      <c r="W669" s="27" t="s">
        <v>32</v>
      </c>
      <c r="X669" s="28">
        <v>45384</v>
      </c>
      <c r="Y669" s="27" t="s">
        <v>33</v>
      </c>
      <c r="Z669" s="43" t="e">
        <f>TEXT([1]!Table64[[#This Row],[Order date]],"mmm-yyyy")</f>
        <v>#REF!</v>
      </c>
    </row>
    <row r="670" spans="1:26" x14ac:dyDescent="0.3">
      <c r="A670" s="10">
        <v>10669</v>
      </c>
      <c r="B670" s="11">
        <v>6313</v>
      </c>
      <c r="C670" s="11" t="s">
        <v>34</v>
      </c>
      <c r="D670" s="12">
        <v>8211.98</v>
      </c>
      <c r="E670" s="11">
        <v>67</v>
      </c>
      <c r="F670" s="11" t="s">
        <v>46</v>
      </c>
      <c r="G670" s="13">
        <v>45337</v>
      </c>
      <c r="H670" s="12">
        <v>76847.960000000006</v>
      </c>
      <c r="I670" s="14" t="s">
        <v>47</v>
      </c>
      <c r="J670" s="15" t="s">
        <v>36</v>
      </c>
      <c r="K670" s="15">
        <v>907</v>
      </c>
      <c r="L670" s="16">
        <v>45397</v>
      </c>
      <c r="M670" s="17">
        <v>8</v>
      </c>
      <c r="N670" s="18">
        <v>90669</v>
      </c>
      <c r="O670" s="18" t="s">
        <v>37</v>
      </c>
      <c r="P670" s="19">
        <v>45352</v>
      </c>
      <c r="Q670" s="20">
        <v>0.98919000000000001</v>
      </c>
      <c r="R670" s="21">
        <v>70669</v>
      </c>
      <c r="S670" s="18" t="s">
        <v>45</v>
      </c>
      <c r="T670" s="20">
        <v>144447.3302</v>
      </c>
      <c r="U670" s="18" t="s">
        <v>42</v>
      </c>
      <c r="V670" s="19">
        <v>45392</v>
      </c>
      <c r="W670" s="18" t="s">
        <v>32</v>
      </c>
      <c r="X670" s="19">
        <v>45376</v>
      </c>
      <c r="Y670" s="18" t="s">
        <v>33</v>
      </c>
      <c r="Z670" s="43" t="e">
        <f>TEXT([1]!Table64[[#This Row],[Order date]],"mmm-yyyy")</f>
        <v>#REF!</v>
      </c>
    </row>
    <row r="671" spans="1:26" x14ac:dyDescent="0.3">
      <c r="A671" s="22">
        <v>10670</v>
      </c>
      <c r="B671" s="23">
        <v>6278</v>
      </c>
      <c r="C671" s="23" t="s">
        <v>34</v>
      </c>
      <c r="D671" s="24">
        <v>79241.67</v>
      </c>
      <c r="E671" s="23">
        <v>28</v>
      </c>
      <c r="F671" s="23" t="s">
        <v>35</v>
      </c>
      <c r="G671" s="25">
        <v>45383</v>
      </c>
      <c r="H671" s="24">
        <v>107198.94</v>
      </c>
      <c r="I671" s="26" t="s">
        <v>47</v>
      </c>
      <c r="J671" s="15" t="s">
        <v>36</v>
      </c>
      <c r="K671" s="15">
        <v>100</v>
      </c>
      <c r="L671" s="16">
        <v>45397</v>
      </c>
      <c r="M671" s="17">
        <v>4</v>
      </c>
      <c r="N671" s="27">
        <v>90670</v>
      </c>
      <c r="O671" s="27" t="s">
        <v>37</v>
      </c>
      <c r="P671" s="28">
        <v>45352</v>
      </c>
      <c r="Q671" s="29">
        <v>0.80520000000000003</v>
      </c>
      <c r="R671" s="30">
        <v>70670</v>
      </c>
      <c r="S671" s="27" t="s">
        <v>30</v>
      </c>
      <c r="T671" s="29">
        <v>101303.25646999999</v>
      </c>
      <c r="U671" s="27" t="s">
        <v>42</v>
      </c>
      <c r="V671" s="28">
        <v>45392</v>
      </c>
      <c r="W671" s="27" t="s">
        <v>38</v>
      </c>
      <c r="X671" s="28">
        <v>45384</v>
      </c>
      <c r="Y671" s="27" t="s">
        <v>39</v>
      </c>
      <c r="Z671" s="43" t="e">
        <f>TEXT([1]!Table64[[#This Row],[Order date]],"mmm-yyyy")</f>
        <v>#REF!</v>
      </c>
    </row>
    <row r="672" spans="1:26" x14ac:dyDescent="0.3">
      <c r="A672" s="10">
        <v>10671</v>
      </c>
      <c r="B672" s="11">
        <v>6758</v>
      </c>
      <c r="C672" s="11" t="s">
        <v>34</v>
      </c>
      <c r="D672" s="12">
        <v>64542.48</v>
      </c>
      <c r="E672" s="11">
        <v>44</v>
      </c>
      <c r="F672" s="11" t="s">
        <v>35</v>
      </c>
      <c r="G672" s="13">
        <v>45383</v>
      </c>
      <c r="H672" s="12">
        <v>24710.89</v>
      </c>
      <c r="I672" s="14" t="s">
        <v>47</v>
      </c>
      <c r="J672" s="15" t="s">
        <v>36</v>
      </c>
      <c r="K672" s="15">
        <v>225</v>
      </c>
      <c r="L672" s="16">
        <v>45361</v>
      </c>
      <c r="M672" s="17">
        <v>11</v>
      </c>
      <c r="N672" s="18">
        <v>90671</v>
      </c>
      <c r="O672" s="18" t="s">
        <v>50</v>
      </c>
      <c r="P672" s="19">
        <v>45352</v>
      </c>
      <c r="Q672" s="20">
        <v>0.61758000000000002</v>
      </c>
      <c r="R672" s="21">
        <v>70671</v>
      </c>
      <c r="S672" s="18" t="s">
        <v>41</v>
      </c>
      <c r="T672" s="20">
        <v>129725.28782</v>
      </c>
      <c r="U672" s="18" t="s">
        <v>31</v>
      </c>
      <c r="V672" s="19">
        <v>45422</v>
      </c>
      <c r="W672" s="18" t="s">
        <v>38</v>
      </c>
      <c r="X672" s="19">
        <v>45384</v>
      </c>
      <c r="Y672" s="18" t="s">
        <v>39</v>
      </c>
      <c r="Z672" s="43" t="e">
        <f>TEXT([1]!Table64[[#This Row],[Order date]],"mmm-yyyy")</f>
        <v>#REF!</v>
      </c>
    </row>
    <row r="673" spans="1:26" x14ac:dyDescent="0.3">
      <c r="A673" s="22">
        <v>10672</v>
      </c>
      <c r="B673" s="23">
        <v>5357</v>
      </c>
      <c r="C673" s="23" t="s">
        <v>34</v>
      </c>
      <c r="D673" s="24">
        <v>95897.279999999999</v>
      </c>
      <c r="E673" s="23">
        <v>79</v>
      </c>
      <c r="F673" s="23" t="s">
        <v>26</v>
      </c>
      <c r="G673" s="25">
        <v>45337</v>
      </c>
      <c r="H673" s="24">
        <v>148295.25</v>
      </c>
      <c r="I673" s="26" t="s">
        <v>27</v>
      </c>
      <c r="J673" s="15" t="s">
        <v>36</v>
      </c>
      <c r="K673" s="15">
        <v>919</v>
      </c>
      <c r="L673" s="16">
        <v>45361</v>
      </c>
      <c r="M673" s="17">
        <v>11</v>
      </c>
      <c r="N673" s="27">
        <v>90672</v>
      </c>
      <c r="O673" s="27" t="s">
        <v>40</v>
      </c>
      <c r="P673" s="28">
        <v>45383</v>
      </c>
      <c r="Q673" s="29">
        <v>0.20365</v>
      </c>
      <c r="R673" s="30">
        <v>70672</v>
      </c>
      <c r="S673" s="27" t="s">
        <v>30</v>
      </c>
      <c r="T673" s="29">
        <v>84190.868199999997</v>
      </c>
      <c r="U673" s="27" t="s">
        <v>48</v>
      </c>
      <c r="V673" s="28">
        <v>45422</v>
      </c>
      <c r="W673" s="27" t="s">
        <v>32</v>
      </c>
      <c r="X673" s="28">
        <v>45376</v>
      </c>
      <c r="Y673" s="27" t="s">
        <v>33</v>
      </c>
      <c r="Z673" s="43" t="e">
        <f>TEXT([1]!Table64[[#This Row],[Order date]],"mmm-yyyy")</f>
        <v>#REF!</v>
      </c>
    </row>
    <row r="674" spans="1:26" x14ac:dyDescent="0.3">
      <c r="A674" s="10">
        <v>10673</v>
      </c>
      <c r="B674" s="11">
        <v>5023</v>
      </c>
      <c r="C674" s="11" t="s">
        <v>34</v>
      </c>
      <c r="D674" s="12">
        <v>92588.73</v>
      </c>
      <c r="E674" s="11">
        <v>41</v>
      </c>
      <c r="F674" s="11" t="s">
        <v>35</v>
      </c>
      <c r="G674" s="13">
        <v>45306</v>
      </c>
      <c r="H674" s="12">
        <v>34814.6</v>
      </c>
      <c r="I674" s="14" t="s">
        <v>44</v>
      </c>
      <c r="J674" s="15" t="s">
        <v>49</v>
      </c>
      <c r="K674" s="15">
        <v>302</v>
      </c>
      <c r="L674" s="16">
        <v>45332</v>
      </c>
      <c r="M674" s="17">
        <v>7</v>
      </c>
      <c r="N674" s="18">
        <v>90673</v>
      </c>
      <c r="O674" s="18" t="s">
        <v>37</v>
      </c>
      <c r="P674" s="19">
        <v>45383</v>
      </c>
      <c r="Q674" s="20">
        <v>0.47603000000000001</v>
      </c>
      <c r="R674" s="21">
        <v>70673</v>
      </c>
      <c r="S674" s="18" t="s">
        <v>30</v>
      </c>
      <c r="T674" s="20">
        <v>131934.44404999999</v>
      </c>
      <c r="U674" s="18" t="s">
        <v>48</v>
      </c>
      <c r="V674" s="19">
        <v>45422</v>
      </c>
      <c r="W674" s="18" t="s">
        <v>38</v>
      </c>
      <c r="X674" s="19">
        <v>45376</v>
      </c>
      <c r="Y674" s="18" t="s">
        <v>33</v>
      </c>
      <c r="Z674" s="43" t="e">
        <f>TEXT([1]!Table64[[#This Row],[Order date]],"mmm-yyyy")</f>
        <v>#REF!</v>
      </c>
    </row>
    <row r="675" spans="1:26" x14ac:dyDescent="0.3">
      <c r="A675" s="22">
        <v>10674</v>
      </c>
      <c r="B675" s="23">
        <v>6786</v>
      </c>
      <c r="C675" s="23" t="s">
        <v>34</v>
      </c>
      <c r="D675" s="24">
        <v>30252.84</v>
      </c>
      <c r="E675" s="23">
        <v>63</v>
      </c>
      <c r="F675" s="23" t="s">
        <v>46</v>
      </c>
      <c r="G675" s="25">
        <v>45337</v>
      </c>
      <c r="H675" s="24">
        <v>150689.66</v>
      </c>
      <c r="I675" s="26" t="s">
        <v>44</v>
      </c>
      <c r="J675" s="15" t="s">
        <v>36</v>
      </c>
      <c r="K675" s="15">
        <v>1015</v>
      </c>
      <c r="L675" s="16">
        <v>45332</v>
      </c>
      <c r="M675" s="17">
        <v>5</v>
      </c>
      <c r="N675" s="27">
        <v>90674</v>
      </c>
      <c r="O675" s="27" t="s">
        <v>50</v>
      </c>
      <c r="P675" s="28">
        <v>45352</v>
      </c>
      <c r="Q675" s="29">
        <v>0.33674999999999999</v>
      </c>
      <c r="R675" s="30">
        <v>70674</v>
      </c>
      <c r="S675" s="27" t="s">
        <v>41</v>
      </c>
      <c r="T675" s="29">
        <v>50051.382080000003</v>
      </c>
      <c r="U675" s="27" t="s">
        <v>42</v>
      </c>
      <c r="V675" s="28">
        <v>45444</v>
      </c>
      <c r="W675" s="27" t="s">
        <v>32</v>
      </c>
      <c r="X675" s="28">
        <v>45376</v>
      </c>
      <c r="Y675" s="27" t="s">
        <v>33</v>
      </c>
      <c r="Z675" s="43" t="e">
        <f>TEXT([1]!Table64[[#This Row],[Order date]],"mmm-yyyy")</f>
        <v>#REF!</v>
      </c>
    </row>
    <row r="676" spans="1:26" x14ac:dyDescent="0.3">
      <c r="A676" s="10">
        <v>10675</v>
      </c>
      <c r="B676" s="11">
        <v>5522</v>
      </c>
      <c r="C676" s="11" t="s">
        <v>34</v>
      </c>
      <c r="D676" s="12">
        <v>65406.63</v>
      </c>
      <c r="E676" s="11">
        <v>23</v>
      </c>
      <c r="F676" s="11" t="s">
        <v>46</v>
      </c>
      <c r="G676" s="13">
        <v>45383</v>
      </c>
      <c r="H676" s="12">
        <v>78925.94</v>
      </c>
      <c r="I676" s="14" t="s">
        <v>27</v>
      </c>
      <c r="J676" s="15" t="s">
        <v>36</v>
      </c>
      <c r="K676" s="15">
        <v>1319</v>
      </c>
      <c r="L676" s="16">
        <v>45397</v>
      </c>
      <c r="M676" s="17">
        <v>10</v>
      </c>
      <c r="N676" s="18">
        <v>90675</v>
      </c>
      <c r="O676" s="18" t="s">
        <v>50</v>
      </c>
      <c r="P676" s="19">
        <v>45383</v>
      </c>
      <c r="Q676" s="20">
        <v>0.16389999999999999</v>
      </c>
      <c r="R676" s="21">
        <v>70675</v>
      </c>
      <c r="S676" s="18" t="s">
        <v>30</v>
      </c>
      <c r="T676" s="20">
        <v>189325.3939</v>
      </c>
      <c r="U676" s="18" t="s">
        <v>48</v>
      </c>
      <c r="V676" s="19">
        <v>45444</v>
      </c>
      <c r="W676" s="18" t="s">
        <v>38</v>
      </c>
      <c r="X676" s="19">
        <v>45376</v>
      </c>
      <c r="Y676" s="18" t="s">
        <v>39</v>
      </c>
      <c r="Z676" s="43" t="e">
        <f>TEXT([1]!Table64[[#This Row],[Order date]],"mmm-yyyy")</f>
        <v>#REF!</v>
      </c>
    </row>
    <row r="677" spans="1:26" x14ac:dyDescent="0.3">
      <c r="A677" s="22">
        <v>10676</v>
      </c>
      <c r="B677" s="23">
        <v>6782</v>
      </c>
      <c r="C677" s="23" t="s">
        <v>34</v>
      </c>
      <c r="D677" s="24">
        <v>36741.61</v>
      </c>
      <c r="E677" s="23">
        <v>75</v>
      </c>
      <c r="F677" s="23" t="s">
        <v>26</v>
      </c>
      <c r="G677" s="25">
        <v>45337</v>
      </c>
      <c r="H677" s="24">
        <v>35408.85</v>
      </c>
      <c r="I677" s="26" t="s">
        <v>47</v>
      </c>
      <c r="J677" s="15" t="s">
        <v>28</v>
      </c>
      <c r="K677" s="15">
        <v>788</v>
      </c>
      <c r="L677" s="16">
        <v>45397</v>
      </c>
      <c r="M677" s="17">
        <v>4</v>
      </c>
      <c r="N677" s="27">
        <v>90676</v>
      </c>
      <c r="O677" s="27" t="s">
        <v>40</v>
      </c>
      <c r="P677" s="28">
        <v>45430</v>
      </c>
      <c r="Q677" s="29">
        <v>0.58797999999999995</v>
      </c>
      <c r="R677" s="30">
        <v>70676</v>
      </c>
      <c r="S677" s="27" t="s">
        <v>45</v>
      </c>
      <c r="T677" s="29">
        <v>106254.5338</v>
      </c>
      <c r="U677" s="27" t="s">
        <v>31</v>
      </c>
      <c r="V677" s="28">
        <v>45392</v>
      </c>
      <c r="W677" s="27" t="s">
        <v>38</v>
      </c>
      <c r="X677" s="28">
        <v>45376</v>
      </c>
      <c r="Y677" s="27" t="s">
        <v>33</v>
      </c>
      <c r="Z677" s="43" t="e">
        <f>TEXT([1]!Table64[[#This Row],[Order date]],"mmm-yyyy")</f>
        <v>#REF!</v>
      </c>
    </row>
    <row r="678" spans="1:26" x14ac:dyDescent="0.3">
      <c r="A678" s="10">
        <v>10677</v>
      </c>
      <c r="B678" s="11">
        <v>6861</v>
      </c>
      <c r="C678" s="11" t="s">
        <v>34</v>
      </c>
      <c r="D678" s="12">
        <v>85095.79</v>
      </c>
      <c r="E678" s="11">
        <v>48</v>
      </c>
      <c r="F678" s="11" t="s">
        <v>35</v>
      </c>
      <c r="G678" s="13">
        <v>45306</v>
      </c>
      <c r="H678" s="12">
        <v>172250.05</v>
      </c>
      <c r="I678" s="14" t="s">
        <v>47</v>
      </c>
      <c r="J678" s="15" t="s">
        <v>49</v>
      </c>
      <c r="K678" s="15">
        <v>1179</v>
      </c>
      <c r="L678" s="16">
        <v>45361</v>
      </c>
      <c r="M678" s="17">
        <v>5</v>
      </c>
      <c r="N678" s="18">
        <v>90677</v>
      </c>
      <c r="O678" s="18" t="s">
        <v>50</v>
      </c>
      <c r="P678" s="19">
        <v>45383</v>
      </c>
      <c r="Q678" s="20">
        <v>0.90027000000000001</v>
      </c>
      <c r="R678" s="21">
        <v>70677</v>
      </c>
      <c r="S678" s="18" t="s">
        <v>41</v>
      </c>
      <c r="T678" s="20">
        <v>211955.81020000001</v>
      </c>
      <c r="U678" s="18" t="s">
        <v>48</v>
      </c>
      <c r="V678" s="19">
        <v>45392</v>
      </c>
      <c r="W678" s="18" t="s">
        <v>38</v>
      </c>
      <c r="X678" s="19">
        <v>45384</v>
      </c>
      <c r="Y678" s="18" t="s">
        <v>39</v>
      </c>
      <c r="Z678" s="43" t="e">
        <f>TEXT([1]!Table64[[#This Row],[Order date]],"mmm-yyyy")</f>
        <v>#REF!</v>
      </c>
    </row>
    <row r="679" spans="1:26" x14ac:dyDescent="0.3">
      <c r="A679" s="22">
        <v>10678</v>
      </c>
      <c r="B679" s="23">
        <v>6124</v>
      </c>
      <c r="C679" s="23" t="s">
        <v>25</v>
      </c>
      <c r="D679" s="24">
        <v>34229.47</v>
      </c>
      <c r="E679" s="23">
        <v>32</v>
      </c>
      <c r="F679" s="23" t="s">
        <v>46</v>
      </c>
      <c r="G679" s="25">
        <v>45361</v>
      </c>
      <c r="H679" s="24">
        <v>40268.14</v>
      </c>
      <c r="I679" s="26" t="s">
        <v>44</v>
      </c>
      <c r="J679" s="15" t="s">
        <v>28</v>
      </c>
      <c r="K679" s="15">
        <v>1266</v>
      </c>
      <c r="L679" s="16">
        <v>45361</v>
      </c>
      <c r="M679" s="17">
        <v>5</v>
      </c>
      <c r="N679" s="27">
        <v>90678</v>
      </c>
      <c r="O679" s="27" t="s">
        <v>40</v>
      </c>
      <c r="P679" s="28">
        <v>45383</v>
      </c>
      <c r="Q679" s="29">
        <v>0.70804</v>
      </c>
      <c r="R679" s="30">
        <v>70678</v>
      </c>
      <c r="S679" s="27" t="s">
        <v>41</v>
      </c>
      <c r="T679" s="29">
        <v>93770.663360000006</v>
      </c>
      <c r="U679" s="27" t="s">
        <v>42</v>
      </c>
      <c r="V679" s="28">
        <v>45392</v>
      </c>
      <c r="W679" s="27" t="s">
        <v>38</v>
      </c>
      <c r="X679" s="28">
        <v>45384</v>
      </c>
      <c r="Y679" s="27" t="s">
        <v>39</v>
      </c>
      <c r="Z679" s="43" t="e">
        <f>TEXT([1]!Table64[[#This Row],[Order date]],"mmm-yyyy")</f>
        <v>#REF!</v>
      </c>
    </row>
    <row r="680" spans="1:26" x14ac:dyDescent="0.3">
      <c r="A680" s="10">
        <v>10679</v>
      </c>
      <c r="B680" s="11">
        <v>5802</v>
      </c>
      <c r="C680" s="11" t="s">
        <v>34</v>
      </c>
      <c r="D680" s="12">
        <v>74313.42</v>
      </c>
      <c r="E680" s="11">
        <v>57</v>
      </c>
      <c r="F680" s="11" t="s">
        <v>35</v>
      </c>
      <c r="G680" s="13">
        <v>45361</v>
      </c>
      <c r="H680" s="12">
        <v>138355.73000000001</v>
      </c>
      <c r="I680" s="14" t="s">
        <v>27</v>
      </c>
      <c r="J680" s="15" t="s">
        <v>28</v>
      </c>
      <c r="K680" s="15">
        <v>1389</v>
      </c>
      <c r="L680" s="16">
        <v>45332</v>
      </c>
      <c r="M680" s="17">
        <v>11</v>
      </c>
      <c r="N680" s="18">
        <v>90679</v>
      </c>
      <c r="O680" s="18" t="s">
        <v>29</v>
      </c>
      <c r="P680" s="19">
        <v>45383</v>
      </c>
      <c r="Q680" s="20">
        <v>0.32471</v>
      </c>
      <c r="R680" s="21">
        <v>70679</v>
      </c>
      <c r="S680" s="18" t="s">
        <v>30</v>
      </c>
      <c r="T680" s="20">
        <v>99713.5144</v>
      </c>
      <c r="U680" s="18" t="s">
        <v>42</v>
      </c>
      <c r="V680" s="19">
        <v>45392</v>
      </c>
      <c r="W680" s="18" t="s">
        <v>38</v>
      </c>
      <c r="X680" s="19">
        <v>45376</v>
      </c>
      <c r="Y680" s="18" t="s">
        <v>33</v>
      </c>
      <c r="Z680" s="43" t="e">
        <f>TEXT([1]!Table64[[#This Row],[Order date]],"mmm-yyyy")</f>
        <v>#REF!</v>
      </c>
    </row>
    <row r="681" spans="1:26" x14ac:dyDescent="0.3">
      <c r="A681" s="22">
        <v>10680</v>
      </c>
      <c r="B681" s="23">
        <v>6204</v>
      </c>
      <c r="C681" s="23" t="s">
        <v>34</v>
      </c>
      <c r="D681" s="24">
        <v>84211.199999999997</v>
      </c>
      <c r="E681" s="23">
        <v>33</v>
      </c>
      <c r="F681" s="23" t="s">
        <v>35</v>
      </c>
      <c r="G681" s="25">
        <v>45337</v>
      </c>
      <c r="H681" s="24">
        <v>60409.19</v>
      </c>
      <c r="I681" s="26" t="s">
        <v>47</v>
      </c>
      <c r="J681" s="15" t="s">
        <v>49</v>
      </c>
      <c r="K681" s="15">
        <v>351</v>
      </c>
      <c r="L681" s="16">
        <v>45332</v>
      </c>
      <c r="M681" s="17">
        <v>9</v>
      </c>
      <c r="N681" s="27">
        <v>90680</v>
      </c>
      <c r="O681" s="27" t="s">
        <v>37</v>
      </c>
      <c r="P681" s="28">
        <v>45430</v>
      </c>
      <c r="Q681" s="29">
        <v>0.61623000000000006</v>
      </c>
      <c r="R681" s="30">
        <v>70680</v>
      </c>
      <c r="S681" s="27" t="s">
        <v>45</v>
      </c>
      <c r="T681" s="29">
        <v>197726.652</v>
      </c>
      <c r="U681" s="27" t="s">
        <v>31</v>
      </c>
      <c r="V681" s="28">
        <v>45422</v>
      </c>
      <c r="W681" s="27" t="s">
        <v>38</v>
      </c>
      <c r="X681" s="28">
        <v>45376</v>
      </c>
      <c r="Y681" s="27" t="s">
        <v>33</v>
      </c>
      <c r="Z681" s="43" t="e">
        <f>TEXT([1]!Table64[[#This Row],[Order date]],"mmm-yyyy")</f>
        <v>#REF!</v>
      </c>
    </row>
    <row r="682" spans="1:26" x14ac:dyDescent="0.3">
      <c r="A682" s="10">
        <v>10681</v>
      </c>
      <c r="B682" s="11">
        <v>6247</v>
      </c>
      <c r="C682" s="11" t="s">
        <v>34</v>
      </c>
      <c r="D682" s="12">
        <v>52120.959999999999</v>
      </c>
      <c r="E682" s="11">
        <v>24</v>
      </c>
      <c r="F682" s="11" t="s">
        <v>35</v>
      </c>
      <c r="G682" s="13">
        <v>45306</v>
      </c>
      <c r="H682" s="12">
        <v>131732.29999999999</v>
      </c>
      <c r="I682" s="14" t="s">
        <v>47</v>
      </c>
      <c r="J682" s="15" t="s">
        <v>36</v>
      </c>
      <c r="K682" s="15">
        <v>597</v>
      </c>
      <c r="L682" s="16">
        <v>45332</v>
      </c>
      <c r="M682" s="17">
        <v>12</v>
      </c>
      <c r="N682" s="18">
        <v>90681</v>
      </c>
      <c r="O682" s="18" t="s">
        <v>50</v>
      </c>
      <c r="P682" s="19">
        <v>45430</v>
      </c>
      <c r="Q682" s="20">
        <v>0.94891000000000003</v>
      </c>
      <c r="R682" s="21">
        <v>70681</v>
      </c>
      <c r="S682" s="18" t="s">
        <v>45</v>
      </c>
      <c r="T682" s="20">
        <v>179275.6348</v>
      </c>
      <c r="U682" s="18" t="s">
        <v>42</v>
      </c>
      <c r="V682" s="19">
        <v>45444</v>
      </c>
      <c r="W682" s="18" t="s">
        <v>32</v>
      </c>
      <c r="X682" s="19">
        <v>45376</v>
      </c>
      <c r="Y682" s="18" t="s">
        <v>33</v>
      </c>
      <c r="Z682" s="43" t="e">
        <f>TEXT([1]!Table64[[#This Row],[Order date]],"mmm-yyyy")</f>
        <v>#REF!</v>
      </c>
    </row>
    <row r="683" spans="1:26" x14ac:dyDescent="0.3">
      <c r="A683" s="22">
        <v>10682</v>
      </c>
      <c r="B683" s="23">
        <v>6930</v>
      </c>
      <c r="C683" s="23" t="s">
        <v>34</v>
      </c>
      <c r="D683" s="24">
        <v>27457.26</v>
      </c>
      <c r="E683" s="23">
        <v>39</v>
      </c>
      <c r="F683" s="23" t="s">
        <v>26</v>
      </c>
      <c r="G683" s="25">
        <v>45361</v>
      </c>
      <c r="H683" s="24">
        <v>167766.21</v>
      </c>
      <c r="I683" s="26" t="s">
        <v>47</v>
      </c>
      <c r="J683" s="15" t="s">
        <v>28</v>
      </c>
      <c r="K683" s="15">
        <v>765</v>
      </c>
      <c r="L683" s="16">
        <v>45361</v>
      </c>
      <c r="M683" s="17">
        <v>9</v>
      </c>
      <c r="N683" s="27">
        <v>90682</v>
      </c>
      <c r="O683" s="27" t="s">
        <v>29</v>
      </c>
      <c r="P683" s="28">
        <v>45430</v>
      </c>
      <c r="Q683" s="29">
        <v>0.75061999999999995</v>
      </c>
      <c r="R683" s="30">
        <v>70682</v>
      </c>
      <c r="S683" s="27" t="s">
        <v>45</v>
      </c>
      <c r="T683" s="29">
        <v>103124.62092</v>
      </c>
      <c r="U683" s="27" t="s">
        <v>42</v>
      </c>
      <c r="V683" s="28">
        <v>45422</v>
      </c>
      <c r="W683" s="27" t="s">
        <v>32</v>
      </c>
      <c r="X683" s="28">
        <v>45384</v>
      </c>
      <c r="Y683" s="27" t="s">
        <v>33</v>
      </c>
      <c r="Z683" s="43" t="e">
        <f>TEXT([1]!Table64[[#This Row],[Order date]],"mmm-yyyy")</f>
        <v>#REF!</v>
      </c>
    </row>
    <row r="684" spans="1:26" x14ac:dyDescent="0.3">
      <c r="A684" s="10">
        <v>10683</v>
      </c>
      <c r="B684" s="11">
        <v>5762</v>
      </c>
      <c r="C684" s="11" t="s">
        <v>34</v>
      </c>
      <c r="D684" s="12">
        <v>49108.84</v>
      </c>
      <c r="E684" s="11">
        <v>34</v>
      </c>
      <c r="F684" s="11" t="s">
        <v>35</v>
      </c>
      <c r="G684" s="13">
        <v>45337</v>
      </c>
      <c r="H684" s="12">
        <v>127447.87</v>
      </c>
      <c r="I684" s="14" t="s">
        <v>44</v>
      </c>
      <c r="J684" s="15" t="s">
        <v>49</v>
      </c>
      <c r="K684" s="15">
        <v>828</v>
      </c>
      <c r="L684" s="16">
        <v>45397</v>
      </c>
      <c r="M684" s="17">
        <v>6</v>
      </c>
      <c r="N684" s="18">
        <v>90683</v>
      </c>
      <c r="O684" s="18" t="s">
        <v>50</v>
      </c>
      <c r="P684" s="19">
        <v>45352</v>
      </c>
      <c r="Q684" s="20">
        <v>0.72053</v>
      </c>
      <c r="R684" s="21">
        <v>70683</v>
      </c>
      <c r="S684" s="18" t="s">
        <v>41</v>
      </c>
      <c r="T684" s="20">
        <v>149117.71343999999</v>
      </c>
      <c r="U684" s="18" t="s">
        <v>42</v>
      </c>
      <c r="V684" s="19">
        <v>45444</v>
      </c>
      <c r="W684" s="18" t="s">
        <v>38</v>
      </c>
      <c r="X684" s="19">
        <v>45376</v>
      </c>
      <c r="Y684" s="18" t="s">
        <v>33</v>
      </c>
      <c r="Z684" s="43" t="e">
        <f>TEXT([1]!Table64[[#This Row],[Order date]],"mmm-yyyy")</f>
        <v>#REF!</v>
      </c>
    </row>
    <row r="685" spans="1:26" x14ac:dyDescent="0.3">
      <c r="A685" s="22">
        <v>10684</v>
      </c>
      <c r="B685" s="23">
        <v>6683</v>
      </c>
      <c r="C685" s="23" t="s">
        <v>34</v>
      </c>
      <c r="D685" s="24">
        <v>82273.149999999994</v>
      </c>
      <c r="E685" s="23">
        <v>56</v>
      </c>
      <c r="F685" s="23" t="s">
        <v>46</v>
      </c>
      <c r="G685" s="25">
        <v>45337</v>
      </c>
      <c r="H685" s="24">
        <v>31136.14</v>
      </c>
      <c r="I685" s="26" t="s">
        <v>27</v>
      </c>
      <c r="J685" s="15" t="s">
        <v>36</v>
      </c>
      <c r="K685" s="15">
        <v>317</v>
      </c>
      <c r="L685" s="16">
        <v>45332</v>
      </c>
      <c r="M685" s="17">
        <v>14</v>
      </c>
      <c r="N685" s="27">
        <v>90684</v>
      </c>
      <c r="O685" s="27" t="s">
        <v>50</v>
      </c>
      <c r="P685" s="28">
        <v>45352</v>
      </c>
      <c r="Q685" s="29">
        <v>0.97133999999999998</v>
      </c>
      <c r="R685" s="30">
        <v>70684</v>
      </c>
      <c r="S685" s="27" t="s">
        <v>45</v>
      </c>
      <c r="T685" s="29">
        <v>134447.64825999999</v>
      </c>
      <c r="U685" s="27" t="s">
        <v>48</v>
      </c>
      <c r="V685" s="28">
        <v>45422</v>
      </c>
      <c r="W685" s="27" t="s">
        <v>32</v>
      </c>
      <c r="X685" s="28">
        <v>45376</v>
      </c>
      <c r="Y685" s="27" t="s">
        <v>33</v>
      </c>
      <c r="Z685" s="43" t="e">
        <f>TEXT([1]!Table64[[#This Row],[Order date]],"mmm-yyyy")</f>
        <v>#REF!</v>
      </c>
    </row>
    <row r="686" spans="1:26" x14ac:dyDescent="0.3">
      <c r="A686" s="10">
        <v>10685</v>
      </c>
      <c r="B686" s="11">
        <v>5442</v>
      </c>
      <c r="C686" s="11" t="s">
        <v>34</v>
      </c>
      <c r="D686" s="12">
        <v>78380.100000000006</v>
      </c>
      <c r="E686" s="11">
        <v>28</v>
      </c>
      <c r="F686" s="11" t="s">
        <v>35</v>
      </c>
      <c r="G686" s="13">
        <v>45306</v>
      </c>
      <c r="H686" s="12">
        <v>59194.71</v>
      </c>
      <c r="I686" s="14" t="s">
        <v>47</v>
      </c>
      <c r="J686" s="15" t="s">
        <v>49</v>
      </c>
      <c r="K686" s="15">
        <v>1243</v>
      </c>
      <c r="L686" s="16">
        <v>45332</v>
      </c>
      <c r="M686" s="17">
        <v>4</v>
      </c>
      <c r="N686" s="18">
        <v>90685</v>
      </c>
      <c r="O686" s="18" t="s">
        <v>29</v>
      </c>
      <c r="P686" s="19">
        <v>45430</v>
      </c>
      <c r="Q686" s="20">
        <v>0.81899</v>
      </c>
      <c r="R686" s="21">
        <v>70685</v>
      </c>
      <c r="S686" s="18" t="s">
        <v>45</v>
      </c>
      <c r="T686" s="20">
        <v>134215.99</v>
      </c>
      <c r="U686" s="18" t="s">
        <v>42</v>
      </c>
      <c r="V686" s="19">
        <v>45392</v>
      </c>
      <c r="W686" s="18" t="s">
        <v>38</v>
      </c>
      <c r="X686" s="19">
        <v>45376</v>
      </c>
      <c r="Y686" s="18" t="s">
        <v>39</v>
      </c>
      <c r="Z686" s="43" t="e">
        <f>TEXT([1]!Table64[[#This Row],[Order date]],"mmm-yyyy")</f>
        <v>#REF!</v>
      </c>
    </row>
    <row r="687" spans="1:26" x14ac:dyDescent="0.3">
      <c r="A687" s="22">
        <v>10686</v>
      </c>
      <c r="B687" s="23">
        <v>6632</v>
      </c>
      <c r="C687" s="23" t="s">
        <v>34</v>
      </c>
      <c r="D687" s="24">
        <v>18397.07</v>
      </c>
      <c r="E687" s="23">
        <v>37</v>
      </c>
      <c r="F687" s="23" t="s">
        <v>46</v>
      </c>
      <c r="G687" s="25">
        <v>45383</v>
      </c>
      <c r="H687" s="24">
        <v>36080.25</v>
      </c>
      <c r="I687" s="26" t="s">
        <v>44</v>
      </c>
      <c r="J687" s="15" t="s">
        <v>28</v>
      </c>
      <c r="K687" s="15">
        <v>1059</v>
      </c>
      <c r="L687" s="16">
        <v>45361</v>
      </c>
      <c r="M687" s="17">
        <v>2</v>
      </c>
      <c r="N687" s="27">
        <v>90686</v>
      </c>
      <c r="O687" s="27" t="s">
        <v>50</v>
      </c>
      <c r="P687" s="28">
        <v>45352</v>
      </c>
      <c r="Q687" s="29">
        <v>0.22295999999999999</v>
      </c>
      <c r="R687" s="30">
        <v>70686</v>
      </c>
      <c r="S687" s="27" t="s">
        <v>30</v>
      </c>
      <c r="T687" s="29">
        <v>101389.64221000001</v>
      </c>
      <c r="U687" s="27" t="s">
        <v>48</v>
      </c>
      <c r="V687" s="28">
        <v>45444</v>
      </c>
      <c r="W687" s="27" t="s">
        <v>38</v>
      </c>
      <c r="X687" s="28">
        <v>45384</v>
      </c>
      <c r="Y687" s="27" t="s">
        <v>39</v>
      </c>
      <c r="Z687" s="43" t="e">
        <f>TEXT([1]!Table64[[#This Row],[Order date]],"mmm-yyyy")</f>
        <v>#REF!</v>
      </c>
    </row>
    <row r="688" spans="1:26" x14ac:dyDescent="0.3">
      <c r="A688" s="10">
        <v>10687</v>
      </c>
      <c r="B688" s="11">
        <v>5769</v>
      </c>
      <c r="C688" s="11" t="s">
        <v>34</v>
      </c>
      <c r="D688" s="12">
        <v>56304.23</v>
      </c>
      <c r="E688" s="11">
        <v>7</v>
      </c>
      <c r="F688" s="11" t="s">
        <v>35</v>
      </c>
      <c r="G688" s="13">
        <v>45337</v>
      </c>
      <c r="H688" s="12">
        <v>24286.84</v>
      </c>
      <c r="I688" s="14" t="s">
        <v>27</v>
      </c>
      <c r="J688" s="15" t="s">
        <v>36</v>
      </c>
      <c r="K688" s="15">
        <v>600</v>
      </c>
      <c r="L688" s="16">
        <v>45332</v>
      </c>
      <c r="M688" s="17">
        <v>14</v>
      </c>
      <c r="N688" s="18">
        <v>90687</v>
      </c>
      <c r="O688" s="18" t="s">
        <v>50</v>
      </c>
      <c r="P688" s="19">
        <v>45352</v>
      </c>
      <c r="Q688" s="20">
        <v>0.41287000000000001</v>
      </c>
      <c r="R688" s="21">
        <v>70687</v>
      </c>
      <c r="S688" s="18" t="s">
        <v>41</v>
      </c>
      <c r="T688" s="20">
        <v>191112.75138</v>
      </c>
      <c r="U688" s="18" t="s">
        <v>42</v>
      </c>
      <c r="V688" s="19">
        <v>45392</v>
      </c>
      <c r="W688" s="18" t="s">
        <v>38</v>
      </c>
      <c r="X688" s="19">
        <v>45384</v>
      </c>
      <c r="Y688" s="18" t="s">
        <v>39</v>
      </c>
      <c r="Z688" s="43" t="e">
        <f>TEXT([1]!Table64[[#This Row],[Order date]],"mmm-yyyy")</f>
        <v>#REF!</v>
      </c>
    </row>
    <row r="689" spans="1:26" x14ac:dyDescent="0.3">
      <c r="A689" s="22">
        <v>10688</v>
      </c>
      <c r="B689" s="23">
        <v>6016</v>
      </c>
      <c r="C689" s="23" t="s">
        <v>34</v>
      </c>
      <c r="D689" s="24">
        <v>61266.21</v>
      </c>
      <c r="E689" s="23">
        <v>68</v>
      </c>
      <c r="F689" s="23" t="s">
        <v>46</v>
      </c>
      <c r="G689" s="25">
        <v>45383</v>
      </c>
      <c r="H689" s="24">
        <v>45767.040000000001</v>
      </c>
      <c r="I689" s="26" t="s">
        <v>47</v>
      </c>
      <c r="J689" s="15" t="s">
        <v>36</v>
      </c>
      <c r="K689" s="15">
        <v>1365</v>
      </c>
      <c r="L689" s="16">
        <v>45397</v>
      </c>
      <c r="M689" s="17">
        <v>3</v>
      </c>
      <c r="N689" s="27">
        <v>90688</v>
      </c>
      <c r="O689" s="27" t="s">
        <v>29</v>
      </c>
      <c r="P689" s="28">
        <v>45352</v>
      </c>
      <c r="Q689" s="29">
        <v>0.96862999999999999</v>
      </c>
      <c r="R689" s="30">
        <v>70688</v>
      </c>
      <c r="S689" s="27" t="s">
        <v>45</v>
      </c>
      <c r="T689" s="29">
        <v>102268.2277</v>
      </c>
      <c r="U689" s="27" t="s">
        <v>42</v>
      </c>
      <c r="V689" s="28">
        <v>45444</v>
      </c>
      <c r="W689" s="27" t="s">
        <v>32</v>
      </c>
      <c r="X689" s="28">
        <v>45384</v>
      </c>
      <c r="Y689" s="27" t="s">
        <v>39</v>
      </c>
      <c r="Z689" s="43" t="e">
        <f>TEXT([1]!Table64[[#This Row],[Order date]],"mmm-yyyy")</f>
        <v>#REF!</v>
      </c>
    </row>
    <row r="690" spans="1:26" x14ac:dyDescent="0.3">
      <c r="A690" s="10">
        <v>10689</v>
      </c>
      <c r="B690" s="11">
        <v>6349</v>
      </c>
      <c r="C690" s="11" t="s">
        <v>34</v>
      </c>
      <c r="D690" s="12">
        <v>30929.62</v>
      </c>
      <c r="E690" s="11">
        <v>37</v>
      </c>
      <c r="F690" s="11" t="s">
        <v>46</v>
      </c>
      <c r="G690" s="13">
        <v>45383</v>
      </c>
      <c r="H690" s="12">
        <v>83896.09</v>
      </c>
      <c r="I690" s="14" t="s">
        <v>44</v>
      </c>
      <c r="J690" s="15" t="s">
        <v>49</v>
      </c>
      <c r="K690" s="15">
        <v>1214</v>
      </c>
      <c r="L690" s="16">
        <v>45361</v>
      </c>
      <c r="M690" s="17">
        <v>2</v>
      </c>
      <c r="N690" s="18">
        <v>90689</v>
      </c>
      <c r="O690" s="18" t="s">
        <v>50</v>
      </c>
      <c r="P690" s="19">
        <v>45430</v>
      </c>
      <c r="Q690" s="20">
        <v>0.54073000000000004</v>
      </c>
      <c r="R690" s="21">
        <v>70689</v>
      </c>
      <c r="S690" s="18" t="s">
        <v>30</v>
      </c>
      <c r="T690" s="20">
        <v>141136.00252000001</v>
      </c>
      <c r="U690" s="18" t="s">
        <v>48</v>
      </c>
      <c r="V690" s="19">
        <v>45444</v>
      </c>
      <c r="W690" s="18" t="s">
        <v>38</v>
      </c>
      <c r="X690" s="19">
        <v>45384</v>
      </c>
      <c r="Y690" s="18" t="s">
        <v>39</v>
      </c>
      <c r="Z690" s="43" t="e">
        <f>TEXT([1]!Table64[[#This Row],[Order date]],"mmm-yyyy")</f>
        <v>#REF!</v>
      </c>
    </row>
    <row r="691" spans="1:26" x14ac:dyDescent="0.3">
      <c r="A691" s="22">
        <v>10690</v>
      </c>
      <c r="B691" s="23">
        <v>5516</v>
      </c>
      <c r="C691" s="23" t="s">
        <v>34</v>
      </c>
      <c r="D691" s="24">
        <v>47304.28</v>
      </c>
      <c r="E691" s="23">
        <v>56</v>
      </c>
      <c r="F691" s="23" t="s">
        <v>35</v>
      </c>
      <c r="G691" s="25">
        <v>45361</v>
      </c>
      <c r="H691" s="24">
        <v>33456.83</v>
      </c>
      <c r="I691" s="26" t="s">
        <v>44</v>
      </c>
      <c r="J691" s="15" t="s">
        <v>36</v>
      </c>
      <c r="K691" s="15">
        <v>1219</v>
      </c>
      <c r="L691" s="16">
        <v>45332</v>
      </c>
      <c r="M691" s="17">
        <v>5</v>
      </c>
      <c r="N691" s="27">
        <v>90690</v>
      </c>
      <c r="O691" s="27" t="s">
        <v>40</v>
      </c>
      <c r="P691" s="28">
        <v>45383</v>
      </c>
      <c r="Q691" s="29">
        <v>0.20047000000000001</v>
      </c>
      <c r="R691" s="30">
        <v>70690</v>
      </c>
      <c r="S691" s="27" t="s">
        <v>30</v>
      </c>
      <c r="T691" s="29">
        <v>100877.86594</v>
      </c>
      <c r="U691" s="27" t="s">
        <v>48</v>
      </c>
      <c r="V691" s="28">
        <v>45392</v>
      </c>
      <c r="W691" s="27" t="s">
        <v>32</v>
      </c>
      <c r="X691" s="28">
        <v>45376</v>
      </c>
      <c r="Y691" s="27" t="s">
        <v>39</v>
      </c>
      <c r="Z691" s="43" t="e">
        <f>TEXT([1]!Table64[[#This Row],[Order date]],"mmm-yyyy")</f>
        <v>#REF!</v>
      </c>
    </row>
    <row r="692" spans="1:26" x14ac:dyDescent="0.3">
      <c r="A692" s="10">
        <v>10691</v>
      </c>
      <c r="B692" s="11">
        <v>6040</v>
      </c>
      <c r="C692" s="11" t="s">
        <v>34</v>
      </c>
      <c r="D692" s="12">
        <v>48870.17</v>
      </c>
      <c r="E692" s="11">
        <v>65</v>
      </c>
      <c r="F692" s="11" t="s">
        <v>35</v>
      </c>
      <c r="G692" s="13">
        <v>45383</v>
      </c>
      <c r="H692" s="12">
        <v>69368.36</v>
      </c>
      <c r="I692" s="14" t="s">
        <v>44</v>
      </c>
      <c r="J692" s="15" t="s">
        <v>28</v>
      </c>
      <c r="K692" s="15">
        <v>1498</v>
      </c>
      <c r="L692" s="16">
        <v>45332</v>
      </c>
      <c r="M692" s="17">
        <v>6</v>
      </c>
      <c r="N692" s="18">
        <v>90691</v>
      </c>
      <c r="O692" s="18" t="s">
        <v>50</v>
      </c>
      <c r="P692" s="19">
        <v>45430</v>
      </c>
      <c r="Q692" s="20">
        <v>0.51273999999999997</v>
      </c>
      <c r="R692" s="21">
        <v>70691</v>
      </c>
      <c r="S692" s="18" t="s">
        <v>45</v>
      </c>
      <c r="T692" s="20">
        <v>94179.967499999999</v>
      </c>
      <c r="U692" s="18" t="s">
        <v>31</v>
      </c>
      <c r="V692" s="19">
        <v>45392</v>
      </c>
      <c r="W692" s="18" t="s">
        <v>38</v>
      </c>
      <c r="X692" s="19">
        <v>45384</v>
      </c>
      <c r="Y692" s="18" t="s">
        <v>39</v>
      </c>
      <c r="Z692" s="43" t="e">
        <f>TEXT([1]!Table64[[#This Row],[Order date]],"mmm-yyyy")</f>
        <v>#REF!</v>
      </c>
    </row>
    <row r="693" spans="1:26" x14ac:dyDescent="0.3">
      <c r="A693" s="22">
        <v>10692</v>
      </c>
      <c r="B693" s="23">
        <v>5792</v>
      </c>
      <c r="C693" s="23" t="s">
        <v>34</v>
      </c>
      <c r="D693" s="24">
        <v>21012.799999999999</v>
      </c>
      <c r="E693" s="23">
        <v>65</v>
      </c>
      <c r="F693" s="23" t="s">
        <v>46</v>
      </c>
      <c r="G693" s="25">
        <v>45306</v>
      </c>
      <c r="H693" s="24">
        <v>129508.16</v>
      </c>
      <c r="I693" s="26" t="s">
        <v>47</v>
      </c>
      <c r="J693" s="15" t="s">
        <v>28</v>
      </c>
      <c r="K693" s="15">
        <v>363</v>
      </c>
      <c r="L693" s="16">
        <v>45361</v>
      </c>
      <c r="M693" s="17">
        <v>11</v>
      </c>
      <c r="N693" s="27">
        <v>90692</v>
      </c>
      <c r="O693" s="27" t="s">
        <v>37</v>
      </c>
      <c r="P693" s="28">
        <v>45430</v>
      </c>
      <c r="Q693" s="29">
        <v>0.72728999999999999</v>
      </c>
      <c r="R693" s="30">
        <v>70692</v>
      </c>
      <c r="S693" s="27" t="s">
        <v>41</v>
      </c>
      <c r="T693" s="29">
        <v>153408.46692000001</v>
      </c>
      <c r="U693" s="27" t="s">
        <v>31</v>
      </c>
      <c r="V693" s="28">
        <v>45392</v>
      </c>
      <c r="W693" s="27" t="s">
        <v>32</v>
      </c>
      <c r="X693" s="28">
        <v>45384</v>
      </c>
      <c r="Y693" s="27" t="s">
        <v>33</v>
      </c>
      <c r="Z693" s="43" t="e">
        <f>TEXT([1]!Table64[[#This Row],[Order date]],"mmm-yyyy")</f>
        <v>#REF!</v>
      </c>
    </row>
    <row r="694" spans="1:26" x14ac:dyDescent="0.3">
      <c r="A694" s="10">
        <v>10693</v>
      </c>
      <c r="B694" s="11">
        <v>5336</v>
      </c>
      <c r="C694" s="11" t="s">
        <v>34</v>
      </c>
      <c r="D694" s="12">
        <v>43524.65</v>
      </c>
      <c r="E694" s="11">
        <v>47</v>
      </c>
      <c r="F694" s="11" t="s">
        <v>43</v>
      </c>
      <c r="G694" s="13">
        <v>45361</v>
      </c>
      <c r="H694" s="12">
        <v>153224.04</v>
      </c>
      <c r="I694" s="14" t="s">
        <v>47</v>
      </c>
      <c r="J694" s="15" t="s">
        <v>28</v>
      </c>
      <c r="K694" s="15">
        <v>233</v>
      </c>
      <c r="L694" s="16">
        <v>45361</v>
      </c>
      <c r="M694" s="17">
        <v>5</v>
      </c>
      <c r="N694" s="18">
        <v>90693</v>
      </c>
      <c r="O694" s="18" t="s">
        <v>50</v>
      </c>
      <c r="P694" s="19">
        <v>45352</v>
      </c>
      <c r="Q694" s="20">
        <v>0.99778999999999995</v>
      </c>
      <c r="R694" s="21">
        <v>70693</v>
      </c>
      <c r="S694" s="18" t="s">
        <v>41</v>
      </c>
      <c r="T694" s="20">
        <v>130577.10456000001</v>
      </c>
      <c r="U694" s="18" t="s">
        <v>48</v>
      </c>
      <c r="V694" s="19">
        <v>45422</v>
      </c>
      <c r="W694" s="18" t="s">
        <v>38</v>
      </c>
      <c r="X694" s="19">
        <v>45376</v>
      </c>
      <c r="Y694" s="18" t="s">
        <v>33</v>
      </c>
      <c r="Z694" s="43" t="e">
        <f>TEXT([1]!Table64[[#This Row],[Order date]],"mmm-yyyy")</f>
        <v>#REF!</v>
      </c>
    </row>
    <row r="695" spans="1:26" x14ac:dyDescent="0.3">
      <c r="A695" s="22">
        <v>10694</v>
      </c>
      <c r="B695" s="23">
        <v>6783</v>
      </c>
      <c r="C695" s="23" t="s">
        <v>34</v>
      </c>
      <c r="D695" s="24">
        <v>93928.97</v>
      </c>
      <c r="E695" s="23">
        <v>20</v>
      </c>
      <c r="F695" s="23" t="s">
        <v>26</v>
      </c>
      <c r="G695" s="25">
        <v>45361</v>
      </c>
      <c r="H695" s="24">
        <v>56871.05</v>
      </c>
      <c r="I695" s="26" t="s">
        <v>44</v>
      </c>
      <c r="J695" s="15" t="s">
        <v>49</v>
      </c>
      <c r="K695" s="15">
        <v>762</v>
      </c>
      <c r="L695" s="16">
        <v>45332</v>
      </c>
      <c r="M695" s="17">
        <v>2</v>
      </c>
      <c r="N695" s="27">
        <v>90694</v>
      </c>
      <c r="O695" s="27" t="s">
        <v>37</v>
      </c>
      <c r="P695" s="28">
        <v>45352</v>
      </c>
      <c r="Q695" s="29">
        <v>0.39151000000000002</v>
      </c>
      <c r="R695" s="30">
        <v>70694</v>
      </c>
      <c r="S695" s="27" t="s">
        <v>41</v>
      </c>
      <c r="T695" s="29">
        <v>103056.14911</v>
      </c>
      <c r="U695" s="27" t="s">
        <v>42</v>
      </c>
      <c r="V695" s="28">
        <v>45444</v>
      </c>
      <c r="W695" s="27" t="s">
        <v>32</v>
      </c>
      <c r="X695" s="28">
        <v>45376</v>
      </c>
      <c r="Y695" s="27" t="s">
        <v>39</v>
      </c>
      <c r="Z695" s="43" t="e">
        <f>TEXT([1]!Table64[[#This Row],[Order date]],"mmm-yyyy")</f>
        <v>#REF!</v>
      </c>
    </row>
    <row r="696" spans="1:26" x14ac:dyDescent="0.3">
      <c r="A696" s="10">
        <v>10695</v>
      </c>
      <c r="B696" s="11">
        <v>5258</v>
      </c>
      <c r="C696" s="11" t="s">
        <v>34</v>
      </c>
      <c r="D696" s="12">
        <v>64821.03</v>
      </c>
      <c r="E696" s="11">
        <v>19</v>
      </c>
      <c r="F696" s="11" t="s">
        <v>43</v>
      </c>
      <c r="G696" s="13">
        <v>45361</v>
      </c>
      <c r="H696" s="12">
        <v>46443.81</v>
      </c>
      <c r="I696" s="14" t="s">
        <v>44</v>
      </c>
      <c r="J696" s="15" t="s">
        <v>36</v>
      </c>
      <c r="K696" s="15">
        <v>177</v>
      </c>
      <c r="L696" s="16">
        <v>45397</v>
      </c>
      <c r="M696" s="17">
        <v>12</v>
      </c>
      <c r="N696" s="18">
        <v>90695</v>
      </c>
      <c r="O696" s="18" t="s">
        <v>37</v>
      </c>
      <c r="P696" s="19">
        <v>45383</v>
      </c>
      <c r="Q696" s="20">
        <v>0.56267999999999996</v>
      </c>
      <c r="R696" s="21">
        <v>70695</v>
      </c>
      <c r="S696" s="18" t="s">
        <v>45</v>
      </c>
      <c r="T696" s="20">
        <v>181071.47555</v>
      </c>
      <c r="U696" s="18" t="s">
        <v>31</v>
      </c>
      <c r="V696" s="19">
        <v>45444</v>
      </c>
      <c r="W696" s="18" t="s">
        <v>38</v>
      </c>
      <c r="X696" s="19">
        <v>45376</v>
      </c>
      <c r="Y696" s="18" t="s">
        <v>33</v>
      </c>
      <c r="Z696" s="43" t="e">
        <f>TEXT([1]!Table64[[#This Row],[Order date]],"mmm-yyyy")</f>
        <v>#REF!</v>
      </c>
    </row>
    <row r="697" spans="1:26" x14ac:dyDescent="0.3">
      <c r="A697" s="22">
        <v>10696</v>
      </c>
      <c r="B697" s="23">
        <v>5497</v>
      </c>
      <c r="C697" s="23" t="s">
        <v>34</v>
      </c>
      <c r="D697" s="24">
        <v>20794.78</v>
      </c>
      <c r="E697" s="23">
        <v>29</v>
      </c>
      <c r="F697" s="23" t="s">
        <v>43</v>
      </c>
      <c r="G697" s="25">
        <v>45337</v>
      </c>
      <c r="H697" s="24">
        <v>112211.33</v>
      </c>
      <c r="I697" s="26" t="s">
        <v>44</v>
      </c>
      <c r="J697" s="15" t="s">
        <v>36</v>
      </c>
      <c r="K697" s="15">
        <v>1360</v>
      </c>
      <c r="L697" s="16">
        <v>45361</v>
      </c>
      <c r="M697" s="17">
        <v>5</v>
      </c>
      <c r="N697" s="27">
        <v>90696</v>
      </c>
      <c r="O697" s="27" t="s">
        <v>50</v>
      </c>
      <c r="P697" s="28">
        <v>45383</v>
      </c>
      <c r="Q697" s="29">
        <v>0.89171</v>
      </c>
      <c r="R697" s="30">
        <v>70696</v>
      </c>
      <c r="S697" s="27" t="s">
        <v>41</v>
      </c>
      <c r="T697" s="29">
        <v>154241.0441</v>
      </c>
      <c r="U697" s="27" t="s">
        <v>48</v>
      </c>
      <c r="V697" s="28">
        <v>45444</v>
      </c>
      <c r="W697" s="27" t="s">
        <v>32</v>
      </c>
      <c r="X697" s="28">
        <v>45376</v>
      </c>
      <c r="Y697" s="27" t="s">
        <v>33</v>
      </c>
      <c r="Z697" s="43" t="e">
        <f>TEXT([1]!Table64[[#This Row],[Order date]],"mmm-yyyy")</f>
        <v>#REF!</v>
      </c>
    </row>
    <row r="698" spans="1:26" x14ac:dyDescent="0.3">
      <c r="A698" s="10">
        <v>10697</v>
      </c>
      <c r="B698" s="11">
        <v>5896</v>
      </c>
      <c r="C698" s="11" t="s">
        <v>34</v>
      </c>
      <c r="D698" s="12">
        <v>15214.25</v>
      </c>
      <c r="E698" s="11">
        <v>74</v>
      </c>
      <c r="F698" s="11" t="s">
        <v>35</v>
      </c>
      <c r="G698" s="13">
        <v>45337</v>
      </c>
      <c r="H698" s="12">
        <v>144921.73000000001</v>
      </c>
      <c r="I698" s="14" t="s">
        <v>27</v>
      </c>
      <c r="J698" s="15" t="s">
        <v>36</v>
      </c>
      <c r="K698" s="15">
        <v>1326</v>
      </c>
      <c r="L698" s="16">
        <v>45397</v>
      </c>
      <c r="M698" s="17">
        <v>9</v>
      </c>
      <c r="N698" s="18">
        <v>90697</v>
      </c>
      <c r="O698" s="18" t="s">
        <v>29</v>
      </c>
      <c r="P698" s="19">
        <v>45383</v>
      </c>
      <c r="Q698" s="20">
        <v>0.41974</v>
      </c>
      <c r="R698" s="21">
        <v>70697</v>
      </c>
      <c r="S698" s="18" t="s">
        <v>30</v>
      </c>
      <c r="T698" s="20">
        <v>114698.12586</v>
      </c>
      <c r="U698" s="18" t="s">
        <v>48</v>
      </c>
      <c r="V698" s="19">
        <v>45392</v>
      </c>
      <c r="W698" s="18" t="s">
        <v>38</v>
      </c>
      <c r="X698" s="19">
        <v>45376</v>
      </c>
      <c r="Y698" s="18" t="s">
        <v>33</v>
      </c>
      <c r="Z698" s="43" t="e">
        <f>TEXT([1]!Table64[[#This Row],[Order date]],"mmm-yyyy")</f>
        <v>#REF!</v>
      </c>
    </row>
    <row r="699" spans="1:26" x14ac:dyDescent="0.3">
      <c r="A699" s="22">
        <v>10698</v>
      </c>
      <c r="B699" s="23">
        <v>5160</v>
      </c>
      <c r="C699" s="23" t="s">
        <v>34</v>
      </c>
      <c r="D699" s="24">
        <v>32330.6</v>
      </c>
      <c r="E699" s="23">
        <v>60</v>
      </c>
      <c r="F699" s="23" t="s">
        <v>26</v>
      </c>
      <c r="G699" s="25">
        <v>45383</v>
      </c>
      <c r="H699" s="24">
        <v>122646.86</v>
      </c>
      <c r="I699" s="26" t="s">
        <v>47</v>
      </c>
      <c r="J699" s="15" t="s">
        <v>28</v>
      </c>
      <c r="K699" s="15">
        <v>749</v>
      </c>
      <c r="L699" s="16">
        <v>45332</v>
      </c>
      <c r="M699" s="17">
        <v>4</v>
      </c>
      <c r="N699" s="27">
        <v>90698</v>
      </c>
      <c r="O699" s="27" t="s">
        <v>40</v>
      </c>
      <c r="P699" s="28">
        <v>45383</v>
      </c>
      <c r="Q699" s="29">
        <v>0.19833999999999999</v>
      </c>
      <c r="R699" s="30">
        <v>70698</v>
      </c>
      <c r="S699" s="27" t="s">
        <v>30</v>
      </c>
      <c r="T699" s="29">
        <v>169970.54490000001</v>
      </c>
      <c r="U699" s="27" t="s">
        <v>42</v>
      </c>
      <c r="V699" s="28">
        <v>45444</v>
      </c>
      <c r="W699" s="27" t="s">
        <v>38</v>
      </c>
      <c r="X699" s="28">
        <v>45384</v>
      </c>
      <c r="Y699" s="27" t="s">
        <v>39</v>
      </c>
      <c r="Z699" s="43" t="e">
        <f>TEXT([1]!Table64[[#This Row],[Order date]],"mmm-yyyy")</f>
        <v>#REF!</v>
      </c>
    </row>
    <row r="700" spans="1:26" x14ac:dyDescent="0.3">
      <c r="A700" s="10">
        <v>10699</v>
      </c>
      <c r="B700" s="11">
        <v>6499</v>
      </c>
      <c r="C700" s="11" t="s">
        <v>34</v>
      </c>
      <c r="D700" s="12">
        <v>51425.38</v>
      </c>
      <c r="E700" s="11">
        <v>18</v>
      </c>
      <c r="F700" s="11" t="s">
        <v>43</v>
      </c>
      <c r="G700" s="13">
        <v>45361</v>
      </c>
      <c r="H700" s="12">
        <v>103037.04</v>
      </c>
      <c r="I700" s="14" t="s">
        <v>44</v>
      </c>
      <c r="J700" s="15" t="s">
        <v>36</v>
      </c>
      <c r="K700" s="15">
        <v>435</v>
      </c>
      <c r="L700" s="16">
        <v>45397</v>
      </c>
      <c r="M700" s="17">
        <v>12</v>
      </c>
      <c r="N700" s="18">
        <v>90699</v>
      </c>
      <c r="O700" s="18" t="s">
        <v>40</v>
      </c>
      <c r="P700" s="19">
        <v>45430</v>
      </c>
      <c r="Q700" s="20">
        <v>0.95404</v>
      </c>
      <c r="R700" s="21">
        <v>70699</v>
      </c>
      <c r="S700" s="18" t="s">
        <v>41</v>
      </c>
      <c r="T700" s="20">
        <v>160633.61191000001</v>
      </c>
      <c r="U700" s="18" t="s">
        <v>48</v>
      </c>
      <c r="V700" s="19">
        <v>45444</v>
      </c>
      <c r="W700" s="18" t="s">
        <v>32</v>
      </c>
      <c r="X700" s="19">
        <v>45376</v>
      </c>
      <c r="Y700" s="18" t="s">
        <v>33</v>
      </c>
      <c r="Z700" s="43" t="e">
        <f>TEXT([1]!Table64[[#This Row],[Order date]],"mmm-yyyy")</f>
        <v>#REF!</v>
      </c>
    </row>
    <row r="701" spans="1:26" x14ac:dyDescent="0.3">
      <c r="A701" s="22">
        <v>10700</v>
      </c>
      <c r="B701" s="23">
        <v>5852</v>
      </c>
      <c r="C701" s="23" t="s">
        <v>34</v>
      </c>
      <c r="D701" s="24">
        <v>18990.900000000001</v>
      </c>
      <c r="E701" s="23">
        <v>92</v>
      </c>
      <c r="F701" s="23" t="s">
        <v>35</v>
      </c>
      <c r="G701" s="25">
        <v>45361</v>
      </c>
      <c r="H701" s="24">
        <v>101986.44</v>
      </c>
      <c r="I701" s="26" t="s">
        <v>27</v>
      </c>
      <c r="J701" s="15" t="s">
        <v>28</v>
      </c>
      <c r="K701" s="15">
        <v>1303</v>
      </c>
      <c r="L701" s="16">
        <v>45332</v>
      </c>
      <c r="M701" s="17">
        <v>10</v>
      </c>
      <c r="N701" s="27">
        <v>90700</v>
      </c>
      <c r="O701" s="27" t="s">
        <v>50</v>
      </c>
      <c r="P701" s="28">
        <v>45383</v>
      </c>
      <c r="Q701" s="29">
        <v>0.53959999999999997</v>
      </c>
      <c r="R701" s="30">
        <v>70700</v>
      </c>
      <c r="S701" s="27" t="s">
        <v>41</v>
      </c>
      <c r="T701" s="29">
        <v>114707.97903</v>
      </c>
      <c r="U701" s="27" t="s">
        <v>31</v>
      </c>
      <c r="V701" s="28">
        <v>45392</v>
      </c>
      <c r="W701" s="27" t="s">
        <v>38</v>
      </c>
      <c r="X701" s="28">
        <v>45376</v>
      </c>
      <c r="Y701" s="27" t="s">
        <v>33</v>
      </c>
      <c r="Z701" s="43" t="e">
        <f>TEXT([1]!Table64[[#This Row],[Order date]],"mmm-yyyy")</f>
        <v>#REF!</v>
      </c>
    </row>
    <row r="702" spans="1:26" x14ac:dyDescent="0.3">
      <c r="A702" s="10">
        <v>10701</v>
      </c>
      <c r="B702" s="11">
        <v>6688</v>
      </c>
      <c r="C702" s="11" t="s">
        <v>34</v>
      </c>
      <c r="D702" s="12">
        <v>94212.68</v>
      </c>
      <c r="E702" s="11">
        <v>35</v>
      </c>
      <c r="F702" s="11" t="s">
        <v>43</v>
      </c>
      <c r="G702" s="13">
        <v>45306</v>
      </c>
      <c r="H702" s="12">
        <v>134813.26</v>
      </c>
      <c r="I702" s="14" t="s">
        <v>44</v>
      </c>
      <c r="J702" s="15" t="s">
        <v>36</v>
      </c>
      <c r="K702" s="15">
        <v>320</v>
      </c>
      <c r="L702" s="16">
        <v>45332</v>
      </c>
      <c r="M702" s="17">
        <v>2</v>
      </c>
      <c r="N702" s="18">
        <v>90701</v>
      </c>
      <c r="O702" s="18" t="s">
        <v>29</v>
      </c>
      <c r="P702" s="19">
        <v>45430</v>
      </c>
      <c r="Q702" s="20">
        <v>0.55250999999999995</v>
      </c>
      <c r="R702" s="21">
        <v>70701</v>
      </c>
      <c r="S702" s="18" t="s">
        <v>41</v>
      </c>
      <c r="T702" s="20">
        <v>101730.21954999999</v>
      </c>
      <c r="U702" s="18" t="s">
        <v>42</v>
      </c>
      <c r="V702" s="19">
        <v>45392</v>
      </c>
      <c r="W702" s="18" t="s">
        <v>32</v>
      </c>
      <c r="X702" s="19">
        <v>45384</v>
      </c>
      <c r="Y702" s="18" t="s">
        <v>33</v>
      </c>
      <c r="Z702" s="43" t="e">
        <f>TEXT([1]!Table64[[#This Row],[Order date]],"mmm-yyyy")</f>
        <v>#REF!</v>
      </c>
    </row>
    <row r="703" spans="1:26" x14ac:dyDescent="0.3">
      <c r="A703" s="22">
        <v>10702</v>
      </c>
      <c r="B703" s="23">
        <v>6932</v>
      </c>
      <c r="C703" s="23" t="s">
        <v>34</v>
      </c>
      <c r="D703" s="24">
        <v>53016.32</v>
      </c>
      <c r="E703" s="23">
        <v>43</v>
      </c>
      <c r="F703" s="23" t="s">
        <v>43</v>
      </c>
      <c r="G703" s="25">
        <v>45383</v>
      </c>
      <c r="H703" s="24">
        <v>26596.07</v>
      </c>
      <c r="I703" s="26" t="s">
        <v>47</v>
      </c>
      <c r="J703" s="15" t="s">
        <v>28</v>
      </c>
      <c r="K703" s="15">
        <v>860</v>
      </c>
      <c r="L703" s="16">
        <v>45332</v>
      </c>
      <c r="M703" s="17">
        <v>3</v>
      </c>
      <c r="N703" s="27">
        <v>90702</v>
      </c>
      <c r="O703" s="27" t="s">
        <v>29</v>
      </c>
      <c r="P703" s="28">
        <v>45352</v>
      </c>
      <c r="Q703" s="29">
        <v>0.65908</v>
      </c>
      <c r="R703" s="30">
        <v>70702</v>
      </c>
      <c r="S703" s="27" t="s">
        <v>45</v>
      </c>
      <c r="T703" s="29">
        <v>171180.46019000001</v>
      </c>
      <c r="U703" s="27" t="s">
        <v>48</v>
      </c>
      <c r="V703" s="28">
        <v>45444</v>
      </c>
      <c r="W703" s="27" t="s">
        <v>38</v>
      </c>
      <c r="X703" s="28">
        <v>45384</v>
      </c>
      <c r="Y703" s="27" t="s">
        <v>39</v>
      </c>
      <c r="Z703" s="43" t="e">
        <f>TEXT([1]!Table64[[#This Row],[Order date]],"mmm-yyyy")</f>
        <v>#REF!</v>
      </c>
    </row>
    <row r="704" spans="1:26" x14ac:dyDescent="0.3">
      <c r="A704" s="10">
        <v>10703</v>
      </c>
      <c r="B704" s="11">
        <v>5690</v>
      </c>
      <c r="C704" s="11" t="s">
        <v>25</v>
      </c>
      <c r="D704" s="12">
        <v>16927.28</v>
      </c>
      <c r="E704" s="11">
        <v>95</v>
      </c>
      <c r="F704" s="11" t="s">
        <v>35</v>
      </c>
      <c r="G704" s="13">
        <v>45306</v>
      </c>
      <c r="H704" s="12">
        <v>56371.66</v>
      </c>
      <c r="I704" s="14" t="s">
        <v>27</v>
      </c>
      <c r="J704" s="15" t="s">
        <v>36</v>
      </c>
      <c r="K704" s="15">
        <v>464</v>
      </c>
      <c r="L704" s="16">
        <v>45332</v>
      </c>
      <c r="M704" s="17">
        <v>3</v>
      </c>
      <c r="N704" s="18">
        <v>90703</v>
      </c>
      <c r="O704" s="18" t="s">
        <v>40</v>
      </c>
      <c r="P704" s="19">
        <v>45383</v>
      </c>
      <c r="Q704" s="20">
        <v>0.10317999999999999</v>
      </c>
      <c r="R704" s="21">
        <v>70703</v>
      </c>
      <c r="S704" s="18" t="s">
        <v>41</v>
      </c>
      <c r="T704" s="20">
        <v>163781.31865999999</v>
      </c>
      <c r="U704" s="18" t="s">
        <v>48</v>
      </c>
      <c r="V704" s="19">
        <v>45422</v>
      </c>
      <c r="W704" s="18" t="s">
        <v>38</v>
      </c>
      <c r="X704" s="19">
        <v>45384</v>
      </c>
      <c r="Y704" s="18" t="s">
        <v>33</v>
      </c>
      <c r="Z704" s="43" t="e">
        <f>TEXT([1]!Table64[[#This Row],[Order date]],"mmm-yyyy")</f>
        <v>#REF!</v>
      </c>
    </row>
    <row r="705" spans="1:26" x14ac:dyDescent="0.3">
      <c r="A705" s="22">
        <v>10704</v>
      </c>
      <c r="B705" s="23">
        <v>6699</v>
      </c>
      <c r="C705" s="23" t="s">
        <v>34</v>
      </c>
      <c r="D705" s="24">
        <v>20686.86</v>
      </c>
      <c r="E705" s="23">
        <v>91</v>
      </c>
      <c r="F705" s="23" t="s">
        <v>35</v>
      </c>
      <c r="G705" s="25">
        <v>45383</v>
      </c>
      <c r="H705" s="24">
        <v>46900.3</v>
      </c>
      <c r="I705" s="26" t="s">
        <v>27</v>
      </c>
      <c r="J705" s="15" t="s">
        <v>49</v>
      </c>
      <c r="K705" s="15">
        <v>247</v>
      </c>
      <c r="L705" s="16">
        <v>45397</v>
      </c>
      <c r="M705" s="17">
        <v>9</v>
      </c>
      <c r="N705" s="27">
        <v>90704</v>
      </c>
      <c r="O705" s="27" t="s">
        <v>29</v>
      </c>
      <c r="P705" s="28">
        <v>45352</v>
      </c>
      <c r="Q705" s="29">
        <v>0.93801999999999996</v>
      </c>
      <c r="R705" s="30">
        <v>70704</v>
      </c>
      <c r="S705" s="27" t="s">
        <v>41</v>
      </c>
      <c r="T705" s="29">
        <v>132424.46520000001</v>
      </c>
      <c r="U705" s="27" t="s">
        <v>42</v>
      </c>
      <c r="V705" s="28">
        <v>45392</v>
      </c>
      <c r="W705" s="27" t="s">
        <v>32</v>
      </c>
      <c r="X705" s="28">
        <v>45376</v>
      </c>
      <c r="Y705" s="27" t="s">
        <v>33</v>
      </c>
      <c r="Z705" s="43" t="e">
        <f>TEXT([1]!Table64[[#This Row],[Order date]],"mmm-yyyy")</f>
        <v>#REF!</v>
      </c>
    </row>
    <row r="706" spans="1:26" x14ac:dyDescent="0.3">
      <c r="A706" s="10">
        <v>10705</v>
      </c>
      <c r="B706" s="11">
        <v>5380</v>
      </c>
      <c r="C706" s="11" t="s">
        <v>25</v>
      </c>
      <c r="D706" s="12">
        <v>27210.67</v>
      </c>
      <c r="E706" s="11">
        <v>11</v>
      </c>
      <c r="F706" s="11" t="s">
        <v>35</v>
      </c>
      <c r="G706" s="13">
        <v>45383</v>
      </c>
      <c r="H706" s="12">
        <v>139825.85999999999</v>
      </c>
      <c r="I706" s="14" t="s">
        <v>27</v>
      </c>
      <c r="J706" s="15" t="s">
        <v>49</v>
      </c>
      <c r="K706" s="15">
        <v>1396</v>
      </c>
      <c r="L706" s="16">
        <v>45332</v>
      </c>
      <c r="M706" s="17">
        <v>4</v>
      </c>
      <c r="N706" s="18">
        <v>90705</v>
      </c>
      <c r="O706" s="18" t="s">
        <v>50</v>
      </c>
      <c r="P706" s="19">
        <v>45352</v>
      </c>
      <c r="Q706" s="20">
        <v>0.42531000000000002</v>
      </c>
      <c r="R706" s="21">
        <v>70705</v>
      </c>
      <c r="S706" s="18" t="s">
        <v>41</v>
      </c>
      <c r="T706" s="20">
        <v>174744.65108000001</v>
      </c>
      <c r="U706" s="18" t="s">
        <v>42</v>
      </c>
      <c r="V706" s="19">
        <v>45422</v>
      </c>
      <c r="W706" s="18" t="s">
        <v>32</v>
      </c>
      <c r="X706" s="19">
        <v>45376</v>
      </c>
      <c r="Y706" s="18" t="s">
        <v>33</v>
      </c>
      <c r="Z706" s="43" t="e">
        <f>TEXT([1]!Table64[[#This Row],[Order date]],"mmm-yyyy")</f>
        <v>#REF!</v>
      </c>
    </row>
    <row r="707" spans="1:26" x14ac:dyDescent="0.3">
      <c r="A707" s="22">
        <v>10706</v>
      </c>
      <c r="B707" s="23">
        <v>6569</v>
      </c>
      <c r="C707" s="23" t="s">
        <v>34</v>
      </c>
      <c r="D707" s="24">
        <v>57736.6</v>
      </c>
      <c r="E707" s="23">
        <v>49</v>
      </c>
      <c r="F707" s="23" t="s">
        <v>26</v>
      </c>
      <c r="G707" s="25">
        <v>45337</v>
      </c>
      <c r="H707" s="24">
        <v>126245.49</v>
      </c>
      <c r="I707" s="26" t="s">
        <v>44</v>
      </c>
      <c r="J707" s="15" t="s">
        <v>28</v>
      </c>
      <c r="K707" s="15">
        <v>1129</v>
      </c>
      <c r="L707" s="16">
        <v>45332</v>
      </c>
      <c r="M707" s="17">
        <v>1</v>
      </c>
      <c r="N707" s="27">
        <v>90706</v>
      </c>
      <c r="O707" s="27" t="s">
        <v>50</v>
      </c>
      <c r="P707" s="28">
        <v>45430</v>
      </c>
      <c r="Q707" s="29">
        <v>0.45723999999999998</v>
      </c>
      <c r="R707" s="30">
        <v>70706</v>
      </c>
      <c r="S707" s="27" t="s">
        <v>41</v>
      </c>
      <c r="T707" s="29">
        <v>189828.77499000001</v>
      </c>
      <c r="U707" s="27" t="s">
        <v>42</v>
      </c>
      <c r="V707" s="28">
        <v>45422</v>
      </c>
      <c r="W707" s="27" t="s">
        <v>38</v>
      </c>
      <c r="X707" s="28">
        <v>45376</v>
      </c>
      <c r="Y707" s="27" t="s">
        <v>33</v>
      </c>
      <c r="Z707" s="43" t="e">
        <f>TEXT([1]!Table64[[#This Row],[Order date]],"mmm-yyyy")</f>
        <v>#REF!</v>
      </c>
    </row>
    <row r="708" spans="1:26" x14ac:dyDescent="0.3">
      <c r="A708" s="10">
        <v>10707</v>
      </c>
      <c r="B708" s="11">
        <v>6953</v>
      </c>
      <c r="C708" s="11" t="s">
        <v>34</v>
      </c>
      <c r="D708" s="12">
        <v>13959.74</v>
      </c>
      <c r="E708" s="11">
        <v>38</v>
      </c>
      <c r="F708" s="11" t="s">
        <v>43</v>
      </c>
      <c r="G708" s="13">
        <v>45337</v>
      </c>
      <c r="H708" s="12">
        <v>91145.47</v>
      </c>
      <c r="I708" s="14" t="s">
        <v>47</v>
      </c>
      <c r="J708" s="15" t="s">
        <v>28</v>
      </c>
      <c r="K708" s="15">
        <v>880</v>
      </c>
      <c r="L708" s="16">
        <v>45397</v>
      </c>
      <c r="M708" s="17">
        <v>1</v>
      </c>
      <c r="N708" s="18">
        <v>90707</v>
      </c>
      <c r="O708" s="18" t="s">
        <v>29</v>
      </c>
      <c r="P708" s="19">
        <v>45383</v>
      </c>
      <c r="Q708" s="20">
        <v>0.25669999999999998</v>
      </c>
      <c r="R708" s="21">
        <v>70707</v>
      </c>
      <c r="S708" s="18" t="s">
        <v>41</v>
      </c>
      <c r="T708" s="20">
        <v>193948.8309</v>
      </c>
      <c r="U708" s="18" t="s">
        <v>31</v>
      </c>
      <c r="V708" s="19">
        <v>45422</v>
      </c>
      <c r="W708" s="18" t="s">
        <v>32</v>
      </c>
      <c r="X708" s="19">
        <v>45376</v>
      </c>
      <c r="Y708" s="18" t="s">
        <v>33</v>
      </c>
      <c r="Z708" s="43" t="e">
        <f>TEXT([1]!Table64[[#This Row],[Order date]],"mmm-yyyy")</f>
        <v>#REF!</v>
      </c>
    </row>
    <row r="709" spans="1:26" x14ac:dyDescent="0.3">
      <c r="A709" s="22">
        <v>10708</v>
      </c>
      <c r="B709" s="23">
        <v>5957</v>
      </c>
      <c r="C709" s="23" t="s">
        <v>34</v>
      </c>
      <c r="D709" s="24">
        <v>42414.94</v>
      </c>
      <c r="E709" s="23">
        <v>64</v>
      </c>
      <c r="F709" s="23" t="s">
        <v>35</v>
      </c>
      <c r="G709" s="25">
        <v>45306</v>
      </c>
      <c r="H709" s="24">
        <v>52081.2</v>
      </c>
      <c r="I709" s="26" t="s">
        <v>27</v>
      </c>
      <c r="J709" s="15" t="s">
        <v>36</v>
      </c>
      <c r="K709" s="15">
        <v>1276</v>
      </c>
      <c r="L709" s="16">
        <v>45361</v>
      </c>
      <c r="M709" s="17">
        <v>7</v>
      </c>
      <c r="N709" s="27">
        <v>90708</v>
      </c>
      <c r="O709" s="27" t="s">
        <v>50</v>
      </c>
      <c r="P709" s="28">
        <v>45430</v>
      </c>
      <c r="Q709" s="29">
        <v>0.44034000000000001</v>
      </c>
      <c r="R709" s="30">
        <v>70708</v>
      </c>
      <c r="S709" s="27" t="s">
        <v>45</v>
      </c>
      <c r="T709" s="29">
        <v>80684.7883</v>
      </c>
      <c r="U709" s="27" t="s">
        <v>31</v>
      </c>
      <c r="V709" s="28">
        <v>45422</v>
      </c>
      <c r="W709" s="27" t="s">
        <v>38</v>
      </c>
      <c r="X709" s="28">
        <v>45384</v>
      </c>
      <c r="Y709" s="27" t="s">
        <v>33</v>
      </c>
      <c r="Z709" s="43" t="e">
        <f>TEXT([1]!Table64[[#This Row],[Order date]],"mmm-yyyy")</f>
        <v>#REF!</v>
      </c>
    </row>
    <row r="710" spans="1:26" x14ac:dyDescent="0.3">
      <c r="A710" s="10">
        <v>10709</v>
      </c>
      <c r="B710" s="11">
        <v>5691</v>
      </c>
      <c r="C710" s="11" t="s">
        <v>34</v>
      </c>
      <c r="D710" s="12">
        <v>69359.17</v>
      </c>
      <c r="E710" s="11">
        <v>69</v>
      </c>
      <c r="F710" s="11" t="s">
        <v>46</v>
      </c>
      <c r="G710" s="13">
        <v>45383</v>
      </c>
      <c r="H710" s="12">
        <v>27509.52</v>
      </c>
      <c r="I710" s="14" t="s">
        <v>44</v>
      </c>
      <c r="J710" s="15" t="s">
        <v>36</v>
      </c>
      <c r="K710" s="15">
        <v>677</v>
      </c>
      <c r="L710" s="16">
        <v>45397</v>
      </c>
      <c r="M710" s="17">
        <v>7</v>
      </c>
      <c r="N710" s="18">
        <v>90709</v>
      </c>
      <c r="O710" s="18" t="s">
        <v>37</v>
      </c>
      <c r="P710" s="19">
        <v>45352</v>
      </c>
      <c r="Q710" s="20">
        <v>0.82355</v>
      </c>
      <c r="R710" s="21">
        <v>70709</v>
      </c>
      <c r="S710" s="18" t="s">
        <v>30</v>
      </c>
      <c r="T710" s="20">
        <v>100280.03939999999</v>
      </c>
      <c r="U710" s="18" t="s">
        <v>48</v>
      </c>
      <c r="V710" s="19">
        <v>45392</v>
      </c>
      <c r="W710" s="18" t="s">
        <v>38</v>
      </c>
      <c r="X710" s="19">
        <v>45384</v>
      </c>
      <c r="Y710" s="18" t="s">
        <v>39</v>
      </c>
      <c r="Z710" s="43" t="e">
        <f>TEXT([1]!Table64[[#This Row],[Order date]],"mmm-yyyy")</f>
        <v>#REF!</v>
      </c>
    </row>
    <row r="711" spans="1:26" x14ac:dyDescent="0.3">
      <c r="A711" s="22">
        <v>10710</v>
      </c>
      <c r="B711" s="23">
        <v>6451</v>
      </c>
      <c r="C711" s="23" t="s">
        <v>25</v>
      </c>
      <c r="D711" s="24">
        <v>74586.64</v>
      </c>
      <c r="E711" s="23">
        <v>8</v>
      </c>
      <c r="F711" s="23" t="s">
        <v>43</v>
      </c>
      <c r="G711" s="25">
        <v>45361</v>
      </c>
      <c r="H711" s="24">
        <v>175242.97</v>
      </c>
      <c r="I711" s="26" t="s">
        <v>47</v>
      </c>
      <c r="J711" s="15" t="s">
        <v>49</v>
      </c>
      <c r="K711" s="15">
        <v>653</v>
      </c>
      <c r="L711" s="16">
        <v>45397</v>
      </c>
      <c r="M711" s="17">
        <v>2</v>
      </c>
      <c r="N711" s="27">
        <v>90710</v>
      </c>
      <c r="O711" s="27" t="s">
        <v>40</v>
      </c>
      <c r="P711" s="28">
        <v>45383</v>
      </c>
      <c r="Q711" s="29">
        <v>0.81999</v>
      </c>
      <c r="R711" s="30">
        <v>70710</v>
      </c>
      <c r="S711" s="27" t="s">
        <v>45</v>
      </c>
      <c r="T711" s="29">
        <v>203260.4541</v>
      </c>
      <c r="U711" s="27" t="s">
        <v>48</v>
      </c>
      <c r="V711" s="28">
        <v>45444</v>
      </c>
      <c r="W711" s="27" t="s">
        <v>38</v>
      </c>
      <c r="X711" s="28">
        <v>45376</v>
      </c>
      <c r="Y711" s="27" t="s">
        <v>33</v>
      </c>
      <c r="Z711" s="43" t="e">
        <f>TEXT([1]!Table64[[#This Row],[Order date]],"mmm-yyyy")</f>
        <v>#REF!</v>
      </c>
    </row>
    <row r="712" spans="1:26" x14ac:dyDescent="0.3">
      <c r="A712" s="10">
        <v>10711</v>
      </c>
      <c r="B712" s="11">
        <v>6637</v>
      </c>
      <c r="C712" s="11" t="s">
        <v>25</v>
      </c>
      <c r="D712" s="12">
        <v>27425.09</v>
      </c>
      <c r="E712" s="11">
        <v>34</v>
      </c>
      <c r="F712" s="11" t="s">
        <v>46</v>
      </c>
      <c r="G712" s="13">
        <v>45337</v>
      </c>
      <c r="H712" s="12">
        <v>23411.26</v>
      </c>
      <c r="I712" s="14" t="s">
        <v>44</v>
      </c>
      <c r="J712" s="15" t="s">
        <v>36</v>
      </c>
      <c r="K712" s="15">
        <v>1211</v>
      </c>
      <c r="L712" s="16">
        <v>45397</v>
      </c>
      <c r="M712" s="17">
        <v>9</v>
      </c>
      <c r="N712" s="18">
        <v>90711</v>
      </c>
      <c r="O712" s="18" t="s">
        <v>50</v>
      </c>
      <c r="P712" s="19">
        <v>45352</v>
      </c>
      <c r="Q712" s="20">
        <v>0.94221999999999995</v>
      </c>
      <c r="R712" s="21">
        <v>70711</v>
      </c>
      <c r="S712" s="18" t="s">
        <v>41</v>
      </c>
      <c r="T712" s="20">
        <v>62918.169560000002</v>
      </c>
      <c r="U712" s="18" t="s">
        <v>42</v>
      </c>
      <c r="V712" s="19">
        <v>45444</v>
      </c>
      <c r="W712" s="18" t="s">
        <v>32</v>
      </c>
      <c r="X712" s="19">
        <v>45384</v>
      </c>
      <c r="Y712" s="18" t="s">
        <v>33</v>
      </c>
      <c r="Z712" s="43" t="e">
        <f>TEXT([1]!Table64[[#This Row],[Order date]],"mmm-yyyy")</f>
        <v>#REF!</v>
      </c>
    </row>
    <row r="713" spans="1:26" x14ac:dyDescent="0.3">
      <c r="A713" s="22">
        <v>10712</v>
      </c>
      <c r="B713" s="23">
        <v>6292</v>
      </c>
      <c r="C713" s="23" t="s">
        <v>25</v>
      </c>
      <c r="D713" s="24">
        <v>30431.24</v>
      </c>
      <c r="E713" s="23">
        <v>48</v>
      </c>
      <c r="F713" s="23" t="s">
        <v>26</v>
      </c>
      <c r="G713" s="25">
        <v>45361</v>
      </c>
      <c r="H713" s="24">
        <v>23767.19</v>
      </c>
      <c r="I713" s="26" t="s">
        <v>44</v>
      </c>
      <c r="J713" s="15" t="s">
        <v>28</v>
      </c>
      <c r="K713" s="15">
        <v>1495</v>
      </c>
      <c r="L713" s="16">
        <v>45332</v>
      </c>
      <c r="M713" s="17">
        <v>9</v>
      </c>
      <c r="N713" s="27">
        <v>90712</v>
      </c>
      <c r="O713" s="27" t="s">
        <v>29</v>
      </c>
      <c r="P713" s="28">
        <v>45352</v>
      </c>
      <c r="Q713" s="29">
        <v>0.46290999999999999</v>
      </c>
      <c r="R713" s="30">
        <v>70712</v>
      </c>
      <c r="S713" s="27" t="s">
        <v>30</v>
      </c>
      <c r="T713" s="29">
        <v>188736.68460000001</v>
      </c>
      <c r="U713" s="27" t="s">
        <v>48</v>
      </c>
      <c r="V713" s="28">
        <v>45392</v>
      </c>
      <c r="W713" s="27" t="s">
        <v>32</v>
      </c>
      <c r="X713" s="28">
        <v>45376</v>
      </c>
      <c r="Y713" s="27" t="s">
        <v>33</v>
      </c>
      <c r="Z713" s="43" t="e">
        <f>TEXT([1]!Table64[[#This Row],[Order date]],"mmm-yyyy")</f>
        <v>#REF!</v>
      </c>
    </row>
    <row r="714" spans="1:26" x14ac:dyDescent="0.3">
      <c r="A714" s="10">
        <v>10713</v>
      </c>
      <c r="B714" s="11">
        <v>6859</v>
      </c>
      <c r="C714" s="11" t="s">
        <v>34</v>
      </c>
      <c r="D714" s="12">
        <v>24062.22</v>
      </c>
      <c r="E714" s="11">
        <v>56</v>
      </c>
      <c r="F714" s="11" t="s">
        <v>35</v>
      </c>
      <c r="G714" s="13">
        <v>45306</v>
      </c>
      <c r="H714" s="12">
        <v>68001.89</v>
      </c>
      <c r="I714" s="14" t="s">
        <v>27</v>
      </c>
      <c r="J714" s="15" t="s">
        <v>28</v>
      </c>
      <c r="K714" s="15">
        <v>1130</v>
      </c>
      <c r="L714" s="16">
        <v>45332</v>
      </c>
      <c r="M714" s="17">
        <v>5</v>
      </c>
      <c r="N714" s="18">
        <v>90713</v>
      </c>
      <c r="O714" s="18" t="s">
        <v>40</v>
      </c>
      <c r="P714" s="19">
        <v>45383</v>
      </c>
      <c r="Q714" s="20">
        <v>0.73785000000000001</v>
      </c>
      <c r="R714" s="21">
        <v>70713</v>
      </c>
      <c r="S714" s="18" t="s">
        <v>41</v>
      </c>
      <c r="T714" s="20">
        <v>94798.221879999997</v>
      </c>
      <c r="U714" s="18" t="s">
        <v>48</v>
      </c>
      <c r="V714" s="19">
        <v>45392</v>
      </c>
      <c r="W714" s="18" t="s">
        <v>38</v>
      </c>
      <c r="X714" s="19">
        <v>45376</v>
      </c>
      <c r="Y714" s="18" t="s">
        <v>33</v>
      </c>
      <c r="Z714" s="43" t="e">
        <f>TEXT([1]!Table64[[#This Row],[Order date]],"mmm-yyyy")</f>
        <v>#REF!</v>
      </c>
    </row>
    <row r="715" spans="1:26" x14ac:dyDescent="0.3">
      <c r="A715" s="22">
        <v>10714</v>
      </c>
      <c r="B715" s="23">
        <v>6601</v>
      </c>
      <c r="C715" s="23" t="s">
        <v>34</v>
      </c>
      <c r="D715" s="24">
        <v>49878.35</v>
      </c>
      <c r="E715" s="23">
        <v>76</v>
      </c>
      <c r="F715" s="23" t="s">
        <v>46</v>
      </c>
      <c r="G715" s="25">
        <v>45337</v>
      </c>
      <c r="H715" s="24">
        <v>148858.76999999999</v>
      </c>
      <c r="I715" s="26" t="s">
        <v>27</v>
      </c>
      <c r="J715" s="15" t="s">
        <v>28</v>
      </c>
      <c r="K715" s="15">
        <v>1059</v>
      </c>
      <c r="L715" s="16">
        <v>45332</v>
      </c>
      <c r="M715" s="17">
        <v>3</v>
      </c>
      <c r="N715" s="27">
        <v>90714</v>
      </c>
      <c r="O715" s="27" t="s">
        <v>50</v>
      </c>
      <c r="P715" s="28">
        <v>45383</v>
      </c>
      <c r="Q715" s="29">
        <v>0.55650999999999995</v>
      </c>
      <c r="R715" s="30">
        <v>70714</v>
      </c>
      <c r="S715" s="27" t="s">
        <v>45</v>
      </c>
      <c r="T715" s="29">
        <v>129187.69839999999</v>
      </c>
      <c r="U715" s="27" t="s">
        <v>42</v>
      </c>
      <c r="V715" s="28">
        <v>45422</v>
      </c>
      <c r="W715" s="27" t="s">
        <v>38</v>
      </c>
      <c r="X715" s="28">
        <v>45384</v>
      </c>
      <c r="Y715" s="27" t="s">
        <v>33</v>
      </c>
      <c r="Z715" s="43" t="e">
        <f>TEXT([1]!Table64[[#This Row],[Order date]],"mmm-yyyy")</f>
        <v>#REF!</v>
      </c>
    </row>
    <row r="716" spans="1:26" x14ac:dyDescent="0.3">
      <c r="A716" s="10">
        <v>10715</v>
      </c>
      <c r="B716" s="11">
        <v>6441</v>
      </c>
      <c r="C716" s="11" t="s">
        <v>34</v>
      </c>
      <c r="D716" s="12">
        <v>72438.19</v>
      </c>
      <c r="E716" s="11">
        <v>65</v>
      </c>
      <c r="F716" s="11" t="s">
        <v>26</v>
      </c>
      <c r="G716" s="13">
        <v>45337</v>
      </c>
      <c r="H716" s="12">
        <v>21543.97</v>
      </c>
      <c r="I716" s="14" t="s">
        <v>44</v>
      </c>
      <c r="J716" s="15" t="s">
        <v>28</v>
      </c>
      <c r="K716" s="15">
        <v>120</v>
      </c>
      <c r="L716" s="16">
        <v>45361</v>
      </c>
      <c r="M716" s="17">
        <v>3</v>
      </c>
      <c r="N716" s="18">
        <v>90715</v>
      </c>
      <c r="O716" s="18" t="s">
        <v>40</v>
      </c>
      <c r="P716" s="19">
        <v>45383</v>
      </c>
      <c r="Q716" s="20">
        <v>0.82362000000000002</v>
      </c>
      <c r="R716" s="21">
        <v>70715</v>
      </c>
      <c r="S716" s="18" t="s">
        <v>41</v>
      </c>
      <c r="T716" s="20">
        <v>155871.93403</v>
      </c>
      <c r="U716" s="18" t="s">
        <v>31</v>
      </c>
      <c r="V716" s="19">
        <v>45422</v>
      </c>
      <c r="W716" s="18" t="s">
        <v>38</v>
      </c>
      <c r="X716" s="19">
        <v>45376</v>
      </c>
      <c r="Y716" s="18" t="s">
        <v>33</v>
      </c>
      <c r="Z716" s="43" t="e">
        <f>TEXT([1]!Table64[[#This Row],[Order date]],"mmm-yyyy")</f>
        <v>#REF!</v>
      </c>
    </row>
    <row r="717" spans="1:26" x14ac:dyDescent="0.3">
      <c r="A717" s="22">
        <v>10716</v>
      </c>
      <c r="B717" s="23">
        <v>6192</v>
      </c>
      <c r="C717" s="23" t="s">
        <v>34</v>
      </c>
      <c r="D717" s="24">
        <v>50654.34</v>
      </c>
      <c r="E717" s="23">
        <v>31</v>
      </c>
      <c r="F717" s="23" t="s">
        <v>35</v>
      </c>
      <c r="G717" s="25">
        <v>45383</v>
      </c>
      <c r="H717" s="24">
        <v>32848.43</v>
      </c>
      <c r="I717" s="26" t="s">
        <v>44</v>
      </c>
      <c r="J717" s="15" t="s">
        <v>28</v>
      </c>
      <c r="K717" s="15">
        <v>960</v>
      </c>
      <c r="L717" s="16">
        <v>45332</v>
      </c>
      <c r="M717" s="17">
        <v>12</v>
      </c>
      <c r="N717" s="27">
        <v>90716</v>
      </c>
      <c r="O717" s="27" t="s">
        <v>29</v>
      </c>
      <c r="P717" s="28">
        <v>45430</v>
      </c>
      <c r="Q717" s="29">
        <v>0.74129</v>
      </c>
      <c r="R717" s="30">
        <v>70716</v>
      </c>
      <c r="S717" s="27" t="s">
        <v>30</v>
      </c>
      <c r="T717" s="29">
        <v>129395.25891999999</v>
      </c>
      <c r="U717" s="27" t="s">
        <v>31</v>
      </c>
      <c r="V717" s="28">
        <v>45392</v>
      </c>
      <c r="W717" s="27" t="s">
        <v>38</v>
      </c>
      <c r="X717" s="28">
        <v>45376</v>
      </c>
      <c r="Y717" s="27" t="s">
        <v>33</v>
      </c>
      <c r="Z717" s="43" t="e">
        <f>TEXT([1]!Table64[[#This Row],[Order date]],"mmm-yyyy")</f>
        <v>#REF!</v>
      </c>
    </row>
    <row r="718" spans="1:26" x14ac:dyDescent="0.3">
      <c r="A718" s="10">
        <v>10717</v>
      </c>
      <c r="B718" s="11">
        <v>6866</v>
      </c>
      <c r="C718" s="11" t="s">
        <v>34</v>
      </c>
      <c r="D718" s="12">
        <v>56335.49</v>
      </c>
      <c r="E718" s="11">
        <v>4</v>
      </c>
      <c r="F718" s="11" t="s">
        <v>46</v>
      </c>
      <c r="G718" s="13">
        <v>45306</v>
      </c>
      <c r="H718" s="12">
        <v>114016.48</v>
      </c>
      <c r="I718" s="14" t="s">
        <v>44</v>
      </c>
      <c r="J718" s="15" t="s">
        <v>49</v>
      </c>
      <c r="K718" s="15">
        <v>643</v>
      </c>
      <c r="L718" s="16">
        <v>45361</v>
      </c>
      <c r="M718" s="17">
        <v>3</v>
      </c>
      <c r="N718" s="18">
        <v>90717</v>
      </c>
      <c r="O718" s="18" t="s">
        <v>37</v>
      </c>
      <c r="P718" s="19">
        <v>45430</v>
      </c>
      <c r="Q718" s="20">
        <v>0.43110999999999999</v>
      </c>
      <c r="R718" s="21">
        <v>70717</v>
      </c>
      <c r="S718" s="18" t="s">
        <v>41</v>
      </c>
      <c r="T718" s="20">
        <v>159058.14749999999</v>
      </c>
      <c r="U718" s="18" t="s">
        <v>31</v>
      </c>
      <c r="V718" s="19">
        <v>45444</v>
      </c>
      <c r="W718" s="18" t="s">
        <v>38</v>
      </c>
      <c r="X718" s="19">
        <v>45376</v>
      </c>
      <c r="Y718" s="18" t="s">
        <v>33</v>
      </c>
      <c r="Z718" s="43" t="e">
        <f>TEXT([1]!Table64[[#This Row],[Order date]],"mmm-yyyy")</f>
        <v>#REF!</v>
      </c>
    </row>
    <row r="719" spans="1:26" x14ac:dyDescent="0.3">
      <c r="A719" s="22">
        <v>10718</v>
      </c>
      <c r="B719" s="23">
        <v>6067</v>
      </c>
      <c r="C719" s="23" t="s">
        <v>25</v>
      </c>
      <c r="D719" s="24">
        <v>23808.38</v>
      </c>
      <c r="E719" s="23">
        <v>50</v>
      </c>
      <c r="F719" s="23" t="s">
        <v>46</v>
      </c>
      <c r="G719" s="25">
        <v>45383</v>
      </c>
      <c r="H719" s="24">
        <v>78214.94</v>
      </c>
      <c r="I719" s="26" t="s">
        <v>47</v>
      </c>
      <c r="J719" s="15" t="s">
        <v>49</v>
      </c>
      <c r="K719" s="15">
        <v>1445</v>
      </c>
      <c r="L719" s="16">
        <v>45332</v>
      </c>
      <c r="M719" s="17">
        <v>6</v>
      </c>
      <c r="N719" s="27">
        <v>90718</v>
      </c>
      <c r="O719" s="27" t="s">
        <v>37</v>
      </c>
      <c r="P719" s="28">
        <v>45352</v>
      </c>
      <c r="Q719" s="29">
        <v>0.40300999999999998</v>
      </c>
      <c r="R719" s="30">
        <v>70718</v>
      </c>
      <c r="S719" s="27" t="s">
        <v>30</v>
      </c>
      <c r="T719" s="29">
        <v>168744.78941</v>
      </c>
      <c r="U719" s="27" t="s">
        <v>48</v>
      </c>
      <c r="V719" s="28">
        <v>45422</v>
      </c>
      <c r="W719" s="27" t="s">
        <v>38</v>
      </c>
      <c r="X719" s="28">
        <v>45384</v>
      </c>
      <c r="Y719" s="27" t="s">
        <v>33</v>
      </c>
      <c r="Z719" s="43" t="e">
        <f>TEXT([1]!Table64[[#This Row],[Order date]],"mmm-yyyy")</f>
        <v>#REF!</v>
      </c>
    </row>
    <row r="720" spans="1:26" x14ac:dyDescent="0.3">
      <c r="A720" s="10">
        <v>10719</v>
      </c>
      <c r="B720" s="11">
        <v>6580</v>
      </c>
      <c r="C720" s="11" t="s">
        <v>34</v>
      </c>
      <c r="D720" s="12">
        <v>26718.240000000002</v>
      </c>
      <c r="E720" s="11">
        <v>69</v>
      </c>
      <c r="F720" s="11" t="s">
        <v>26</v>
      </c>
      <c r="G720" s="13">
        <v>45337</v>
      </c>
      <c r="H720" s="12">
        <v>75377.490000000005</v>
      </c>
      <c r="I720" s="14" t="s">
        <v>44</v>
      </c>
      <c r="J720" s="15" t="s">
        <v>28</v>
      </c>
      <c r="K720" s="15">
        <v>649</v>
      </c>
      <c r="L720" s="16">
        <v>45397</v>
      </c>
      <c r="M720" s="17">
        <v>4</v>
      </c>
      <c r="N720" s="18">
        <v>90719</v>
      </c>
      <c r="O720" s="18" t="s">
        <v>50</v>
      </c>
      <c r="P720" s="19">
        <v>45383</v>
      </c>
      <c r="Q720" s="20">
        <v>0.32719999999999999</v>
      </c>
      <c r="R720" s="21">
        <v>70719</v>
      </c>
      <c r="S720" s="18" t="s">
        <v>30</v>
      </c>
      <c r="T720" s="20">
        <v>71657.7641</v>
      </c>
      <c r="U720" s="18" t="s">
        <v>42</v>
      </c>
      <c r="V720" s="19">
        <v>45392</v>
      </c>
      <c r="W720" s="18" t="s">
        <v>38</v>
      </c>
      <c r="X720" s="19">
        <v>45376</v>
      </c>
      <c r="Y720" s="18" t="s">
        <v>33</v>
      </c>
      <c r="Z720" s="43" t="e">
        <f>TEXT([1]!Table64[[#This Row],[Order date]],"mmm-yyyy")</f>
        <v>#REF!</v>
      </c>
    </row>
    <row r="721" spans="1:26" x14ac:dyDescent="0.3">
      <c r="A721" s="22">
        <v>10720</v>
      </c>
      <c r="B721" s="23">
        <v>5285</v>
      </c>
      <c r="C721" s="23" t="s">
        <v>34</v>
      </c>
      <c r="D721" s="24">
        <v>42709.98</v>
      </c>
      <c r="E721" s="23">
        <v>30</v>
      </c>
      <c r="F721" s="23" t="s">
        <v>35</v>
      </c>
      <c r="G721" s="25">
        <v>45306</v>
      </c>
      <c r="H721" s="24">
        <v>20554.03</v>
      </c>
      <c r="I721" s="26" t="s">
        <v>44</v>
      </c>
      <c r="J721" s="15" t="s">
        <v>36</v>
      </c>
      <c r="K721" s="15">
        <v>563</v>
      </c>
      <c r="L721" s="16">
        <v>45332</v>
      </c>
      <c r="M721" s="17">
        <v>8</v>
      </c>
      <c r="N721" s="27">
        <v>90720</v>
      </c>
      <c r="O721" s="27" t="s">
        <v>37</v>
      </c>
      <c r="P721" s="28">
        <v>45352</v>
      </c>
      <c r="Q721" s="29">
        <v>0.61885999999999997</v>
      </c>
      <c r="R721" s="30">
        <v>70720</v>
      </c>
      <c r="S721" s="27" t="s">
        <v>41</v>
      </c>
      <c r="T721" s="29">
        <v>82597.432499999995</v>
      </c>
      <c r="U721" s="27" t="s">
        <v>31</v>
      </c>
      <c r="V721" s="28">
        <v>45392</v>
      </c>
      <c r="W721" s="27" t="s">
        <v>38</v>
      </c>
      <c r="X721" s="28">
        <v>45376</v>
      </c>
      <c r="Y721" s="27" t="s">
        <v>39</v>
      </c>
      <c r="Z721" s="43" t="e">
        <f>TEXT([1]!Table64[[#This Row],[Order date]],"mmm-yyyy")</f>
        <v>#REF!</v>
      </c>
    </row>
    <row r="722" spans="1:26" x14ac:dyDescent="0.3">
      <c r="A722" s="10">
        <v>10721</v>
      </c>
      <c r="B722" s="11">
        <v>5397</v>
      </c>
      <c r="C722" s="11" t="s">
        <v>34</v>
      </c>
      <c r="D722" s="12">
        <v>60500.56</v>
      </c>
      <c r="E722" s="11">
        <v>88</v>
      </c>
      <c r="F722" s="11" t="s">
        <v>35</v>
      </c>
      <c r="G722" s="13">
        <v>45337</v>
      </c>
      <c r="H722" s="12">
        <v>80137.27</v>
      </c>
      <c r="I722" s="14" t="s">
        <v>44</v>
      </c>
      <c r="J722" s="15" t="s">
        <v>28</v>
      </c>
      <c r="K722" s="15">
        <v>133</v>
      </c>
      <c r="L722" s="16">
        <v>45361</v>
      </c>
      <c r="M722" s="17">
        <v>13</v>
      </c>
      <c r="N722" s="18">
        <v>90721</v>
      </c>
      <c r="O722" s="18" t="s">
        <v>50</v>
      </c>
      <c r="P722" s="19">
        <v>45352</v>
      </c>
      <c r="Q722" s="20">
        <v>0.96745999999999999</v>
      </c>
      <c r="R722" s="21">
        <v>70721</v>
      </c>
      <c r="S722" s="18" t="s">
        <v>45</v>
      </c>
      <c r="T722" s="20">
        <v>149652.00025000001</v>
      </c>
      <c r="U722" s="18" t="s">
        <v>48</v>
      </c>
      <c r="V722" s="19">
        <v>45392</v>
      </c>
      <c r="W722" s="18" t="s">
        <v>32</v>
      </c>
      <c r="X722" s="19">
        <v>45384</v>
      </c>
      <c r="Y722" s="18" t="s">
        <v>33</v>
      </c>
      <c r="Z722" s="43" t="e">
        <f>TEXT([1]!Table64[[#This Row],[Order date]],"mmm-yyyy")</f>
        <v>#REF!</v>
      </c>
    </row>
    <row r="723" spans="1:26" x14ac:dyDescent="0.3">
      <c r="A723" s="22">
        <v>10722</v>
      </c>
      <c r="B723" s="23">
        <v>5012</v>
      </c>
      <c r="C723" s="23" t="s">
        <v>34</v>
      </c>
      <c r="D723" s="24">
        <v>50427.44</v>
      </c>
      <c r="E723" s="23">
        <v>59</v>
      </c>
      <c r="F723" s="23" t="s">
        <v>46</v>
      </c>
      <c r="G723" s="25">
        <v>45306</v>
      </c>
      <c r="H723" s="24">
        <v>32355.38</v>
      </c>
      <c r="I723" s="26" t="s">
        <v>27</v>
      </c>
      <c r="J723" s="15" t="s">
        <v>49</v>
      </c>
      <c r="K723" s="15">
        <v>1043</v>
      </c>
      <c r="L723" s="16">
        <v>45361</v>
      </c>
      <c r="M723" s="17">
        <v>11</v>
      </c>
      <c r="N723" s="27">
        <v>90722</v>
      </c>
      <c r="O723" s="27" t="s">
        <v>40</v>
      </c>
      <c r="P723" s="28">
        <v>45352</v>
      </c>
      <c r="Q723" s="29">
        <v>0.28005999999999998</v>
      </c>
      <c r="R723" s="30">
        <v>70722</v>
      </c>
      <c r="S723" s="27" t="s">
        <v>30</v>
      </c>
      <c r="T723" s="29">
        <v>72489.508900000001</v>
      </c>
      <c r="U723" s="27" t="s">
        <v>42</v>
      </c>
      <c r="V723" s="28">
        <v>45422</v>
      </c>
      <c r="W723" s="27" t="s">
        <v>32</v>
      </c>
      <c r="X723" s="28">
        <v>45384</v>
      </c>
      <c r="Y723" s="27" t="s">
        <v>33</v>
      </c>
      <c r="Z723" s="43" t="e">
        <f>TEXT([1]!Table64[[#This Row],[Order date]],"mmm-yyyy")</f>
        <v>#REF!</v>
      </c>
    </row>
    <row r="724" spans="1:26" x14ac:dyDescent="0.3">
      <c r="A724" s="10">
        <v>10723</v>
      </c>
      <c r="B724" s="11">
        <v>6631</v>
      </c>
      <c r="C724" s="11" t="s">
        <v>34</v>
      </c>
      <c r="D724" s="12">
        <v>21413.27</v>
      </c>
      <c r="E724" s="11">
        <v>67</v>
      </c>
      <c r="F724" s="11" t="s">
        <v>46</v>
      </c>
      <c r="G724" s="13">
        <v>45337</v>
      </c>
      <c r="H724" s="12">
        <v>142311.57</v>
      </c>
      <c r="I724" s="14" t="s">
        <v>44</v>
      </c>
      <c r="J724" s="15" t="s">
        <v>28</v>
      </c>
      <c r="K724" s="15">
        <v>1116</v>
      </c>
      <c r="L724" s="16">
        <v>45332</v>
      </c>
      <c r="M724" s="17">
        <v>13</v>
      </c>
      <c r="N724" s="18">
        <v>90723</v>
      </c>
      <c r="O724" s="18" t="s">
        <v>50</v>
      </c>
      <c r="P724" s="19">
        <v>45352</v>
      </c>
      <c r="Q724" s="20">
        <v>0.18573000000000001</v>
      </c>
      <c r="R724" s="21">
        <v>70723</v>
      </c>
      <c r="S724" s="18" t="s">
        <v>41</v>
      </c>
      <c r="T724" s="20">
        <v>165042.29102</v>
      </c>
      <c r="U724" s="18" t="s">
        <v>31</v>
      </c>
      <c r="V724" s="19">
        <v>45392</v>
      </c>
      <c r="W724" s="18" t="s">
        <v>38</v>
      </c>
      <c r="X724" s="19">
        <v>45376</v>
      </c>
      <c r="Y724" s="18" t="s">
        <v>39</v>
      </c>
      <c r="Z724" s="43" t="e">
        <f>TEXT([1]!Table64[[#This Row],[Order date]],"mmm-yyyy")</f>
        <v>#REF!</v>
      </c>
    </row>
    <row r="725" spans="1:26" x14ac:dyDescent="0.3">
      <c r="A725" s="22">
        <v>10724</v>
      </c>
      <c r="B725" s="23">
        <v>6326</v>
      </c>
      <c r="C725" s="23" t="s">
        <v>34</v>
      </c>
      <c r="D725" s="24">
        <v>49331.28</v>
      </c>
      <c r="E725" s="23">
        <v>75</v>
      </c>
      <c r="F725" s="23" t="s">
        <v>46</v>
      </c>
      <c r="G725" s="25">
        <v>45361</v>
      </c>
      <c r="H725" s="24">
        <v>31137.919999999998</v>
      </c>
      <c r="I725" s="26" t="s">
        <v>47</v>
      </c>
      <c r="J725" s="15" t="s">
        <v>49</v>
      </c>
      <c r="K725" s="15">
        <v>888</v>
      </c>
      <c r="L725" s="16">
        <v>45397</v>
      </c>
      <c r="M725" s="17">
        <v>11</v>
      </c>
      <c r="N725" s="27">
        <v>90724</v>
      </c>
      <c r="O725" s="27" t="s">
        <v>50</v>
      </c>
      <c r="P725" s="28">
        <v>45352</v>
      </c>
      <c r="Q725" s="29">
        <v>0.20746000000000001</v>
      </c>
      <c r="R725" s="30">
        <v>70724</v>
      </c>
      <c r="S725" s="27" t="s">
        <v>30</v>
      </c>
      <c r="T725" s="29">
        <v>202383.39249999999</v>
      </c>
      <c r="U725" s="27" t="s">
        <v>31</v>
      </c>
      <c r="V725" s="28">
        <v>45444</v>
      </c>
      <c r="W725" s="27" t="s">
        <v>38</v>
      </c>
      <c r="X725" s="28">
        <v>45384</v>
      </c>
      <c r="Y725" s="27" t="s">
        <v>39</v>
      </c>
      <c r="Z725" s="43" t="e">
        <f>TEXT([1]!Table64[[#This Row],[Order date]],"mmm-yyyy")</f>
        <v>#REF!</v>
      </c>
    </row>
    <row r="726" spans="1:26" x14ac:dyDescent="0.3">
      <c r="A726" s="10">
        <v>10725</v>
      </c>
      <c r="B726" s="11">
        <v>6922</v>
      </c>
      <c r="C726" s="11" t="s">
        <v>34</v>
      </c>
      <c r="D726" s="12">
        <v>21649.19</v>
      </c>
      <c r="E726" s="11">
        <v>45</v>
      </c>
      <c r="F726" s="11" t="s">
        <v>35</v>
      </c>
      <c r="G726" s="13">
        <v>45361</v>
      </c>
      <c r="H726" s="12">
        <v>46656.22</v>
      </c>
      <c r="I726" s="14" t="s">
        <v>47</v>
      </c>
      <c r="J726" s="15" t="s">
        <v>49</v>
      </c>
      <c r="K726" s="15">
        <v>655</v>
      </c>
      <c r="L726" s="16">
        <v>45332</v>
      </c>
      <c r="M726" s="17">
        <v>11</v>
      </c>
      <c r="N726" s="18">
        <v>90725</v>
      </c>
      <c r="O726" s="18" t="s">
        <v>50</v>
      </c>
      <c r="P726" s="19">
        <v>45383</v>
      </c>
      <c r="Q726" s="20">
        <v>0.80479000000000001</v>
      </c>
      <c r="R726" s="21">
        <v>70725</v>
      </c>
      <c r="S726" s="18" t="s">
        <v>41</v>
      </c>
      <c r="T726" s="20">
        <v>79408.408599999995</v>
      </c>
      <c r="U726" s="18" t="s">
        <v>42</v>
      </c>
      <c r="V726" s="19">
        <v>45392</v>
      </c>
      <c r="W726" s="18" t="s">
        <v>38</v>
      </c>
      <c r="X726" s="19">
        <v>45384</v>
      </c>
      <c r="Y726" s="18" t="s">
        <v>33</v>
      </c>
      <c r="Z726" s="43" t="e">
        <f>TEXT([1]!Table64[[#This Row],[Order date]],"mmm-yyyy")</f>
        <v>#REF!</v>
      </c>
    </row>
    <row r="727" spans="1:26" x14ac:dyDescent="0.3">
      <c r="A727" s="22">
        <v>10726</v>
      </c>
      <c r="B727" s="23">
        <v>6277</v>
      </c>
      <c r="C727" s="23" t="s">
        <v>25</v>
      </c>
      <c r="D727" s="24">
        <v>88824.36</v>
      </c>
      <c r="E727" s="23">
        <v>4</v>
      </c>
      <c r="F727" s="23" t="s">
        <v>26</v>
      </c>
      <c r="G727" s="25">
        <v>45383</v>
      </c>
      <c r="H727" s="24">
        <v>150393.99</v>
      </c>
      <c r="I727" s="26" t="s">
        <v>44</v>
      </c>
      <c r="J727" s="15" t="s">
        <v>28</v>
      </c>
      <c r="K727" s="15">
        <v>859</v>
      </c>
      <c r="L727" s="16">
        <v>45332</v>
      </c>
      <c r="M727" s="17">
        <v>5</v>
      </c>
      <c r="N727" s="27">
        <v>90726</v>
      </c>
      <c r="O727" s="27" t="s">
        <v>37</v>
      </c>
      <c r="P727" s="28">
        <v>45430</v>
      </c>
      <c r="Q727" s="29">
        <v>0.41509000000000001</v>
      </c>
      <c r="R727" s="30">
        <v>70726</v>
      </c>
      <c r="S727" s="27" t="s">
        <v>45</v>
      </c>
      <c r="T727" s="29">
        <v>197245.58869999999</v>
      </c>
      <c r="U727" s="27" t="s">
        <v>48</v>
      </c>
      <c r="V727" s="28">
        <v>45422</v>
      </c>
      <c r="W727" s="27" t="s">
        <v>32</v>
      </c>
      <c r="X727" s="28">
        <v>45384</v>
      </c>
      <c r="Y727" s="27" t="s">
        <v>33</v>
      </c>
      <c r="Z727" s="43" t="e">
        <f>TEXT([1]!Table64[[#This Row],[Order date]],"mmm-yyyy")</f>
        <v>#REF!</v>
      </c>
    </row>
    <row r="728" spans="1:26" x14ac:dyDescent="0.3">
      <c r="A728" s="10">
        <v>10727</v>
      </c>
      <c r="B728" s="11">
        <v>5499</v>
      </c>
      <c r="C728" s="11" t="s">
        <v>25</v>
      </c>
      <c r="D728" s="12">
        <v>33368.49</v>
      </c>
      <c r="E728" s="11">
        <v>26</v>
      </c>
      <c r="F728" s="11" t="s">
        <v>26</v>
      </c>
      <c r="G728" s="13">
        <v>45361</v>
      </c>
      <c r="H728" s="12">
        <v>152140.64000000001</v>
      </c>
      <c r="I728" s="14" t="s">
        <v>47</v>
      </c>
      <c r="J728" s="15" t="s">
        <v>28</v>
      </c>
      <c r="K728" s="15">
        <v>182</v>
      </c>
      <c r="L728" s="16">
        <v>45332</v>
      </c>
      <c r="M728" s="17">
        <v>1</v>
      </c>
      <c r="N728" s="18">
        <v>90727</v>
      </c>
      <c r="O728" s="18" t="s">
        <v>50</v>
      </c>
      <c r="P728" s="19">
        <v>45383</v>
      </c>
      <c r="Q728" s="20">
        <v>0.30192999999999998</v>
      </c>
      <c r="R728" s="21">
        <v>70727</v>
      </c>
      <c r="S728" s="18" t="s">
        <v>41</v>
      </c>
      <c r="T728" s="20">
        <v>206455.14920000001</v>
      </c>
      <c r="U728" s="18" t="s">
        <v>48</v>
      </c>
      <c r="V728" s="19">
        <v>45444</v>
      </c>
      <c r="W728" s="18" t="s">
        <v>38</v>
      </c>
      <c r="X728" s="19">
        <v>45376</v>
      </c>
      <c r="Y728" s="18" t="s">
        <v>33</v>
      </c>
      <c r="Z728" s="43" t="e">
        <f>TEXT([1]!Table64[[#This Row],[Order date]],"mmm-yyyy")</f>
        <v>#REF!</v>
      </c>
    </row>
    <row r="729" spans="1:26" x14ac:dyDescent="0.3">
      <c r="A729" s="22">
        <v>10728</v>
      </c>
      <c r="B729" s="23">
        <v>5754</v>
      </c>
      <c r="C729" s="23" t="s">
        <v>34</v>
      </c>
      <c r="D729" s="24">
        <v>9804.0400000000009</v>
      </c>
      <c r="E729" s="23">
        <v>27</v>
      </c>
      <c r="F729" s="23" t="s">
        <v>35</v>
      </c>
      <c r="G729" s="25">
        <v>45337</v>
      </c>
      <c r="H729" s="24">
        <v>70715.28</v>
      </c>
      <c r="I729" s="26" t="s">
        <v>44</v>
      </c>
      <c r="J729" s="15" t="s">
        <v>36</v>
      </c>
      <c r="K729" s="15">
        <v>1468</v>
      </c>
      <c r="L729" s="16">
        <v>45397</v>
      </c>
      <c r="M729" s="17">
        <v>9</v>
      </c>
      <c r="N729" s="27">
        <v>90728</v>
      </c>
      <c r="O729" s="27" t="s">
        <v>29</v>
      </c>
      <c r="P729" s="28">
        <v>45383</v>
      </c>
      <c r="Q729" s="29">
        <v>0.41755999999999999</v>
      </c>
      <c r="R729" s="30">
        <v>70728</v>
      </c>
      <c r="S729" s="27" t="s">
        <v>41</v>
      </c>
      <c r="T729" s="29">
        <v>67140.070779999995</v>
      </c>
      <c r="U729" s="27" t="s">
        <v>31</v>
      </c>
      <c r="V729" s="28">
        <v>45444</v>
      </c>
      <c r="W729" s="27" t="s">
        <v>38</v>
      </c>
      <c r="X729" s="28">
        <v>45376</v>
      </c>
      <c r="Y729" s="27" t="s">
        <v>33</v>
      </c>
      <c r="Z729" s="43" t="e">
        <f>TEXT([1]!Table64[[#This Row],[Order date]],"mmm-yyyy")</f>
        <v>#REF!</v>
      </c>
    </row>
    <row r="730" spans="1:26" x14ac:dyDescent="0.3">
      <c r="A730" s="10">
        <v>10729</v>
      </c>
      <c r="B730" s="11">
        <v>5035</v>
      </c>
      <c r="C730" s="11" t="s">
        <v>34</v>
      </c>
      <c r="D730" s="12">
        <v>45197.14</v>
      </c>
      <c r="E730" s="11">
        <v>46</v>
      </c>
      <c r="F730" s="11" t="s">
        <v>43</v>
      </c>
      <c r="G730" s="13">
        <v>45337</v>
      </c>
      <c r="H730" s="12">
        <v>23242.76</v>
      </c>
      <c r="I730" s="14" t="s">
        <v>27</v>
      </c>
      <c r="J730" s="15" t="s">
        <v>49</v>
      </c>
      <c r="K730" s="15">
        <v>1138</v>
      </c>
      <c r="L730" s="16">
        <v>45361</v>
      </c>
      <c r="M730" s="17">
        <v>1</v>
      </c>
      <c r="N730" s="18">
        <v>90729</v>
      </c>
      <c r="O730" s="18" t="s">
        <v>50</v>
      </c>
      <c r="P730" s="19">
        <v>45383</v>
      </c>
      <c r="Q730" s="20">
        <v>0.68079999999999996</v>
      </c>
      <c r="R730" s="21">
        <v>70729</v>
      </c>
      <c r="S730" s="18" t="s">
        <v>30</v>
      </c>
      <c r="T730" s="20">
        <v>142494.51615000001</v>
      </c>
      <c r="U730" s="18" t="s">
        <v>42</v>
      </c>
      <c r="V730" s="19">
        <v>45392</v>
      </c>
      <c r="W730" s="18" t="s">
        <v>38</v>
      </c>
      <c r="X730" s="19">
        <v>45384</v>
      </c>
      <c r="Y730" s="18" t="s">
        <v>33</v>
      </c>
      <c r="Z730" s="43" t="e">
        <f>TEXT([1]!Table64[[#This Row],[Order date]],"mmm-yyyy")</f>
        <v>#REF!</v>
      </c>
    </row>
    <row r="731" spans="1:26" x14ac:dyDescent="0.3">
      <c r="A731" s="22">
        <v>10730</v>
      </c>
      <c r="B731" s="23">
        <v>5727</v>
      </c>
      <c r="C731" s="23" t="s">
        <v>34</v>
      </c>
      <c r="D731" s="24">
        <v>31289.09</v>
      </c>
      <c r="E731" s="23">
        <v>64</v>
      </c>
      <c r="F731" s="23" t="s">
        <v>26</v>
      </c>
      <c r="G731" s="25">
        <v>45361</v>
      </c>
      <c r="H731" s="24">
        <v>61498.2</v>
      </c>
      <c r="I731" s="26" t="s">
        <v>47</v>
      </c>
      <c r="J731" s="15" t="s">
        <v>36</v>
      </c>
      <c r="K731" s="15">
        <v>339</v>
      </c>
      <c r="L731" s="16">
        <v>45397</v>
      </c>
      <c r="M731" s="17">
        <v>6</v>
      </c>
      <c r="N731" s="27">
        <v>90730</v>
      </c>
      <c r="O731" s="27" t="s">
        <v>40</v>
      </c>
      <c r="P731" s="28">
        <v>45430</v>
      </c>
      <c r="Q731" s="29">
        <v>0.59211000000000003</v>
      </c>
      <c r="R731" s="30">
        <v>70730</v>
      </c>
      <c r="S731" s="27" t="s">
        <v>30</v>
      </c>
      <c r="T731" s="29">
        <v>143101.36981999999</v>
      </c>
      <c r="U731" s="27" t="s">
        <v>48</v>
      </c>
      <c r="V731" s="28">
        <v>45392</v>
      </c>
      <c r="W731" s="27" t="s">
        <v>38</v>
      </c>
      <c r="X731" s="28">
        <v>45376</v>
      </c>
      <c r="Y731" s="27" t="s">
        <v>33</v>
      </c>
      <c r="Z731" s="43" t="e">
        <f>TEXT([1]!Table64[[#This Row],[Order date]],"mmm-yyyy")</f>
        <v>#REF!</v>
      </c>
    </row>
    <row r="732" spans="1:26" x14ac:dyDescent="0.3">
      <c r="A732" s="10">
        <v>10731</v>
      </c>
      <c r="B732" s="11">
        <v>5849</v>
      </c>
      <c r="C732" s="11" t="s">
        <v>25</v>
      </c>
      <c r="D732" s="12">
        <v>13936.1</v>
      </c>
      <c r="E732" s="11">
        <v>91</v>
      </c>
      <c r="F732" s="11" t="s">
        <v>46</v>
      </c>
      <c r="G732" s="13">
        <v>45383</v>
      </c>
      <c r="H732" s="12">
        <v>70881.440000000002</v>
      </c>
      <c r="I732" s="14" t="s">
        <v>44</v>
      </c>
      <c r="J732" s="15" t="s">
        <v>28</v>
      </c>
      <c r="K732" s="15">
        <v>425</v>
      </c>
      <c r="L732" s="16">
        <v>45361</v>
      </c>
      <c r="M732" s="17">
        <v>1</v>
      </c>
      <c r="N732" s="18">
        <v>90731</v>
      </c>
      <c r="O732" s="18" t="s">
        <v>29</v>
      </c>
      <c r="P732" s="19">
        <v>45430</v>
      </c>
      <c r="Q732" s="20">
        <v>0.76922999999999997</v>
      </c>
      <c r="R732" s="21">
        <v>70731</v>
      </c>
      <c r="S732" s="18" t="s">
        <v>45</v>
      </c>
      <c r="T732" s="20">
        <v>210145.2708</v>
      </c>
      <c r="U732" s="18" t="s">
        <v>42</v>
      </c>
      <c r="V732" s="19">
        <v>45444</v>
      </c>
      <c r="W732" s="18" t="s">
        <v>38</v>
      </c>
      <c r="X732" s="19">
        <v>45376</v>
      </c>
      <c r="Y732" s="18" t="s">
        <v>33</v>
      </c>
      <c r="Z732" s="43" t="e">
        <f>TEXT([1]!Table64[[#This Row],[Order date]],"mmm-yyyy")</f>
        <v>#REF!</v>
      </c>
    </row>
    <row r="733" spans="1:26" x14ac:dyDescent="0.3">
      <c r="A733" s="22">
        <v>10732</v>
      </c>
      <c r="B733" s="23">
        <v>5090</v>
      </c>
      <c r="C733" s="23" t="s">
        <v>34</v>
      </c>
      <c r="D733" s="24">
        <v>9748.92</v>
      </c>
      <c r="E733" s="23">
        <v>51</v>
      </c>
      <c r="F733" s="23" t="s">
        <v>43</v>
      </c>
      <c r="G733" s="25">
        <v>45361</v>
      </c>
      <c r="H733" s="24">
        <v>121445.69</v>
      </c>
      <c r="I733" s="26" t="s">
        <v>44</v>
      </c>
      <c r="J733" s="15" t="s">
        <v>49</v>
      </c>
      <c r="K733" s="15">
        <v>818</v>
      </c>
      <c r="L733" s="16">
        <v>45361</v>
      </c>
      <c r="M733" s="17">
        <v>3</v>
      </c>
      <c r="N733" s="27">
        <v>90732</v>
      </c>
      <c r="O733" s="27" t="s">
        <v>40</v>
      </c>
      <c r="P733" s="28">
        <v>45430</v>
      </c>
      <c r="Q733" s="29">
        <v>0.40516999999999997</v>
      </c>
      <c r="R733" s="30">
        <v>70732</v>
      </c>
      <c r="S733" s="27" t="s">
        <v>41</v>
      </c>
      <c r="T733" s="29">
        <v>128737.65888</v>
      </c>
      <c r="U733" s="27" t="s">
        <v>42</v>
      </c>
      <c r="V733" s="28">
        <v>45392</v>
      </c>
      <c r="W733" s="27" t="s">
        <v>32</v>
      </c>
      <c r="X733" s="28">
        <v>45376</v>
      </c>
      <c r="Y733" s="27" t="s">
        <v>33</v>
      </c>
      <c r="Z733" s="43" t="e">
        <f>TEXT([1]!Table64[[#This Row],[Order date]],"mmm-yyyy")</f>
        <v>#REF!</v>
      </c>
    </row>
    <row r="734" spans="1:26" x14ac:dyDescent="0.3">
      <c r="A734" s="10">
        <v>10733</v>
      </c>
      <c r="B734" s="11">
        <v>5776</v>
      </c>
      <c r="C734" s="11" t="s">
        <v>25</v>
      </c>
      <c r="D734" s="12">
        <v>63412.24</v>
      </c>
      <c r="E734" s="11">
        <v>50</v>
      </c>
      <c r="F734" s="11" t="s">
        <v>43</v>
      </c>
      <c r="G734" s="13">
        <v>45306</v>
      </c>
      <c r="H734" s="12">
        <v>83236.399999999994</v>
      </c>
      <c r="I734" s="14" t="s">
        <v>44</v>
      </c>
      <c r="J734" s="15" t="s">
        <v>36</v>
      </c>
      <c r="K734" s="15">
        <v>516</v>
      </c>
      <c r="L734" s="16">
        <v>45361</v>
      </c>
      <c r="M734" s="17">
        <v>10</v>
      </c>
      <c r="N734" s="18">
        <v>90733</v>
      </c>
      <c r="O734" s="18" t="s">
        <v>40</v>
      </c>
      <c r="P734" s="19">
        <v>45383</v>
      </c>
      <c r="Q734" s="20">
        <v>0.50683</v>
      </c>
      <c r="R734" s="21">
        <v>70733</v>
      </c>
      <c r="S734" s="18" t="s">
        <v>41</v>
      </c>
      <c r="T734" s="20">
        <v>165575.3058</v>
      </c>
      <c r="U734" s="18" t="s">
        <v>31</v>
      </c>
      <c r="V734" s="19">
        <v>45422</v>
      </c>
      <c r="W734" s="18" t="s">
        <v>38</v>
      </c>
      <c r="X734" s="19">
        <v>45376</v>
      </c>
      <c r="Y734" s="18" t="s">
        <v>33</v>
      </c>
      <c r="Z734" s="43" t="e">
        <f>TEXT([1]!Table64[[#This Row],[Order date]],"mmm-yyyy")</f>
        <v>#REF!</v>
      </c>
    </row>
    <row r="735" spans="1:26" x14ac:dyDescent="0.3">
      <c r="A735" s="22">
        <v>10734</v>
      </c>
      <c r="B735" s="23">
        <v>5605</v>
      </c>
      <c r="C735" s="23" t="s">
        <v>34</v>
      </c>
      <c r="D735" s="24">
        <v>74384.38</v>
      </c>
      <c r="E735" s="23">
        <v>6</v>
      </c>
      <c r="F735" s="23" t="s">
        <v>26</v>
      </c>
      <c r="G735" s="25">
        <v>45306</v>
      </c>
      <c r="H735" s="24">
        <v>143154.37</v>
      </c>
      <c r="I735" s="26" t="s">
        <v>47</v>
      </c>
      <c r="J735" s="15" t="s">
        <v>36</v>
      </c>
      <c r="K735" s="15">
        <v>1286</v>
      </c>
      <c r="L735" s="16">
        <v>45397</v>
      </c>
      <c r="M735" s="17">
        <v>5</v>
      </c>
      <c r="N735" s="27">
        <v>90734</v>
      </c>
      <c r="O735" s="27" t="s">
        <v>40</v>
      </c>
      <c r="P735" s="28">
        <v>45430</v>
      </c>
      <c r="Q735" s="29">
        <v>0.19177</v>
      </c>
      <c r="R735" s="30">
        <v>70734</v>
      </c>
      <c r="S735" s="27" t="s">
        <v>45</v>
      </c>
      <c r="T735" s="29">
        <v>68885.384000000005</v>
      </c>
      <c r="U735" s="27" t="s">
        <v>42</v>
      </c>
      <c r="V735" s="28">
        <v>45444</v>
      </c>
      <c r="W735" s="27" t="s">
        <v>38</v>
      </c>
      <c r="X735" s="28">
        <v>45376</v>
      </c>
      <c r="Y735" s="27" t="s">
        <v>39</v>
      </c>
      <c r="Z735" s="43" t="e">
        <f>TEXT([1]!Table64[[#This Row],[Order date]],"mmm-yyyy")</f>
        <v>#REF!</v>
      </c>
    </row>
    <row r="736" spans="1:26" x14ac:dyDescent="0.3">
      <c r="A736" s="10">
        <v>10735</v>
      </c>
      <c r="B736" s="11">
        <v>6946</v>
      </c>
      <c r="C736" s="11" t="s">
        <v>25</v>
      </c>
      <c r="D736" s="12">
        <v>27223.23</v>
      </c>
      <c r="E736" s="11">
        <v>59</v>
      </c>
      <c r="F736" s="11" t="s">
        <v>43</v>
      </c>
      <c r="G736" s="13">
        <v>45306</v>
      </c>
      <c r="H736" s="12">
        <v>43060.88</v>
      </c>
      <c r="I736" s="14" t="s">
        <v>47</v>
      </c>
      <c r="J736" s="15" t="s">
        <v>36</v>
      </c>
      <c r="K736" s="15">
        <v>1221</v>
      </c>
      <c r="L736" s="16">
        <v>45332</v>
      </c>
      <c r="M736" s="17">
        <v>10</v>
      </c>
      <c r="N736" s="18">
        <v>90735</v>
      </c>
      <c r="O736" s="18" t="s">
        <v>29</v>
      </c>
      <c r="P736" s="19">
        <v>45352</v>
      </c>
      <c r="Q736" s="20">
        <v>0.16575000000000001</v>
      </c>
      <c r="R736" s="21">
        <v>70735</v>
      </c>
      <c r="S736" s="18" t="s">
        <v>41</v>
      </c>
      <c r="T736" s="20">
        <v>187836.09022000001</v>
      </c>
      <c r="U736" s="18" t="s">
        <v>42</v>
      </c>
      <c r="V736" s="19">
        <v>45392</v>
      </c>
      <c r="W736" s="18" t="s">
        <v>38</v>
      </c>
      <c r="X736" s="19">
        <v>45376</v>
      </c>
      <c r="Y736" s="18" t="s">
        <v>33</v>
      </c>
      <c r="Z736" s="43" t="e">
        <f>TEXT([1]!Table64[[#This Row],[Order date]],"mmm-yyyy")</f>
        <v>#REF!</v>
      </c>
    </row>
    <row r="737" spans="1:26" x14ac:dyDescent="0.3">
      <c r="A737" s="22">
        <v>10736</v>
      </c>
      <c r="B737" s="23">
        <v>5970</v>
      </c>
      <c r="C737" s="23" t="s">
        <v>34</v>
      </c>
      <c r="D737" s="24">
        <v>70375.740000000005</v>
      </c>
      <c r="E737" s="23">
        <v>15</v>
      </c>
      <c r="F737" s="23" t="s">
        <v>43</v>
      </c>
      <c r="G737" s="25">
        <v>45361</v>
      </c>
      <c r="H737" s="24">
        <v>13618.32</v>
      </c>
      <c r="I737" s="26" t="s">
        <v>44</v>
      </c>
      <c r="J737" s="15" t="s">
        <v>28</v>
      </c>
      <c r="K737" s="15">
        <v>520</v>
      </c>
      <c r="L737" s="16">
        <v>45332</v>
      </c>
      <c r="M737" s="17">
        <v>7</v>
      </c>
      <c r="N737" s="27">
        <v>90736</v>
      </c>
      <c r="O737" s="27" t="s">
        <v>29</v>
      </c>
      <c r="P737" s="28">
        <v>45430</v>
      </c>
      <c r="Q737" s="29">
        <v>0.51602999999999999</v>
      </c>
      <c r="R737" s="30">
        <v>70736</v>
      </c>
      <c r="S737" s="27" t="s">
        <v>41</v>
      </c>
      <c r="T737" s="29">
        <v>183365.50640000001</v>
      </c>
      <c r="U737" s="27" t="s">
        <v>42</v>
      </c>
      <c r="V737" s="28">
        <v>45444</v>
      </c>
      <c r="W737" s="27" t="s">
        <v>38</v>
      </c>
      <c r="X737" s="28">
        <v>45376</v>
      </c>
      <c r="Y737" s="27" t="s">
        <v>39</v>
      </c>
      <c r="Z737" s="43" t="e">
        <f>TEXT([1]!Table64[[#This Row],[Order date]],"mmm-yyyy")</f>
        <v>#REF!</v>
      </c>
    </row>
    <row r="738" spans="1:26" x14ac:dyDescent="0.3">
      <c r="A738" s="10">
        <v>10737</v>
      </c>
      <c r="B738" s="11">
        <v>6626</v>
      </c>
      <c r="C738" s="11" t="s">
        <v>34</v>
      </c>
      <c r="D738" s="12">
        <v>55496.26</v>
      </c>
      <c r="E738" s="11">
        <v>30</v>
      </c>
      <c r="F738" s="11" t="s">
        <v>26</v>
      </c>
      <c r="G738" s="13">
        <v>45361</v>
      </c>
      <c r="H738" s="12">
        <v>114905.01</v>
      </c>
      <c r="I738" s="14" t="s">
        <v>44</v>
      </c>
      <c r="J738" s="15" t="s">
        <v>28</v>
      </c>
      <c r="K738" s="15">
        <v>198</v>
      </c>
      <c r="L738" s="16">
        <v>45332</v>
      </c>
      <c r="M738" s="17">
        <v>14</v>
      </c>
      <c r="N738" s="18">
        <v>90737</v>
      </c>
      <c r="O738" s="18" t="s">
        <v>37</v>
      </c>
      <c r="P738" s="19">
        <v>45383</v>
      </c>
      <c r="Q738" s="20">
        <v>0.37143999999999999</v>
      </c>
      <c r="R738" s="21">
        <v>70737</v>
      </c>
      <c r="S738" s="18" t="s">
        <v>45</v>
      </c>
      <c r="T738" s="20">
        <v>168432.86966999999</v>
      </c>
      <c r="U738" s="18" t="s">
        <v>48</v>
      </c>
      <c r="V738" s="19">
        <v>45392</v>
      </c>
      <c r="W738" s="18" t="s">
        <v>32</v>
      </c>
      <c r="X738" s="19">
        <v>45376</v>
      </c>
      <c r="Y738" s="18" t="s">
        <v>39</v>
      </c>
      <c r="Z738" s="43" t="e">
        <f>TEXT([1]!Table64[[#This Row],[Order date]],"mmm-yyyy")</f>
        <v>#REF!</v>
      </c>
    </row>
    <row r="739" spans="1:26" x14ac:dyDescent="0.3">
      <c r="A739" s="22">
        <v>10738</v>
      </c>
      <c r="B739" s="23">
        <v>6022</v>
      </c>
      <c r="C739" s="23" t="s">
        <v>34</v>
      </c>
      <c r="D739" s="24">
        <v>80092.86</v>
      </c>
      <c r="E739" s="23">
        <v>42</v>
      </c>
      <c r="F739" s="23" t="s">
        <v>26</v>
      </c>
      <c r="G739" s="25">
        <v>45361</v>
      </c>
      <c r="H739" s="24">
        <v>60820.72</v>
      </c>
      <c r="I739" s="26" t="s">
        <v>47</v>
      </c>
      <c r="J739" s="15" t="s">
        <v>28</v>
      </c>
      <c r="K739" s="15">
        <v>137</v>
      </c>
      <c r="L739" s="16">
        <v>45332</v>
      </c>
      <c r="M739" s="17">
        <v>10</v>
      </c>
      <c r="N739" s="27">
        <v>90738</v>
      </c>
      <c r="O739" s="27" t="s">
        <v>29</v>
      </c>
      <c r="P739" s="28">
        <v>45383</v>
      </c>
      <c r="Q739" s="29">
        <v>0.65151999999999999</v>
      </c>
      <c r="R739" s="30">
        <v>70738</v>
      </c>
      <c r="S739" s="27" t="s">
        <v>41</v>
      </c>
      <c r="T739" s="29">
        <v>73012.395399999994</v>
      </c>
      <c r="U739" s="27" t="s">
        <v>31</v>
      </c>
      <c r="V739" s="28">
        <v>45392</v>
      </c>
      <c r="W739" s="27" t="s">
        <v>32</v>
      </c>
      <c r="X739" s="28">
        <v>45384</v>
      </c>
      <c r="Y739" s="27" t="s">
        <v>33</v>
      </c>
      <c r="Z739" s="43" t="e">
        <f>TEXT([1]!Table64[[#This Row],[Order date]],"mmm-yyyy")</f>
        <v>#REF!</v>
      </c>
    </row>
    <row r="740" spans="1:26" x14ac:dyDescent="0.3">
      <c r="A740" s="10">
        <v>10739</v>
      </c>
      <c r="B740" s="11">
        <v>5418</v>
      </c>
      <c r="C740" s="11" t="s">
        <v>34</v>
      </c>
      <c r="D740" s="12">
        <v>61880.94</v>
      </c>
      <c r="E740" s="11">
        <v>37</v>
      </c>
      <c r="F740" s="11" t="s">
        <v>43</v>
      </c>
      <c r="G740" s="13">
        <v>45306</v>
      </c>
      <c r="H740" s="12">
        <v>22593.599999999999</v>
      </c>
      <c r="I740" s="14" t="s">
        <v>27</v>
      </c>
      <c r="J740" s="15" t="s">
        <v>49</v>
      </c>
      <c r="K740" s="15">
        <v>1397</v>
      </c>
      <c r="L740" s="16">
        <v>45332</v>
      </c>
      <c r="M740" s="17">
        <v>8</v>
      </c>
      <c r="N740" s="18">
        <v>90739</v>
      </c>
      <c r="O740" s="18" t="s">
        <v>50</v>
      </c>
      <c r="P740" s="19">
        <v>45352</v>
      </c>
      <c r="Q740" s="20">
        <v>0.13869999999999999</v>
      </c>
      <c r="R740" s="21">
        <v>70739</v>
      </c>
      <c r="S740" s="18" t="s">
        <v>45</v>
      </c>
      <c r="T740" s="20">
        <v>190719.546</v>
      </c>
      <c r="U740" s="18" t="s">
        <v>31</v>
      </c>
      <c r="V740" s="19">
        <v>45422</v>
      </c>
      <c r="W740" s="18" t="s">
        <v>32</v>
      </c>
      <c r="X740" s="19">
        <v>45376</v>
      </c>
      <c r="Y740" s="18" t="s">
        <v>33</v>
      </c>
      <c r="Z740" s="43" t="e">
        <f>TEXT([1]!Table64[[#This Row],[Order date]],"mmm-yyyy")</f>
        <v>#REF!</v>
      </c>
    </row>
    <row r="741" spans="1:26" x14ac:dyDescent="0.3">
      <c r="A741" s="22">
        <v>10740</v>
      </c>
      <c r="B741" s="23">
        <v>5115</v>
      </c>
      <c r="C741" s="23" t="s">
        <v>34</v>
      </c>
      <c r="D741" s="24">
        <v>22526.62</v>
      </c>
      <c r="E741" s="23">
        <v>42</v>
      </c>
      <c r="F741" s="23" t="s">
        <v>46</v>
      </c>
      <c r="G741" s="25">
        <v>45383</v>
      </c>
      <c r="H741" s="24">
        <v>158661.97</v>
      </c>
      <c r="I741" s="26" t="s">
        <v>47</v>
      </c>
      <c r="J741" s="15" t="s">
        <v>28</v>
      </c>
      <c r="K741" s="15">
        <v>445</v>
      </c>
      <c r="L741" s="16">
        <v>45397</v>
      </c>
      <c r="M741" s="17">
        <v>12</v>
      </c>
      <c r="N741" s="27">
        <v>90740</v>
      </c>
      <c r="O741" s="27" t="s">
        <v>40</v>
      </c>
      <c r="P741" s="28">
        <v>45430</v>
      </c>
      <c r="Q741" s="29">
        <v>0.20959</v>
      </c>
      <c r="R741" s="30">
        <v>70740</v>
      </c>
      <c r="S741" s="27" t="s">
        <v>30</v>
      </c>
      <c r="T741" s="29">
        <v>96946.653380000003</v>
      </c>
      <c r="U741" s="27" t="s">
        <v>42</v>
      </c>
      <c r="V741" s="28">
        <v>45392</v>
      </c>
      <c r="W741" s="27" t="s">
        <v>32</v>
      </c>
      <c r="X741" s="28">
        <v>45376</v>
      </c>
      <c r="Y741" s="27" t="s">
        <v>39</v>
      </c>
      <c r="Z741" s="43" t="e">
        <f>TEXT([1]!Table64[[#This Row],[Order date]],"mmm-yyyy")</f>
        <v>#REF!</v>
      </c>
    </row>
    <row r="742" spans="1:26" x14ac:dyDescent="0.3">
      <c r="A742" s="10">
        <v>10741</v>
      </c>
      <c r="B742" s="11">
        <v>5617</v>
      </c>
      <c r="C742" s="11" t="s">
        <v>34</v>
      </c>
      <c r="D742" s="12">
        <v>33216.36</v>
      </c>
      <c r="E742" s="11">
        <v>35</v>
      </c>
      <c r="F742" s="11" t="s">
        <v>35</v>
      </c>
      <c r="G742" s="13">
        <v>45337</v>
      </c>
      <c r="H742" s="12">
        <v>46733.04</v>
      </c>
      <c r="I742" s="14" t="s">
        <v>44</v>
      </c>
      <c r="J742" s="15" t="s">
        <v>49</v>
      </c>
      <c r="K742" s="15">
        <v>839</v>
      </c>
      <c r="L742" s="16">
        <v>45397</v>
      </c>
      <c r="M742" s="17">
        <v>9</v>
      </c>
      <c r="N742" s="18">
        <v>90741</v>
      </c>
      <c r="O742" s="18" t="s">
        <v>37</v>
      </c>
      <c r="P742" s="19">
        <v>45430</v>
      </c>
      <c r="Q742" s="20">
        <v>0.87866999999999995</v>
      </c>
      <c r="R742" s="21">
        <v>70741</v>
      </c>
      <c r="S742" s="18" t="s">
        <v>30</v>
      </c>
      <c r="T742" s="20">
        <v>93945.060540000006</v>
      </c>
      <c r="U742" s="18" t="s">
        <v>42</v>
      </c>
      <c r="V742" s="19">
        <v>45392</v>
      </c>
      <c r="W742" s="18" t="s">
        <v>38</v>
      </c>
      <c r="X742" s="19">
        <v>45376</v>
      </c>
      <c r="Y742" s="18" t="s">
        <v>33</v>
      </c>
      <c r="Z742" s="43" t="e">
        <f>TEXT([1]!Table64[[#This Row],[Order date]],"mmm-yyyy")</f>
        <v>#REF!</v>
      </c>
    </row>
    <row r="743" spans="1:26" x14ac:dyDescent="0.3">
      <c r="A743" s="22">
        <v>10742</v>
      </c>
      <c r="B743" s="23">
        <v>6927</v>
      </c>
      <c r="C743" s="23" t="s">
        <v>34</v>
      </c>
      <c r="D743" s="24">
        <v>23168.32</v>
      </c>
      <c r="E743" s="23">
        <v>87</v>
      </c>
      <c r="F743" s="23" t="s">
        <v>43</v>
      </c>
      <c r="G743" s="25">
        <v>45361</v>
      </c>
      <c r="H743" s="24">
        <v>47922.83</v>
      </c>
      <c r="I743" s="26" t="s">
        <v>47</v>
      </c>
      <c r="J743" s="15" t="s">
        <v>36</v>
      </c>
      <c r="K743" s="15">
        <v>1477</v>
      </c>
      <c r="L743" s="16">
        <v>45397</v>
      </c>
      <c r="M743" s="17">
        <v>6</v>
      </c>
      <c r="N743" s="27">
        <v>90742</v>
      </c>
      <c r="O743" s="27" t="s">
        <v>29</v>
      </c>
      <c r="P743" s="28">
        <v>45352</v>
      </c>
      <c r="Q743" s="29">
        <v>0.60968</v>
      </c>
      <c r="R743" s="30">
        <v>70742</v>
      </c>
      <c r="S743" s="27" t="s">
        <v>41</v>
      </c>
      <c r="T743" s="29">
        <v>79682.423699999999</v>
      </c>
      <c r="U743" s="27" t="s">
        <v>48</v>
      </c>
      <c r="V743" s="28">
        <v>45392</v>
      </c>
      <c r="W743" s="27" t="s">
        <v>38</v>
      </c>
      <c r="X743" s="28">
        <v>45376</v>
      </c>
      <c r="Y743" s="27" t="s">
        <v>33</v>
      </c>
      <c r="Z743" s="43" t="e">
        <f>TEXT([1]!Table64[[#This Row],[Order date]],"mmm-yyyy")</f>
        <v>#REF!</v>
      </c>
    </row>
    <row r="744" spans="1:26" x14ac:dyDescent="0.3">
      <c r="A744" s="10">
        <v>10743</v>
      </c>
      <c r="B744" s="11">
        <v>6220</v>
      </c>
      <c r="C744" s="11" t="s">
        <v>34</v>
      </c>
      <c r="D744" s="12">
        <v>90231</v>
      </c>
      <c r="E744" s="11">
        <v>6</v>
      </c>
      <c r="F744" s="11" t="s">
        <v>43</v>
      </c>
      <c r="G744" s="13">
        <v>45383</v>
      </c>
      <c r="H744" s="12">
        <v>34207.49</v>
      </c>
      <c r="I744" s="14" t="s">
        <v>44</v>
      </c>
      <c r="J744" s="15" t="s">
        <v>36</v>
      </c>
      <c r="K744" s="15">
        <v>1155</v>
      </c>
      <c r="L744" s="16">
        <v>45397</v>
      </c>
      <c r="M744" s="17">
        <v>11</v>
      </c>
      <c r="N744" s="18">
        <v>90743</v>
      </c>
      <c r="O744" s="18" t="s">
        <v>40</v>
      </c>
      <c r="P744" s="19">
        <v>45383</v>
      </c>
      <c r="Q744" s="20">
        <v>0.74085000000000001</v>
      </c>
      <c r="R744" s="21">
        <v>70743</v>
      </c>
      <c r="S744" s="18" t="s">
        <v>41</v>
      </c>
      <c r="T744" s="20">
        <v>180532.15987</v>
      </c>
      <c r="U744" s="18" t="s">
        <v>31</v>
      </c>
      <c r="V744" s="19">
        <v>45422</v>
      </c>
      <c r="W744" s="18" t="s">
        <v>38</v>
      </c>
      <c r="X744" s="19">
        <v>45384</v>
      </c>
      <c r="Y744" s="18" t="s">
        <v>39</v>
      </c>
      <c r="Z744" s="43" t="e">
        <f>TEXT([1]!Table64[[#This Row],[Order date]],"mmm-yyyy")</f>
        <v>#REF!</v>
      </c>
    </row>
    <row r="745" spans="1:26" x14ac:dyDescent="0.3">
      <c r="A745" s="22">
        <v>10744</v>
      </c>
      <c r="B745" s="23">
        <v>5826</v>
      </c>
      <c r="C745" s="23" t="s">
        <v>34</v>
      </c>
      <c r="D745" s="24">
        <v>60642.59</v>
      </c>
      <c r="E745" s="23">
        <v>68</v>
      </c>
      <c r="F745" s="23" t="s">
        <v>46</v>
      </c>
      <c r="G745" s="25">
        <v>45337</v>
      </c>
      <c r="H745" s="24">
        <v>15485.91</v>
      </c>
      <c r="I745" s="26" t="s">
        <v>47</v>
      </c>
      <c r="J745" s="15" t="s">
        <v>28</v>
      </c>
      <c r="K745" s="15">
        <v>1359</v>
      </c>
      <c r="L745" s="16">
        <v>45397</v>
      </c>
      <c r="M745" s="17">
        <v>9</v>
      </c>
      <c r="N745" s="27">
        <v>90744</v>
      </c>
      <c r="O745" s="27" t="s">
        <v>29</v>
      </c>
      <c r="P745" s="28">
        <v>45383</v>
      </c>
      <c r="Q745" s="29">
        <v>0.85777000000000003</v>
      </c>
      <c r="R745" s="30">
        <v>70744</v>
      </c>
      <c r="S745" s="27" t="s">
        <v>30</v>
      </c>
      <c r="T745" s="29">
        <v>81313.699139999997</v>
      </c>
      <c r="U745" s="27" t="s">
        <v>48</v>
      </c>
      <c r="V745" s="28">
        <v>45392</v>
      </c>
      <c r="W745" s="27" t="s">
        <v>38</v>
      </c>
      <c r="X745" s="28">
        <v>45376</v>
      </c>
      <c r="Y745" s="27" t="s">
        <v>33</v>
      </c>
      <c r="Z745" s="43" t="e">
        <f>TEXT([1]!Table64[[#This Row],[Order date]],"mmm-yyyy")</f>
        <v>#REF!</v>
      </c>
    </row>
    <row r="746" spans="1:26" x14ac:dyDescent="0.3">
      <c r="A746" s="10">
        <v>10745</v>
      </c>
      <c r="B746" s="11">
        <v>6525</v>
      </c>
      <c r="C746" s="11" t="s">
        <v>34</v>
      </c>
      <c r="D746" s="12">
        <v>90289.24</v>
      </c>
      <c r="E746" s="11">
        <v>18</v>
      </c>
      <c r="F746" s="11" t="s">
        <v>43</v>
      </c>
      <c r="G746" s="13">
        <v>45337</v>
      </c>
      <c r="H746" s="12">
        <v>30534.32</v>
      </c>
      <c r="I746" s="14" t="s">
        <v>47</v>
      </c>
      <c r="J746" s="15" t="s">
        <v>36</v>
      </c>
      <c r="K746" s="15">
        <v>1455</v>
      </c>
      <c r="L746" s="16">
        <v>45397</v>
      </c>
      <c r="M746" s="17">
        <v>8</v>
      </c>
      <c r="N746" s="18">
        <v>90745</v>
      </c>
      <c r="O746" s="18" t="s">
        <v>37</v>
      </c>
      <c r="P746" s="19">
        <v>45430</v>
      </c>
      <c r="Q746" s="20">
        <v>0.51744999999999997</v>
      </c>
      <c r="R746" s="21">
        <v>70745</v>
      </c>
      <c r="S746" s="18" t="s">
        <v>41</v>
      </c>
      <c r="T746" s="20">
        <v>154817.1539</v>
      </c>
      <c r="U746" s="18" t="s">
        <v>31</v>
      </c>
      <c r="V746" s="19">
        <v>45392</v>
      </c>
      <c r="W746" s="18" t="s">
        <v>38</v>
      </c>
      <c r="X746" s="19">
        <v>45384</v>
      </c>
      <c r="Y746" s="18" t="s">
        <v>39</v>
      </c>
      <c r="Z746" s="43" t="e">
        <f>TEXT([1]!Table64[[#This Row],[Order date]],"mmm-yyyy")</f>
        <v>#REF!</v>
      </c>
    </row>
    <row r="747" spans="1:26" x14ac:dyDescent="0.3">
      <c r="A747" s="22">
        <v>10746</v>
      </c>
      <c r="B747" s="23">
        <v>6650</v>
      </c>
      <c r="C747" s="23" t="s">
        <v>34</v>
      </c>
      <c r="D747" s="24">
        <v>78003.100000000006</v>
      </c>
      <c r="E747" s="23">
        <v>73</v>
      </c>
      <c r="F747" s="23" t="s">
        <v>43</v>
      </c>
      <c r="G747" s="25">
        <v>45337</v>
      </c>
      <c r="H747" s="24">
        <v>63244.71</v>
      </c>
      <c r="I747" s="26" t="s">
        <v>44</v>
      </c>
      <c r="J747" s="15" t="s">
        <v>28</v>
      </c>
      <c r="K747" s="15">
        <v>914</v>
      </c>
      <c r="L747" s="16">
        <v>45397</v>
      </c>
      <c r="M747" s="17">
        <v>9</v>
      </c>
      <c r="N747" s="27">
        <v>90746</v>
      </c>
      <c r="O747" s="27" t="s">
        <v>29</v>
      </c>
      <c r="P747" s="28">
        <v>45430</v>
      </c>
      <c r="Q747" s="29">
        <v>0.78495000000000004</v>
      </c>
      <c r="R747" s="30">
        <v>70746</v>
      </c>
      <c r="S747" s="27" t="s">
        <v>45</v>
      </c>
      <c r="T747" s="29">
        <v>187721.60759999999</v>
      </c>
      <c r="U747" s="27" t="s">
        <v>48</v>
      </c>
      <c r="V747" s="28">
        <v>45392</v>
      </c>
      <c r="W747" s="27" t="s">
        <v>38</v>
      </c>
      <c r="X747" s="28">
        <v>45376</v>
      </c>
      <c r="Y747" s="27" t="s">
        <v>39</v>
      </c>
      <c r="Z747" s="43" t="e">
        <f>TEXT([1]!Table64[[#This Row],[Order date]],"mmm-yyyy")</f>
        <v>#REF!</v>
      </c>
    </row>
    <row r="748" spans="1:26" x14ac:dyDescent="0.3">
      <c r="A748" s="10">
        <v>10747</v>
      </c>
      <c r="B748" s="11">
        <v>6517</v>
      </c>
      <c r="C748" s="11" t="s">
        <v>25</v>
      </c>
      <c r="D748" s="12">
        <v>12717.95</v>
      </c>
      <c r="E748" s="11">
        <v>29</v>
      </c>
      <c r="F748" s="11" t="s">
        <v>35</v>
      </c>
      <c r="G748" s="13">
        <v>45383</v>
      </c>
      <c r="H748" s="12">
        <v>26304.68</v>
      </c>
      <c r="I748" s="14" t="s">
        <v>44</v>
      </c>
      <c r="J748" s="15" t="s">
        <v>49</v>
      </c>
      <c r="K748" s="15">
        <v>1343</v>
      </c>
      <c r="L748" s="16">
        <v>45332</v>
      </c>
      <c r="M748" s="17">
        <v>10</v>
      </c>
      <c r="N748" s="18">
        <v>90747</v>
      </c>
      <c r="O748" s="18" t="s">
        <v>29</v>
      </c>
      <c r="P748" s="19">
        <v>45430</v>
      </c>
      <c r="Q748" s="20">
        <v>0.57213000000000003</v>
      </c>
      <c r="R748" s="21">
        <v>70747</v>
      </c>
      <c r="S748" s="18" t="s">
        <v>41</v>
      </c>
      <c r="T748" s="20">
        <v>72084.164269999994</v>
      </c>
      <c r="U748" s="18" t="s">
        <v>42</v>
      </c>
      <c r="V748" s="19">
        <v>45444</v>
      </c>
      <c r="W748" s="18" t="s">
        <v>32</v>
      </c>
      <c r="X748" s="19">
        <v>45376</v>
      </c>
      <c r="Y748" s="18" t="s">
        <v>33</v>
      </c>
      <c r="Z748" s="43" t="e">
        <f>TEXT([1]!Table64[[#This Row],[Order date]],"mmm-yyyy")</f>
        <v>#REF!</v>
      </c>
    </row>
    <row r="749" spans="1:26" x14ac:dyDescent="0.3">
      <c r="A749" s="22">
        <v>10748</v>
      </c>
      <c r="B749" s="23">
        <v>6099</v>
      </c>
      <c r="C749" s="23" t="s">
        <v>34</v>
      </c>
      <c r="D749" s="24">
        <v>81605.539999999994</v>
      </c>
      <c r="E749" s="23">
        <v>77</v>
      </c>
      <c r="F749" s="23" t="s">
        <v>35</v>
      </c>
      <c r="G749" s="25">
        <v>45383</v>
      </c>
      <c r="H749" s="24">
        <v>149890.01999999999</v>
      </c>
      <c r="I749" s="26" t="s">
        <v>44</v>
      </c>
      <c r="J749" s="15" t="s">
        <v>36</v>
      </c>
      <c r="K749" s="15">
        <v>1365</v>
      </c>
      <c r="L749" s="16">
        <v>45361</v>
      </c>
      <c r="M749" s="17">
        <v>4</v>
      </c>
      <c r="N749" s="27">
        <v>90748</v>
      </c>
      <c r="O749" s="27" t="s">
        <v>40</v>
      </c>
      <c r="P749" s="28">
        <v>45430</v>
      </c>
      <c r="Q749" s="29">
        <v>0.30047000000000001</v>
      </c>
      <c r="R749" s="30">
        <v>70748</v>
      </c>
      <c r="S749" s="27" t="s">
        <v>41</v>
      </c>
      <c r="T749" s="29">
        <v>189519.04621999999</v>
      </c>
      <c r="U749" s="27" t="s">
        <v>48</v>
      </c>
      <c r="V749" s="28">
        <v>45422</v>
      </c>
      <c r="W749" s="27" t="s">
        <v>32</v>
      </c>
      <c r="X749" s="28">
        <v>45376</v>
      </c>
      <c r="Y749" s="27" t="s">
        <v>33</v>
      </c>
      <c r="Z749" s="43" t="e">
        <f>TEXT([1]!Table64[[#This Row],[Order date]],"mmm-yyyy")</f>
        <v>#REF!</v>
      </c>
    </row>
    <row r="750" spans="1:26" x14ac:dyDescent="0.3">
      <c r="A750" s="10">
        <v>10749</v>
      </c>
      <c r="B750" s="11">
        <v>5413</v>
      </c>
      <c r="C750" s="11" t="s">
        <v>34</v>
      </c>
      <c r="D750" s="12">
        <v>55087.54</v>
      </c>
      <c r="E750" s="11">
        <v>59</v>
      </c>
      <c r="F750" s="11" t="s">
        <v>35</v>
      </c>
      <c r="G750" s="13">
        <v>45306</v>
      </c>
      <c r="H750" s="12">
        <v>36610.199999999997</v>
      </c>
      <c r="I750" s="14" t="s">
        <v>47</v>
      </c>
      <c r="J750" s="15" t="s">
        <v>28</v>
      </c>
      <c r="K750" s="15">
        <v>73</v>
      </c>
      <c r="L750" s="16">
        <v>45397</v>
      </c>
      <c r="M750" s="17">
        <v>9</v>
      </c>
      <c r="N750" s="18">
        <v>90749</v>
      </c>
      <c r="O750" s="18" t="s">
        <v>50</v>
      </c>
      <c r="P750" s="19">
        <v>45430</v>
      </c>
      <c r="Q750" s="20">
        <v>0.40389000000000003</v>
      </c>
      <c r="R750" s="21">
        <v>70749</v>
      </c>
      <c r="S750" s="18" t="s">
        <v>41</v>
      </c>
      <c r="T750" s="20">
        <v>163216.79397999999</v>
      </c>
      <c r="U750" s="18" t="s">
        <v>42</v>
      </c>
      <c r="V750" s="19">
        <v>45444</v>
      </c>
      <c r="W750" s="18" t="s">
        <v>38</v>
      </c>
      <c r="X750" s="19">
        <v>45384</v>
      </c>
      <c r="Y750" s="18" t="s">
        <v>33</v>
      </c>
      <c r="Z750" s="43" t="e">
        <f>TEXT([1]!Table64[[#This Row],[Order date]],"mmm-yyyy")</f>
        <v>#REF!</v>
      </c>
    </row>
    <row r="751" spans="1:26" x14ac:dyDescent="0.3">
      <c r="A751" s="22">
        <v>10750</v>
      </c>
      <c r="B751" s="23">
        <v>6400</v>
      </c>
      <c r="C751" s="23" t="s">
        <v>34</v>
      </c>
      <c r="D751" s="24">
        <v>62835.34</v>
      </c>
      <c r="E751" s="23">
        <v>47</v>
      </c>
      <c r="F751" s="23" t="s">
        <v>26</v>
      </c>
      <c r="G751" s="25">
        <v>45383</v>
      </c>
      <c r="H751" s="24">
        <v>44232.26</v>
      </c>
      <c r="I751" s="26" t="s">
        <v>27</v>
      </c>
      <c r="J751" s="15" t="s">
        <v>36</v>
      </c>
      <c r="K751" s="15">
        <v>1005</v>
      </c>
      <c r="L751" s="16">
        <v>45361</v>
      </c>
      <c r="M751" s="17">
        <v>7</v>
      </c>
      <c r="N751" s="27">
        <v>90750</v>
      </c>
      <c r="O751" s="27" t="s">
        <v>29</v>
      </c>
      <c r="P751" s="28">
        <v>45383</v>
      </c>
      <c r="Q751" s="29">
        <v>0.54132000000000002</v>
      </c>
      <c r="R751" s="30">
        <v>70750</v>
      </c>
      <c r="S751" s="27" t="s">
        <v>30</v>
      </c>
      <c r="T751" s="29">
        <v>124625.50827000001</v>
      </c>
      <c r="U751" s="27" t="s">
        <v>31</v>
      </c>
      <c r="V751" s="28">
        <v>45422</v>
      </c>
      <c r="W751" s="27" t="s">
        <v>38</v>
      </c>
      <c r="X751" s="28">
        <v>45376</v>
      </c>
      <c r="Y751" s="27" t="s">
        <v>39</v>
      </c>
      <c r="Z751" s="43" t="e">
        <f>TEXT([1]!Table64[[#This Row],[Order date]],"mmm-yyyy")</f>
        <v>#REF!</v>
      </c>
    </row>
    <row r="752" spans="1:26" x14ac:dyDescent="0.3">
      <c r="A752" s="10">
        <v>10751</v>
      </c>
      <c r="B752" s="11">
        <v>6444</v>
      </c>
      <c r="C752" s="11" t="s">
        <v>34</v>
      </c>
      <c r="D752" s="12">
        <v>80786.19</v>
      </c>
      <c r="E752" s="11">
        <v>17</v>
      </c>
      <c r="F752" s="11" t="s">
        <v>26</v>
      </c>
      <c r="G752" s="13">
        <v>45383</v>
      </c>
      <c r="H752" s="12">
        <v>63846.44</v>
      </c>
      <c r="I752" s="14" t="s">
        <v>47</v>
      </c>
      <c r="J752" s="15" t="s">
        <v>36</v>
      </c>
      <c r="K752" s="15">
        <v>360</v>
      </c>
      <c r="L752" s="16">
        <v>45397</v>
      </c>
      <c r="M752" s="17">
        <v>5</v>
      </c>
      <c r="N752" s="18">
        <v>90751</v>
      </c>
      <c r="O752" s="18" t="s">
        <v>37</v>
      </c>
      <c r="P752" s="19">
        <v>45383</v>
      </c>
      <c r="Q752" s="20">
        <v>0.38519999999999999</v>
      </c>
      <c r="R752" s="21">
        <v>70751</v>
      </c>
      <c r="S752" s="18" t="s">
        <v>41</v>
      </c>
      <c r="T752" s="20">
        <v>159542.67126</v>
      </c>
      <c r="U752" s="18" t="s">
        <v>31</v>
      </c>
      <c r="V752" s="19">
        <v>45422</v>
      </c>
      <c r="W752" s="18" t="s">
        <v>32</v>
      </c>
      <c r="X752" s="19">
        <v>45384</v>
      </c>
      <c r="Y752" s="18" t="s">
        <v>33</v>
      </c>
      <c r="Z752" s="43" t="e">
        <f>TEXT([1]!Table64[[#This Row],[Order date]],"mmm-yyyy")</f>
        <v>#REF!</v>
      </c>
    </row>
    <row r="753" spans="1:26" x14ac:dyDescent="0.3">
      <c r="A753" s="22">
        <v>10752</v>
      </c>
      <c r="B753" s="23">
        <v>5729</v>
      </c>
      <c r="C753" s="23" t="s">
        <v>34</v>
      </c>
      <c r="D753" s="24">
        <v>21775.03</v>
      </c>
      <c r="E753" s="23">
        <v>96</v>
      </c>
      <c r="F753" s="23" t="s">
        <v>35</v>
      </c>
      <c r="G753" s="25">
        <v>45383</v>
      </c>
      <c r="H753" s="24">
        <v>84606.21</v>
      </c>
      <c r="I753" s="26" t="s">
        <v>44</v>
      </c>
      <c r="J753" s="15" t="s">
        <v>28</v>
      </c>
      <c r="K753" s="15">
        <v>1281</v>
      </c>
      <c r="L753" s="16">
        <v>45397</v>
      </c>
      <c r="M753" s="17">
        <v>5</v>
      </c>
      <c r="N753" s="27">
        <v>90752</v>
      </c>
      <c r="O753" s="27" t="s">
        <v>29</v>
      </c>
      <c r="P753" s="28">
        <v>45383</v>
      </c>
      <c r="Q753" s="29">
        <v>0.40196999999999999</v>
      </c>
      <c r="R753" s="30">
        <v>70752</v>
      </c>
      <c r="S753" s="27" t="s">
        <v>41</v>
      </c>
      <c r="T753" s="29">
        <v>135986.60980000001</v>
      </c>
      <c r="U753" s="27" t="s">
        <v>42</v>
      </c>
      <c r="V753" s="28">
        <v>45444</v>
      </c>
      <c r="W753" s="27" t="s">
        <v>38</v>
      </c>
      <c r="X753" s="28">
        <v>45384</v>
      </c>
      <c r="Y753" s="27" t="s">
        <v>39</v>
      </c>
      <c r="Z753" s="43" t="e">
        <f>TEXT([1]!Table64[[#This Row],[Order date]],"mmm-yyyy")</f>
        <v>#REF!</v>
      </c>
    </row>
    <row r="754" spans="1:26" x14ac:dyDescent="0.3">
      <c r="A754" s="10">
        <v>10753</v>
      </c>
      <c r="B754" s="11">
        <v>6301</v>
      </c>
      <c r="C754" s="11" t="s">
        <v>34</v>
      </c>
      <c r="D754" s="12">
        <v>34187.03</v>
      </c>
      <c r="E754" s="11">
        <v>22</v>
      </c>
      <c r="F754" s="11" t="s">
        <v>35</v>
      </c>
      <c r="G754" s="13">
        <v>45337</v>
      </c>
      <c r="H754" s="12">
        <v>30789.88</v>
      </c>
      <c r="I754" s="14" t="s">
        <v>27</v>
      </c>
      <c r="J754" s="15" t="s">
        <v>36</v>
      </c>
      <c r="K754" s="15">
        <v>713</v>
      </c>
      <c r="L754" s="16">
        <v>45332</v>
      </c>
      <c r="M754" s="17">
        <v>1</v>
      </c>
      <c r="N754" s="18">
        <v>90753</v>
      </c>
      <c r="O754" s="18" t="s">
        <v>29</v>
      </c>
      <c r="P754" s="19">
        <v>45383</v>
      </c>
      <c r="Q754" s="20">
        <v>0.40365000000000001</v>
      </c>
      <c r="R754" s="21">
        <v>70753</v>
      </c>
      <c r="S754" s="18" t="s">
        <v>30</v>
      </c>
      <c r="T754" s="20">
        <v>155302.74239999999</v>
      </c>
      <c r="U754" s="18" t="s">
        <v>31</v>
      </c>
      <c r="V754" s="19">
        <v>45422</v>
      </c>
      <c r="W754" s="18" t="s">
        <v>32</v>
      </c>
      <c r="X754" s="19">
        <v>45376</v>
      </c>
      <c r="Y754" s="18" t="s">
        <v>33</v>
      </c>
      <c r="Z754" s="43" t="e">
        <f>TEXT([1]!Table64[[#This Row],[Order date]],"mmm-yyyy")</f>
        <v>#REF!</v>
      </c>
    </row>
    <row r="755" spans="1:26" x14ac:dyDescent="0.3">
      <c r="A755" s="22">
        <v>10754</v>
      </c>
      <c r="B755" s="23">
        <v>6021</v>
      </c>
      <c r="C755" s="23" t="s">
        <v>34</v>
      </c>
      <c r="D755" s="24">
        <v>33766.17</v>
      </c>
      <c r="E755" s="23">
        <v>68</v>
      </c>
      <c r="F755" s="23" t="s">
        <v>26</v>
      </c>
      <c r="G755" s="25">
        <v>45361</v>
      </c>
      <c r="H755" s="24">
        <v>49369.47</v>
      </c>
      <c r="I755" s="26" t="s">
        <v>44</v>
      </c>
      <c r="J755" s="15" t="s">
        <v>36</v>
      </c>
      <c r="K755" s="15">
        <v>487</v>
      </c>
      <c r="L755" s="16">
        <v>45361</v>
      </c>
      <c r="M755" s="17">
        <v>2</v>
      </c>
      <c r="N755" s="27">
        <v>90754</v>
      </c>
      <c r="O755" s="27" t="s">
        <v>50</v>
      </c>
      <c r="P755" s="28">
        <v>45352</v>
      </c>
      <c r="Q755" s="29">
        <v>0.21056</v>
      </c>
      <c r="R755" s="30">
        <v>70754</v>
      </c>
      <c r="S755" s="27" t="s">
        <v>45</v>
      </c>
      <c r="T755" s="29">
        <v>141875.06937000001</v>
      </c>
      <c r="U755" s="27" t="s">
        <v>48</v>
      </c>
      <c r="V755" s="28">
        <v>45422</v>
      </c>
      <c r="W755" s="27" t="s">
        <v>38</v>
      </c>
      <c r="X755" s="28">
        <v>45376</v>
      </c>
      <c r="Y755" s="27" t="s">
        <v>33</v>
      </c>
      <c r="Z755" s="43" t="e">
        <f>TEXT([1]!Table64[[#This Row],[Order date]],"mmm-yyyy")</f>
        <v>#REF!</v>
      </c>
    </row>
    <row r="756" spans="1:26" x14ac:dyDescent="0.3">
      <c r="A756" s="10">
        <v>10755</v>
      </c>
      <c r="B756" s="11">
        <v>5761</v>
      </c>
      <c r="C756" s="11" t="s">
        <v>34</v>
      </c>
      <c r="D756" s="12">
        <v>40671.410000000003</v>
      </c>
      <c r="E756" s="11">
        <v>69</v>
      </c>
      <c r="F756" s="11" t="s">
        <v>46</v>
      </c>
      <c r="G756" s="13">
        <v>45306</v>
      </c>
      <c r="H756" s="12">
        <v>170750.74</v>
      </c>
      <c r="I756" s="14" t="s">
        <v>44</v>
      </c>
      <c r="J756" s="15" t="s">
        <v>36</v>
      </c>
      <c r="K756" s="15">
        <v>755</v>
      </c>
      <c r="L756" s="16">
        <v>45332</v>
      </c>
      <c r="M756" s="17">
        <v>10</v>
      </c>
      <c r="N756" s="18">
        <v>90755</v>
      </c>
      <c r="O756" s="18" t="s">
        <v>40</v>
      </c>
      <c r="P756" s="19">
        <v>45383</v>
      </c>
      <c r="Q756" s="20">
        <v>0.17618</v>
      </c>
      <c r="R756" s="21">
        <v>70755</v>
      </c>
      <c r="S756" s="18" t="s">
        <v>41</v>
      </c>
      <c r="T756" s="20">
        <v>100958.57627999999</v>
      </c>
      <c r="U756" s="18" t="s">
        <v>42</v>
      </c>
      <c r="V756" s="19">
        <v>45444</v>
      </c>
      <c r="W756" s="18" t="s">
        <v>32</v>
      </c>
      <c r="X756" s="19">
        <v>45384</v>
      </c>
      <c r="Y756" s="18" t="s">
        <v>33</v>
      </c>
      <c r="Z756" s="43" t="e">
        <f>TEXT([1]!Table64[[#This Row],[Order date]],"mmm-yyyy")</f>
        <v>#REF!</v>
      </c>
    </row>
    <row r="757" spans="1:26" x14ac:dyDescent="0.3">
      <c r="A757" s="22">
        <v>10756</v>
      </c>
      <c r="B757" s="23">
        <v>5676</v>
      </c>
      <c r="C757" s="23" t="s">
        <v>34</v>
      </c>
      <c r="D757" s="24">
        <v>45738.239999999998</v>
      </c>
      <c r="E757" s="23">
        <v>37</v>
      </c>
      <c r="F757" s="23" t="s">
        <v>43</v>
      </c>
      <c r="G757" s="25">
        <v>45361</v>
      </c>
      <c r="H757" s="24">
        <v>69967.22</v>
      </c>
      <c r="I757" s="26" t="s">
        <v>44</v>
      </c>
      <c r="J757" s="15" t="s">
        <v>36</v>
      </c>
      <c r="K757" s="15">
        <v>1409</v>
      </c>
      <c r="L757" s="16">
        <v>45332</v>
      </c>
      <c r="M757" s="17">
        <v>3</v>
      </c>
      <c r="N757" s="27">
        <v>90756</v>
      </c>
      <c r="O757" s="27" t="s">
        <v>37</v>
      </c>
      <c r="P757" s="28">
        <v>45352</v>
      </c>
      <c r="Q757" s="29">
        <v>0.14185</v>
      </c>
      <c r="R757" s="30">
        <v>70756</v>
      </c>
      <c r="S757" s="27" t="s">
        <v>45</v>
      </c>
      <c r="T757" s="29">
        <v>215373.96049999999</v>
      </c>
      <c r="U757" s="27" t="s">
        <v>31</v>
      </c>
      <c r="V757" s="28">
        <v>45392</v>
      </c>
      <c r="W757" s="27" t="s">
        <v>32</v>
      </c>
      <c r="X757" s="28">
        <v>45376</v>
      </c>
      <c r="Y757" s="27" t="s">
        <v>33</v>
      </c>
      <c r="Z757" s="43" t="e">
        <f>TEXT([1]!Table64[[#This Row],[Order date]],"mmm-yyyy")</f>
        <v>#REF!</v>
      </c>
    </row>
    <row r="758" spans="1:26" x14ac:dyDescent="0.3">
      <c r="A758" s="10">
        <v>10757</v>
      </c>
      <c r="B758" s="11">
        <v>6418</v>
      </c>
      <c r="C758" s="11" t="s">
        <v>25</v>
      </c>
      <c r="D758" s="12">
        <v>39071.51</v>
      </c>
      <c r="E758" s="11">
        <v>49</v>
      </c>
      <c r="F758" s="11" t="s">
        <v>43</v>
      </c>
      <c r="G758" s="13">
        <v>45361</v>
      </c>
      <c r="H758" s="12">
        <v>95936.6</v>
      </c>
      <c r="I758" s="14" t="s">
        <v>27</v>
      </c>
      <c r="J758" s="15" t="s">
        <v>49</v>
      </c>
      <c r="K758" s="15">
        <v>471</v>
      </c>
      <c r="L758" s="16">
        <v>45361</v>
      </c>
      <c r="M758" s="17">
        <v>14</v>
      </c>
      <c r="N758" s="18">
        <v>90757</v>
      </c>
      <c r="O758" s="18" t="s">
        <v>40</v>
      </c>
      <c r="P758" s="19">
        <v>45383</v>
      </c>
      <c r="Q758" s="20">
        <v>0.19986000000000001</v>
      </c>
      <c r="R758" s="21">
        <v>70757</v>
      </c>
      <c r="S758" s="18" t="s">
        <v>41</v>
      </c>
      <c r="T758" s="20">
        <v>165006.76303999999</v>
      </c>
      <c r="U758" s="18" t="s">
        <v>48</v>
      </c>
      <c r="V758" s="19">
        <v>45422</v>
      </c>
      <c r="W758" s="18" t="s">
        <v>32</v>
      </c>
      <c r="X758" s="19">
        <v>45376</v>
      </c>
      <c r="Y758" s="18" t="s">
        <v>33</v>
      </c>
      <c r="Z758" s="43" t="e">
        <f>TEXT([1]!Table64[[#This Row],[Order date]],"mmm-yyyy")</f>
        <v>#REF!</v>
      </c>
    </row>
    <row r="759" spans="1:26" x14ac:dyDescent="0.3">
      <c r="A759" s="22">
        <v>10758</v>
      </c>
      <c r="B759" s="23">
        <v>6893</v>
      </c>
      <c r="C759" s="23" t="s">
        <v>34</v>
      </c>
      <c r="D759" s="24">
        <v>74181.990000000005</v>
      </c>
      <c r="E759" s="23">
        <v>13</v>
      </c>
      <c r="F759" s="23" t="s">
        <v>35</v>
      </c>
      <c r="G759" s="25">
        <v>45383</v>
      </c>
      <c r="H759" s="24">
        <v>85809.64</v>
      </c>
      <c r="I759" s="26" t="s">
        <v>47</v>
      </c>
      <c r="J759" s="15" t="s">
        <v>36</v>
      </c>
      <c r="K759" s="15">
        <v>370</v>
      </c>
      <c r="L759" s="16">
        <v>45332</v>
      </c>
      <c r="M759" s="17">
        <v>14</v>
      </c>
      <c r="N759" s="27">
        <v>90758</v>
      </c>
      <c r="O759" s="27" t="s">
        <v>40</v>
      </c>
      <c r="P759" s="28">
        <v>45430</v>
      </c>
      <c r="Q759" s="29">
        <v>0.40933999999999998</v>
      </c>
      <c r="R759" s="30">
        <v>70758</v>
      </c>
      <c r="S759" s="27" t="s">
        <v>41</v>
      </c>
      <c r="T759" s="29">
        <v>159319.7641</v>
      </c>
      <c r="U759" s="27" t="s">
        <v>48</v>
      </c>
      <c r="V759" s="28">
        <v>45444</v>
      </c>
      <c r="W759" s="27" t="s">
        <v>38</v>
      </c>
      <c r="X759" s="28">
        <v>45376</v>
      </c>
      <c r="Y759" s="27" t="s">
        <v>33</v>
      </c>
      <c r="Z759" s="43" t="e">
        <f>TEXT([1]!Table64[[#This Row],[Order date]],"mmm-yyyy")</f>
        <v>#REF!</v>
      </c>
    </row>
    <row r="760" spans="1:26" x14ac:dyDescent="0.3">
      <c r="A760" s="10">
        <v>10759</v>
      </c>
      <c r="B760" s="11">
        <v>5457</v>
      </c>
      <c r="C760" s="11" t="s">
        <v>34</v>
      </c>
      <c r="D760" s="12">
        <v>60073.31</v>
      </c>
      <c r="E760" s="11">
        <v>34</v>
      </c>
      <c r="F760" s="11" t="s">
        <v>46</v>
      </c>
      <c r="G760" s="13">
        <v>45306</v>
      </c>
      <c r="H760" s="12">
        <v>143262.89000000001</v>
      </c>
      <c r="I760" s="14" t="s">
        <v>44</v>
      </c>
      <c r="J760" s="15" t="s">
        <v>36</v>
      </c>
      <c r="K760" s="15">
        <v>636</v>
      </c>
      <c r="L760" s="16">
        <v>45397</v>
      </c>
      <c r="M760" s="17">
        <v>8</v>
      </c>
      <c r="N760" s="18">
        <v>90759</v>
      </c>
      <c r="O760" s="18" t="s">
        <v>40</v>
      </c>
      <c r="P760" s="19">
        <v>45430</v>
      </c>
      <c r="Q760" s="20">
        <v>0.63448000000000004</v>
      </c>
      <c r="R760" s="21">
        <v>70759</v>
      </c>
      <c r="S760" s="18" t="s">
        <v>41</v>
      </c>
      <c r="T760" s="20">
        <v>112403.8952</v>
      </c>
      <c r="U760" s="18" t="s">
        <v>31</v>
      </c>
      <c r="V760" s="19">
        <v>45422</v>
      </c>
      <c r="W760" s="18" t="s">
        <v>38</v>
      </c>
      <c r="X760" s="19">
        <v>45384</v>
      </c>
      <c r="Y760" s="18" t="s">
        <v>39</v>
      </c>
      <c r="Z760" s="43" t="e">
        <f>TEXT([1]!Table64[[#This Row],[Order date]],"mmm-yyyy")</f>
        <v>#REF!</v>
      </c>
    </row>
    <row r="761" spans="1:26" x14ac:dyDescent="0.3">
      <c r="A761" s="22">
        <v>10760</v>
      </c>
      <c r="B761" s="23">
        <v>5920</v>
      </c>
      <c r="C761" s="23" t="s">
        <v>25</v>
      </c>
      <c r="D761" s="24">
        <v>68292.41</v>
      </c>
      <c r="E761" s="23">
        <v>86</v>
      </c>
      <c r="F761" s="23" t="s">
        <v>26</v>
      </c>
      <c r="G761" s="25">
        <v>45361</v>
      </c>
      <c r="H761" s="24">
        <v>36406.39</v>
      </c>
      <c r="I761" s="26" t="s">
        <v>47</v>
      </c>
      <c r="J761" s="15" t="s">
        <v>28</v>
      </c>
      <c r="K761" s="15">
        <v>996</v>
      </c>
      <c r="L761" s="16">
        <v>45397</v>
      </c>
      <c r="M761" s="17">
        <v>6</v>
      </c>
      <c r="N761" s="27">
        <v>90760</v>
      </c>
      <c r="O761" s="27" t="s">
        <v>29</v>
      </c>
      <c r="P761" s="28">
        <v>45430</v>
      </c>
      <c r="Q761" s="29">
        <v>0.26933000000000001</v>
      </c>
      <c r="R761" s="30">
        <v>70760</v>
      </c>
      <c r="S761" s="27" t="s">
        <v>41</v>
      </c>
      <c r="T761" s="29">
        <v>143628.77536999999</v>
      </c>
      <c r="U761" s="27" t="s">
        <v>31</v>
      </c>
      <c r="V761" s="28">
        <v>45444</v>
      </c>
      <c r="W761" s="27" t="s">
        <v>32</v>
      </c>
      <c r="X761" s="28">
        <v>45376</v>
      </c>
      <c r="Y761" s="27" t="s">
        <v>33</v>
      </c>
      <c r="Z761" s="43" t="e">
        <f>TEXT([1]!Table64[[#This Row],[Order date]],"mmm-yyyy")</f>
        <v>#REF!</v>
      </c>
    </row>
    <row r="762" spans="1:26" x14ac:dyDescent="0.3">
      <c r="A762" s="10">
        <v>10761</v>
      </c>
      <c r="B762" s="11">
        <v>5192</v>
      </c>
      <c r="C762" s="11" t="s">
        <v>34</v>
      </c>
      <c r="D762" s="12">
        <v>94035.61</v>
      </c>
      <c r="E762" s="11">
        <v>53</v>
      </c>
      <c r="F762" s="11" t="s">
        <v>35</v>
      </c>
      <c r="G762" s="13">
        <v>45361</v>
      </c>
      <c r="H762" s="12">
        <v>102236.74</v>
      </c>
      <c r="I762" s="14" t="s">
        <v>44</v>
      </c>
      <c r="J762" s="15" t="s">
        <v>49</v>
      </c>
      <c r="K762" s="15">
        <v>1236</v>
      </c>
      <c r="L762" s="16">
        <v>45397</v>
      </c>
      <c r="M762" s="17">
        <v>12</v>
      </c>
      <c r="N762" s="18">
        <v>90761</v>
      </c>
      <c r="O762" s="18" t="s">
        <v>50</v>
      </c>
      <c r="P762" s="19">
        <v>45352</v>
      </c>
      <c r="Q762" s="20">
        <v>0.89920999999999995</v>
      </c>
      <c r="R762" s="21">
        <v>70761</v>
      </c>
      <c r="S762" s="18" t="s">
        <v>41</v>
      </c>
      <c r="T762" s="20">
        <v>67222.542700000005</v>
      </c>
      <c r="U762" s="18" t="s">
        <v>48</v>
      </c>
      <c r="V762" s="19">
        <v>45392</v>
      </c>
      <c r="W762" s="18" t="s">
        <v>32</v>
      </c>
      <c r="X762" s="19">
        <v>45384</v>
      </c>
      <c r="Y762" s="18" t="s">
        <v>33</v>
      </c>
      <c r="Z762" s="43" t="e">
        <f>TEXT([1]!Table64[[#This Row],[Order date]],"mmm-yyyy")</f>
        <v>#REF!</v>
      </c>
    </row>
    <row r="763" spans="1:26" x14ac:dyDescent="0.3">
      <c r="A763" s="22">
        <v>10762</v>
      </c>
      <c r="B763" s="23">
        <v>5739</v>
      </c>
      <c r="C763" s="23" t="s">
        <v>25</v>
      </c>
      <c r="D763" s="24">
        <v>51961.23</v>
      </c>
      <c r="E763" s="23">
        <v>87</v>
      </c>
      <c r="F763" s="23" t="s">
        <v>46</v>
      </c>
      <c r="G763" s="25">
        <v>45306</v>
      </c>
      <c r="H763" s="24">
        <v>70810.22</v>
      </c>
      <c r="I763" s="26" t="s">
        <v>44</v>
      </c>
      <c r="J763" s="15" t="s">
        <v>28</v>
      </c>
      <c r="K763" s="15">
        <v>1238</v>
      </c>
      <c r="L763" s="16">
        <v>45397</v>
      </c>
      <c r="M763" s="17">
        <v>10</v>
      </c>
      <c r="N763" s="27">
        <v>90762</v>
      </c>
      <c r="O763" s="27" t="s">
        <v>29</v>
      </c>
      <c r="P763" s="28">
        <v>45383</v>
      </c>
      <c r="Q763" s="29">
        <v>0.82754000000000005</v>
      </c>
      <c r="R763" s="30">
        <v>70762</v>
      </c>
      <c r="S763" s="27" t="s">
        <v>45</v>
      </c>
      <c r="T763" s="29">
        <v>171617.33966999999</v>
      </c>
      <c r="U763" s="27" t="s">
        <v>42</v>
      </c>
      <c r="V763" s="28">
        <v>45422</v>
      </c>
      <c r="W763" s="27" t="s">
        <v>38</v>
      </c>
      <c r="X763" s="28">
        <v>45376</v>
      </c>
      <c r="Y763" s="27" t="s">
        <v>33</v>
      </c>
      <c r="Z763" s="43" t="e">
        <f>TEXT([1]!Table64[[#This Row],[Order date]],"mmm-yyyy")</f>
        <v>#REF!</v>
      </c>
    </row>
    <row r="764" spans="1:26" x14ac:dyDescent="0.3">
      <c r="A764" s="10">
        <v>10763</v>
      </c>
      <c r="B764" s="11">
        <v>6713</v>
      </c>
      <c r="C764" s="11" t="s">
        <v>34</v>
      </c>
      <c r="D764" s="12">
        <v>8430.16</v>
      </c>
      <c r="E764" s="11">
        <v>51</v>
      </c>
      <c r="F764" s="11" t="s">
        <v>46</v>
      </c>
      <c r="G764" s="13">
        <v>45383</v>
      </c>
      <c r="H764" s="12">
        <v>179845</v>
      </c>
      <c r="I764" s="14" t="s">
        <v>27</v>
      </c>
      <c r="J764" s="15" t="s">
        <v>28</v>
      </c>
      <c r="K764" s="15">
        <v>898</v>
      </c>
      <c r="L764" s="16">
        <v>45397</v>
      </c>
      <c r="M764" s="17">
        <v>11</v>
      </c>
      <c r="N764" s="18">
        <v>90763</v>
      </c>
      <c r="O764" s="18" t="s">
        <v>37</v>
      </c>
      <c r="P764" s="19">
        <v>45383</v>
      </c>
      <c r="Q764" s="20">
        <v>0.56847000000000003</v>
      </c>
      <c r="R764" s="21">
        <v>70763</v>
      </c>
      <c r="S764" s="18" t="s">
        <v>45</v>
      </c>
      <c r="T764" s="20">
        <v>174722.11783999999</v>
      </c>
      <c r="U764" s="18" t="s">
        <v>31</v>
      </c>
      <c r="V764" s="19">
        <v>45392</v>
      </c>
      <c r="W764" s="18" t="s">
        <v>38</v>
      </c>
      <c r="X764" s="19">
        <v>45384</v>
      </c>
      <c r="Y764" s="18" t="s">
        <v>33</v>
      </c>
      <c r="Z764" s="43" t="e">
        <f>TEXT([1]!Table64[[#This Row],[Order date]],"mmm-yyyy")</f>
        <v>#REF!</v>
      </c>
    </row>
    <row r="765" spans="1:26" x14ac:dyDescent="0.3">
      <c r="A765" s="22">
        <v>10764</v>
      </c>
      <c r="B765" s="23">
        <v>6123</v>
      </c>
      <c r="C765" s="23" t="s">
        <v>34</v>
      </c>
      <c r="D765" s="24">
        <v>86070.97</v>
      </c>
      <c r="E765" s="23">
        <v>3</v>
      </c>
      <c r="F765" s="23" t="s">
        <v>46</v>
      </c>
      <c r="G765" s="25">
        <v>45361</v>
      </c>
      <c r="H765" s="24">
        <v>118039.91</v>
      </c>
      <c r="I765" s="26" t="s">
        <v>44</v>
      </c>
      <c r="J765" s="15" t="s">
        <v>28</v>
      </c>
      <c r="K765" s="15">
        <v>1368</v>
      </c>
      <c r="L765" s="16">
        <v>45332</v>
      </c>
      <c r="M765" s="17">
        <v>13</v>
      </c>
      <c r="N765" s="27">
        <v>90764</v>
      </c>
      <c r="O765" s="27" t="s">
        <v>50</v>
      </c>
      <c r="P765" s="28">
        <v>45352</v>
      </c>
      <c r="Q765" s="29">
        <v>0.75178999999999996</v>
      </c>
      <c r="R765" s="30">
        <v>70764</v>
      </c>
      <c r="S765" s="27" t="s">
        <v>41</v>
      </c>
      <c r="T765" s="29">
        <v>150973.84169999999</v>
      </c>
      <c r="U765" s="27" t="s">
        <v>31</v>
      </c>
      <c r="V765" s="28">
        <v>45392</v>
      </c>
      <c r="W765" s="27" t="s">
        <v>32</v>
      </c>
      <c r="X765" s="28">
        <v>45384</v>
      </c>
      <c r="Y765" s="27" t="s">
        <v>33</v>
      </c>
      <c r="Z765" s="43" t="e">
        <f>TEXT([1]!Table64[[#This Row],[Order date]],"mmm-yyyy")</f>
        <v>#REF!</v>
      </c>
    </row>
    <row r="766" spans="1:26" x14ac:dyDescent="0.3">
      <c r="A766" s="10">
        <v>10765</v>
      </c>
      <c r="B766" s="11">
        <v>6572</v>
      </c>
      <c r="C766" s="11" t="s">
        <v>34</v>
      </c>
      <c r="D766" s="12">
        <v>28308.29</v>
      </c>
      <c r="E766" s="11">
        <v>42</v>
      </c>
      <c r="F766" s="11" t="s">
        <v>26</v>
      </c>
      <c r="G766" s="13">
        <v>45337</v>
      </c>
      <c r="H766" s="12">
        <v>56141.919999999998</v>
      </c>
      <c r="I766" s="14" t="s">
        <v>44</v>
      </c>
      <c r="J766" s="15" t="s">
        <v>49</v>
      </c>
      <c r="K766" s="15">
        <v>91</v>
      </c>
      <c r="L766" s="16">
        <v>45332</v>
      </c>
      <c r="M766" s="17">
        <v>14</v>
      </c>
      <c r="N766" s="18">
        <v>90765</v>
      </c>
      <c r="O766" s="18" t="s">
        <v>40</v>
      </c>
      <c r="P766" s="19">
        <v>45352</v>
      </c>
      <c r="Q766" s="20">
        <v>0.42970000000000003</v>
      </c>
      <c r="R766" s="21">
        <v>70765</v>
      </c>
      <c r="S766" s="18" t="s">
        <v>41</v>
      </c>
      <c r="T766" s="20">
        <v>172083.93051999999</v>
      </c>
      <c r="U766" s="18" t="s">
        <v>42</v>
      </c>
      <c r="V766" s="19">
        <v>45444</v>
      </c>
      <c r="W766" s="18" t="s">
        <v>38</v>
      </c>
      <c r="X766" s="19">
        <v>45376</v>
      </c>
      <c r="Y766" s="18" t="s">
        <v>33</v>
      </c>
      <c r="Z766" s="43" t="e">
        <f>TEXT([1]!Table64[[#This Row],[Order date]],"mmm-yyyy")</f>
        <v>#REF!</v>
      </c>
    </row>
    <row r="767" spans="1:26" x14ac:dyDescent="0.3">
      <c r="A767" s="22">
        <v>10766</v>
      </c>
      <c r="B767" s="23">
        <v>5978</v>
      </c>
      <c r="C767" s="23" t="s">
        <v>34</v>
      </c>
      <c r="D767" s="24">
        <v>74432.509999999995</v>
      </c>
      <c r="E767" s="23">
        <v>98</v>
      </c>
      <c r="F767" s="23" t="s">
        <v>26</v>
      </c>
      <c r="G767" s="25">
        <v>45361</v>
      </c>
      <c r="H767" s="24">
        <v>112721.54</v>
      </c>
      <c r="I767" s="26" t="s">
        <v>47</v>
      </c>
      <c r="J767" s="15" t="s">
        <v>28</v>
      </c>
      <c r="K767" s="15">
        <v>1358</v>
      </c>
      <c r="L767" s="16">
        <v>45397</v>
      </c>
      <c r="M767" s="17">
        <v>5</v>
      </c>
      <c r="N767" s="27">
        <v>90766</v>
      </c>
      <c r="O767" s="27" t="s">
        <v>50</v>
      </c>
      <c r="P767" s="28">
        <v>45352</v>
      </c>
      <c r="Q767" s="29">
        <v>0.1331</v>
      </c>
      <c r="R767" s="30">
        <v>70766</v>
      </c>
      <c r="S767" s="27" t="s">
        <v>45</v>
      </c>
      <c r="T767" s="29">
        <v>150046.8616</v>
      </c>
      <c r="U767" s="27" t="s">
        <v>42</v>
      </c>
      <c r="V767" s="28">
        <v>45422</v>
      </c>
      <c r="W767" s="27" t="s">
        <v>38</v>
      </c>
      <c r="X767" s="28">
        <v>45376</v>
      </c>
      <c r="Y767" s="27" t="s">
        <v>39</v>
      </c>
      <c r="Z767" s="43" t="e">
        <f>TEXT([1]!Table64[[#This Row],[Order date]],"mmm-yyyy")</f>
        <v>#REF!</v>
      </c>
    </row>
    <row r="768" spans="1:26" x14ac:dyDescent="0.3">
      <c r="A768" s="10">
        <v>10767</v>
      </c>
      <c r="B768" s="11">
        <v>6009</v>
      </c>
      <c r="C768" s="11" t="s">
        <v>34</v>
      </c>
      <c r="D768" s="12">
        <v>96674.54</v>
      </c>
      <c r="E768" s="11">
        <v>32</v>
      </c>
      <c r="F768" s="11" t="s">
        <v>43</v>
      </c>
      <c r="G768" s="13">
        <v>45337</v>
      </c>
      <c r="H768" s="12">
        <v>136631.70000000001</v>
      </c>
      <c r="I768" s="14" t="s">
        <v>44</v>
      </c>
      <c r="J768" s="15" t="s">
        <v>28</v>
      </c>
      <c r="K768" s="15">
        <v>988</v>
      </c>
      <c r="L768" s="16">
        <v>45397</v>
      </c>
      <c r="M768" s="17">
        <v>13</v>
      </c>
      <c r="N768" s="18">
        <v>90767</v>
      </c>
      <c r="O768" s="18" t="s">
        <v>37</v>
      </c>
      <c r="P768" s="19">
        <v>45352</v>
      </c>
      <c r="Q768" s="20">
        <v>0.91390000000000005</v>
      </c>
      <c r="R768" s="21">
        <v>70767</v>
      </c>
      <c r="S768" s="18" t="s">
        <v>41</v>
      </c>
      <c r="T768" s="20">
        <v>111107.2191</v>
      </c>
      <c r="U768" s="18" t="s">
        <v>31</v>
      </c>
      <c r="V768" s="19">
        <v>45422</v>
      </c>
      <c r="W768" s="18" t="s">
        <v>32</v>
      </c>
      <c r="X768" s="19">
        <v>45376</v>
      </c>
      <c r="Y768" s="18" t="s">
        <v>39</v>
      </c>
      <c r="Z768" s="43" t="e">
        <f>TEXT([1]!Table64[[#This Row],[Order date]],"mmm-yyyy")</f>
        <v>#REF!</v>
      </c>
    </row>
    <row r="769" spans="1:26" x14ac:dyDescent="0.3">
      <c r="A769" s="22">
        <v>10768</v>
      </c>
      <c r="B769" s="23">
        <v>5096</v>
      </c>
      <c r="C769" s="23" t="s">
        <v>34</v>
      </c>
      <c r="D769" s="24">
        <v>82507.75</v>
      </c>
      <c r="E769" s="23">
        <v>51</v>
      </c>
      <c r="F769" s="23" t="s">
        <v>43</v>
      </c>
      <c r="G769" s="25">
        <v>45383</v>
      </c>
      <c r="H769" s="24">
        <v>95050.64</v>
      </c>
      <c r="I769" s="26" t="s">
        <v>44</v>
      </c>
      <c r="J769" s="15" t="s">
        <v>28</v>
      </c>
      <c r="K769" s="15">
        <v>436</v>
      </c>
      <c r="L769" s="16">
        <v>45332</v>
      </c>
      <c r="M769" s="17">
        <v>1</v>
      </c>
      <c r="N769" s="27">
        <v>90768</v>
      </c>
      <c r="O769" s="27" t="s">
        <v>29</v>
      </c>
      <c r="P769" s="28">
        <v>45352</v>
      </c>
      <c r="Q769" s="29">
        <v>0.21501000000000001</v>
      </c>
      <c r="R769" s="30">
        <v>70768</v>
      </c>
      <c r="S769" s="27" t="s">
        <v>41</v>
      </c>
      <c r="T769" s="29">
        <v>113116.3156</v>
      </c>
      <c r="U769" s="27" t="s">
        <v>42</v>
      </c>
      <c r="V769" s="28">
        <v>45422</v>
      </c>
      <c r="W769" s="27" t="s">
        <v>38</v>
      </c>
      <c r="X769" s="28">
        <v>45376</v>
      </c>
      <c r="Y769" s="27" t="s">
        <v>39</v>
      </c>
      <c r="Z769" s="43" t="e">
        <f>TEXT([1]!Table64[[#This Row],[Order date]],"mmm-yyyy")</f>
        <v>#REF!</v>
      </c>
    </row>
    <row r="770" spans="1:26" x14ac:dyDescent="0.3">
      <c r="A770" s="10">
        <v>10769</v>
      </c>
      <c r="B770" s="11">
        <v>6688</v>
      </c>
      <c r="C770" s="11" t="s">
        <v>34</v>
      </c>
      <c r="D770" s="12">
        <v>9863.42</v>
      </c>
      <c r="E770" s="11">
        <v>85</v>
      </c>
      <c r="F770" s="11" t="s">
        <v>46</v>
      </c>
      <c r="G770" s="13">
        <v>45361</v>
      </c>
      <c r="H770" s="12">
        <v>142715.82999999999</v>
      </c>
      <c r="I770" s="14" t="s">
        <v>44</v>
      </c>
      <c r="J770" s="15" t="s">
        <v>36</v>
      </c>
      <c r="K770" s="15">
        <v>1211</v>
      </c>
      <c r="L770" s="16">
        <v>45361</v>
      </c>
      <c r="M770" s="17">
        <v>12</v>
      </c>
      <c r="N770" s="18">
        <v>90769</v>
      </c>
      <c r="O770" s="18" t="s">
        <v>29</v>
      </c>
      <c r="P770" s="19">
        <v>45430</v>
      </c>
      <c r="Q770" s="20">
        <v>0.95313999999999999</v>
      </c>
      <c r="R770" s="21">
        <v>70769</v>
      </c>
      <c r="S770" s="18" t="s">
        <v>45</v>
      </c>
      <c r="T770" s="20">
        <v>81961.596600000004</v>
      </c>
      <c r="U770" s="18" t="s">
        <v>48</v>
      </c>
      <c r="V770" s="19">
        <v>45422</v>
      </c>
      <c r="W770" s="18" t="s">
        <v>38</v>
      </c>
      <c r="X770" s="19">
        <v>45384</v>
      </c>
      <c r="Y770" s="18" t="s">
        <v>39</v>
      </c>
      <c r="Z770" s="43" t="e">
        <f>TEXT([1]!Table64[[#This Row],[Order date]],"mmm-yyyy")</f>
        <v>#REF!</v>
      </c>
    </row>
    <row r="771" spans="1:26" x14ac:dyDescent="0.3">
      <c r="A771" s="22">
        <v>10770</v>
      </c>
      <c r="B771" s="23">
        <v>5663</v>
      </c>
      <c r="C771" s="23" t="s">
        <v>25</v>
      </c>
      <c r="D771" s="24">
        <v>10493.7</v>
      </c>
      <c r="E771" s="23">
        <v>46</v>
      </c>
      <c r="F771" s="23" t="s">
        <v>46</v>
      </c>
      <c r="G771" s="25">
        <v>45306</v>
      </c>
      <c r="H771" s="24">
        <v>74027.34</v>
      </c>
      <c r="I771" s="26" t="s">
        <v>44</v>
      </c>
      <c r="J771" s="15" t="s">
        <v>28</v>
      </c>
      <c r="K771" s="15">
        <v>1260</v>
      </c>
      <c r="L771" s="16">
        <v>45332</v>
      </c>
      <c r="M771" s="17">
        <v>11</v>
      </c>
      <c r="N771" s="27">
        <v>90770</v>
      </c>
      <c r="O771" s="27" t="s">
        <v>40</v>
      </c>
      <c r="P771" s="28">
        <v>45383</v>
      </c>
      <c r="Q771" s="29">
        <v>0.61468999999999996</v>
      </c>
      <c r="R771" s="30">
        <v>70770</v>
      </c>
      <c r="S771" s="27" t="s">
        <v>30</v>
      </c>
      <c r="T771" s="29">
        <v>106155.4575</v>
      </c>
      <c r="U771" s="27" t="s">
        <v>48</v>
      </c>
      <c r="V771" s="28">
        <v>45422</v>
      </c>
      <c r="W771" s="27" t="s">
        <v>38</v>
      </c>
      <c r="X771" s="28">
        <v>45376</v>
      </c>
      <c r="Y771" s="27" t="s">
        <v>39</v>
      </c>
      <c r="Z771" s="43" t="e">
        <f>TEXT([1]!Table64[[#This Row],[Order date]],"mmm-yyyy")</f>
        <v>#REF!</v>
      </c>
    </row>
    <row r="772" spans="1:26" x14ac:dyDescent="0.3">
      <c r="A772" s="10">
        <v>10771</v>
      </c>
      <c r="B772" s="11">
        <v>6214</v>
      </c>
      <c r="C772" s="11" t="s">
        <v>25</v>
      </c>
      <c r="D772" s="12">
        <v>76903.11</v>
      </c>
      <c r="E772" s="11">
        <v>21</v>
      </c>
      <c r="F772" s="11" t="s">
        <v>26</v>
      </c>
      <c r="G772" s="13">
        <v>45306</v>
      </c>
      <c r="H772" s="12">
        <v>34522.36</v>
      </c>
      <c r="I772" s="14" t="s">
        <v>44</v>
      </c>
      <c r="J772" s="15" t="s">
        <v>49</v>
      </c>
      <c r="K772" s="15">
        <v>959</v>
      </c>
      <c r="L772" s="16">
        <v>45332</v>
      </c>
      <c r="M772" s="17">
        <v>12</v>
      </c>
      <c r="N772" s="18">
        <v>90771</v>
      </c>
      <c r="O772" s="18" t="s">
        <v>29</v>
      </c>
      <c r="P772" s="19">
        <v>45352</v>
      </c>
      <c r="Q772" s="20">
        <v>0.37501000000000001</v>
      </c>
      <c r="R772" s="21">
        <v>70771</v>
      </c>
      <c r="S772" s="18" t="s">
        <v>30</v>
      </c>
      <c r="T772" s="20">
        <v>153551.94062000001</v>
      </c>
      <c r="U772" s="18" t="s">
        <v>48</v>
      </c>
      <c r="V772" s="19">
        <v>45444</v>
      </c>
      <c r="W772" s="18" t="s">
        <v>38</v>
      </c>
      <c r="X772" s="19">
        <v>45384</v>
      </c>
      <c r="Y772" s="18" t="s">
        <v>39</v>
      </c>
      <c r="Z772" s="43" t="e">
        <f>TEXT([1]!Table64[[#This Row],[Order date]],"mmm-yyyy")</f>
        <v>#REF!</v>
      </c>
    </row>
    <row r="773" spans="1:26" x14ac:dyDescent="0.3">
      <c r="A773" s="22">
        <v>10772</v>
      </c>
      <c r="B773" s="23">
        <v>6760</v>
      </c>
      <c r="C773" s="23" t="s">
        <v>25</v>
      </c>
      <c r="D773" s="24">
        <v>54602.96</v>
      </c>
      <c r="E773" s="23">
        <v>44</v>
      </c>
      <c r="F773" s="23" t="s">
        <v>43</v>
      </c>
      <c r="G773" s="25">
        <v>45361</v>
      </c>
      <c r="H773" s="24">
        <v>86879.06</v>
      </c>
      <c r="I773" s="26" t="s">
        <v>44</v>
      </c>
      <c r="J773" s="15" t="s">
        <v>49</v>
      </c>
      <c r="K773" s="15">
        <v>765</v>
      </c>
      <c r="L773" s="16">
        <v>45332</v>
      </c>
      <c r="M773" s="17">
        <v>9</v>
      </c>
      <c r="N773" s="27">
        <v>90772</v>
      </c>
      <c r="O773" s="27" t="s">
        <v>29</v>
      </c>
      <c r="P773" s="28">
        <v>45430</v>
      </c>
      <c r="Q773" s="29">
        <v>0.54596999999999996</v>
      </c>
      <c r="R773" s="30">
        <v>70772</v>
      </c>
      <c r="S773" s="27" t="s">
        <v>41</v>
      </c>
      <c r="T773" s="29">
        <v>161901.21609999999</v>
      </c>
      <c r="U773" s="27" t="s">
        <v>31</v>
      </c>
      <c r="V773" s="28">
        <v>45422</v>
      </c>
      <c r="W773" s="27" t="s">
        <v>32</v>
      </c>
      <c r="X773" s="28">
        <v>45376</v>
      </c>
      <c r="Y773" s="27" t="s">
        <v>33</v>
      </c>
      <c r="Z773" s="43" t="e">
        <f>TEXT([1]!Table64[[#This Row],[Order date]],"mmm-yyyy")</f>
        <v>#REF!</v>
      </c>
    </row>
    <row r="774" spans="1:26" x14ac:dyDescent="0.3">
      <c r="A774" s="10">
        <v>10773</v>
      </c>
      <c r="B774" s="11">
        <v>5037</v>
      </c>
      <c r="C774" s="11" t="s">
        <v>34</v>
      </c>
      <c r="D774" s="12">
        <v>63579.38</v>
      </c>
      <c r="E774" s="11">
        <v>11</v>
      </c>
      <c r="F774" s="11" t="s">
        <v>46</v>
      </c>
      <c r="G774" s="13">
        <v>45383</v>
      </c>
      <c r="H774" s="12">
        <v>117086.87</v>
      </c>
      <c r="I774" s="14" t="s">
        <v>44</v>
      </c>
      <c r="J774" s="15" t="s">
        <v>36</v>
      </c>
      <c r="K774" s="15">
        <v>480</v>
      </c>
      <c r="L774" s="16">
        <v>45332</v>
      </c>
      <c r="M774" s="17">
        <v>3</v>
      </c>
      <c r="N774" s="18">
        <v>90773</v>
      </c>
      <c r="O774" s="18" t="s">
        <v>37</v>
      </c>
      <c r="P774" s="19">
        <v>45352</v>
      </c>
      <c r="Q774" s="20">
        <v>0.55147000000000002</v>
      </c>
      <c r="R774" s="21">
        <v>70773</v>
      </c>
      <c r="S774" s="18" t="s">
        <v>45</v>
      </c>
      <c r="T774" s="20">
        <v>61318.643400000001</v>
      </c>
      <c r="U774" s="18" t="s">
        <v>42</v>
      </c>
      <c r="V774" s="19">
        <v>45392</v>
      </c>
      <c r="W774" s="18" t="s">
        <v>38</v>
      </c>
      <c r="X774" s="19">
        <v>45376</v>
      </c>
      <c r="Y774" s="18" t="s">
        <v>39</v>
      </c>
      <c r="Z774" s="43" t="e">
        <f>TEXT([1]!Table64[[#This Row],[Order date]],"mmm-yyyy")</f>
        <v>#REF!</v>
      </c>
    </row>
    <row r="775" spans="1:26" x14ac:dyDescent="0.3">
      <c r="A775" s="22">
        <v>10774</v>
      </c>
      <c r="B775" s="23">
        <v>6804</v>
      </c>
      <c r="C775" s="23" t="s">
        <v>34</v>
      </c>
      <c r="D775" s="24">
        <v>14879.42</v>
      </c>
      <c r="E775" s="23">
        <v>68</v>
      </c>
      <c r="F775" s="23" t="s">
        <v>43</v>
      </c>
      <c r="G775" s="25">
        <v>45383</v>
      </c>
      <c r="H775" s="24">
        <v>38770.699999999997</v>
      </c>
      <c r="I775" s="26" t="s">
        <v>27</v>
      </c>
      <c r="J775" s="15" t="s">
        <v>49</v>
      </c>
      <c r="K775" s="15">
        <v>603</v>
      </c>
      <c r="L775" s="16">
        <v>45332</v>
      </c>
      <c r="M775" s="17">
        <v>3</v>
      </c>
      <c r="N775" s="27">
        <v>90774</v>
      </c>
      <c r="O775" s="27" t="s">
        <v>50</v>
      </c>
      <c r="P775" s="28">
        <v>45430</v>
      </c>
      <c r="Q775" s="29">
        <v>0.12096</v>
      </c>
      <c r="R775" s="30">
        <v>70774</v>
      </c>
      <c r="S775" s="27" t="s">
        <v>30</v>
      </c>
      <c r="T775" s="29">
        <v>191428.23658</v>
      </c>
      <c r="U775" s="27" t="s">
        <v>48</v>
      </c>
      <c r="V775" s="28">
        <v>45392</v>
      </c>
      <c r="W775" s="27" t="s">
        <v>38</v>
      </c>
      <c r="X775" s="28">
        <v>45376</v>
      </c>
      <c r="Y775" s="27" t="s">
        <v>33</v>
      </c>
      <c r="Z775" s="43" t="e">
        <f>TEXT([1]!Table64[[#This Row],[Order date]],"mmm-yyyy")</f>
        <v>#REF!</v>
      </c>
    </row>
    <row r="776" spans="1:26" x14ac:dyDescent="0.3">
      <c r="A776" s="10">
        <v>10775</v>
      </c>
      <c r="B776" s="11">
        <v>6393</v>
      </c>
      <c r="C776" s="11" t="s">
        <v>25</v>
      </c>
      <c r="D776" s="12">
        <v>31342.25</v>
      </c>
      <c r="E776" s="11">
        <v>1</v>
      </c>
      <c r="F776" s="11" t="s">
        <v>43</v>
      </c>
      <c r="G776" s="13">
        <v>45306</v>
      </c>
      <c r="H776" s="12">
        <v>95658.9</v>
      </c>
      <c r="I776" s="14" t="s">
        <v>27</v>
      </c>
      <c r="J776" s="15" t="s">
        <v>49</v>
      </c>
      <c r="K776" s="15">
        <v>1489</v>
      </c>
      <c r="L776" s="16">
        <v>45361</v>
      </c>
      <c r="M776" s="17">
        <v>2</v>
      </c>
      <c r="N776" s="18">
        <v>90775</v>
      </c>
      <c r="O776" s="18" t="s">
        <v>29</v>
      </c>
      <c r="P776" s="19">
        <v>45352</v>
      </c>
      <c r="Q776" s="20">
        <v>0.41991000000000001</v>
      </c>
      <c r="R776" s="21">
        <v>70775</v>
      </c>
      <c r="S776" s="18" t="s">
        <v>41</v>
      </c>
      <c r="T776" s="20">
        <v>102090.03121</v>
      </c>
      <c r="U776" s="18" t="s">
        <v>42</v>
      </c>
      <c r="V776" s="19">
        <v>45422</v>
      </c>
      <c r="W776" s="18" t="s">
        <v>38</v>
      </c>
      <c r="X776" s="19">
        <v>45376</v>
      </c>
      <c r="Y776" s="18" t="s">
        <v>39</v>
      </c>
      <c r="Z776" s="43" t="e">
        <f>TEXT([1]!Table64[[#This Row],[Order date]],"mmm-yyyy")</f>
        <v>#REF!</v>
      </c>
    </row>
    <row r="777" spans="1:26" x14ac:dyDescent="0.3">
      <c r="A777" s="22">
        <v>10776</v>
      </c>
      <c r="B777" s="23">
        <v>6719</v>
      </c>
      <c r="C777" s="23" t="s">
        <v>34</v>
      </c>
      <c r="D777" s="24">
        <v>29638.62</v>
      </c>
      <c r="E777" s="23">
        <v>92</v>
      </c>
      <c r="F777" s="23" t="s">
        <v>46</v>
      </c>
      <c r="G777" s="25">
        <v>45361</v>
      </c>
      <c r="H777" s="24">
        <v>110137.55</v>
      </c>
      <c r="I777" s="26" t="s">
        <v>44</v>
      </c>
      <c r="J777" s="15" t="s">
        <v>36</v>
      </c>
      <c r="K777" s="15">
        <v>849</v>
      </c>
      <c r="L777" s="16">
        <v>45397</v>
      </c>
      <c r="M777" s="17">
        <v>4</v>
      </c>
      <c r="N777" s="27">
        <v>90776</v>
      </c>
      <c r="O777" s="27" t="s">
        <v>37</v>
      </c>
      <c r="P777" s="28">
        <v>45383</v>
      </c>
      <c r="Q777" s="29">
        <v>0.76588000000000001</v>
      </c>
      <c r="R777" s="30">
        <v>70776</v>
      </c>
      <c r="S777" s="27" t="s">
        <v>41</v>
      </c>
      <c r="T777" s="29">
        <v>195757.44639</v>
      </c>
      <c r="U777" s="27" t="s">
        <v>48</v>
      </c>
      <c r="V777" s="28">
        <v>45444</v>
      </c>
      <c r="W777" s="27" t="s">
        <v>32</v>
      </c>
      <c r="X777" s="28">
        <v>45376</v>
      </c>
      <c r="Y777" s="27" t="s">
        <v>33</v>
      </c>
      <c r="Z777" s="43" t="e">
        <f>TEXT([1]!Table64[[#This Row],[Order date]],"mmm-yyyy")</f>
        <v>#REF!</v>
      </c>
    </row>
    <row r="778" spans="1:26" x14ac:dyDescent="0.3">
      <c r="A778" s="10">
        <v>10777</v>
      </c>
      <c r="B778" s="11">
        <v>6549</v>
      </c>
      <c r="C778" s="11" t="s">
        <v>34</v>
      </c>
      <c r="D778" s="12">
        <v>99700.54</v>
      </c>
      <c r="E778" s="11">
        <v>63</v>
      </c>
      <c r="F778" s="11" t="s">
        <v>26</v>
      </c>
      <c r="G778" s="13">
        <v>45383</v>
      </c>
      <c r="H778" s="12">
        <v>100234.54</v>
      </c>
      <c r="I778" s="14" t="s">
        <v>44</v>
      </c>
      <c r="J778" s="15" t="s">
        <v>28</v>
      </c>
      <c r="K778" s="15">
        <v>475</v>
      </c>
      <c r="L778" s="16">
        <v>45397</v>
      </c>
      <c r="M778" s="17">
        <v>12</v>
      </c>
      <c r="N778" s="18">
        <v>90777</v>
      </c>
      <c r="O778" s="18" t="s">
        <v>37</v>
      </c>
      <c r="P778" s="19">
        <v>45352</v>
      </c>
      <c r="Q778" s="20">
        <v>0.55906</v>
      </c>
      <c r="R778" s="21">
        <v>70777</v>
      </c>
      <c r="S778" s="18" t="s">
        <v>30</v>
      </c>
      <c r="T778" s="20">
        <v>132377.3248</v>
      </c>
      <c r="U778" s="18" t="s">
        <v>42</v>
      </c>
      <c r="V778" s="19">
        <v>45444</v>
      </c>
      <c r="W778" s="18" t="s">
        <v>38</v>
      </c>
      <c r="X778" s="19">
        <v>45376</v>
      </c>
      <c r="Y778" s="18" t="s">
        <v>39</v>
      </c>
      <c r="Z778" s="43" t="e">
        <f>TEXT([1]!Table64[[#This Row],[Order date]],"mmm-yyyy")</f>
        <v>#REF!</v>
      </c>
    </row>
    <row r="779" spans="1:26" x14ac:dyDescent="0.3">
      <c r="A779" s="22">
        <v>10778</v>
      </c>
      <c r="B779" s="23">
        <v>5279</v>
      </c>
      <c r="C779" s="23" t="s">
        <v>34</v>
      </c>
      <c r="D779" s="24">
        <v>73366.06</v>
      </c>
      <c r="E779" s="23">
        <v>24</v>
      </c>
      <c r="F779" s="23" t="s">
        <v>46</v>
      </c>
      <c r="G779" s="25">
        <v>45306</v>
      </c>
      <c r="H779" s="24">
        <v>74986.95</v>
      </c>
      <c r="I779" s="26" t="s">
        <v>47</v>
      </c>
      <c r="J779" s="15" t="s">
        <v>36</v>
      </c>
      <c r="K779" s="15">
        <v>1489</v>
      </c>
      <c r="L779" s="16">
        <v>45361</v>
      </c>
      <c r="M779" s="17">
        <v>2</v>
      </c>
      <c r="N779" s="27">
        <v>90778</v>
      </c>
      <c r="O779" s="27" t="s">
        <v>40</v>
      </c>
      <c r="P779" s="28">
        <v>45352</v>
      </c>
      <c r="Q779" s="29">
        <v>0.31980999999999998</v>
      </c>
      <c r="R779" s="30">
        <v>70778</v>
      </c>
      <c r="S779" s="27" t="s">
        <v>45</v>
      </c>
      <c r="T779" s="29">
        <v>152263.93692000001</v>
      </c>
      <c r="U779" s="27" t="s">
        <v>48</v>
      </c>
      <c r="V779" s="28">
        <v>45422</v>
      </c>
      <c r="W779" s="27" t="s">
        <v>38</v>
      </c>
      <c r="X779" s="28">
        <v>45376</v>
      </c>
      <c r="Y779" s="27" t="s">
        <v>33</v>
      </c>
      <c r="Z779" s="43" t="e">
        <f>TEXT([1]!Table64[[#This Row],[Order date]],"mmm-yyyy")</f>
        <v>#REF!</v>
      </c>
    </row>
    <row r="780" spans="1:26" x14ac:dyDescent="0.3">
      <c r="A780" s="10">
        <v>10779</v>
      </c>
      <c r="B780" s="11">
        <v>5217</v>
      </c>
      <c r="C780" s="11" t="s">
        <v>34</v>
      </c>
      <c r="D780" s="12">
        <v>82426.94</v>
      </c>
      <c r="E780" s="11">
        <v>99</v>
      </c>
      <c r="F780" s="11" t="s">
        <v>46</v>
      </c>
      <c r="G780" s="13">
        <v>45337</v>
      </c>
      <c r="H780" s="12">
        <v>96125.4</v>
      </c>
      <c r="I780" s="14" t="s">
        <v>27</v>
      </c>
      <c r="J780" s="15" t="s">
        <v>28</v>
      </c>
      <c r="K780" s="15">
        <v>75</v>
      </c>
      <c r="L780" s="16">
        <v>45397</v>
      </c>
      <c r="M780" s="17">
        <v>13</v>
      </c>
      <c r="N780" s="18">
        <v>90779</v>
      </c>
      <c r="O780" s="18" t="s">
        <v>37</v>
      </c>
      <c r="P780" s="19">
        <v>45383</v>
      </c>
      <c r="Q780" s="20">
        <v>0.40160000000000001</v>
      </c>
      <c r="R780" s="21">
        <v>70779</v>
      </c>
      <c r="S780" s="18" t="s">
        <v>45</v>
      </c>
      <c r="T780" s="20">
        <v>94889.584400000007</v>
      </c>
      <c r="U780" s="18" t="s">
        <v>48</v>
      </c>
      <c r="V780" s="19">
        <v>45392</v>
      </c>
      <c r="W780" s="18" t="s">
        <v>38</v>
      </c>
      <c r="X780" s="19">
        <v>45376</v>
      </c>
      <c r="Y780" s="18" t="s">
        <v>33</v>
      </c>
      <c r="Z780" s="43" t="e">
        <f>TEXT([1]!Table64[[#This Row],[Order date]],"mmm-yyyy")</f>
        <v>#REF!</v>
      </c>
    </row>
    <row r="781" spans="1:26" x14ac:dyDescent="0.3">
      <c r="A781" s="22">
        <v>10780</v>
      </c>
      <c r="B781" s="23">
        <v>5867</v>
      </c>
      <c r="C781" s="23" t="s">
        <v>34</v>
      </c>
      <c r="D781" s="24">
        <v>72242.490000000005</v>
      </c>
      <c r="E781" s="23">
        <v>13</v>
      </c>
      <c r="F781" s="23" t="s">
        <v>43</v>
      </c>
      <c r="G781" s="25">
        <v>45361</v>
      </c>
      <c r="H781" s="24">
        <v>96866.78</v>
      </c>
      <c r="I781" s="26" t="s">
        <v>47</v>
      </c>
      <c r="J781" s="15" t="s">
        <v>28</v>
      </c>
      <c r="K781" s="15">
        <v>1444</v>
      </c>
      <c r="L781" s="16">
        <v>45397</v>
      </c>
      <c r="M781" s="17">
        <v>9</v>
      </c>
      <c r="N781" s="27">
        <v>90780</v>
      </c>
      <c r="O781" s="27" t="s">
        <v>40</v>
      </c>
      <c r="P781" s="28">
        <v>45383</v>
      </c>
      <c r="Q781" s="29">
        <v>0.87675000000000003</v>
      </c>
      <c r="R781" s="30">
        <v>70780</v>
      </c>
      <c r="S781" s="27" t="s">
        <v>41</v>
      </c>
      <c r="T781" s="29">
        <v>141299.66725999999</v>
      </c>
      <c r="U781" s="27" t="s">
        <v>48</v>
      </c>
      <c r="V781" s="28">
        <v>45422</v>
      </c>
      <c r="W781" s="27" t="s">
        <v>32</v>
      </c>
      <c r="X781" s="28">
        <v>45376</v>
      </c>
      <c r="Y781" s="27" t="s">
        <v>33</v>
      </c>
      <c r="Z781" s="43" t="e">
        <f>TEXT([1]!Table64[[#This Row],[Order date]],"mmm-yyyy")</f>
        <v>#REF!</v>
      </c>
    </row>
    <row r="782" spans="1:26" x14ac:dyDescent="0.3">
      <c r="A782" s="10">
        <v>10781</v>
      </c>
      <c r="B782" s="11">
        <v>5873</v>
      </c>
      <c r="C782" s="11" t="s">
        <v>34</v>
      </c>
      <c r="D782" s="12">
        <v>44930.92</v>
      </c>
      <c r="E782" s="11">
        <v>98</v>
      </c>
      <c r="F782" s="11" t="s">
        <v>46</v>
      </c>
      <c r="G782" s="13">
        <v>45337</v>
      </c>
      <c r="H782" s="12">
        <v>146136.23000000001</v>
      </c>
      <c r="I782" s="14" t="s">
        <v>27</v>
      </c>
      <c r="J782" s="15" t="s">
        <v>49</v>
      </c>
      <c r="K782" s="15">
        <v>434</v>
      </c>
      <c r="L782" s="16">
        <v>45397</v>
      </c>
      <c r="M782" s="17">
        <v>12</v>
      </c>
      <c r="N782" s="18">
        <v>90781</v>
      </c>
      <c r="O782" s="18" t="s">
        <v>29</v>
      </c>
      <c r="P782" s="19">
        <v>45352</v>
      </c>
      <c r="Q782" s="20">
        <v>0.57299</v>
      </c>
      <c r="R782" s="21">
        <v>70781</v>
      </c>
      <c r="S782" s="18" t="s">
        <v>45</v>
      </c>
      <c r="T782" s="20">
        <v>175531.71424999999</v>
      </c>
      <c r="U782" s="18" t="s">
        <v>48</v>
      </c>
      <c r="V782" s="19">
        <v>45422</v>
      </c>
      <c r="W782" s="18" t="s">
        <v>38</v>
      </c>
      <c r="X782" s="19">
        <v>45384</v>
      </c>
      <c r="Y782" s="18" t="s">
        <v>39</v>
      </c>
      <c r="Z782" s="43" t="e">
        <f>TEXT([1]!Table64[[#This Row],[Order date]],"mmm-yyyy")</f>
        <v>#REF!</v>
      </c>
    </row>
    <row r="783" spans="1:26" x14ac:dyDescent="0.3">
      <c r="A783" s="22">
        <v>10782</v>
      </c>
      <c r="B783" s="23">
        <v>6822</v>
      </c>
      <c r="C783" s="23" t="s">
        <v>34</v>
      </c>
      <c r="D783" s="24">
        <v>14498.13</v>
      </c>
      <c r="E783" s="23">
        <v>11</v>
      </c>
      <c r="F783" s="23" t="s">
        <v>26</v>
      </c>
      <c r="G783" s="25">
        <v>45337</v>
      </c>
      <c r="H783" s="24">
        <v>94178.07</v>
      </c>
      <c r="I783" s="26" t="s">
        <v>27</v>
      </c>
      <c r="J783" s="15" t="s">
        <v>36</v>
      </c>
      <c r="K783" s="15">
        <v>105</v>
      </c>
      <c r="L783" s="16">
        <v>45361</v>
      </c>
      <c r="M783" s="17">
        <v>10</v>
      </c>
      <c r="N783" s="27">
        <v>90782</v>
      </c>
      <c r="O783" s="27" t="s">
        <v>40</v>
      </c>
      <c r="P783" s="28">
        <v>45383</v>
      </c>
      <c r="Q783" s="29">
        <v>0.57552000000000003</v>
      </c>
      <c r="R783" s="30">
        <v>70782</v>
      </c>
      <c r="S783" s="27" t="s">
        <v>41</v>
      </c>
      <c r="T783" s="29">
        <v>112024.4014</v>
      </c>
      <c r="U783" s="27" t="s">
        <v>48</v>
      </c>
      <c r="V783" s="28">
        <v>45422</v>
      </c>
      <c r="W783" s="27" t="s">
        <v>38</v>
      </c>
      <c r="X783" s="28">
        <v>45376</v>
      </c>
      <c r="Y783" s="27" t="s">
        <v>33</v>
      </c>
      <c r="Z783" s="43" t="e">
        <f>TEXT([1]!Table64[[#This Row],[Order date]],"mmm-yyyy")</f>
        <v>#REF!</v>
      </c>
    </row>
    <row r="784" spans="1:26" x14ac:dyDescent="0.3">
      <c r="A784" s="10">
        <v>10783</v>
      </c>
      <c r="B784" s="11">
        <v>6297</v>
      </c>
      <c r="C784" s="11" t="s">
        <v>34</v>
      </c>
      <c r="D784" s="12">
        <v>69285.8</v>
      </c>
      <c r="E784" s="11">
        <v>51</v>
      </c>
      <c r="F784" s="11" t="s">
        <v>46</v>
      </c>
      <c r="G784" s="13">
        <v>45383</v>
      </c>
      <c r="H784" s="12">
        <v>98944.77</v>
      </c>
      <c r="I784" s="14" t="s">
        <v>44</v>
      </c>
      <c r="J784" s="15" t="s">
        <v>49</v>
      </c>
      <c r="K784" s="15">
        <v>1326</v>
      </c>
      <c r="L784" s="16">
        <v>45361</v>
      </c>
      <c r="M784" s="17">
        <v>7</v>
      </c>
      <c r="N784" s="18">
        <v>90783</v>
      </c>
      <c r="O784" s="18" t="s">
        <v>37</v>
      </c>
      <c r="P784" s="19">
        <v>45383</v>
      </c>
      <c r="Q784" s="20">
        <v>0.96531999999999996</v>
      </c>
      <c r="R784" s="21">
        <v>70783</v>
      </c>
      <c r="S784" s="18" t="s">
        <v>41</v>
      </c>
      <c r="T784" s="20">
        <v>176037.57889</v>
      </c>
      <c r="U784" s="18" t="s">
        <v>48</v>
      </c>
      <c r="V784" s="19">
        <v>45444</v>
      </c>
      <c r="W784" s="18" t="s">
        <v>32</v>
      </c>
      <c r="X784" s="19">
        <v>45376</v>
      </c>
      <c r="Y784" s="18" t="s">
        <v>33</v>
      </c>
      <c r="Z784" s="43" t="e">
        <f>TEXT([1]!Table64[[#This Row],[Order date]],"mmm-yyyy")</f>
        <v>#REF!</v>
      </c>
    </row>
    <row r="785" spans="1:26" x14ac:dyDescent="0.3">
      <c r="A785" s="22">
        <v>10784</v>
      </c>
      <c r="B785" s="23">
        <v>6905</v>
      </c>
      <c r="C785" s="23" t="s">
        <v>34</v>
      </c>
      <c r="D785" s="24">
        <v>15286.47</v>
      </c>
      <c r="E785" s="23">
        <v>17</v>
      </c>
      <c r="F785" s="23" t="s">
        <v>26</v>
      </c>
      <c r="G785" s="25">
        <v>45383</v>
      </c>
      <c r="H785" s="24">
        <v>74698.2</v>
      </c>
      <c r="I785" s="26" t="s">
        <v>27</v>
      </c>
      <c r="J785" s="15" t="s">
        <v>49</v>
      </c>
      <c r="K785" s="15">
        <v>683</v>
      </c>
      <c r="L785" s="16">
        <v>45397</v>
      </c>
      <c r="M785" s="17">
        <v>8</v>
      </c>
      <c r="N785" s="27">
        <v>90784</v>
      </c>
      <c r="O785" s="27" t="s">
        <v>50</v>
      </c>
      <c r="P785" s="28">
        <v>45430</v>
      </c>
      <c r="Q785" s="29">
        <v>0.38879000000000002</v>
      </c>
      <c r="R785" s="30">
        <v>70784</v>
      </c>
      <c r="S785" s="27" t="s">
        <v>30</v>
      </c>
      <c r="T785" s="29">
        <v>217242.9405</v>
      </c>
      <c r="U785" s="27" t="s">
        <v>48</v>
      </c>
      <c r="V785" s="28">
        <v>45444</v>
      </c>
      <c r="W785" s="27" t="s">
        <v>38</v>
      </c>
      <c r="X785" s="28">
        <v>45384</v>
      </c>
      <c r="Y785" s="27" t="s">
        <v>39</v>
      </c>
      <c r="Z785" s="43" t="e">
        <f>TEXT([1]!Table64[[#This Row],[Order date]],"mmm-yyyy")</f>
        <v>#REF!</v>
      </c>
    </row>
    <row r="786" spans="1:26" x14ac:dyDescent="0.3">
      <c r="A786" s="10">
        <v>10785</v>
      </c>
      <c r="B786" s="11">
        <v>5062</v>
      </c>
      <c r="C786" s="11" t="s">
        <v>34</v>
      </c>
      <c r="D786" s="12">
        <v>69552.210000000006</v>
      </c>
      <c r="E786" s="11">
        <v>99</v>
      </c>
      <c r="F786" s="11" t="s">
        <v>26</v>
      </c>
      <c r="G786" s="13">
        <v>45383</v>
      </c>
      <c r="H786" s="12">
        <v>113010.47</v>
      </c>
      <c r="I786" s="14" t="s">
        <v>47</v>
      </c>
      <c r="J786" s="15" t="s">
        <v>28</v>
      </c>
      <c r="K786" s="15">
        <v>155</v>
      </c>
      <c r="L786" s="16">
        <v>45397</v>
      </c>
      <c r="M786" s="17">
        <v>3</v>
      </c>
      <c r="N786" s="18">
        <v>90785</v>
      </c>
      <c r="O786" s="18" t="s">
        <v>50</v>
      </c>
      <c r="P786" s="19">
        <v>45383</v>
      </c>
      <c r="Q786" s="20">
        <v>0.53159000000000001</v>
      </c>
      <c r="R786" s="21">
        <v>70785</v>
      </c>
      <c r="S786" s="18" t="s">
        <v>45</v>
      </c>
      <c r="T786" s="20">
        <v>172264.09641999999</v>
      </c>
      <c r="U786" s="18" t="s">
        <v>48</v>
      </c>
      <c r="V786" s="19">
        <v>45392</v>
      </c>
      <c r="W786" s="18" t="s">
        <v>32</v>
      </c>
      <c r="X786" s="19">
        <v>45376</v>
      </c>
      <c r="Y786" s="18" t="s">
        <v>33</v>
      </c>
      <c r="Z786" s="43" t="e">
        <f>TEXT([1]!Table64[[#This Row],[Order date]],"mmm-yyyy")</f>
        <v>#REF!</v>
      </c>
    </row>
    <row r="787" spans="1:26" x14ac:dyDescent="0.3">
      <c r="A787" s="22">
        <v>10786</v>
      </c>
      <c r="B787" s="23">
        <v>5596</v>
      </c>
      <c r="C787" s="23" t="s">
        <v>25</v>
      </c>
      <c r="D787" s="24">
        <v>16442.54</v>
      </c>
      <c r="E787" s="23">
        <v>82</v>
      </c>
      <c r="F787" s="23" t="s">
        <v>43</v>
      </c>
      <c r="G787" s="25">
        <v>45361</v>
      </c>
      <c r="H787" s="24">
        <v>94616.49</v>
      </c>
      <c r="I787" s="26" t="s">
        <v>27</v>
      </c>
      <c r="J787" s="15" t="s">
        <v>49</v>
      </c>
      <c r="K787" s="15">
        <v>1203</v>
      </c>
      <c r="L787" s="16">
        <v>45397</v>
      </c>
      <c r="M787" s="17">
        <v>6</v>
      </c>
      <c r="N787" s="27">
        <v>90786</v>
      </c>
      <c r="O787" s="27" t="s">
        <v>29</v>
      </c>
      <c r="P787" s="28">
        <v>45383</v>
      </c>
      <c r="Q787" s="29">
        <v>0.83053999999999994</v>
      </c>
      <c r="R787" s="30">
        <v>70786</v>
      </c>
      <c r="S787" s="27" t="s">
        <v>41</v>
      </c>
      <c r="T787" s="29">
        <v>189435.38563999999</v>
      </c>
      <c r="U787" s="27" t="s">
        <v>48</v>
      </c>
      <c r="V787" s="28">
        <v>45392</v>
      </c>
      <c r="W787" s="27" t="s">
        <v>38</v>
      </c>
      <c r="X787" s="28">
        <v>45376</v>
      </c>
      <c r="Y787" s="27" t="s">
        <v>33</v>
      </c>
      <c r="Z787" s="43" t="e">
        <f>TEXT([1]!Table64[[#This Row],[Order date]],"mmm-yyyy")</f>
        <v>#REF!</v>
      </c>
    </row>
    <row r="788" spans="1:26" x14ac:dyDescent="0.3">
      <c r="A788" s="10">
        <v>10787</v>
      </c>
      <c r="B788" s="11">
        <v>6904</v>
      </c>
      <c r="C788" s="11" t="s">
        <v>25</v>
      </c>
      <c r="D788" s="12">
        <v>65029.41</v>
      </c>
      <c r="E788" s="11">
        <v>86</v>
      </c>
      <c r="F788" s="11" t="s">
        <v>35</v>
      </c>
      <c r="G788" s="13">
        <v>45337</v>
      </c>
      <c r="H788" s="12">
        <v>32421.39</v>
      </c>
      <c r="I788" s="14" t="s">
        <v>44</v>
      </c>
      <c r="J788" s="15" t="s">
        <v>36</v>
      </c>
      <c r="K788" s="15">
        <v>898</v>
      </c>
      <c r="L788" s="16">
        <v>45332</v>
      </c>
      <c r="M788" s="17">
        <v>10</v>
      </c>
      <c r="N788" s="18">
        <v>90787</v>
      </c>
      <c r="O788" s="18" t="s">
        <v>29</v>
      </c>
      <c r="P788" s="19">
        <v>45352</v>
      </c>
      <c r="Q788" s="20">
        <v>0.78302000000000005</v>
      </c>
      <c r="R788" s="21">
        <v>70787</v>
      </c>
      <c r="S788" s="18" t="s">
        <v>41</v>
      </c>
      <c r="T788" s="20">
        <v>111526.1771</v>
      </c>
      <c r="U788" s="18" t="s">
        <v>42</v>
      </c>
      <c r="V788" s="19">
        <v>45422</v>
      </c>
      <c r="W788" s="18" t="s">
        <v>32</v>
      </c>
      <c r="X788" s="19">
        <v>45376</v>
      </c>
      <c r="Y788" s="18" t="s">
        <v>33</v>
      </c>
      <c r="Z788" s="43" t="e">
        <f>TEXT([1]!Table64[[#This Row],[Order date]],"mmm-yyyy")</f>
        <v>#REF!</v>
      </c>
    </row>
    <row r="789" spans="1:26" x14ac:dyDescent="0.3">
      <c r="A789" s="22">
        <v>10788</v>
      </c>
      <c r="B789" s="23">
        <v>5729</v>
      </c>
      <c r="C789" s="23" t="s">
        <v>34</v>
      </c>
      <c r="D789" s="24">
        <v>33315.72</v>
      </c>
      <c r="E789" s="23">
        <v>24</v>
      </c>
      <c r="F789" s="23" t="s">
        <v>35</v>
      </c>
      <c r="G789" s="25">
        <v>45361</v>
      </c>
      <c r="H789" s="24">
        <v>11401.5</v>
      </c>
      <c r="I789" s="26" t="s">
        <v>44</v>
      </c>
      <c r="J789" s="15" t="s">
        <v>49</v>
      </c>
      <c r="K789" s="15">
        <v>719</v>
      </c>
      <c r="L789" s="16">
        <v>45332</v>
      </c>
      <c r="M789" s="17">
        <v>6</v>
      </c>
      <c r="N789" s="27">
        <v>90788</v>
      </c>
      <c r="O789" s="27" t="s">
        <v>50</v>
      </c>
      <c r="P789" s="28">
        <v>45352</v>
      </c>
      <c r="Q789" s="29">
        <v>0.33922000000000002</v>
      </c>
      <c r="R789" s="30">
        <v>70788</v>
      </c>
      <c r="S789" s="27" t="s">
        <v>45</v>
      </c>
      <c r="T789" s="29">
        <v>169597.77989999999</v>
      </c>
      <c r="U789" s="27" t="s">
        <v>42</v>
      </c>
      <c r="V789" s="28">
        <v>45392</v>
      </c>
      <c r="W789" s="27" t="s">
        <v>38</v>
      </c>
      <c r="X789" s="28">
        <v>45384</v>
      </c>
      <c r="Y789" s="27" t="s">
        <v>33</v>
      </c>
      <c r="Z789" s="43" t="e">
        <f>TEXT([1]!Table64[[#This Row],[Order date]],"mmm-yyyy")</f>
        <v>#REF!</v>
      </c>
    </row>
    <row r="790" spans="1:26" x14ac:dyDescent="0.3">
      <c r="A790" s="10">
        <v>10789</v>
      </c>
      <c r="B790" s="11">
        <v>6366</v>
      </c>
      <c r="C790" s="11" t="s">
        <v>34</v>
      </c>
      <c r="D790" s="12">
        <v>23594.04</v>
      </c>
      <c r="E790" s="11">
        <v>19</v>
      </c>
      <c r="F790" s="11" t="s">
        <v>43</v>
      </c>
      <c r="G790" s="13">
        <v>45383</v>
      </c>
      <c r="H790" s="12">
        <v>81654.92</v>
      </c>
      <c r="I790" s="14" t="s">
        <v>44</v>
      </c>
      <c r="J790" s="15" t="s">
        <v>49</v>
      </c>
      <c r="K790" s="15">
        <v>425</v>
      </c>
      <c r="L790" s="16">
        <v>45332</v>
      </c>
      <c r="M790" s="17">
        <v>13</v>
      </c>
      <c r="N790" s="18">
        <v>90789</v>
      </c>
      <c r="O790" s="18" t="s">
        <v>40</v>
      </c>
      <c r="P790" s="19">
        <v>45430</v>
      </c>
      <c r="Q790" s="20">
        <v>0.23598</v>
      </c>
      <c r="R790" s="21">
        <v>70789</v>
      </c>
      <c r="S790" s="18" t="s">
        <v>30</v>
      </c>
      <c r="T790" s="20">
        <v>216962.95009999999</v>
      </c>
      <c r="U790" s="18" t="s">
        <v>31</v>
      </c>
      <c r="V790" s="19">
        <v>45422</v>
      </c>
      <c r="W790" s="18" t="s">
        <v>38</v>
      </c>
      <c r="X790" s="19">
        <v>45376</v>
      </c>
      <c r="Y790" s="18" t="s">
        <v>39</v>
      </c>
      <c r="Z790" s="43" t="e">
        <f>TEXT([1]!Table64[[#This Row],[Order date]],"mmm-yyyy")</f>
        <v>#REF!</v>
      </c>
    </row>
    <row r="791" spans="1:26" x14ac:dyDescent="0.3">
      <c r="A791" s="22">
        <v>10790</v>
      </c>
      <c r="B791" s="23">
        <v>5397</v>
      </c>
      <c r="C791" s="23" t="s">
        <v>34</v>
      </c>
      <c r="D791" s="24">
        <v>43887.11</v>
      </c>
      <c r="E791" s="23">
        <v>37</v>
      </c>
      <c r="F791" s="23" t="s">
        <v>46</v>
      </c>
      <c r="G791" s="25">
        <v>45337</v>
      </c>
      <c r="H791" s="24">
        <v>122287.61</v>
      </c>
      <c r="I791" s="26" t="s">
        <v>44</v>
      </c>
      <c r="J791" s="15" t="s">
        <v>28</v>
      </c>
      <c r="K791" s="15">
        <v>792</v>
      </c>
      <c r="L791" s="16">
        <v>45361</v>
      </c>
      <c r="M791" s="17">
        <v>1</v>
      </c>
      <c r="N791" s="27">
        <v>90790</v>
      </c>
      <c r="O791" s="27" t="s">
        <v>29</v>
      </c>
      <c r="P791" s="28">
        <v>45352</v>
      </c>
      <c r="Q791" s="29">
        <v>0.73063</v>
      </c>
      <c r="R791" s="30">
        <v>70790</v>
      </c>
      <c r="S791" s="27" t="s">
        <v>41</v>
      </c>
      <c r="T791" s="29">
        <v>150164.63750000001</v>
      </c>
      <c r="U791" s="27" t="s">
        <v>48</v>
      </c>
      <c r="V791" s="28">
        <v>45392</v>
      </c>
      <c r="W791" s="27" t="s">
        <v>38</v>
      </c>
      <c r="X791" s="28">
        <v>45376</v>
      </c>
      <c r="Y791" s="27" t="s">
        <v>33</v>
      </c>
      <c r="Z791" s="43" t="e">
        <f>TEXT([1]!Table64[[#This Row],[Order date]],"mmm-yyyy")</f>
        <v>#REF!</v>
      </c>
    </row>
    <row r="792" spans="1:26" x14ac:dyDescent="0.3">
      <c r="A792" s="10">
        <v>10791</v>
      </c>
      <c r="B792" s="11">
        <v>5699</v>
      </c>
      <c r="C792" s="11" t="s">
        <v>25</v>
      </c>
      <c r="D792" s="12">
        <v>56570</v>
      </c>
      <c r="E792" s="11">
        <v>85</v>
      </c>
      <c r="F792" s="11" t="s">
        <v>43</v>
      </c>
      <c r="G792" s="13">
        <v>45361</v>
      </c>
      <c r="H792" s="12">
        <v>77559.11</v>
      </c>
      <c r="I792" s="14" t="s">
        <v>44</v>
      </c>
      <c r="J792" s="15" t="s">
        <v>36</v>
      </c>
      <c r="K792" s="15">
        <v>1016</v>
      </c>
      <c r="L792" s="16">
        <v>45397</v>
      </c>
      <c r="M792" s="17">
        <v>6</v>
      </c>
      <c r="N792" s="18">
        <v>90791</v>
      </c>
      <c r="O792" s="18" t="s">
        <v>37</v>
      </c>
      <c r="P792" s="19">
        <v>45383</v>
      </c>
      <c r="Q792" s="20">
        <v>0.33189000000000002</v>
      </c>
      <c r="R792" s="21">
        <v>70791</v>
      </c>
      <c r="S792" s="18" t="s">
        <v>41</v>
      </c>
      <c r="T792" s="20">
        <v>64477.277099999999</v>
      </c>
      <c r="U792" s="18" t="s">
        <v>42</v>
      </c>
      <c r="V792" s="19">
        <v>45422</v>
      </c>
      <c r="W792" s="18" t="s">
        <v>38</v>
      </c>
      <c r="X792" s="19">
        <v>45384</v>
      </c>
      <c r="Y792" s="18" t="s">
        <v>33</v>
      </c>
      <c r="Z792" s="43" t="e">
        <f>TEXT([1]!Table64[[#This Row],[Order date]],"mmm-yyyy")</f>
        <v>#REF!</v>
      </c>
    </row>
    <row r="793" spans="1:26" x14ac:dyDescent="0.3">
      <c r="A793" s="22">
        <v>10792</v>
      </c>
      <c r="B793" s="23">
        <v>6043</v>
      </c>
      <c r="C793" s="23" t="s">
        <v>34</v>
      </c>
      <c r="D793" s="24">
        <v>76351.62</v>
      </c>
      <c r="E793" s="23">
        <v>8</v>
      </c>
      <c r="F793" s="23" t="s">
        <v>26</v>
      </c>
      <c r="G793" s="25">
        <v>45361</v>
      </c>
      <c r="H793" s="24">
        <v>116132.62</v>
      </c>
      <c r="I793" s="26" t="s">
        <v>44</v>
      </c>
      <c r="J793" s="15" t="s">
        <v>49</v>
      </c>
      <c r="K793" s="15">
        <v>357</v>
      </c>
      <c r="L793" s="16">
        <v>45361</v>
      </c>
      <c r="M793" s="17">
        <v>13</v>
      </c>
      <c r="N793" s="27">
        <v>90792</v>
      </c>
      <c r="O793" s="27" t="s">
        <v>29</v>
      </c>
      <c r="P793" s="28">
        <v>45383</v>
      </c>
      <c r="Q793" s="29">
        <v>0.93040999999999996</v>
      </c>
      <c r="R793" s="30">
        <v>70792</v>
      </c>
      <c r="S793" s="27" t="s">
        <v>41</v>
      </c>
      <c r="T793" s="29">
        <v>70007.148270000005</v>
      </c>
      <c r="U793" s="27" t="s">
        <v>42</v>
      </c>
      <c r="V793" s="28">
        <v>45444</v>
      </c>
      <c r="W793" s="27" t="s">
        <v>32</v>
      </c>
      <c r="X793" s="28">
        <v>45376</v>
      </c>
      <c r="Y793" s="27" t="s">
        <v>33</v>
      </c>
      <c r="Z793" s="43" t="e">
        <f>TEXT([1]!Table64[[#This Row],[Order date]],"mmm-yyyy")</f>
        <v>#REF!</v>
      </c>
    </row>
    <row r="794" spans="1:26" x14ac:dyDescent="0.3">
      <c r="A794" s="10">
        <v>10793</v>
      </c>
      <c r="B794" s="11">
        <v>5177</v>
      </c>
      <c r="C794" s="11" t="s">
        <v>34</v>
      </c>
      <c r="D794" s="12">
        <v>77165.17</v>
      </c>
      <c r="E794" s="11">
        <v>28</v>
      </c>
      <c r="F794" s="11" t="s">
        <v>35</v>
      </c>
      <c r="G794" s="13">
        <v>45306</v>
      </c>
      <c r="H794" s="12">
        <v>167595.13</v>
      </c>
      <c r="I794" s="14" t="s">
        <v>27</v>
      </c>
      <c r="J794" s="15" t="s">
        <v>28</v>
      </c>
      <c r="K794" s="15">
        <v>140</v>
      </c>
      <c r="L794" s="16">
        <v>45361</v>
      </c>
      <c r="M794" s="17">
        <v>14</v>
      </c>
      <c r="N794" s="18">
        <v>90793</v>
      </c>
      <c r="O794" s="18" t="s">
        <v>40</v>
      </c>
      <c r="P794" s="19">
        <v>45383</v>
      </c>
      <c r="Q794" s="20">
        <v>0.21632000000000001</v>
      </c>
      <c r="R794" s="21">
        <v>70793</v>
      </c>
      <c r="S794" s="18" t="s">
        <v>41</v>
      </c>
      <c r="T794" s="20">
        <v>70059.275120000006</v>
      </c>
      <c r="U794" s="18" t="s">
        <v>42</v>
      </c>
      <c r="V794" s="19">
        <v>45422</v>
      </c>
      <c r="W794" s="18" t="s">
        <v>38</v>
      </c>
      <c r="X794" s="19">
        <v>45384</v>
      </c>
      <c r="Y794" s="18" t="s">
        <v>33</v>
      </c>
      <c r="Z794" s="43" t="e">
        <f>TEXT([1]!Table64[[#This Row],[Order date]],"mmm-yyyy")</f>
        <v>#REF!</v>
      </c>
    </row>
    <row r="795" spans="1:26" x14ac:dyDescent="0.3">
      <c r="A795" s="22">
        <v>10794</v>
      </c>
      <c r="B795" s="23">
        <v>6636</v>
      </c>
      <c r="C795" s="23" t="s">
        <v>34</v>
      </c>
      <c r="D795" s="24">
        <v>63588.11</v>
      </c>
      <c r="E795" s="23">
        <v>5</v>
      </c>
      <c r="F795" s="23" t="s">
        <v>43</v>
      </c>
      <c r="G795" s="25">
        <v>45361</v>
      </c>
      <c r="H795" s="24">
        <v>96502.24</v>
      </c>
      <c r="I795" s="26" t="s">
        <v>44</v>
      </c>
      <c r="J795" s="15" t="s">
        <v>49</v>
      </c>
      <c r="K795" s="15">
        <v>1466</v>
      </c>
      <c r="L795" s="16">
        <v>45361</v>
      </c>
      <c r="M795" s="17">
        <v>3</v>
      </c>
      <c r="N795" s="27">
        <v>90794</v>
      </c>
      <c r="O795" s="27" t="s">
        <v>29</v>
      </c>
      <c r="P795" s="28">
        <v>45352</v>
      </c>
      <c r="Q795" s="29">
        <v>0.38647999999999999</v>
      </c>
      <c r="R795" s="30">
        <v>70794</v>
      </c>
      <c r="S795" s="27" t="s">
        <v>41</v>
      </c>
      <c r="T795" s="29">
        <v>72638.091199999995</v>
      </c>
      <c r="U795" s="27" t="s">
        <v>42</v>
      </c>
      <c r="V795" s="28">
        <v>45444</v>
      </c>
      <c r="W795" s="27" t="s">
        <v>32</v>
      </c>
      <c r="X795" s="28">
        <v>45384</v>
      </c>
      <c r="Y795" s="27" t="s">
        <v>39</v>
      </c>
      <c r="Z795" s="43" t="e">
        <f>TEXT([1]!Table64[[#This Row],[Order date]],"mmm-yyyy")</f>
        <v>#REF!</v>
      </c>
    </row>
    <row r="796" spans="1:26" x14ac:dyDescent="0.3">
      <c r="A796" s="10">
        <v>10795</v>
      </c>
      <c r="B796" s="11">
        <v>5396</v>
      </c>
      <c r="C796" s="11" t="s">
        <v>34</v>
      </c>
      <c r="D796" s="12">
        <v>67144.460000000006</v>
      </c>
      <c r="E796" s="11">
        <v>17</v>
      </c>
      <c r="F796" s="11" t="s">
        <v>46</v>
      </c>
      <c r="G796" s="13">
        <v>45383</v>
      </c>
      <c r="H796" s="12">
        <v>60550.86</v>
      </c>
      <c r="I796" s="14" t="s">
        <v>44</v>
      </c>
      <c r="J796" s="15" t="s">
        <v>36</v>
      </c>
      <c r="K796" s="15">
        <v>851</v>
      </c>
      <c r="L796" s="16">
        <v>45397</v>
      </c>
      <c r="M796" s="17">
        <v>11</v>
      </c>
      <c r="N796" s="18">
        <v>90795</v>
      </c>
      <c r="O796" s="18" t="s">
        <v>37</v>
      </c>
      <c r="P796" s="19">
        <v>45383</v>
      </c>
      <c r="Q796" s="20">
        <v>0.14931</v>
      </c>
      <c r="R796" s="21">
        <v>70795</v>
      </c>
      <c r="S796" s="18" t="s">
        <v>41</v>
      </c>
      <c r="T796" s="20">
        <v>147779.58987</v>
      </c>
      <c r="U796" s="18" t="s">
        <v>42</v>
      </c>
      <c r="V796" s="19">
        <v>45444</v>
      </c>
      <c r="W796" s="18" t="s">
        <v>32</v>
      </c>
      <c r="X796" s="19">
        <v>45376</v>
      </c>
      <c r="Y796" s="18" t="s">
        <v>33</v>
      </c>
      <c r="Z796" s="43" t="e">
        <f>TEXT([1]!Table64[[#This Row],[Order date]],"mmm-yyyy")</f>
        <v>#REF!</v>
      </c>
    </row>
    <row r="797" spans="1:26" x14ac:dyDescent="0.3">
      <c r="A797" s="22">
        <v>10796</v>
      </c>
      <c r="B797" s="23">
        <v>5445</v>
      </c>
      <c r="C797" s="23" t="s">
        <v>25</v>
      </c>
      <c r="D797" s="24">
        <v>35697.75</v>
      </c>
      <c r="E797" s="23">
        <v>36</v>
      </c>
      <c r="F797" s="23" t="s">
        <v>43</v>
      </c>
      <c r="G797" s="25">
        <v>45361</v>
      </c>
      <c r="H797" s="24">
        <v>163091.54</v>
      </c>
      <c r="I797" s="26" t="s">
        <v>27</v>
      </c>
      <c r="J797" s="15" t="s">
        <v>49</v>
      </c>
      <c r="K797" s="15">
        <v>159</v>
      </c>
      <c r="L797" s="16">
        <v>45332</v>
      </c>
      <c r="M797" s="17">
        <v>3</v>
      </c>
      <c r="N797" s="27">
        <v>90796</v>
      </c>
      <c r="O797" s="27" t="s">
        <v>37</v>
      </c>
      <c r="P797" s="28">
        <v>45383</v>
      </c>
      <c r="Q797" s="29">
        <v>0.73297000000000001</v>
      </c>
      <c r="R797" s="30">
        <v>70796</v>
      </c>
      <c r="S797" s="27" t="s">
        <v>41</v>
      </c>
      <c r="T797" s="29">
        <v>86709.855800000005</v>
      </c>
      <c r="U797" s="27" t="s">
        <v>42</v>
      </c>
      <c r="V797" s="28">
        <v>45392</v>
      </c>
      <c r="W797" s="27" t="s">
        <v>38</v>
      </c>
      <c r="X797" s="28">
        <v>45376</v>
      </c>
      <c r="Y797" s="27" t="s">
        <v>33</v>
      </c>
      <c r="Z797" s="43" t="e">
        <f>TEXT([1]!Table64[[#This Row],[Order date]],"mmm-yyyy")</f>
        <v>#REF!</v>
      </c>
    </row>
    <row r="798" spans="1:26" x14ac:dyDescent="0.3">
      <c r="A798" s="10">
        <v>10797</v>
      </c>
      <c r="B798" s="11">
        <v>6257</v>
      </c>
      <c r="C798" s="11" t="s">
        <v>34</v>
      </c>
      <c r="D798" s="12">
        <v>43800.959999999999</v>
      </c>
      <c r="E798" s="11">
        <v>19</v>
      </c>
      <c r="F798" s="11" t="s">
        <v>35</v>
      </c>
      <c r="G798" s="13">
        <v>45337</v>
      </c>
      <c r="H798" s="12">
        <v>157425.26999999999</v>
      </c>
      <c r="I798" s="14" t="s">
        <v>44</v>
      </c>
      <c r="J798" s="15" t="s">
        <v>49</v>
      </c>
      <c r="K798" s="15">
        <v>634</v>
      </c>
      <c r="L798" s="16">
        <v>45397</v>
      </c>
      <c r="M798" s="17">
        <v>3</v>
      </c>
      <c r="N798" s="18">
        <v>90797</v>
      </c>
      <c r="O798" s="18" t="s">
        <v>37</v>
      </c>
      <c r="P798" s="19">
        <v>45430</v>
      </c>
      <c r="Q798" s="20">
        <v>0.90214000000000005</v>
      </c>
      <c r="R798" s="21">
        <v>70797</v>
      </c>
      <c r="S798" s="18" t="s">
        <v>41</v>
      </c>
      <c r="T798" s="20">
        <v>137622.09520000001</v>
      </c>
      <c r="U798" s="18" t="s">
        <v>31</v>
      </c>
      <c r="V798" s="19">
        <v>45392</v>
      </c>
      <c r="W798" s="18" t="s">
        <v>32</v>
      </c>
      <c r="X798" s="19">
        <v>45376</v>
      </c>
      <c r="Y798" s="18" t="s">
        <v>33</v>
      </c>
      <c r="Z798" s="43" t="e">
        <f>TEXT([1]!Table64[[#This Row],[Order date]],"mmm-yyyy")</f>
        <v>#REF!</v>
      </c>
    </row>
    <row r="799" spans="1:26" x14ac:dyDescent="0.3">
      <c r="A799" s="22">
        <v>10798</v>
      </c>
      <c r="B799" s="23">
        <v>6939</v>
      </c>
      <c r="C799" s="23" t="s">
        <v>34</v>
      </c>
      <c r="D799" s="24">
        <v>22620.82</v>
      </c>
      <c r="E799" s="23">
        <v>64</v>
      </c>
      <c r="F799" s="23" t="s">
        <v>43</v>
      </c>
      <c r="G799" s="25">
        <v>45361</v>
      </c>
      <c r="H799" s="24">
        <v>12399.35</v>
      </c>
      <c r="I799" s="26" t="s">
        <v>47</v>
      </c>
      <c r="J799" s="15" t="s">
        <v>28</v>
      </c>
      <c r="K799" s="15">
        <v>389</v>
      </c>
      <c r="L799" s="16">
        <v>45397</v>
      </c>
      <c r="M799" s="17">
        <v>10</v>
      </c>
      <c r="N799" s="27">
        <v>90798</v>
      </c>
      <c r="O799" s="27" t="s">
        <v>40</v>
      </c>
      <c r="P799" s="28">
        <v>45430</v>
      </c>
      <c r="Q799" s="29">
        <v>0.67229000000000005</v>
      </c>
      <c r="R799" s="30">
        <v>70798</v>
      </c>
      <c r="S799" s="27" t="s">
        <v>45</v>
      </c>
      <c r="T799" s="29">
        <v>181654.86480000001</v>
      </c>
      <c r="U799" s="27" t="s">
        <v>42</v>
      </c>
      <c r="V799" s="28">
        <v>45444</v>
      </c>
      <c r="W799" s="27" t="s">
        <v>32</v>
      </c>
      <c r="X799" s="28">
        <v>45376</v>
      </c>
      <c r="Y799" s="27" t="s">
        <v>33</v>
      </c>
      <c r="Z799" s="43" t="e">
        <f>TEXT([1]!Table64[[#This Row],[Order date]],"mmm-yyyy")</f>
        <v>#REF!</v>
      </c>
    </row>
    <row r="800" spans="1:26" x14ac:dyDescent="0.3">
      <c r="A800" s="10">
        <v>10799</v>
      </c>
      <c r="B800" s="11">
        <v>5076</v>
      </c>
      <c r="C800" s="11" t="s">
        <v>34</v>
      </c>
      <c r="D800" s="12">
        <v>73069.17</v>
      </c>
      <c r="E800" s="11">
        <v>91</v>
      </c>
      <c r="F800" s="11" t="s">
        <v>43</v>
      </c>
      <c r="G800" s="13">
        <v>45306</v>
      </c>
      <c r="H800" s="12">
        <v>117933.29</v>
      </c>
      <c r="I800" s="14" t="s">
        <v>47</v>
      </c>
      <c r="J800" s="15" t="s">
        <v>49</v>
      </c>
      <c r="K800" s="15">
        <v>1028</v>
      </c>
      <c r="L800" s="16">
        <v>45361</v>
      </c>
      <c r="M800" s="17">
        <v>11</v>
      </c>
      <c r="N800" s="18">
        <v>90799</v>
      </c>
      <c r="O800" s="18" t="s">
        <v>40</v>
      </c>
      <c r="P800" s="19">
        <v>45430</v>
      </c>
      <c r="Q800" s="20">
        <v>0.94398000000000004</v>
      </c>
      <c r="R800" s="21">
        <v>70799</v>
      </c>
      <c r="S800" s="18" t="s">
        <v>41</v>
      </c>
      <c r="T800" s="20">
        <v>171514.80877</v>
      </c>
      <c r="U800" s="18" t="s">
        <v>31</v>
      </c>
      <c r="V800" s="19">
        <v>45422</v>
      </c>
      <c r="W800" s="18" t="s">
        <v>38</v>
      </c>
      <c r="X800" s="19">
        <v>45376</v>
      </c>
      <c r="Y800" s="18" t="s">
        <v>39</v>
      </c>
      <c r="Z800" s="43" t="e">
        <f>TEXT([1]!Table64[[#This Row],[Order date]],"mmm-yyyy")</f>
        <v>#REF!</v>
      </c>
    </row>
    <row r="801" spans="1:26" x14ac:dyDescent="0.3">
      <c r="A801" s="22">
        <v>10800</v>
      </c>
      <c r="B801" s="23">
        <v>5265</v>
      </c>
      <c r="C801" s="23" t="s">
        <v>34</v>
      </c>
      <c r="D801" s="24">
        <v>45853.59</v>
      </c>
      <c r="E801" s="23">
        <v>98</v>
      </c>
      <c r="F801" s="23" t="s">
        <v>35</v>
      </c>
      <c r="G801" s="25">
        <v>45337</v>
      </c>
      <c r="H801" s="24">
        <v>74316.55</v>
      </c>
      <c r="I801" s="26" t="s">
        <v>44</v>
      </c>
      <c r="J801" s="15" t="s">
        <v>28</v>
      </c>
      <c r="K801" s="15">
        <v>405</v>
      </c>
      <c r="L801" s="16">
        <v>45361</v>
      </c>
      <c r="M801" s="17">
        <v>11</v>
      </c>
      <c r="N801" s="27">
        <v>90800</v>
      </c>
      <c r="O801" s="27" t="s">
        <v>37</v>
      </c>
      <c r="P801" s="28">
        <v>45352</v>
      </c>
      <c r="Q801" s="29">
        <v>0.21565000000000001</v>
      </c>
      <c r="R801" s="30">
        <v>70800</v>
      </c>
      <c r="S801" s="27" t="s">
        <v>41</v>
      </c>
      <c r="T801" s="29">
        <v>148084.14379999999</v>
      </c>
      <c r="U801" s="27" t="s">
        <v>31</v>
      </c>
      <c r="V801" s="28">
        <v>45422</v>
      </c>
      <c r="W801" s="27" t="s">
        <v>38</v>
      </c>
      <c r="X801" s="28">
        <v>45376</v>
      </c>
      <c r="Y801" s="27" t="s">
        <v>33</v>
      </c>
      <c r="Z801" s="43" t="e">
        <f>TEXT([1]!Table64[[#This Row],[Order date]],"mmm-yyyy")</f>
        <v>#REF!</v>
      </c>
    </row>
    <row r="802" spans="1:26" x14ac:dyDescent="0.3">
      <c r="A802" s="10">
        <v>10801</v>
      </c>
      <c r="B802" s="11">
        <v>5455</v>
      </c>
      <c r="C802" s="11" t="s">
        <v>25</v>
      </c>
      <c r="D802" s="12">
        <v>43151.24</v>
      </c>
      <c r="E802" s="11">
        <v>11</v>
      </c>
      <c r="F802" s="11" t="s">
        <v>26</v>
      </c>
      <c r="G802" s="13">
        <v>45337</v>
      </c>
      <c r="H802" s="12">
        <v>20420.27</v>
      </c>
      <c r="I802" s="14" t="s">
        <v>27</v>
      </c>
      <c r="J802" s="15" t="s">
        <v>36</v>
      </c>
      <c r="K802" s="15">
        <v>217</v>
      </c>
      <c r="L802" s="16">
        <v>45361</v>
      </c>
      <c r="M802" s="17">
        <v>10</v>
      </c>
      <c r="N802" s="18">
        <v>90801</v>
      </c>
      <c r="O802" s="18" t="s">
        <v>37</v>
      </c>
      <c r="P802" s="19">
        <v>45383</v>
      </c>
      <c r="Q802" s="20">
        <v>0.17896000000000001</v>
      </c>
      <c r="R802" s="21">
        <v>70801</v>
      </c>
      <c r="S802" s="18" t="s">
        <v>45</v>
      </c>
      <c r="T802" s="20">
        <v>110333.26469</v>
      </c>
      <c r="U802" s="18" t="s">
        <v>48</v>
      </c>
      <c r="V802" s="19">
        <v>45392</v>
      </c>
      <c r="W802" s="18" t="s">
        <v>32</v>
      </c>
      <c r="X802" s="19">
        <v>45384</v>
      </c>
      <c r="Y802" s="18" t="s">
        <v>39</v>
      </c>
      <c r="Z802" s="43" t="e">
        <f>TEXT([1]!Table64[[#This Row],[Order date]],"mmm-yyyy")</f>
        <v>#REF!</v>
      </c>
    </row>
    <row r="803" spans="1:26" x14ac:dyDescent="0.3">
      <c r="A803" s="22">
        <v>10802</v>
      </c>
      <c r="B803" s="23">
        <v>6820</v>
      </c>
      <c r="C803" s="23" t="s">
        <v>34</v>
      </c>
      <c r="D803" s="24">
        <v>13468.09</v>
      </c>
      <c r="E803" s="23">
        <v>54</v>
      </c>
      <c r="F803" s="23" t="s">
        <v>26</v>
      </c>
      <c r="G803" s="25">
        <v>45306</v>
      </c>
      <c r="H803" s="24">
        <v>92603.5</v>
      </c>
      <c r="I803" s="26" t="s">
        <v>47</v>
      </c>
      <c r="J803" s="15" t="s">
        <v>49</v>
      </c>
      <c r="K803" s="15">
        <v>606</v>
      </c>
      <c r="L803" s="16">
        <v>45332</v>
      </c>
      <c r="M803" s="17">
        <v>11</v>
      </c>
      <c r="N803" s="27">
        <v>90802</v>
      </c>
      <c r="O803" s="27" t="s">
        <v>40</v>
      </c>
      <c r="P803" s="28">
        <v>45383</v>
      </c>
      <c r="Q803" s="29">
        <v>0.85457000000000005</v>
      </c>
      <c r="R803" s="30">
        <v>70802</v>
      </c>
      <c r="S803" s="27" t="s">
        <v>41</v>
      </c>
      <c r="T803" s="29">
        <v>73845.275039999993</v>
      </c>
      <c r="U803" s="27" t="s">
        <v>48</v>
      </c>
      <c r="V803" s="28">
        <v>45422</v>
      </c>
      <c r="W803" s="27" t="s">
        <v>32</v>
      </c>
      <c r="X803" s="28">
        <v>45376</v>
      </c>
      <c r="Y803" s="27" t="s">
        <v>39</v>
      </c>
      <c r="Z803" s="43" t="e">
        <f>TEXT([1]!Table64[[#This Row],[Order date]],"mmm-yyyy")</f>
        <v>#REF!</v>
      </c>
    </row>
    <row r="804" spans="1:26" x14ac:dyDescent="0.3">
      <c r="A804" s="10">
        <v>10803</v>
      </c>
      <c r="B804" s="11">
        <v>5718</v>
      </c>
      <c r="C804" s="11" t="s">
        <v>34</v>
      </c>
      <c r="D804" s="12">
        <v>75949.69</v>
      </c>
      <c r="E804" s="11">
        <v>45</v>
      </c>
      <c r="F804" s="11" t="s">
        <v>35</v>
      </c>
      <c r="G804" s="13">
        <v>45383</v>
      </c>
      <c r="H804" s="12">
        <v>101170.33</v>
      </c>
      <c r="I804" s="14" t="s">
        <v>47</v>
      </c>
      <c r="J804" s="15" t="s">
        <v>36</v>
      </c>
      <c r="K804" s="15">
        <v>954</v>
      </c>
      <c r="L804" s="16">
        <v>45332</v>
      </c>
      <c r="M804" s="17">
        <v>8</v>
      </c>
      <c r="N804" s="18">
        <v>90803</v>
      </c>
      <c r="O804" s="18" t="s">
        <v>40</v>
      </c>
      <c r="P804" s="19">
        <v>45383</v>
      </c>
      <c r="Q804" s="20">
        <v>0.86995999999999996</v>
      </c>
      <c r="R804" s="21">
        <v>70803</v>
      </c>
      <c r="S804" s="18" t="s">
        <v>45</v>
      </c>
      <c r="T804" s="20">
        <v>87962.484899999996</v>
      </c>
      <c r="U804" s="18" t="s">
        <v>48</v>
      </c>
      <c r="V804" s="19">
        <v>45422</v>
      </c>
      <c r="W804" s="18" t="s">
        <v>38</v>
      </c>
      <c r="X804" s="19">
        <v>45384</v>
      </c>
      <c r="Y804" s="18" t="s">
        <v>39</v>
      </c>
      <c r="Z804" s="43" t="e">
        <f>TEXT([1]!Table64[[#This Row],[Order date]],"mmm-yyyy")</f>
        <v>#REF!</v>
      </c>
    </row>
    <row r="805" spans="1:26" x14ac:dyDescent="0.3">
      <c r="A805" s="22">
        <v>10804</v>
      </c>
      <c r="B805" s="23">
        <v>5735</v>
      </c>
      <c r="C805" s="23" t="s">
        <v>34</v>
      </c>
      <c r="D805" s="24">
        <v>83029.179999999993</v>
      </c>
      <c r="E805" s="23">
        <v>47</v>
      </c>
      <c r="F805" s="23" t="s">
        <v>43</v>
      </c>
      <c r="G805" s="25">
        <v>45337</v>
      </c>
      <c r="H805" s="24">
        <v>164667.87</v>
      </c>
      <c r="I805" s="26" t="s">
        <v>27</v>
      </c>
      <c r="J805" s="15" t="s">
        <v>36</v>
      </c>
      <c r="K805" s="15">
        <v>154</v>
      </c>
      <c r="L805" s="16">
        <v>45332</v>
      </c>
      <c r="M805" s="17">
        <v>13</v>
      </c>
      <c r="N805" s="27">
        <v>90804</v>
      </c>
      <c r="O805" s="27" t="s">
        <v>40</v>
      </c>
      <c r="P805" s="28">
        <v>45430</v>
      </c>
      <c r="Q805" s="29">
        <v>0.84794000000000003</v>
      </c>
      <c r="R805" s="30">
        <v>70804</v>
      </c>
      <c r="S805" s="27" t="s">
        <v>41</v>
      </c>
      <c r="T805" s="29">
        <v>219693.033</v>
      </c>
      <c r="U805" s="27" t="s">
        <v>42</v>
      </c>
      <c r="V805" s="28">
        <v>45422</v>
      </c>
      <c r="W805" s="27" t="s">
        <v>32</v>
      </c>
      <c r="X805" s="28">
        <v>45376</v>
      </c>
      <c r="Y805" s="27" t="s">
        <v>33</v>
      </c>
      <c r="Z805" s="43" t="e">
        <f>TEXT([1]!Table64[[#This Row],[Order date]],"mmm-yyyy")</f>
        <v>#REF!</v>
      </c>
    </row>
    <row r="806" spans="1:26" x14ac:dyDescent="0.3">
      <c r="A806" s="10">
        <v>10805</v>
      </c>
      <c r="B806" s="11">
        <v>6408</v>
      </c>
      <c r="C806" s="11" t="s">
        <v>34</v>
      </c>
      <c r="D806" s="12">
        <v>52704.29</v>
      </c>
      <c r="E806" s="11">
        <v>12</v>
      </c>
      <c r="F806" s="11" t="s">
        <v>35</v>
      </c>
      <c r="G806" s="13">
        <v>45383</v>
      </c>
      <c r="H806" s="12">
        <v>79729.710000000006</v>
      </c>
      <c r="I806" s="14" t="s">
        <v>44</v>
      </c>
      <c r="J806" s="15" t="s">
        <v>49</v>
      </c>
      <c r="K806" s="15">
        <v>199</v>
      </c>
      <c r="L806" s="16">
        <v>45397</v>
      </c>
      <c r="M806" s="17">
        <v>5</v>
      </c>
      <c r="N806" s="18">
        <v>90805</v>
      </c>
      <c r="O806" s="18" t="s">
        <v>50</v>
      </c>
      <c r="P806" s="19">
        <v>45383</v>
      </c>
      <c r="Q806" s="20">
        <v>0.81906999999999996</v>
      </c>
      <c r="R806" s="21">
        <v>70805</v>
      </c>
      <c r="S806" s="18" t="s">
        <v>41</v>
      </c>
      <c r="T806" s="20">
        <v>146591.91005000001</v>
      </c>
      <c r="U806" s="18" t="s">
        <v>48</v>
      </c>
      <c r="V806" s="19">
        <v>45444</v>
      </c>
      <c r="W806" s="18" t="s">
        <v>38</v>
      </c>
      <c r="X806" s="19">
        <v>45384</v>
      </c>
      <c r="Y806" s="18" t="s">
        <v>33</v>
      </c>
      <c r="Z806" s="43" t="e">
        <f>TEXT([1]!Table64[[#This Row],[Order date]],"mmm-yyyy")</f>
        <v>#REF!</v>
      </c>
    </row>
    <row r="807" spans="1:26" x14ac:dyDescent="0.3">
      <c r="A807" s="22">
        <v>10806</v>
      </c>
      <c r="B807" s="23">
        <v>6588</v>
      </c>
      <c r="C807" s="23" t="s">
        <v>34</v>
      </c>
      <c r="D807" s="24">
        <v>96257.43</v>
      </c>
      <c r="E807" s="23">
        <v>21</v>
      </c>
      <c r="F807" s="23" t="s">
        <v>26</v>
      </c>
      <c r="G807" s="25">
        <v>45337</v>
      </c>
      <c r="H807" s="24">
        <v>88490.02</v>
      </c>
      <c r="I807" s="26" t="s">
        <v>27</v>
      </c>
      <c r="J807" s="15" t="s">
        <v>28</v>
      </c>
      <c r="K807" s="15">
        <v>195</v>
      </c>
      <c r="L807" s="16">
        <v>45361</v>
      </c>
      <c r="M807" s="17">
        <v>4</v>
      </c>
      <c r="N807" s="27">
        <v>90806</v>
      </c>
      <c r="O807" s="27" t="s">
        <v>40</v>
      </c>
      <c r="P807" s="28">
        <v>45383</v>
      </c>
      <c r="Q807" s="29">
        <v>0.42601</v>
      </c>
      <c r="R807" s="30">
        <v>70806</v>
      </c>
      <c r="S807" s="27" t="s">
        <v>41</v>
      </c>
      <c r="T807" s="29">
        <v>134124.35879999999</v>
      </c>
      <c r="U807" s="27" t="s">
        <v>42</v>
      </c>
      <c r="V807" s="28">
        <v>45444</v>
      </c>
      <c r="W807" s="27" t="s">
        <v>38</v>
      </c>
      <c r="X807" s="28">
        <v>45376</v>
      </c>
      <c r="Y807" s="27" t="s">
        <v>33</v>
      </c>
      <c r="Z807" s="43" t="e">
        <f>TEXT([1]!Table64[[#This Row],[Order date]],"mmm-yyyy")</f>
        <v>#REF!</v>
      </c>
    </row>
    <row r="808" spans="1:26" x14ac:dyDescent="0.3">
      <c r="A808" s="10">
        <v>10807</v>
      </c>
      <c r="B808" s="11">
        <v>5851</v>
      </c>
      <c r="C808" s="11" t="s">
        <v>34</v>
      </c>
      <c r="D808" s="12">
        <v>88977.83</v>
      </c>
      <c r="E808" s="11">
        <v>11</v>
      </c>
      <c r="F808" s="11" t="s">
        <v>46</v>
      </c>
      <c r="G808" s="13">
        <v>45337</v>
      </c>
      <c r="H808" s="12">
        <v>80445.490000000005</v>
      </c>
      <c r="I808" s="14" t="s">
        <v>44</v>
      </c>
      <c r="J808" s="15" t="s">
        <v>36</v>
      </c>
      <c r="K808" s="15">
        <v>765</v>
      </c>
      <c r="L808" s="16">
        <v>45397</v>
      </c>
      <c r="M808" s="17">
        <v>13</v>
      </c>
      <c r="N808" s="18">
        <v>90807</v>
      </c>
      <c r="O808" s="18" t="s">
        <v>37</v>
      </c>
      <c r="P808" s="19">
        <v>45383</v>
      </c>
      <c r="Q808" s="20">
        <v>0.29571999999999998</v>
      </c>
      <c r="R808" s="21">
        <v>70807</v>
      </c>
      <c r="S808" s="18" t="s">
        <v>41</v>
      </c>
      <c r="T808" s="20">
        <v>86292.763399999996</v>
      </c>
      <c r="U808" s="18" t="s">
        <v>42</v>
      </c>
      <c r="V808" s="19">
        <v>45422</v>
      </c>
      <c r="W808" s="18" t="s">
        <v>38</v>
      </c>
      <c r="X808" s="19">
        <v>45384</v>
      </c>
      <c r="Y808" s="18" t="s">
        <v>33</v>
      </c>
      <c r="Z808" s="43" t="e">
        <f>TEXT([1]!Table64[[#This Row],[Order date]],"mmm-yyyy")</f>
        <v>#REF!</v>
      </c>
    </row>
    <row r="809" spans="1:26" x14ac:dyDescent="0.3">
      <c r="A809" s="22">
        <v>10808</v>
      </c>
      <c r="B809" s="23">
        <v>6530</v>
      </c>
      <c r="C809" s="23" t="s">
        <v>34</v>
      </c>
      <c r="D809" s="24">
        <v>10350.549999999999</v>
      </c>
      <c r="E809" s="23">
        <v>92</v>
      </c>
      <c r="F809" s="23" t="s">
        <v>43</v>
      </c>
      <c r="G809" s="25">
        <v>45383</v>
      </c>
      <c r="H809" s="24">
        <v>85060.39</v>
      </c>
      <c r="I809" s="26" t="s">
        <v>47</v>
      </c>
      <c r="J809" s="15" t="s">
        <v>36</v>
      </c>
      <c r="K809" s="15">
        <v>923</v>
      </c>
      <c r="L809" s="16">
        <v>45332</v>
      </c>
      <c r="M809" s="17">
        <v>9</v>
      </c>
      <c r="N809" s="27">
        <v>90808</v>
      </c>
      <c r="O809" s="27" t="s">
        <v>50</v>
      </c>
      <c r="P809" s="28">
        <v>45383</v>
      </c>
      <c r="Q809" s="29">
        <v>0.93591999999999997</v>
      </c>
      <c r="R809" s="30">
        <v>70808</v>
      </c>
      <c r="S809" s="27" t="s">
        <v>41</v>
      </c>
      <c r="T809" s="29">
        <v>164539.11290000001</v>
      </c>
      <c r="U809" s="27" t="s">
        <v>48</v>
      </c>
      <c r="V809" s="28">
        <v>45392</v>
      </c>
      <c r="W809" s="27" t="s">
        <v>38</v>
      </c>
      <c r="X809" s="28">
        <v>45376</v>
      </c>
      <c r="Y809" s="27" t="s">
        <v>33</v>
      </c>
      <c r="Z809" s="43" t="e">
        <f>TEXT([1]!Table64[[#This Row],[Order date]],"mmm-yyyy")</f>
        <v>#REF!</v>
      </c>
    </row>
    <row r="810" spans="1:26" x14ac:dyDescent="0.3">
      <c r="A810" s="10">
        <v>10809</v>
      </c>
      <c r="B810" s="11">
        <v>6391</v>
      </c>
      <c r="C810" s="11" t="s">
        <v>34</v>
      </c>
      <c r="D810" s="12">
        <v>76813.48</v>
      </c>
      <c r="E810" s="11">
        <v>5</v>
      </c>
      <c r="F810" s="11" t="s">
        <v>26</v>
      </c>
      <c r="G810" s="13">
        <v>45337</v>
      </c>
      <c r="H810" s="12">
        <v>118782.67</v>
      </c>
      <c r="I810" s="14" t="s">
        <v>47</v>
      </c>
      <c r="J810" s="15" t="s">
        <v>49</v>
      </c>
      <c r="K810" s="15">
        <v>348</v>
      </c>
      <c r="L810" s="16">
        <v>45361</v>
      </c>
      <c r="M810" s="17">
        <v>9</v>
      </c>
      <c r="N810" s="18">
        <v>90809</v>
      </c>
      <c r="O810" s="18" t="s">
        <v>40</v>
      </c>
      <c r="P810" s="19">
        <v>45383</v>
      </c>
      <c r="Q810" s="20">
        <v>0.37630000000000002</v>
      </c>
      <c r="R810" s="21">
        <v>70809</v>
      </c>
      <c r="S810" s="18" t="s">
        <v>41</v>
      </c>
      <c r="T810" s="20">
        <v>183383.08819000001</v>
      </c>
      <c r="U810" s="18" t="s">
        <v>48</v>
      </c>
      <c r="V810" s="19">
        <v>45422</v>
      </c>
      <c r="W810" s="18" t="s">
        <v>38</v>
      </c>
      <c r="X810" s="19">
        <v>45376</v>
      </c>
      <c r="Y810" s="18" t="s">
        <v>39</v>
      </c>
      <c r="Z810" s="43" t="e">
        <f>TEXT([1]!Table64[[#This Row],[Order date]],"mmm-yyyy")</f>
        <v>#REF!</v>
      </c>
    </row>
    <row r="811" spans="1:26" x14ac:dyDescent="0.3">
      <c r="A811" s="22">
        <v>10810</v>
      </c>
      <c r="B811" s="23">
        <v>5144</v>
      </c>
      <c r="C811" s="23" t="s">
        <v>34</v>
      </c>
      <c r="D811" s="24">
        <v>74571.09</v>
      </c>
      <c r="E811" s="23">
        <v>81</v>
      </c>
      <c r="F811" s="23" t="s">
        <v>43</v>
      </c>
      <c r="G811" s="25">
        <v>45383</v>
      </c>
      <c r="H811" s="24">
        <v>28439.83</v>
      </c>
      <c r="I811" s="26" t="s">
        <v>47</v>
      </c>
      <c r="J811" s="15" t="s">
        <v>49</v>
      </c>
      <c r="K811" s="15">
        <v>1240</v>
      </c>
      <c r="L811" s="16">
        <v>45332</v>
      </c>
      <c r="M811" s="17">
        <v>1</v>
      </c>
      <c r="N811" s="27">
        <v>90810</v>
      </c>
      <c r="O811" s="27" t="s">
        <v>37</v>
      </c>
      <c r="P811" s="28">
        <v>45352</v>
      </c>
      <c r="Q811" s="29">
        <v>0.45856999999999998</v>
      </c>
      <c r="R811" s="30">
        <v>70810</v>
      </c>
      <c r="S811" s="27" t="s">
        <v>41</v>
      </c>
      <c r="T811" s="29">
        <v>156123.82999</v>
      </c>
      <c r="U811" s="27" t="s">
        <v>31</v>
      </c>
      <c r="V811" s="28">
        <v>45392</v>
      </c>
      <c r="W811" s="27" t="s">
        <v>38</v>
      </c>
      <c r="X811" s="28">
        <v>45384</v>
      </c>
      <c r="Y811" s="27" t="s">
        <v>39</v>
      </c>
      <c r="Z811" s="43" t="e">
        <f>TEXT([1]!Table64[[#This Row],[Order date]],"mmm-yyyy")</f>
        <v>#REF!</v>
      </c>
    </row>
    <row r="812" spans="1:26" x14ac:dyDescent="0.3">
      <c r="A812" s="10">
        <v>10811</v>
      </c>
      <c r="B812" s="11">
        <v>5885</v>
      </c>
      <c r="C812" s="11" t="s">
        <v>25</v>
      </c>
      <c r="D812" s="12">
        <v>95773.01</v>
      </c>
      <c r="E812" s="11">
        <v>56</v>
      </c>
      <c r="F812" s="11" t="s">
        <v>35</v>
      </c>
      <c r="G812" s="13">
        <v>45306</v>
      </c>
      <c r="H812" s="12">
        <v>135091.85</v>
      </c>
      <c r="I812" s="14" t="s">
        <v>44</v>
      </c>
      <c r="J812" s="15" t="s">
        <v>49</v>
      </c>
      <c r="K812" s="15">
        <v>695</v>
      </c>
      <c r="L812" s="16">
        <v>45361</v>
      </c>
      <c r="M812" s="17">
        <v>2</v>
      </c>
      <c r="N812" s="18">
        <v>90811</v>
      </c>
      <c r="O812" s="18" t="s">
        <v>29</v>
      </c>
      <c r="P812" s="19">
        <v>45383</v>
      </c>
      <c r="Q812" s="20">
        <v>0.72960000000000003</v>
      </c>
      <c r="R812" s="21">
        <v>70811</v>
      </c>
      <c r="S812" s="18" t="s">
        <v>30</v>
      </c>
      <c r="T812" s="20">
        <v>82002.155299999999</v>
      </c>
      <c r="U812" s="18" t="s">
        <v>31</v>
      </c>
      <c r="V812" s="19">
        <v>45444</v>
      </c>
      <c r="W812" s="18" t="s">
        <v>32</v>
      </c>
      <c r="X812" s="19">
        <v>45376</v>
      </c>
      <c r="Y812" s="18" t="s">
        <v>39</v>
      </c>
      <c r="Z812" s="43" t="e">
        <f>TEXT([1]!Table64[[#This Row],[Order date]],"mmm-yyyy")</f>
        <v>#REF!</v>
      </c>
    </row>
    <row r="813" spans="1:26" x14ac:dyDescent="0.3">
      <c r="A813" s="22">
        <v>10812</v>
      </c>
      <c r="B813" s="23">
        <v>6093</v>
      </c>
      <c r="C813" s="23" t="s">
        <v>25</v>
      </c>
      <c r="D813" s="24">
        <v>78499.990000000005</v>
      </c>
      <c r="E813" s="23">
        <v>20</v>
      </c>
      <c r="F813" s="23" t="s">
        <v>46</v>
      </c>
      <c r="G813" s="25">
        <v>45383</v>
      </c>
      <c r="H813" s="24">
        <v>64817.89</v>
      </c>
      <c r="I813" s="26" t="s">
        <v>44</v>
      </c>
      <c r="J813" s="15" t="s">
        <v>49</v>
      </c>
      <c r="K813" s="15">
        <v>772</v>
      </c>
      <c r="L813" s="16">
        <v>45361</v>
      </c>
      <c r="M813" s="17">
        <v>8</v>
      </c>
      <c r="N813" s="27">
        <v>90812</v>
      </c>
      <c r="O813" s="27" t="s">
        <v>50</v>
      </c>
      <c r="P813" s="28">
        <v>45352</v>
      </c>
      <c r="Q813" s="29">
        <v>0.36402000000000001</v>
      </c>
      <c r="R813" s="30">
        <v>70812</v>
      </c>
      <c r="S813" s="27" t="s">
        <v>41</v>
      </c>
      <c r="T813" s="29">
        <v>217058.39920000001</v>
      </c>
      <c r="U813" s="27" t="s">
        <v>42</v>
      </c>
      <c r="V813" s="28">
        <v>45422</v>
      </c>
      <c r="W813" s="27" t="s">
        <v>38</v>
      </c>
      <c r="X813" s="28">
        <v>45376</v>
      </c>
      <c r="Y813" s="27" t="s">
        <v>33</v>
      </c>
      <c r="Z813" s="43" t="e">
        <f>TEXT([1]!Table64[[#This Row],[Order date]],"mmm-yyyy")</f>
        <v>#REF!</v>
      </c>
    </row>
    <row r="814" spans="1:26" x14ac:dyDescent="0.3">
      <c r="A814" s="10">
        <v>10813</v>
      </c>
      <c r="B814" s="11">
        <v>6123</v>
      </c>
      <c r="C814" s="11" t="s">
        <v>34</v>
      </c>
      <c r="D814" s="12">
        <v>69223.39</v>
      </c>
      <c r="E814" s="11">
        <v>41</v>
      </c>
      <c r="F814" s="11" t="s">
        <v>35</v>
      </c>
      <c r="G814" s="13">
        <v>45306</v>
      </c>
      <c r="H814" s="12">
        <v>138395.32999999999</v>
      </c>
      <c r="I814" s="14" t="s">
        <v>44</v>
      </c>
      <c r="J814" s="15" t="s">
        <v>49</v>
      </c>
      <c r="K814" s="15">
        <v>1121</v>
      </c>
      <c r="L814" s="16">
        <v>45397</v>
      </c>
      <c r="M814" s="17">
        <v>5</v>
      </c>
      <c r="N814" s="18">
        <v>90813</v>
      </c>
      <c r="O814" s="18" t="s">
        <v>37</v>
      </c>
      <c r="P814" s="19">
        <v>45383</v>
      </c>
      <c r="Q814" s="20">
        <v>0.83721999999999996</v>
      </c>
      <c r="R814" s="21">
        <v>70813</v>
      </c>
      <c r="S814" s="18" t="s">
        <v>41</v>
      </c>
      <c r="T814" s="20">
        <v>103670.03594</v>
      </c>
      <c r="U814" s="18" t="s">
        <v>42</v>
      </c>
      <c r="V814" s="19">
        <v>45422</v>
      </c>
      <c r="W814" s="18" t="s">
        <v>32</v>
      </c>
      <c r="X814" s="19">
        <v>45384</v>
      </c>
      <c r="Y814" s="18" t="s">
        <v>33</v>
      </c>
      <c r="Z814" s="43" t="e">
        <f>TEXT([1]!Table64[[#This Row],[Order date]],"mmm-yyyy")</f>
        <v>#REF!</v>
      </c>
    </row>
    <row r="815" spans="1:26" x14ac:dyDescent="0.3">
      <c r="A815" s="22">
        <v>10814</v>
      </c>
      <c r="B815" s="23">
        <v>5396</v>
      </c>
      <c r="C815" s="23" t="s">
        <v>25</v>
      </c>
      <c r="D815" s="24">
        <v>69468.25</v>
      </c>
      <c r="E815" s="23">
        <v>46</v>
      </c>
      <c r="F815" s="23" t="s">
        <v>46</v>
      </c>
      <c r="G815" s="25">
        <v>45337</v>
      </c>
      <c r="H815" s="24">
        <v>125071.2</v>
      </c>
      <c r="I815" s="26" t="s">
        <v>27</v>
      </c>
      <c r="J815" s="15" t="s">
        <v>49</v>
      </c>
      <c r="K815" s="15">
        <v>687</v>
      </c>
      <c r="L815" s="16">
        <v>45397</v>
      </c>
      <c r="M815" s="17">
        <v>7</v>
      </c>
      <c r="N815" s="27">
        <v>90814</v>
      </c>
      <c r="O815" s="27" t="s">
        <v>29</v>
      </c>
      <c r="P815" s="28">
        <v>45352</v>
      </c>
      <c r="Q815" s="29">
        <v>0.16303000000000001</v>
      </c>
      <c r="R815" s="30">
        <v>70814</v>
      </c>
      <c r="S815" s="27" t="s">
        <v>30</v>
      </c>
      <c r="T815" s="29">
        <v>79547.008000000002</v>
      </c>
      <c r="U815" s="27" t="s">
        <v>48</v>
      </c>
      <c r="V815" s="28">
        <v>45392</v>
      </c>
      <c r="W815" s="27" t="s">
        <v>32</v>
      </c>
      <c r="X815" s="28">
        <v>45376</v>
      </c>
      <c r="Y815" s="27" t="s">
        <v>33</v>
      </c>
      <c r="Z815" s="43" t="e">
        <f>TEXT([1]!Table64[[#This Row],[Order date]],"mmm-yyyy")</f>
        <v>#REF!</v>
      </c>
    </row>
    <row r="816" spans="1:26" x14ac:dyDescent="0.3">
      <c r="A816" s="10">
        <v>10815</v>
      </c>
      <c r="B816" s="11">
        <v>6049</v>
      </c>
      <c r="C816" s="11" t="s">
        <v>34</v>
      </c>
      <c r="D816" s="12">
        <v>50401.1</v>
      </c>
      <c r="E816" s="11">
        <v>12</v>
      </c>
      <c r="F816" s="11" t="s">
        <v>43</v>
      </c>
      <c r="G816" s="13">
        <v>45383</v>
      </c>
      <c r="H816" s="12">
        <v>67581.69</v>
      </c>
      <c r="I816" s="14" t="s">
        <v>47</v>
      </c>
      <c r="J816" s="15" t="s">
        <v>28</v>
      </c>
      <c r="K816" s="15">
        <v>288</v>
      </c>
      <c r="L816" s="16">
        <v>45332</v>
      </c>
      <c r="M816" s="17">
        <v>1</v>
      </c>
      <c r="N816" s="18">
        <v>90815</v>
      </c>
      <c r="O816" s="18" t="s">
        <v>37</v>
      </c>
      <c r="P816" s="19">
        <v>45383</v>
      </c>
      <c r="Q816" s="20">
        <v>0.81206</v>
      </c>
      <c r="R816" s="21">
        <v>70815</v>
      </c>
      <c r="S816" s="18" t="s">
        <v>41</v>
      </c>
      <c r="T816" s="20">
        <v>146557.69528000001</v>
      </c>
      <c r="U816" s="18" t="s">
        <v>48</v>
      </c>
      <c r="V816" s="19">
        <v>45392</v>
      </c>
      <c r="W816" s="18" t="s">
        <v>38</v>
      </c>
      <c r="X816" s="19">
        <v>45384</v>
      </c>
      <c r="Y816" s="18" t="s">
        <v>33</v>
      </c>
      <c r="Z816" s="43" t="e">
        <f>TEXT([1]!Table64[[#This Row],[Order date]],"mmm-yyyy")</f>
        <v>#REF!</v>
      </c>
    </row>
    <row r="817" spans="1:26" x14ac:dyDescent="0.3">
      <c r="A817" s="22">
        <v>10816</v>
      </c>
      <c r="B817" s="23">
        <v>5948</v>
      </c>
      <c r="C817" s="23" t="s">
        <v>34</v>
      </c>
      <c r="D817" s="24">
        <v>47722.27</v>
      </c>
      <c r="E817" s="23">
        <v>70</v>
      </c>
      <c r="F817" s="23" t="s">
        <v>43</v>
      </c>
      <c r="G817" s="25">
        <v>45337</v>
      </c>
      <c r="H817" s="24">
        <v>76952.78</v>
      </c>
      <c r="I817" s="26" t="s">
        <v>47</v>
      </c>
      <c r="J817" s="15" t="s">
        <v>36</v>
      </c>
      <c r="K817" s="15">
        <v>1080</v>
      </c>
      <c r="L817" s="16">
        <v>45397</v>
      </c>
      <c r="M817" s="17">
        <v>12</v>
      </c>
      <c r="N817" s="27">
        <v>90816</v>
      </c>
      <c r="O817" s="27" t="s">
        <v>40</v>
      </c>
      <c r="P817" s="28">
        <v>45383</v>
      </c>
      <c r="Q817" s="29">
        <v>0.64166999999999996</v>
      </c>
      <c r="R817" s="30">
        <v>70816</v>
      </c>
      <c r="S817" s="27" t="s">
        <v>41</v>
      </c>
      <c r="T817" s="29">
        <v>75451.979200000002</v>
      </c>
      <c r="U817" s="27" t="s">
        <v>31</v>
      </c>
      <c r="V817" s="28">
        <v>45422</v>
      </c>
      <c r="W817" s="27" t="s">
        <v>38</v>
      </c>
      <c r="X817" s="28">
        <v>45384</v>
      </c>
      <c r="Y817" s="27" t="s">
        <v>33</v>
      </c>
      <c r="Z817" s="43" t="e">
        <f>TEXT([1]!Table64[[#This Row],[Order date]],"mmm-yyyy")</f>
        <v>#REF!</v>
      </c>
    </row>
    <row r="818" spans="1:26" x14ac:dyDescent="0.3">
      <c r="A818" s="10">
        <v>10817</v>
      </c>
      <c r="B818" s="11">
        <v>5891</v>
      </c>
      <c r="C818" s="11" t="s">
        <v>34</v>
      </c>
      <c r="D818" s="12">
        <v>15710.43</v>
      </c>
      <c r="E818" s="11">
        <v>17</v>
      </c>
      <c r="F818" s="11" t="s">
        <v>35</v>
      </c>
      <c r="G818" s="13">
        <v>45383</v>
      </c>
      <c r="H818" s="12">
        <v>95938.4</v>
      </c>
      <c r="I818" s="14" t="s">
        <v>27</v>
      </c>
      <c r="J818" s="15" t="s">
        <v>28</v>
      </c>
      <c r="K818" s="15">
        <v>513</v>
      </c>
      <c r="L818" s="16">
        <v>45397</v>
      </c>
      <c r="M818" s="17">
        <v>10</v>
      </c>
      <c r="N818" s="18">
        <v>90817</v>
      </c>
      <c r="O818" s="18" t="s">
        <v>40</v>
      </c>
      <c r="P818" s="19">
        <v>45383</v>
      </c>
      <c r="Q818" s="20">
        <v>0.61568999999999996</v>
      </c>
      <c r="R818" s="21">
        <v>70817</v>
      </c>
      <c r="S818" s="18" t="s">
        <v>30</v>
      </c>
      <c r="T818" s="20">
        <v>95620.657489999998</v>
      </c>
      <c r="U818" s="18" t="s">
        <v>48</v>
      </c>
      <c r="V818" s="19">
        <v>45422</v>
      </c>
      <c r="W818" s="18" t="s">
        <v>38</v>
      </c>
      <c r="X818" s="19">
        <v>45376</v>
      </c>
      <c r="Y818" s="18" t="s">
        <v>33</v>
      </c>
      <c r="Z818" s="43" t="e">
        <f>TEXT([1]!Table64[[#This Row],[Order date]],"mmm-yyyy")</f>
        <v>#REF!</v>
      </c>
    </row>
    <row r="819" spans="1:26" x14ac:dyDescent="0.3">
      <c r="A819" s="22">
        <v>10818</v>
      </c>
      <c r="B819" s="23">
        <v>6493</v>
      </c>
      <c r="C819" s="23" t="s">
        <v>34</v>
      </c>
      <c r="D819" s="24">
        <v>85700.66</v>
      </c>
      <c r="E819" s="23">
        <v>19</v>
      </c>
      <c r="F819" s="23" t="s">
        <v>46</v>
      </c>
      <c r="G819" s="25">
        <v>45306</v>
      </c>
      <c r="H819" s="24">
        <v>163898.01</v>
      </c>
      <c r="I819" s="26" t="s">
        <v>44</v>
      </c>
      <c r="J819" s="15" t="s">
        <v>28</v>
      </c>
      <c r="K819" s="15">
        <v>502</v>
      </c>
      <c r="L819" s="16">
        <v>45397</v>
      </c>
      <c r="M819" s="17">
        <v>12</v>
      </c>
      <c r="N819" s="27">
        <v>90818</v>
      </c>
      <c r="O819" s="27" t="s">
        <v>29</v>
      </c>
      <c r="P819" s="28">
        <v>45383</v>
      </c>
      <c r="Q819" s="29">
        <v>0.51254</v>
      </c>
      <c r="R819" s="30">
        <v>70818</v>
      </c>
      <c r="S819" s="27" t="s">
        <v>30</v>
      </c>
      <c r="T819" s="29">
        <v>193700.44651000001</v>
      </c>
      <c r="U819" s="27" t="s">
        <v>42</v>
      </c>
      <c r="V819" s="28">
        <v>45392</v>
      </c>
      <c r="W819" s="27" t="s">
        <v>32</v>
      </c>
      <c r="X819" s="28">
        <v>45384</v>
      </c>
      <c r="Y819" s="27" t="s">
        <v>33</v>
      </c>
      <c r="Z819" s="43" t="e">
        <f>TEXT([1]!Table64[[#This Row],[Order date]],"mmm-yyyy")</f>
        <v>#REF!</v>
      </c>
    </row>
    <row r="820" spans="1:26" x14ac:dyDescent="0.3">
      <c r="A820" s="10">
        <v>10819</v>
      </c>
      <c r="B820" s="11">
        <v>6508</v>
      </c>
      <c r="C820" s="11" t="s">
        <v>34</v>
      </c>
      <c r="D820" s="12">
        <v>70352.27</v>
      </c>
      <c r="E820" s="11">
        <v>26</v>
      </c>
      <c r="F820" s="11" t="s">
        <v>46</v>
      </c>
      <c r="G820" s="13">
        <v>45306</v>
      </c>
      <c r="H820" s="12">
        <v>82205.27</v>
      </c>
      <c r="I820" s="14" t="s">
        <v>27</v>
      </c>
      <c r="J820" s="15" t="s">
        <v>49</v>
      </c>
      <c r="K820" s="15">
        <v>833</v>
      </c>
      <c r="L820" s="16">
        <v>45361</v>
      </c>
      <c r="M820" s="17">
        <v>5</v>
      </c>
      <c r="N820" s="18">
        <v>90819</v>
      </c>
      <c r="O820" s="18" t="s">
        <v>40</v>
      </c>
      <c r="P820" s="19">
        <v>45430</v>
      </c>
      <c r="Q820" s="20">
        <v>0.34933999999999998</v>
      </c>
      <c r="R820" s="21">
        <v>70819</v>
      </c>
      <c r="S820" s="18" t="s">
        <v>45</v>
      </c>
      <c r="T820" s="20">
        <v>107792.414</v>
      </c>
      <c r="U820" s="18" t="s">
        <v>48</v>
      </c>
      <c r="V820" s="19">
        <v>45444</v>
      </c>
      <c r="W820" s="18" t="s">
        <v>32</v>
      </c>
      <c r="X820" s="19">
        <v>45376</v>
      </c>
      <c r="Y820" s="18" t="s">
        <v>33</v>
      </c>
      <c r="Z820" s="43" t="e">
        <f>TEXT([1]!Table64[[#This Row],[Order date]],"mmm-yyyy")</f>
        <v>#REF!</v>
      </c>
    </row>
    <row r="821" spans="1:26" x14ac:dyDescent="0.3">
      <c r="A821" s="22">
        <v>10820</v>
      </c>
      <c r="B821" s="23">
        <v>6589</v>
      </c>
      <c r="C821" s="23" t="s">
        <v>34</v>
      </c>
      <c r="D821" s="24">
        <v>73137.899999999994</v>
      </c>
      <c r="E821" s="23">
        <v>48</v>
      </c>
      <c r="F821" s="23" t="s">
        <v>43</v>
      </c>
      <c r="G821" s="25">
        <v>45383</v>
      </c>
      <c r="H821" s="24">
        <v>84506.42</v>
      </c>
      <c r="I821" s="26" t="s">
        <v>44</v>
      </c>
      <c r="J821" s="15" t="s">
        <v>36</v>
      </c>
      <c r="K821" s="15">
        <v>946</v>
      </c>
      <c r="L821" s="16">
        <v>45397</v>
      </c>
      <c r="M821" s="17">
        <v>11</v>
      </c>
      <c r="N821" s="27">
        <v>90820</v>
      </c>
      <c r="O821" s="27" t="s">
        <v>37</v>
      </c>
      <c r="P821" s="28">
        <v>45383</v>
      </c>
      <c r="Q821" s="29">
        <v>0.51766000000000001</v>
      </c>
      <c r="R821" s="30">
        <v>70820</v>
      </c>
      <c r="S821" s="27" t="s">
        <v>41</v>
      </c>
      <c r="T821" s="29">
        <v>142771.64246</v>
      </c>
      <c r="U821" s="27" t="s">
        <v>31</v>
      </c>
      <c r="V821" s="28">
        <v>45392</v>
      </c>
      <c r="W821" s="27" t="s">
        <v>38</v>
      </c>
      <c r="X821" s="28">
        <v>45376</v>
      </c>
      <c r="Y821" s="27" t="s">
        <v>33</v>
      </c>
      <c r="Z821" s="43" t="e">
        <f>TEXT([1]!Table64[[#This Row],[Order date]],"mmm-yyyy")</f>
        <v>#REF!</v>
      </c>
    </row>
    <row r="822" spans="1:26" x14ac:dyDescent="0.3">
      <c r="A822" s="10">
        <v>10821</v>
      </c>
      <c r="B822" s="11">
        <v>6175</v>
      </c>
      <c r="C822" s="11" t="s">
        <v>25</v>
      </c>
      <c r="D822" s="12">
        <v>28985.599999999999</v>
      </c>
      <c r="E822" s="11">
        <v>52</v>
      </c>
      <c r="F822" s="11" t="s">
        <v>35</v>
      </c>
      <c r="G822" s="13">
        <v>45306</v>
      </c>
      <c r="H822" s="12">
        <v>111135.94</v>
      </c>
      <c r="I822" s="14" t="s">
        <v>47</v>
      </c>
      <c r="J822" s="15" t="s">
        <v>28</v>
      </c>
      <c r="K822" s="15">
        <v>420</v>
      </c>
      <c r="L822" s="16">
        <v>45332</v>
      </c>
      <c r="M822" s="17">
        <v>12</v>
      </c>
      <c r="N822" s="18">
        <v>90821</v>
      </c>
      <c r="O822" s="18" t="s">
        <v>29</v>
      </c>
      <c r="P822" s="19">
        <v>45352</v>
      </c>
      <c r="Q822" s="20">
        <v>0.50502999999999998</v>
      </c>
      <c r="R822" s="21">
        <v>70821</v>
      </c>
      <c r="S822" s="18" t="s">
        <v>45</v>
      </c>
      <c r="T822" s="20">
        <v>64673.6685</v>
      </c>
      <c r="U822" s="18" t="s">
        <v>42</v>
      </c>
      <c r="V822" s="19">
        <v>45422</v>
      </c>
      <c r="W822" s="18" t="s">
        <v>38</v>
      </c>
      <c r="X822" s="19">
        <v>45376</v>
      </c>
      <c r="Y822" s="18" t="s">
        <v>33</v>
      </c>
      <c r="Z822" s="43" t="e">
        <f>TEXT([1]!Table64[[#This Row],[Order date]],"mmm-yyyy")</f>
        <v>#REF!</v>
      </c>
    </row>
    <row r="823" spans="1:26" x14ac:dyDescent="0.3">
      <c r="A823" s="22">
        <v>10822</v>
      </c>
      <c r="B823" s="23">
        <v>6168</v>
      </c>
      <c r="C823" s="23" t="s">
        <v>34</v>
      </c>
      <c r="D823" s="24">
        <v>37111.08</v>
      </c>
      <c r="E823" s="23">
        <v>96</v>
      </c>
      <c r="F823" s="23" t="s">
        <v>46</v>
      </c>
      <c r="G823" s="25">
        <v>45337</v>
      </c>
      <c r="H823" s="24">
        <v>36294.9</v>
      </c>
      <c r="I823" s="26" t="s">
        <v>44</v>
      </c>
      <c r="J823" s="15" t="s">
        <v>49</v>
      </c>
      <c r="K823" s="15">
        <v>536</v>
      </c>
      <c r="L823" s="16">
        <v>45361</v>
      </c>
      <c r="M823" s="17">
        <v>3</v>
      </c>
      <c r="N823" s="27">
        <v>90822</v>
      </c>
      <c r="O823" s="27" t="s">
        <v>37</v>
      </c>
      <c r="P823" s="28">
        <v>45430</v>
      </c>
      <c r="Q823" s="29">
        <v>0.62538000000000005</v>
      </c>
      <c r="R823" s="30">
        <v>70822</v>
      </c>
      <c r="S823" s="27" t="s">
        <v>41</v>
      </c>
      <c r="T823" s="29">
        <v>151087.63782</v>
      </c>
      <c r="U823" s="27" t="s">
        <v>31</v>
      </c>
      <c r="V823" s="28">
        <v>45444</v>
      </c>
      <c r="W823" s="27" t="s">
        <v>38</v>
      </c>
      <c r="X823" s="28">
        <v>45376</v>
      </c>
      <c r="Y823" s="27" t="s">
        <v>33</v>
      </c>
      <c r="Z823" s="43" t="e">
        <f>TEXT([1]!Table64[[#This Row],[Order date]],"mmm-yyyy")</f>
        <v>#REF!</v>
      </c>
    </row>
    <row r="824" spans="1:26" x14ac:dyDescent="0.3">
      <c r="A824" s="10">
        <v>10823</v>
      </c>
      <c r="B824" s="11">
        <v>5569</v>
      </c>
      <c r="C824" s="11" t="s">
        <v>34</v>
      </c>
      <c r="D824" s="12">
        <v>72849.070000000007</v>
      </c>
      <c r="E824" s="11">
        <v>70</v>
      </c>
      <c r="F824" s="11" t="s">
        <v>43</v>
      </c>
      <c r="G824" s="13">
        <v>45337</v>
      </c>
      <c r="H824" s="12">
        <v>77725.94</v>
      </c>
      <c r="I824" s="14" t="s">
        <v>44</v>
      </c>
      <c r="J824" s="15" t="s">
        <v>49</v>
      </c>
      <c r="K824" s="15">
        <v>1284</v>
      </c>
      <c r="L824" s="16">
        <v>45361</v>
      </c>
      <c r="M824" s="17">
        <v>10</v>
      </c>
      <c r="N824" s="18">
        <v>90823</v>
      </c>
      <c r="O824" s="18" t="s">
        <v>37</v>
      </c>
      <c r="P824" s="19">
        <v>45430</v>
      </c>
      <c r="Q824" s="20">
        <v>0.35342000000000001</v>
      </c>
      <c r="R824" s="21">
        <v>70823</v>
      </c>
      <c r="S824" s="18" t="s">
        <v>45</v>
      </c>
      <c r="T824" s="20">
        <v>101564.76480999999</v>
      </c>
      <c r="U824" s="18" t="s">
        <v>31</v>
      </c>
      <c r="V824" s="19">
        <v>45444</v>
      </c>
      <c r="W824" s="18" t="s">
        <v>38</v>
      </c>
      <c r="X824" s="19">
        <v>45376</v>
      </c>
      <c r="Y824" s="18" t="s">
        <v>33</v>
      </c>
      <c r="Z824" s="43" t="e">
        <f>TEXT([1]!Table64[[#This Row],[Order date]],"mmm-yyyy")</f>
        <v>#REF!</v>
      </c>
    </row>
    <row r="825" spans="1:26" x14ac:dyDescent="0.3">
      <c r="A825" s="22">
        <v>10824</v>
      </c>
      <c r="B825" s="23">
        <v>6063</v>
      </c>
      <c r="C825" s="23" t="s">
        <v>34</v>
      </c>
      <c r="D825" s="24">
        <v>65472.9</v>
      </c>
      <c r="E825" s="23">
        <v>55</v>
      </c>
      <c r="F825" s="23" t="s">
        <v>26</v>
      </c>
      <c r="G825" s="25">
        <v>45361</v>
      </c>
      <c r="H825" s="24">
        <v>51740.27</v>
      </c>
      <c r="I825" s="26" t="s">
        <v>47</v>
      </c>
      <c r="J825" s="15" t="s">
        <v>36</v>
      </c>
      <c r="K825" s="15">
        <v>214</v>
      </c>
      <c r="L825" s="16">
        <v>45397</v>
      </c>
      <c r="M825" s="17">
        <v>12</v>
      </c>
      <c r="N825" s="27">
        <v>90824</v>
      </c>
      <c r="O825" s="27" t="s">
        <v>37</v>
      </c>
      <c r="P825" s="28">
        <v>45383</v>
      </c>
      <c r="Q825" s="29">
        <v>0.16983999999999999</v>
      </c>
      <c r="R825" s="30">
        <v>70824</v>
      </c>
      <c r="S825" s="27" t="s">
        <v>30</v>
      </c>
      <c r="T825" s="29">
        <v>79606.992970000007</v>
      </c>
      <c r="U825" s="27" t="s">
        <v>42</v>
      </c>
      <c r="V825" s="28">
        <v>45444</v>
      </c>
      <c r="W825" s="27" t="s">
        <v>38</v>
      </c>
      <c r="X825" s="28">
        <v>45384</v>
      </c>
      <c r="Y825" s="27" t="s">
        <v>33</v>
      </c>
      <c r="Z825" s="43" t="e">
        <f>TEXT([1]!Table64[[#This Row],[Order date]],"mmm-yyyy")</f>
        <v>#REF!</v>
      </c>
    </row>
    <row r="826" spans="1:26" x14ac:dyDescent="0.3">
      <c r="A826" s="10">
        <v>10825</v>
      </c>
      <c r="B826" s="11">
        <v>5109</v>
      </c>
      <c r="C826" s="11" t="s">
        <v>34</v>
      </c>
      <c r="D826" s="12">
        <v>66388.58</v>
      </c>
      <c r="E826" s="11">
        <v>75</v>
      </c>
      <c r="F826" s="11" t="s">
        <v>35</v>
      </c>
      <c r="G826" s="13">
        <v>45306</v>
      </c>
      <c r="H826" s="12">
        <v>86026.98</v>
      </c>
      <c r="I826" s="14" t="s">
        <v>47</v>
      </c>
      <c r="J826" s="15" t="s">
        <v>28</v>
      </c>
      <c r="K826" s="15">
        <v>1198</v>
      </c>
      <c r="L826" s="16">
        <v>45361</v>
      </c>
      <c r="M826" s="17">
        <v>12</v>
      </c>
      <c r="N826" s="18">
        <v>90825</v>
      </c>
      <c r="O826" s="18" t="s">
        <v>40</v>
      </c>
      <c r="P826" s="19">
        <v>45352</v>
      </c>
      <c r="Q826" s="20">
        <v>0.23058000000000001</v>
      </c>
      <c r="R826" s="21">
        <v>70825</v>
      </c>
      <c r="S826" s="18" t="s">
        <v>30</v>
      </c>
      <c r="T826" s="20">
        <v>111050.8756</v>
      </c>
      <c r="U826" s="18" t="s">
        <v>31</v>
      </c>
      <c r="V826" s="19">
        <v>45444</v>
      </c>
      <c r="W826" s="18" t="s">
        <v>38</v>
      </c>
      <c r="X826" s="19">
        <v>45384</v>
      </c>
      <c r="Y826" s="18" t="s">
        <v>33</v>
      </c>
      <c r="Z826" s="43" t="e">
        <f>TEXT([1]!Table64[[#This Row],[Order date]],"mmm-yyyy")</f>
        <v>#REF!</v>
      </c>
    </row>
    <row r="827" spans="1:26" x14ac:dyDescent="0.3">
      <c r="A827" s="22">
        <v>10826</v>
      </c>
      <c r="B827" s="23">
        <v>6717</v>
      </c>
      <c r="C827" s="23" t="s">
        <v>25</v>
      </c>
      <c r="D827" s="24">
        <v>13241.98</v>
      </c>
      <c r="E827" s="23">
        <v>33</v>
      </c>
      <c r="F827" s="23" t="s">
        <v>26</v>
      </c>
      <c r="G827" s="25">
        <v>45337</v>
      </c>
      <c r="H827" s="24">
        <v>62061.84</v>
      </c>
      <c r="I827" s="26" t="s">
        <v>44</v>
      </c>
      <c r="J827" s="15" t="s">
        <v>28</v>
      </c>
      <c r="K827" s="15">
        <v>1410</v>
      </c>
      <c r="L827" s="16">
        <v>45332</v>
      </c>
      <c r="M827" s="17">
        <v>14</v>
      </c>
      <c r="N827" s="27">
        <v>90826</v>
      </c>
      <c r="O827" s="27" t="s">
        <v>40</v>
      </c>
      <c r="P827" s="28">
        <v>45352</v>
      </c>
      <c r="Q827" s="29">
        <v>0.72926000000000002</v>
      </c>
      <c r="R827" s="30">
        <v>70826</v>
      </c>
      <c r="S827" s="27" t="s">
        <v>30</v>
      </c>
      <c r="T827" s="29">
        <v>61467.324500000002</v>
      </c>
      <c r="U827" s="27" t="s">
        <v>48</v>
      </c>
      <c r="V827" s="28">
        <v>45422</v>
      </c>
      <c r="W827" s="27" t="s">
        <v>38</v>
      </c>
      <c r="X827" s="28">
        <v>45384</v>
      </c>
      <c r="Y827" s="27" t="s">
        <v>33</v>
      </c>
      <c r="Z827" s="43" t="e">
        <f>TEXT([1]!Table64[[#This Row],[Order date]],"mmm-yyyy")</f>
        <v>#REF!</v>
      </c>
    </row>
    <row r="828" spans="1:26" x14ac:dyDescent="0.3">
      <c r="A828" s="10">
        <v>10827</v>
      </c>
      <c r="B828" s="11">
        <v>6066</v>
      </c>
      <c r="C828" s="11" t="s">
        <v>34</v>
      </c>
      <c r="D828" s="12">
        <v>20124.68</v>
      </c>
      <c r="E828" s="11">
        <v>62</v>
      </c>
      <c r="F828" s="11" t="s">
        <v>35</v>
      </c>
      <c r="G828" s="13">
        <v>45383</v>
      </c>
      <c r="H828" s="12">
        <v>163492.82</v>
      </c>
      <c r="I828" s="14" t="s">
        <v>47</v>
      </c>
      <c r="J828" s="15" t="s">
        <v>28</v>
      </c>
      <c r="K828" s="15">
        <v>241</v>
      </c>
      <c r="L828" s="16">
        <v>45332</v>
      </c>
      <c r="M828" s="17">
        <v>2</v>
      </c>
      <c r="N828" s="18">
        <v>90827</v>
      </c>
      <c r="O828" s="18" t="s">
        <v>37</v>
      </c>
      <c r="P828" s="19">
        <v>45430</v>
      </c>
      <c r="Q828" s="20">
        <v>0.12024</v>
      </c>
      <c r="R828" s="21">
        <v>70827</v>
      </c>
      <c r="S828" s="18" t="s">
        <v>30</v>
      </c>
      <c r="T828" s="20">
        <v>115357.20389999999</v>
      </c>
      <c r="U828" s="18" t="s">
        <v>48</v>
      </c>
      <c r="V828" s="19">
        <v>45444</v>
      </c>
      <c r="W828" s="18" t="s">
        <v>38</v>
      </c>
      <c r="X828" s="19">
        <v>45376</v>
      </c>
      <c r="Y828" s="18" t="s">
        <v>39</v>
      </c>
      <c r="Z828" s="43" t="e">
        <f>TEXT([1]!Table64[[#This Row],[Order date]],"mmm-yyyy")</f>
        <v>#REF!</v>
      </c>
    </row>
    <row r="829" spans="1:26" x14ac:dyDescent="0.3">
      <c r="A829" s="22">
        <v>10828</v>
      </c>
      <c r="B829" s="23">
        <v>6210</v>
      </c>
      <c r="C829" s="23" t="s">
        <v>34</v>
      </c>
      <c r="D829" s="24">
        <v>73979.77</v>
      </c>
      <c r="E829" s="23">
        <v>88</v>
      </c>
      <c r="F829" s="23" t="s">
        <v>43</v>
      </c>
      <c r="G829" s="25">
        <v>45306</v>
      </c>
      <c r="H829" s="24">
        <v>87932.23</v>
      </c>
      <c r="I829" s="26" t="s">
        <v>47</v>
      </c>
      <c r="J829" s="15" t="s">
        <v>49</v>
      </c>
      <c r="K829" s="15">
        <v>779</v>
      </c>
      <c r="L829" s="16">
        <v>45361</v>
      </c>
      <c r="M829" s="17">
        <v>2</v>
      </c>
      <c r="N829" s="27">
        <v>90828</v>
      </c>
      <c r="O829" s="27" t="s">
        <v>50</v>
      </c>
      <c r="P829" s="28">
        <v>45352</v>
      </c>
      <c r="Q829" s="29">
        <v>0.87080000000000002</v>
      </c>
      <c r="R829" s="30">
        <v>70828</v>
      </c>
      <c r="S829" s="27" t="s">
        <v>45</v>
      </c>
      <c r="T829" s="29">
        <v>148541.07070000001</v>
      </c>
      <c r="U829" s="27" t="s">
        <v>31</v>
      </c>
      <c r="V829" s="28">
        <v>45392</v>
      </c>
      <c r="W829" s="27" t="s">
        <v>38</v>
      </c>
      <c r="X829" s="28">
        <v>45376</v>
      </c>
      <c r="Y829" s="27" t="s">
        <v>33</v>
      </c>
      <c r="Z829" s="43" t="e">
        <f>TEXT([1]!Table64[[#This Row],[Order date]],"mmm-yyyy")</f>
        <v>#REF!</v>
      </c>
    </row>
    <row r="830" spans="1:26" x14ac:dyDescent="0.3">
      <c r="A830" s="10">
        <v>10829</v>
      </c>
      <c r="B830" s="11">
        <v>5935</v>
      </c>
      <c r="C830" s="11" t="s">
        <v>25</v>
      </c>
      <c r="D830" s="12">
        <v>70455.69</v>
      </c>
      <c r="E830" s="11">
        <v>23</v>
      </c>
      <c r="F830" s="11" t="s">
        <v>46</v>
      </c>
      <c r="G830" s="13">
        <v>45337</v>
      </c>
      <c r="H830" s="12">
        <v>145550.10999999999</v>
      </c>
      <c r="I830" s="14" t="s">
        <v>44</v>
      </c>
      <c r="J830" s="15" t="s">
        <v>36</v>
      </c>
      <c r="K830" s="15">
        <v>263</v>
      </c>
      <c r="L830" s="16">
        <v>45397</v>
      </c>
      <c r="M830" s="17">
        <v>9</v>
      </c>
      <c r="N830" s="18">
        <v>90829</v>
      </c>
      <c r="O830" s="18" t="s">
        <v>37</v>
      </c>
      <c r="P830" s="19">
        <v>45383</v>
      </c>
      <c r="Q830" s="20">
        <v>0.72496000000000005</v>
      </c>
      <c r="R830" s="21">
        <v>70829</v>
      </c>
      <c r="S830" s="18" t="s">
        <v>45</v>
      </c>
      <c r="T830" s="20">
        <v>186460.7991</v>
      </c>
      <c r="U830" s="18" t="s">
        <v>48</v>
      </c>
      <c r="V830" s="19">
        <v>45392</v>
      </c>
      <c r="W830" s="18" t="s">
        <v>32</v>
      </c>
      <c r="X830" s="19">
        <v>45384</v>
      </c>
      <c r="Y830" s="18" t="s">
        <v>33</v>
      </c>
      <c r="Z830" s="43" t="e">
        <f>TEXT([1]!Table64[[#This Row],[Order date]],"mmm-yyyy")</f>
        <v>#REF!</v>
      </c>
    </row>
    <row r="831" spans="1:26" x14ac:dyDescent="0.3">
      <c r="A831" s="22">
        <v>10830</v>
      </c>
      <c r="B831" s="23">
        <v>5398</v>
      </c>
      <c r="C831" s="23" t="s">
        <v>34</v>
      </c>
      <c r="D831" s="24">
        <v>22114.38</v>
      </c>
      <c r="E831" s="23">
        <v>15</v>
      </c>
      <c r="F831" s="23" t="s">
        <v>46</v>
      </c>
      <c r="G831" s="25">
        <v>45306</v>
      </c>
      <c r="H831" s="24">
        <v>123254.94</v>
      </c>
      <c r="I831" s="26" t="s">
        <v>44</v>
      </c>
      <c r="J831" s="15" t="s">
        <v>36</v>
      </c>
      <c r="K831" s="15">
        <v>623</v>
      </c>
      <c r="L831" s="16">
        <v>45397</v>
      </c>
      <c r="M831" s="17">
        <v>13</v>
      </c>
      <c r="N831" s="27">
        <v>90830</v>
      </c>
      <c r="O831" s="27" t="s">
        <v>37</v>
      </c>
      <c r="P831" s="28">
        <v>45383</v>
      </c>
      <c r="Q831" s="29">
        <v>0.79127999999999998</v>
      </c>
      <c r="R831" s="30">
        <v>70830</v>
      </c>
      <c r="S831" s="27" t="s">
        <v>45</v>
      </c>
      <c r="T831" s="29">
        <v>89939.867310000001</v>
      </c>
      <c r="U831" s="27" t="s">
        <v>31</v>
      </c>
      <c r="V831" s="28">
        <v>45392</v>
      </c>
      <c r="W831" s="27" t="s">
        <v>38</v>
      </c>
      <c r="X831" s="28">
        <v>45384</v>
      </c>
      <c r="Y831" s="27" t="s">
        <v>33</v>
      </c>
      <c r="Z831" s="43" t="e">
        <f>TEXT([1]!Table64[[#This Row],[Order date]],"mmm-yyyy")</f>
        <v>#REF!</v>
      </c>
    </row>
    <row r="832" spans="1:26" x14ac:dyDescent="0.3">
      <c r="A832" s="10">
        <v>10831</v>
      </c>
      <c r="B832" s="11">
        <v>6247</v>
      </c>
      <c r="C832" s="11" t="s">
        <v>34</v>
      </c>
      <c r="D832" s="12">
        <v>54532.89</v>
      </c>
      <c r="E832" s="11">
        <v>27</v>
      </c>
      <c r="F832" s="11" t="s">
        <v>46</v>
      </c>
      <c r="G832" s="13">
        <v>45383</v>
      </c>
      <c r="H832" s="12">
        <v>151628.85</v>
      </c>
      <c r="I832" s="14" t="s">
        <v>44</v>
      </c>
      <c r="J832" s="15" t="s">
        <v>28</v>
      </c>
      <c r="K832" s="15">
        <v>1401</v>
      </c>
      <c r="L832" s="16">
        <v>45361</v>
      </c>
      <c r="M832" s="17">
        <v>4</v>
      </c>
      <c r="N832" s="18">
        <v>90831</v>
      </c>
      <c r="O832" s="18" t="s">
        <v>29</v>
      </c>
      <c r="P832" s="19">
        <v>45383</v>
      </c>
      <c r="Q832" s="20">
        <v>0.85238999999999998</v>
      </c>
      <c r="R832" s="21">
        <v>70831</v>
      </c>
      <c r="S832" s="18" t="s">
        <v>30</v>
      </c>
      <c r="T832" s="20">
        <v>191941.90664999999</v>
      </c>
      <c r="U832" s="18" t="s">
        <v>48</v>
      </c>
      <c r="V832" s="19">
        <v>45422</v>
      </c>
      <c r="W832" s="18" t="s">
        <v>38</v>
      </c>
      <c r="X832" s="19">
        <v>45376</v>
      </c>
      <c r="Y832" s="18" t="s">
        <v>33</v>
      </c>
      <c r="Z832" s="43" t="e">
        <f>TEXT([1]!Table64[[#This Row],[Order date]],"mmm-yyyy")</f>
        <v>#REF!</v>
      </c>
    </row>
    <row r="833" spans="1:26" x14ac:dyDescent="0.3">
      <c r="A833" s="22">
        <v>10832</v>
      </c>
      <c r="B833" s="23">
        <v>5634</v>
      </c>
      <c r="C833" s="23" t="s">
        <v>25</v>
      </c>
      <c r="D833" s="24">
        <v>39370.370000000003</v>
      </c>
      <c r="E833" s="23">
        <v>75</v>
      </c>
      <c r="F833" s="23" t="s">
        <v>35</v>
      </c>
      <c r="G833" s="25">
        <v>45337</v>
      </c>
      <c r="H833" s="24">
        <v>165076.54999999999</v>
      </c>
      <c r="I833" s="26" t="s">
        <v>44</v>
      </c>
      <c r="J833" s="15" t="s">
        <v>49</v>
      </c>
      <c r="K833" s="15">
        <v>1006</v>
      </c>
      <c r="L833" s="16">
        <v>45332</v>
      </c>
      <c r="M833" s="17">
        <v>4</v>
      </c>
      <c r="N833" s="27">
        <v>90832</v>
      </c>
      <c r="O833" s="27" t="s">
        <v>37</v>
      </c>
      <c r="P833" s="28">
        <v>45383</v>
      </c>
      <c r="Q833" s="29">
        <v>0.21043999999999999</v>
      </c>
      <c r="R833" s="30">
        <v>70832</v>
      </c>
      <c r="S833" s="27" t="s">
        <v>30</v>
      </c>
      <c r="T833" s="29">
        <v>102220.83229999999</v>
      </c>
      <c r="U833" s="27" t="s">
        <v>31</v>
      </c>
      <c r="V833" s="28">
        <v>45444</v>
      </c>
      <c r="W833" s="27" t="s">
        <v>38</v>
      </c>
      <c r="X833" s="28">
        <v>45384</v>
      </c>
      <c r="Y833" s="27" t="s">
        <v>39</v>
      </c>
      <c r="Z833" s="43" t="e">
        <f>TEXT([1]!Table64[[#This Row],[Order date]],"mmm-yyyy")</f>
        <v>#REF!</v>
      </c>
    </row>
    <row r="834" spans="1:26" x14ac:dyDescent="0.3">
      <c r="A834" s="10">
        <v>10833</v>
      </c>
      <c r="B834" s="11">
        <v>6157</v>
      </c>
      <c r="C834" s="11" t="s">
        <v>25</v>
      </c>
      <c r="D834" s="12">
        <v>13951.61</v>
      </c>
      <c r="E834" s="11">
        <v>64</v>
      </c>
      <c r="F834" s="11" t="s">
        <v>43</v>
      </c>
      <c r="G834" s="13">
        <v>45361</v>
      </c>
      <c r="H834" s="12">
        <v>170379.46</v>
      </c>
      <c r="I834" s="14" t="s">
        <v>47</v>
      </c>
      <c r="J834" s="15" t="s">
        <v>28</v>
      </c>
      <c r="K834" s="15">
        <v>430</v>
      </c>
      <c r="L834" s="16">
        <v>45361</v>
      </c>
      <c r="M834" s="17">
        <v>7</v>
      </c>
      <c r="N834" s="18">
        <v>90833</v>
      </c>
      <c r="O834" s="18" t="s">
        <v>40</v>
      </c>
      <c r="P834" s="19">
        <v>45383</v>
      </c>
      <c r="Q834" s="20">
        <v>0.84021000000000001</v>
      </c>
      <c r="R834" s="21">
        <v>70833</v>
      </c>
      <c r="S834" s="18" t="s">
        <v>41</v>
      </c>
      <c r="T834" s="20">
        <v>126554.4614</v>
      </c>
      <c r="U834" s="18" t="s">
        <v>48</v>
      </c>
      <c r="V834" s="19">
        <v>45392</v>
      </c>
      <c r="W834" s="18" t="s">
        <v>32</v>
      </c>
      <c r="X834" s="19">
        <v>45376</v>
      </c>
      <c r="Y834" s="18" t="s">
        <v>39</v>
      </c>
      <c r="Z834" s="43" t="e">
        <f>TEXT([1]!Table64[[#This Row],[Order date]],"mmm-yyyy")</f>
        <v>#REF!</v>
      </c>
    </row>
    <row r="835" spans="1:26" x14ac:dyDescent="0.3">
      <c r="A835" s="22">
        <v>10834</v>
      </c>
      <c r="B835" s="23">
        <v>6187</v>
      </c>
      <c r="C835" s="23" t="s">
        <v>34</v>
      </c>
      <c r="D835" s="24">
        <v>19194.86</v>
      </c>
      <c r="E835" s="23">
        <v>81</v>
      </c>
      <c r="F835" s="23" t="s">
        <v>26</v>
      </c>
      <c r="G835" s="25">
        <v>45361</v>
      </c>
      <c r="H835" s="24">
        <v>53994.02</v>
      </c>
      <c r="I835" s="26" t="s">
        <v>44</v>
      </c>
      <c r="J835" s="15" t="s">
        <v>36</v>
      </c>
      <c r="K835" s="15">
        <v>722</v>
      </c>
      <c r="L835" s="16">
        <v>45397</v>
      </c>
      <c r="M835" s="17">
        <v>10</v>
      </c>
      <c r="N835" s="27">
        <v>90834</v>
      </c>
      <c r="O835" s="27" t="s">
        <v>29</v>
      </c>
      <c r="P835" s="28">
        <v>45430</v>
      </c>
      <c r="Q835" s="29">
        <v>0.55418000000000001</v>
      </c>
      <c r="R835" s="30">
        <v>70834</v>
      </c>
      <c r="S835" s="27" t="s">
        <v>41</v>
      </c>
      <c r="T835" s="29">
        <v>197921.986</v>
      </c>
      <c r="U835" s="27" t="s">
        <v>42</v>
      </c>
      <c r="V835" s="28">
        <v>45392</v>
      </c>
      <c r="W835" s="27" t="s">
        <v>32</v>
      </c>
      <c r="X835" s="28">
        <v>45376</v>
      </c>
      <c r="Y835" s="27" t="s">
        <v>39</v>
      </c>
      <c r="Z835" s="43" t="e">
        <f>TEXT([1]!Table64[[#This Row],[Order date]],"mmm-yyyy")</f>
        <v>#REF!</v>
      </c>
    </row>
    <row r="836" spans="1:26" x14ac:dyDescent="0.3">
      <c r="A836" s="10">
        <v>10835</v>
      </c>
      <c r="B836" s="11">
        <v>6239</v>
      </c>
      <c r="C836" s="11" t="s">
        <v>25</v>
      </c>
      <c r="D836" s="12">
        <v>20294.34</v>
      </c>
      <c r="E836" s="11">
        <v>51</v>
      </c>
      <c r="F836" s="11" t="s">
        <v>43</v>
      </c>
      <c r="G836" s="13">
        <v>45306</v>
      </c>
      <c r="H836" s="12">
        <v>158270.09</v>
      </c>
      <c r="I836" s="14" t="s">
        <v>44</v>
      </c>
      <c r="J836" s="15" t="s">
        <v>49</v>
      </c>
      <c r="K836" s="15">
        <v>847</v>
      </c>
      <c r="L836" s="16">
        <v>45397</v>
      </c>
      <c r="M836" s="17">
        <v>10</v>
      </c>
      <c r="N836" s="18">
        <v>90835</v>
      </c>
      <c r="O836" s="18" t="s">
        <v>50</v>
      </c>
      <c r="P836" s="19">
        <v>45383</v>
      </c>
      <c r="Q836" s="20">
        <v>0.89697000000000005</v>
      </c>
      <c r="R836" s="21">
        <v>70835</v>
      </c>
      <c r="S836" s="18" t="s">
        <v>30</v>
      </c>
      <c r="T836" s="20">
        <v>60975.932800000002</v>
      </c>
      <c r="U836" s="18" t="s">
        <v>42</v>
      </c>
      <c r="V836" s="19">
        <v>45392</v>
      </c>
      <c r="W836" s="18" t="s">
        <v>38</v>
      </c>
      <c r="X836" s="19">
        <v>45384</v>
      </c>
      <c r="Y836" s="18" t="s">
        <v>33</v>
      </c>
      <c r="Z836" s="43" t="e">
        <f>TEXT([1]!Table64[[#This Row],[Order date]],"mmm-yyyy")</f>
        <v>#REF!</v>
      </c>
    </row>
    <row r="837" spans="1:26" x14ac:dyDescent="0.3">
      <c r="A837" s="22">
        <v>10836</v>
      </c>
      <c r="B837" s="23">
        <v>5733</v>
      </c>
      <c r="C837" s="23" t="s">
        <v>34</v>
      </c>
      <c r="D837" s="24">
        <v>14085.47</v>
      </c>
      <c r="E837" s="23">
        <v>53</v>
      </c>
      <c r="F837" s="23" t="s">
        <v>26</v>
      </c>
      <c r="G837" s="25">
        <v>45383</v>
      </c>
      <c r="H837" s="24">
        <v>103341.34</v>
      </c>
      <c r="I837" s="26" t="s">
        <v>44</v>
      </c>
      <c r="J837" s="15" t="s">
        <v>28</v>
      </c>
      <c r="K837" s="15">
        <v>288</v>
      </c>
      <c r="L837" s="16">
        <v>45361</v>
      </c>
      <c r="M837" s="17">
        <v>13</v>
      </c>
      <c r="N837" s="27">
        <v>90836</v>
      </c>
      <c r="O837" s="27" t="s">
        <v>29</v>
      </c>
      <c r="P837" s="28">
        <v>45383</v>
      </c>
      <c r="Q837" s="29">
        <v>0.89793000000000001</v>
      </c>
      <c r="R837" s="30">
        <v>70836</v>
      </c>
      <c r="S837" s="27" t="s">
        <v>41</v>
      </c>
      <c r="T837" s="29">
        <v>68432.354200000002</v>
      </c>
      <c r="U837" s="27" t="s">
        <v>48</v>
      </c>
      <c r="V837" s="28">
        <v>45444</v>
      </c>
      <c r="W837" s="27" t="s">
        <v>38</v>
      </c>
      <c r="X837" s="28">
        <v>45376</v>
      </c>
      <c r="Y837" s="27" t="s">
        <v>39</v>
      </c>
      <c r="Z837" s="43" t="e">
        <f>TEXT([1]!Table64[[#This Row],[Order date]],"mmm-yyyy")</f>
        <v>#REF!</v>
      </c>
    </row>
    <row r="838" spans="1:26" x14ac:dyDescent="0.3">
      <c r="A838" s="10">
        <v>10837</v>
      </c>
      <c r="B838" s="11">
        <v>5235</v>
      </c>
      <c r="C838" s="11" t="s">
        <v>34</v>
      </c>
      <c r="D838" s="12">
        <v>88204.49</v>
      </c>
      <c r="E838" s="11">
        <v>78</v>
      </c>
      <c r="F838" s="11" t="s">
        <v>35</v>
      </c>
      <c r="G838" s="13">
        <v>45337</v>
      </c>
      <c r="H838" s="12">
        <v>48192.45</v>
      </c>
      <c r="I838" s="14" t="s">
        <v>27</v>
      </c>
      <c r="J838" s="15" t="s">
        <v>28</v>
      </c>
      <c r="K838" s="15">
        <v>749</v>
      </c>
      <c r="L838" s="16">
        <v>45332</v>
      </c>
      <c r="M838" s="17">
        <v>2</v>
      </c>
      <c r="N838" s="18">
        <v>90837</v>
      </c>
      <c r="O838" s="18" t="s">
        <v>50</v>
      </c>
      <c r="P838" s="19">
        <v>45430</v>
      </c>
      <c r="Q838" s="20">
        <v>0.12175999999999999</v>
      </c>
      <c r="R838" s="21">
        <v>70837</v>
      </c>
      <c r="S838" s="18" t="s">
        <v>41</v>
      </c>
      <c r="T838" s="20">
        <v>206064.63200000001</v>
      </c>
      <c r="U838" s="18" t="s">
        <v>31</v>
      </c>
      <c r="V838" s="19">
        <v>45392</v>
      </c>
      <c r="W838" s="18" t="s">
        <v>32</v>
      </c>
      <c r="X838" s="19">
        <v>45384</v>
      </c>
      <c r="Y838" s="18" t="s">
        <v>39</v>
      </c>
      <c r="Z838" s="43" t="e">
        <f>TEXT([1]!Table64[[#This Row],[Order date]],"mmm-yyyy")</f>
        <v>#REF!</v>
      </c>
    </row>
    <row r="839" spans="1:26" x14ac:dyDescent="0.3">
      <c r="A839" s="22">
        <v>10838</v>
      </c>
      <c r="B839" s="23">
        <v>6867</v>
      </c>
      <c r="C839" s="23" t="s">
        <v>34</v>
      </c>
      <c r="D839" s="24">
        <v>31514.799999999999</v>
      </c>
      <c r="E839" s="23">
        <v>91</v>
      </c>
      <c r="F839" s="23" t="s">
        <v>35</v>
      </c>
      <c r="G839" s="25">
        <v>45383</v>
      </c>
      <c r="H839" s="24">
        <v>158553.57</v>
      </c>
      <c r="I839" s="26" t="s">
        <v>44</v>
      </c>
      <c r="J839" s="15" t="s">
        <v>49</v>
      </c>
      <c r="K839" s="15">
        <v>1155</v>
      </c>
      <c r="L839" s="16">
        <v>45361</v>
      </c>
      <c r="M839" s="17">
        <v>3</v>
      </c>
      <c r="N839" s="27">
        <v>90838</v>
      </c>
      <c r="O839" s="27" t="s">
        <v>29</v>
      </c>
      <c r="P839" s="28">
        <v>45430</v>
      </c>
      <c r="Q839" s="29">
        <v>0.44457999999999998</v>
      </c>
      <c r="R839" s="30">
        <v>70838</v>
      </c>
      <c r="S839" s="27" t="s">
        <v>41</v>
      </c>
      <c r="T839" s="29">
        <v>131482.74489999999</v>
      </c>
      <c r="U839" s="27" t="s">
        <v>48</v>
      </c>
      <c r="V839" s="28">
        <v>45444</v>
      </c>
      <c r="W839" s="27" t="s">
        <v>38</v>
      </c>
      <c r="X839" s="28">
        <v>45376</v>
      </c>
      <c r="Y839" s="27" t="s">
        <v>33</v>
      </c>
      <c r="Z839" s="43" t="e">
        <f>TEXT([1]!Table64[[#This Row],[Order date]],"mmm-yyyy")</f>
        <v>#REF!</v>
      </c>
    </row>
    <row r="840" spans="1:26" x14ac:dyDescent="0.3">
      <c r="A840" s="10">
        <v>10839</v>
      </c>
      <c r="B840" s="11">
        <v>5658</v>
      </c>
      <c r="C840" s="11" t="s">
        <v>34</v>
      </c>
      <c r="D840" s="12">
        <v>87558.99</v>
      </c>
      <c r="E840" s="11">
        <v>82</v>
      </c>
      <c r="F840" s="11" t="s">
        <v>26</v>
      </c>
      <c r="G840" s="13">
        <v>45337</v>
      </c>
      <c r="H840" s="12">
        <v>25166.23</v>
      </c>
      <c r="I840" s="14" t="s">
        <v>47</v>
      </c>
      <c r="J840" s="15" t="s">
        <v>36</v>
      </c>
      <c r="K840" s="15">
        <v>1436</v>
      </c>
      <c r="L840" s="16">
        <v>45332</v>
      </c>
      <c r="M840" s="17">
        <v>3</v>
      </c>
      <c r="N840" s="18">
        <v>90839</v>
      </c>
      <c r="O840" s="18" t="s">
        <v>29</v>
      </c>
      <c r="P840" s="19">
        <v>45430</v>
      </c>
      <c r="Q840" s="20">
        <v>0.57376000000000005</v>
      </c>
      <c r="R840" s="21">
        <v>70839</v>
      </c>
      <c r="S840" s="18" t="s">
        <v>30</v>
      </c>
      <c r="T840" s="20">
        <v>74899.369600000005</v>
      </c>
      <c r="U840" s="18" t="s">
        <v>31</v>
      </c>
      <c r="V840" s="19">
        <v>45444</v>
      </c>
      <c r="W840" s="18" t="s">
        <v>32</v>
      </c>
      <c r="X840" s="19">
        <v>45384</v>
      </c>
      <c r="Y840" s="18" t="s">
        <v>39</v>
      </c>
      <c r="Z840" s="43" t="e">
        <f>TEXT([1]!Table64[[#This Row],[Order date]],"mmm-yyyy")</f>
        <v>#REF!</v>
      </c>
    </row>
    <row r="841" spans="1:26" x14ac:dyDescent="0.3">
      <c r="A841" s="22">
        <v>10840</v>
      </c>
      <c r="B841" s="23">
        <v>5751</v>
      </c>
      <c r="C841" s="23" t="s">
        <v>34</v>
      </c>
      <c r="D841" s="24">
        <v>14861.25</v>
      </c>
      <c r="E841" s="23">
        <v>92</v>
      </c>
      <c r="F841" s="23" t="s">
        <v>26</v>
      </c>
      <c r="G841" s="25">
        <v>45306</v>
      </c>
      <c r="H841" s="24">
        <v>41024.61</v>
      </c>
      <c r="I841" s="26" t="s">
        <v>44</v>
      </c>
      <c r="J841" s="15" t="s">
        <v>49</v>
      </c>
      <c r="K841" s="15">
        <v>554</v>
      </c>
      <c r="L841" s="16">
        <v>45332</v>
      </c>
      <c r="M841" s="17">
        <v>6</v>
      </c>
      <c r="N841" s="27">
        <v>90840</v>
      </c>
      <c r="O841" s="27" t="s">
        <v>50</v>
      </c>
      <c r="P841" s="28">
        <v>45352</v>
      </c>
      <c r="Q841" s="29">
        <v>0.71052000000000004</v>
      </c>
      <c r="R841" s="30">
        <v>70840</v>
      </c>
      <c r="S841" s="27" t="s">
        <v>45</v>
      </c>
      <c r="T841" s="29">
        <v>163008.48229000001</v>
      </c>
      <c r="U841" s="27" t="s">
        <v>48</v>
      </c>
      <c r="V841" s="28">
        <v>45444</v>
      </c>
      <c r="W841" s="27" t="s">
        <v>38</v>
      </c>
      <c r="X841" s="28">
        <v>45376</v>
      </c>
      <c r="Y841" s="27" t="s">
        <v>39</v>
      </c>
      <c r="Z841" s="43" t="e">
        <f>TEXT([1]!Table64[[#This Row],[Order date]],"mmm-yyyy")</f>
        <v>#REF!</v>
      </c>
    </row>
    <row r="842" spans="1:26" x14ac:dyDescent="0.3">
      <c r="A842" s="10">
        <v>10841</v>
      </c>
      <c r="B842" s="11">
        <v>5588</v>
      </c>
      <c r="C842" s="11" t="s">
        <v>34</v>
      </c>
      <c r="D842" s="12">
        <v>84676.54</v>
      </c>
      <c r="E842" s="11">
        <v>51</v>
      </c>
      <c r="F842" s="11" t="s">
        <v>26</v>
      </c>
      <c r="G842" s="13">
        <v>45337</v>
      </c>
      <c r="H842" s="12">
        <v>81839.78</v>
      </c>
      <c r="I842" s="14" t="s">
        <v>44</v>
      </c>
      <c r="J842" s="15" t="s">
        <v>28</v>
      </c>
      <c r="K842" s="15">
        <v>251</v>
      </c>
      <c r="L842" s="16">
        <v>45361</v>
      </c>
      <c r="M842" s="17">
        <v>3</v>
      </c>
      <c r="N842" s="18">
        <v>90841</v>
      </c>
      <c r="O842" s="18" t="s">
        <v>40</v>
      </c>
      <c r="P842" s="19">
        <v>45352</v>
      </c>
      <c r="Q842" s="20">
        <v>0.35757</v>
      </c>
      <c r="R842" s="21">
        <v>70841</v>
      </c>
      <c r="S842" s="18" t="s">
        <v>41</v>
      </c>
      <c r="T842" s="20">
        <v>115528.85914</v>
      </c>
      <c r="U842" s="18" t="s">
        <v>48</v>
      </c>
      <c r="V842" s="19">
        <v>45422</v>
      </c>
      <c r="W842" s="18" t="s">
        <v>38</v>
      </c>
      <c r="X842" s="19">
        <v>45376</v>
      </c>
      <c r="Y842" s="18" t="s">
        <v>39</v>
      </c>
      <c r="Z842" s="43" t="e">
        <f>TEXT([1]!Table64[[#This Row],[Order date]],"mmm-yyyy")</f>
        <v>#REF!</v>
      </c>
    </row>
    <row r="843" spans="1:26" x14ac:dyDescent="0.3">
      <c r="A843" s="22">
        <v>10842</v>
      </c>
      <c r="B843" s="23">
        <v>6033</v>
      </c>
      <c r="C843" s="23" t="s">
        <v>25</v>
      </c>
      <c r="D843" s="24">
        <v>57657.95</v>
      </c>
      <c r="E843" s="23">
        <v>47</v>
      </c>
      <c r="F843" s="23" t="s">
        <v>43</v>
      </c>
      <c r="G843" s="25">
        <v>45383</v>
      </c>
      <c r="H843" s="24">
        <v>112543.06</v>
      </c>
      <c r="I843" s="26" t="s">
        <v>27</v>
      </c>
      <c r="J843" s="15" t="s">
        <v>28</v>
      </c>
      <c r="K843" s="15">
        <v>969</v>
      </c>
      <c r="L843" s="16">
        <v>45361</v>
      </c>
      <c r="M843" s="17">
        <v>11</v>
      </c>
      <c r="N843" s="27">
        <v>90842</v>
      </c>
      <c r="O843" s="27" t="s">
        <v>40</v>
      </c>
      <c r="P843" s="28">
        <v>45383</v>
      </c>
      <c r="Q843" s="29">
        <v>0.32693</v>
      </c>
      <c r="R843" s="30">
        <v>70842</v>
      </c>
      <c r="S843" s="27" t="s">
        <v>41</v>
      </c>
      <c r="T843" s="29">
        <v>73131.753100000002</v>
      </c>
      <c r="U843" s="27" t="s">
        <v>42</v>
      </c>
      <c r="V843" s="28">
        <v>45422</v>
      </c>
      <c r="W843" s="27" t="s">
        <v>32</v>
      </c>
      <c r="X843" s="28">
        <v>45376</v>
      </c>
      <c r="Y843" s="27" t="s">
        <v>33</v>
      </c>
      <c r="Z843" s="43" t="e">
        <f>TEXT([1]!Table64[[#This Row],[Order date]],"mmm-yyyy")</f>
        <v>#REF!</v>
      </c>
    </row>
    <row r="844" spans="1:26" x14ac:dyDescent="0.3">
      <c r="A844" s="10">
        <v>10843</v>
      </c>
      <c r="B844" s="11">
        <v>6098</v>
      </c>
      <c r="C844" s="11" t="s">
        <v>34</v>
      </c>
      <c r="D844" s="12">
        <v>86787.19</v>
      </c>
      <c r="E844" s="11">
        <v>4</v>
      </c>
      <c r="F844" s="11" t="s">
        <v>26</v>
      </c>
      <c r="G844" s="13">
        <v>45383</v>
      </c>
      <c r="H844" s="12">
        <v>12057.22</v>
      </c>
      <c r="I844" s="14" t="s">
        <v>44</v>
      </c>
      <c r="J844" s="15" t="s">
        <v>28</v>
      </c>
      <c r="K844" s="15">
        <v>86</v>
      </c>
      <c r="L844" s="16">
        <v>45332</v>
      </c>
      <c r="M844" s="17">
        <v>5</v>
      </c>
      <c r="N844" s="18">
        <v>90843</v>
      </c>
      <c r="O844" s="18" t="s">
        <v>40</v>
      </c>
      <c r="P844" s="19">
        <v>45383</v>
      </c>
      <c r="Q844" s="20">
        <v>0.44313999999999998</v>
      </c>
      <c r="R844" s="21">
        <v>70843</v>
      </c>
      <c r="S844" s="18" t="s">
        <v>45</v>
      </c>
      <c r="T844" s="20">
        <v>117886.13959999999</v>
      </c>
      <c r="U844" s="18" t="s">
        <v>31</v>
      </c>
      <c r="V844" s="19">
        <v>45444</v>
      </c>
      <c r="W844" s="18" t="s">
        <v>32</v>
      </c>
      <c r="X844" s="19">
        <v>45376</v>
      </c>
      <c r="Y844" s="18" t="s">
        <v>33</v>
      </c>
      <c r="Z844" s="43" t="e">
        <f>TEXT([1]!Table64[[#This Row],[Order date]],"mmm-yyyy")</f>
        <v>#REF!</v>
      </c>
    </row>
    <row r="845" spans="1:26" x14ac:dyDescent="0.3">
      <c r="A845" s="22">
        <v>10844</v>
      </c>
      <c r="B845" s="23">
        <v>5954</v>
      </c>
      <c r="C845" s="23" t="s">
        <v>34</v>
      </c>
      <c r="D845" s="24">
        <v>50538.18</v>
      </c>
      <c r="E845" s="23">
        <v>7</v>
      </c>
      <c r="F845" s="23" t="s">
        <v>35</v>
      </c>
      <c r="G845" s="25">
        <v>45306</v>
      </c>
      <c r="H845" s="24">
        <v>114075.4</v>
      </c>
      <c r="I845" s="26" t="s">
        <v>44</v>
      </c>
      <c r="J845" s="15" t="s">
        <v>28</v>
      </c>
      <c r="K845" s="15">
        <v>693</v>
      </c>
      <c r="L845" s="16">
        <v>45332</v>
      </c>
      <c r="M845" s="17">
        <v>4</v>
      </c>
      <c r="N845" s="27">
        <v>90844</v>
      </c>
      <c r="O845" s="27" t="s">
        <v>29</v>
      </c>
      <c r="P845" s="28">
        <v>45383</v>
      </c>
      <c r="Q845" s="29">
        <v>0.55084</v>
      </c>
      <c r="R845" s="30">
        <v>70844</v>
      </c>
      <c r="S845" s="27" t="s">
        <v>41</v>
      </c>
      <c r="T845" s="29">
        <v>97550.460680000004</v>
      </c>
      <c r="U845" s="27" t="s">
        <v>31</v>
      </c>
      <c r="V845" s="28">
        <v>45444</v>
      </c>
      <c r="W845" s="27" t="s">
        <v>38</v>
      </c>
      <c r="X845" s="28">
        <v>45384</v>
      </c>
      <c r="Y845" s="27" t="s">
        <v>39</v>
      </c>
      <c r="Z845" s="43" t="e">
        <f>TEXT([1]!Table64[[#This Row],[Order date]],"mmm-yyyy")</f>
        <v>#REF!</v>
      </c>
    </row>
    <row r="846" spans="1:26" x14ac:dyDescent="0.3">
      <c r="A846" s="10">
        <v>10845</v>
      </c>
      <c r="B846" s="11">
        <v>5492</v>
      </c>
      <c r="C846" s="11" t="s">
        <v>34</v>
      </c>
      <c r="D846" s="12">
        <v>23110.84</v>
      </c>
      <c r="E846" s="11">
        <v>35</v>
      </c>
      <c r="F846" s="11" t="s">
        <v>35</v>
      </c>
      <c r="G846" s="13">
        <v>45383</v>
      </c>
      <c r="H846" s="12">
        <v>29426.78</v>
      </c>
      <c r="I846" s="14" t="s">
        <v>27</v>
      </c>
      <c r="J846" s="15" t="s">
        <v>36</v>
      </c>
      <c r="K846" s="15">
        <v>1475</v>
      </c>
      <c r="L846" s="16">
        <v>45332</v>
      </c>
      <c r="M846" s="17">
        <v>3</v>
      </c>
      <c r="N846" s="18">
        <v>90845</v>
      </c>
      <c r="O846" s="18" t="s">
        <v>37</v>
      </c>
      <c r="P846" s="19">
        <v>45352</v>
      </c>
      <c r="Q846" s="20">
        <v>0.95603000000000005</v>
      </c>
      <c r="R846" s="21">
        <v>70845</v>
      </c>
      <c r="S846" s="18" t="s">
        <v>45</v>
      </c>
      <c r="T846" s="20">
        <v>168634.86332999999</v>
      </c>
      <c r="U846" s="18" t="s">
        <v>31</v>
      </c>
      <c r="V846" s="19">
        <v>45422</v>
      </c>
      <c r="W846" s="18" t="s">
        <v>38</v>
      </c>
      <c r="X846" s="19">
        <v>45376</v>
      </c>
      <c r="Y846" s="18" t="s">
        <v>33</v>
      </c>
      <c r="Z846" s="43" t="e">
        <f>TEXT([1]!Table64[[#This Row],[Order date]],"mmm-yyyy")</f>
        <v>#REF!</v>
      </c>
    </row>
    <row r="847" spans="1:26" x14ac:dyDescent="0.3">
      <c r="A847" s="22">
        <v>10846</v>
      </c>
      <c r="B847" s="23">
        <v>5913</v>
      </c>
      <c r="C847" s="23" t="s">
        <v>34</v>
      </c>
      <c r="D847" s="24">
        <v>10976.36</v>
      </c>
      <c r="E847" s="23">
        <v>48</v>
      </c>
      <c r="F847" s="23" t="s">
        <v>46</v>
      </c>
      <c r="G847" s="25">
        <v>45337</v>
      </c>
      <c r="H847" s="24">
        <v>149425.25</v>
      </c>
      <c r="I847" s="26" t="s">
        <v>44</v>
      </c>
      <c r="J847" s="15" t="s">
        <v>36</v>
      </c>
      <c r="K847" s="15">
        <v>814</v>
      </c>
      <c r="L847" s="16">
        <v>45332</v>
      </c>
      <c r="M847" s="17">
        <v>8</v>
      </c>
      <c r="N847" s="27">
        <v>90846</v>
      </c>
      <c r="O847" s="27" t="s">
        <v>29</v>
      </c>
      <c r="P847" s="28">
        <v>45383</v>
      </c>
      <c r="Q847" s="29">
        <v>0.78590000000000004</v>
      </c>
      <c r="R847" s="30">
        <v>70846</v>
      </c>
      <c r="S847" s="27" t="s">
        <v>41</v>
      </c>
      <c r="T847" s="29">
        <v>60157.473700000002</v>
      </c>
      <c r="U847" s="27" t="s">
        <v>31</v>
      </c>
      <c r="V847" s="28">
        <v>45422</v>
      </c>
      <c r="W847" s="27" t="s">
        <v>32</v>
      </c>
      <c r="X847" s="28">
        <v>45376</v>
      </c>
      <c r="Y847" s="27" t="s">
        <v>33</v>
      </c>
      <c r="Z847" s="43" t="e">
        <f>TEXT([1]!Table64[[#This Row],[Order date]],"mmm-yyyy")</f>
        <v>#REF!</v>
      </c>
    </row>
    <row r="848" spans="1:26" x14ac:dyDescent="0.3">
      <c r="A848" s="10">
        <v>10847</v>
      </c>
      <c r="B848" s="11">
        <v>6277</v>
      </c>
      <c r="C848" s="11" t="s">
        <v>34</v>
      </c>
      <c r="D848" s="12">
        <v>77245.460000000006</v>
      </c>
      <c r="E848" s="11">
        <v>73</v>
      </c>
      <c r="F848" s="11" t="s">
        <v>26</v>
      </c>
      <c r="G848" s="13">
        <v>45306</v>
      </c>
      <c r="H848" s="12">
        <v>20691.580000000002</v>
      </c>
      <c r="I848" s="14" t="s">
        <v>44</v>
      </c>
      <c r="J848" s="15" t="s">
        <v>28</v>
      </c>
      <c r="K848" s="15">
        <v>755</v>
      </c>
      <c r="L848" s="16">
        <v>45397</v>
      </c>
      <c r="M848" s="17">
        <v>14</v>
      </c>
      <c r="N848" s="18">
        <v>90847</v>
      </c>
      <c r="O848" s="18" t="s">
        <v>37</v>
      </c>
      <c r="P848" s="19">
        <v>45383</v>
      </c>
      <c r="Q848" s="20">
        <v>0.48638999999999999</v>
      </c>
      <c r="R848" s="21">
        <v>70847</v>
      </c>
      <c r="S848" s="18" t="s">
        <v>41</v>
      </c>
      <c r="T848" s="20">
        <v>172825.3995</v>
      </c>
      <c r="U848" s="18" t="s">
        <v>31</v>
      </c>
      <c r="V848" s="19">
        <v>45444</v>
      </c>
      <c r="W848" s="18" t="s">
        <v>38</v>
      </c>
      <c r="X848" s="19">
        <v>45376</v>
      </c>
      <c r="Y848" s="18" t="s">
        <v>33</v>
      </c>
      <c r="Z848" s="43" t="e">
        <f>TEXT([1]!Table64[[#This Row],[Order date]],"mmm-yyyy")</f>
        <v>#REF!</v>
      </c>
    </row>
    <row r="849" spans="1:26" x14ac:dyDescent="0.3">
      <c r="A849" s="22">
        <v>10848</v>
      </c>
      <c r="B849" s="23">
        <v>6254</v>
      </c>
      <c r="C849" s="23" t="s">
        <v>34</v>
      </c>
      <c r="D849" s="24">
        <v>11442.85</v>
      </c>
      <c r="E849" s="23">
        <v>72</v>
      </c>
      <c r="F849" s="23" t="s">
        <v>43</v>
      </c>
      <c r="G849" s="25">
        <v>45337</v>
      </c>
      <c r="H849" s="24">
        <v>144872.62</v>
      </c>
      <c r="I849" s="26" t="s">
        <v>44</v>
      </c>
      <c r="J849" s="15" t="s">
        <v>36</v>
      </c>
      <c r="K849" s="15">
        <v>1249</v>
      </c>
      <c r="L849" s="16">
        <v>45361</v>
      </c>
      <c r="M849" s="17">
        <v>10</v>
      </c>
      <c r="N849" s="27">
        <v>90848</v>
      </c>
      <c r="O849" s="27" t="s">
        <v>37</v>
      </c>
      <c r="P849" s="28">
        <v>45352</v>
      </c>
      <c r="Q849" s="29">
        <v>0.14893000000000001</v>
      </c>
      <c r="R849" s="30">
        <v>70848</v>
      </c>
      <c r="S849" s="27" t="s">
        <v>45</v>
      </c>
      <c r="T849" s="29">
        <v>61752.145830000001</v>
      </c>
      <c r="U849" s="27" t="s">
        <v>42</v>
      </c>
      <c r="V849" s="28">
        <v>45422</v>
      </c>
      <c r="W849" s="27" t="s">
        <v>38</v>
      </c>
      <c r="X849" s="28">
        <v>45376</v>
      </c>
      <c r="Y849" s="27" t="s">
        <v>39</v>
      </c>
      <c r="Z849" s="43" t="e">
        <f>TEXT([1]!Table64[[#This Row],[Order date]],"mmm-yyyy")</f>
        <v>#REF!</v>
      </c>
    </row>
    <row r="850" spans="1:26" x14ac:dyDescent="0.3">
      <c r="A850" s="10">
        <v>10849</v>
      </c>
      <c r="B850" s="11">
        <v>6543</v>
      </c>
      <c r="C850" s="11" t="s">
        <v>25</v>
      </c>
      <c r="D850" s="12">
        <v>67245.64</v>
      </c>
      <c r="E850" s="11">
        <v>45</v>
      </c>
      <c r="F850" s="11" t="s">
        <v>43</v>
      </c>
      <c r="G850" s="13">
        <v>45383</v>
      </c>
      <c r="H850" s="12">
        <v>90952.21</v>
      </c>
      <c r="I850" s="14" t="s">
        <v>44</v>
      </c>
      <c r="J850" s="15" t="s">
        <v>36</v>
      </c>
      <c r="K850" s="15">
        <v>594</v>
      </c>
      <c r="L850" s="16">
        <v>45332</v>
      </c>
      <c r="M850" s="17">
        <v>3</v>
      </c>
      <c r="N850" s="18">
        <v>90849</v>
      </c>
      <c r="O850" s="18" t="s">
        <v>40</v>
      </c>
      <c r="P850" s="19">
        <v>45430</v>
      </c>
      <c r="Q850" s="20">
        <v>0.25167</v>
      </c>
      <c r="R850" s="21">
        <v>70849</v>
      </c>
      <c r="S850" s="18" t="s">
        <v>41</v>
      </c>
      <c r="T850" s="20">
        <v>86910.524399999995</v>
      </c>
      <c r="U850" s="18" t="s">
        <v>48</v>
      </c>
      <c r="V850" s="19">
        <v>45392</v>
      </c>
      <c r="W850" s="18" t="s">
        <v>32</v>
      </c>
      <c r="X850" s="19">
        <v>45376</v>
      </c>
      <c r="Y850" s="18" t="s">
        <v>33</v>
      </c>
      <c r="Z850" s="43" t="e">
        <f>TEXT([1]!Table64[[#This Row],[Order date]],"mmm-yyyy")</f>
        <v>#REF!</v>
      </c>
    </row>
    <row r="851" spans="1:26" x14ac:dyDescent="0.3">
      <c r="A851" s="22">
        <v>10850</v>
      </c>
      <c r="B851" s="23">
        <v>6198</v>
      </c>
      <c r="C851" s="23" t="s">
        <v>34</v>
      </c>
      <c r="D851" s="24">
        <v>57948.5</v>
      </c>
      <c r="E851" s="23">
        <v>81</v>
      </c>
      <c r="F851" s="23" t="s">
        <v>43</v>
      </c>
      <c r="G851" s="25">
        <v>45306</v>
      </c>
      <c r="H851" s="24">
        <v>48015.09</v>
      </c>
      <c r="I851" s="26" t="s">
        <v>47</v>
      </c>
      <c r="J851" s="15" t="s">
        <v>36</v>
      </c>
      <c r="K851" s="15">
        <v>1274</v>
      </c>
      <c r="L851" s="16">
        <v>45361</v>
      </c>
      <c r="M851" s="17">
        <v>6</v>
      </c>
      <c r="N851" s="27">
        <v>90850</v>
      </c>
      <c r="O851" s="27" t="s">
        <v>37</v>
      </c>
      <c r="P851" s="28">
        <v>45352</v>
      </c>
      <c r="Q851" s="29">
        <v>0.51032999999999995</v>
      </c>
      <c r="R851" s="30">
        <v>70850</v>
      </c>
      <c r="S851" s="27" t="s">
        <v>41</v>
      </c>
      <c r="T851" s="29">
        <v>151167.48123999999</v>
      </c>
      <c r="U851" s="27" t="s">
        <v>31</v>
      </c>
      <c r="V851" s="28">
        <v>45444</v>
      </c>
      <c r="W851" s="27" t="s">
        <v>38</v>
      </c>
      <c r="X851" s="28">
        <v>45384</v>
      </c>
      <c r="Y851" s="27" t="s">
        <v>39</v>
      </c>
      <c r="Z851" s="43" t="e">
        <f>TEXT([1]!Table64[[#This Row],[Order date]],"mmm-yyyy")</f>
        <v>#REF!</v>
      </c>
    </row>
    <row r="852" spans="1:26" x14ac:dyDescent="0.3">
      <c r="A852" s="10">
        <v>10851</v>
      </c>
      <c r="B852" s="11">
        <v>6677</v>
      </c>
      <c r="C852" s="11" t="s">
        <v>34</v>
      </c>
      <c r="D852" s="12">
        <v>43206.41</v>
      </c>
      <c r="E852" s="11">
        <v>81</v>
      </c>
      <c r="F852" s="11" t="s">
        <v>46</v>
      </c>
      <c r="G852" s="13">
        <v>45337</v>
      </c>
      <c r="H852" s="12">
        <v>40041.86</v>
      </c>
      <c r="I852" s="14" t="s">
        <v>44</v>
      </c>
      <c r="J852" s="15" t="s">
        <v>28</v>
      </c>
      <c r="K852" s="15">
        <v>589</v>
      </c>
      <c r="L852" s="16">
        <v>45332</v>
      </c>
      <c r="M852" s="17">
        <v>13</v>
      </c>
      <c r="N852" s="18">
        <v>90851</v>
      </c>
      <c r="O852" s="18" t="s">
        <v>29</v>
      </c>
      <c r="P852" s="19">
        <v>45383</v>
      </c>
      <c r="Q852" s="20">
        <v>0.83243999999999996</v>
      </c>
      <c r="R852" s="21">
        <v>70851</v>
      </c>
      <c r="S852" s="18" t="s">
        <v>30</v>
      </c>
      <c r="T852" s="20">
        <v>87421.7932</v>
      </c>
      <c r="U852" s="18" t="s">
        <v>31</v>
      </c>
      <c r="V852" s="19">
        <v>45444</v>
      </c>
      <c r="W852" s="18" t="s">
        <v>38</v>
      </c>
      <c r="X852" s="19">
        <v>45376</v>
      </c>
      <c r="Y852" s="18" t="s">
        <v>33</v>
      </c>
      <c r="Z852" s="43" t="e">
        <f>TEXT([1]!Table64[[#This Row],[Order date]],"mmm-yyyy")</f>
        <v>#REF!</v>
      </c>
    </row>
    <row r="853" spans="1:26" x14ac:dyDescent="0.3">
      <c r="A853" s="22">
        <v>10852</v>
      </c>
      <c r="B853" s="23">
        <v>6192</v>
      </c>
      <c r="C853" s="23" t="s">
        <v>34</v>
      </c>
      <c r="D853" s="24">
        <v>15900.23</v>
      </c>
      <c r="E853" s="23">
        <v>97</v>
      </c>
      <c r="F853" s="23" t="s">
        <v>35</v>
      </c>
      <c r="G853" s="25">
        <v>45383</v>
      </c>
      <c r="H853" s="24">
        <v>154913.51999999999</v>
      </c>
      <c r="I853" s="26" t="s">
        <v>47</v>
      </c>
      <c r="J853" s="15" t="s">
        <v>49</v>
      </c>
      <c r="K853" s="15">
        <v>1066</v>
      </c>
      <c r="L853" s="16">
        <v>45361</v>
      </c>
      <c r="M853" s="17">
        <v>7</v>
      </c>
      <c r="N853" s="27">
        <v>90852</v>
      </c>
      <c r="O853" s="27" t="s">
        <v>29</v>
      </c>
      <c r="P853" s="28">
        <v>45352</v>
      </c>
      <c r="Q853" s="29">
        <v>0.44263000000000002</v>
      </c>
      <c r="R853" s="30">
        <v>70852</v>
      </c>
      <c r="S853" s="27" t="s">
        <v>41</v>
      </c>
      <c r="T853" s="29">
        <v>199068.02566000001</v>
      </c>
      <c r="U853" s="27" t="s">
        <v>48</v>
      </c>
      <c r="V853" s="28">
        <v>45422</v>
      </c>
      <c r="W853" s="27" t="s">
        <v>38</v>
      </c>
      <c r="X853" s="28">
        <v>45384</v>
      </c>
      <c r="Y853" s="27" t="s">
        <v>33</v>
      </c>
      <c r="Z853" s="43" t="e">
        <f>TEXT([1]!Table64[[#This Row],[Order date]],"mmm-yyyy")</f>
        <v>#REF!</v>
      </c>
    </row>
    <row r="854" spans="1:26" x14ac:dyDescent="0.3">
      <c r="A854" s="10">
        <v>10853</v>
      </c>
      <c r="B854" s="11">
        <v>5170</v>
      </c>
      <c r="C854" s="11" t="s">
        <v>34</v>
      </c>
      <c r="D854" s="12">
        <v>81728.41</v>
      </c>
      <c r="E854" s="11">
        <v>96</v>
      </c>
      <c r="F854" s="11" t="s">
        <v>43</v>
      </c>
      <c r="G854" s="13">
        <v>45383</v>
      </c>
      <c r="H854" s="12">
        <v>63732.73</v>
      </c>
      <c r="I854" s="14" t="s">
        <v>44</v>
      </c>
      <c r="J854" s="15" t="s">
        <v>49</v>
      </c>
      <c r="K854" s="15">
        <v>443</v>
      </c>
      <c r="L854" s="16">
        <v>45361</v>
      </c>
      <c r="M854" s="17">
        <v>7</v>
      </c>
      <c r="N854" s="18">
        <v>90853</v>
      </c>
      <c r="O854" s="18" t="s">
        <v>40</v>
      </c>
      <c r="P854" s="19">
        <v>45430</v>
      </c>
      <c r="Q854" s="20">
        <v>0.58465</v>
      </c>
      <c r="R854" s="21">
        <v>70853</v>
      </c>
      <c r="S854" s="18" t="s">
        <v>41</v>
      </c>
      <c r="T854" s="20">
        <v>75278.289739999993</v>
      </c>
      <c r="U854" s="18" t="s">
        <v>42</v>
      </c>
      <c r="V854" s="19">
        <v>45392</v>
      </c>
      <c r="W854" s="18" t="s">
        <v>38</v>
      </c>
      <c r="X854" s="19">
        <v>45376</v>
      </c>
      <c r="Y854" s="18" t="s">
        <v>33</v>
      </c>
      <c r="Z854" s="43" t="e">
        <f>TEXT([1]!Table64[[#This Row],[Order date]],"mmm-yyyy")</f>
        <v>#REF!</v>
      </c>
    </row>
    <row r="855" spans="1:26" x14ac:dyDescent="0.3">
      <c r="A855" s="22">
        <v>10854</v>
      </c>
      <c r="B855" s="23">
        <v>6417</v>
      </c>
      <c r="C855" s="23" t="s">
        <v>34</v>
      </c>
      <c r="D855" s="24">
        <v>64041.52</v>
      </c>
      <c r="E855" s="23">
        <v>72</v>
      </c>
      <c r="F855" s="23" t="s">
        <v>35</v>
      </c>
      <c r="G855" s="25">
        <v>45361</v>
      </c>
      <c r="H855" s="24">
        <v>48885.919999999998</v>
      </c>
      <c r="I855" s="26" t="s">
        <v>27</v>
      </c>
      <c r="J855" s="15" t="s">
        <v>49</v>
      </c>
      <c r="K855" s="15">
        <v>882</v>
      </c>
      <c r="L855" s="16">
        <v>45332</v>
      </c>
      <c r="M855" s="17">
        <v>2</v>
      </c>
      <c r="N855" s="27">
        <v>90854</v>
      </c>
      <c r="O855" s="27" t="s">
        <v>50</v>
      </c>
      <c r="P855" s="28">
        <v>45430</v>
      </c>
      <c r="Q855" s="29">
        <v>0.90261999999999998</v>
      </c>
      <c r="R855" s="30">
        <v>70854</v>
      </c>
      <c r="S855" s="27" t="s">
        <v>45</v>
      </c>
      <c r="T855" s="29">
        <v>199803.42240000001</v>
      </c>
      <c r="U855" s="27" t="s">
        <v>42</v>
      </c>
      <c r="V855" s="28">
        <v>45422</v>
      </c>
      <c r="W855" s="27" t="s">
        <v>32</v>
      </c>
      <c r="X855" s="28">
        <v>45376</v>
      </c>
      <c r="Y855" s="27" t="s">
        <v>39</v>
      </c>
      <c r="Z855" s="43" t="e">
        <f>TEXT([1]!Table64[[#This Row],[Order date]],"mmm-yyyy")</f>
        <v>#REF!</v>
      </c>
    </row>
    <row r="856" spans="1:26" x14ac:dyDescent="0.3">
      <c r="A856" s="10">
        <v>10855</v>
      </c>
      <c r="B856" s="11">
        <v>5946</v>
      </c>
      <c r="C856" s="11" t="s">
        <v>25</v>
      </c>
      <c r="D856" s="12">
        <v>45268.44</v>
      </c>
      <c r="E856" s="11">
        <v>19</v>
      </c>
      <c r="F856" s="11" t="s">
        <v>46</v>
      </c>
      <c r="G856" s="13">
        <v>45383</v>
      </c>
      <c r="H856" s="12">
        <v>44992.92</v>
      </c>
      <c r="I856" s="14" t="s">
        <v>44</v>
      </c>
      <c r="J856" s="15" t="s">
        <v>28</v>
      </c>
      <c r="K856" s="15">
        <v>1115</v>
      </c>
      <c r="L856" s="16">
        <v>45332</v>
      </c>
      <c r="M856" s="17">
        <v>14</v>
      </c>
      <c r="N856" s="18">
        <v>90855</v>
      </c>
      <c r="O856" s="18" t="s">
        <v>29</v>
      </c>
      <c r="P856" s="19">
        <v>45430</v>
      </c>
      <c r="Q856" s="20">
        <v>0.92242000000000002</v>
      </c>
      <c r="R856" s="21">
        <v>70855</v>
      </c>
      <c r="S856" s="18" t="s">
        <v>41</v>
      </c>
      <c r="T856" s="20">
        <v>139122.42449999999</v>
      </c>
      <c r="U856" s="18" t="s">
        <v>42</v>
      </c>
      <c r="V856" s="19">
        <v>45392</v>
      </c>
      <c r="W856" s="18" t="s">
        <v>38</v>
      </c>
      <c r="X856" s="19">
        <v>45384</v>
      </c>
      <c r="Y856" s="18" t="s">
        <v>33</v>
      </c>
      <c r="Z856" s="43" t="e">
        <f>TEXT([1]!Table64[[#This Row],[Order date]],"mmm-yyyy")</f>
        <v>#REF!</v>
      </c>
    </row>
    <row r="857" spans="1:26" x14ac:dyDescent="0.3">
      <c r="A857" s="22">
        <v>10856</v>
      </c>
      <c r="B857" s="23">
        <v>5795</v>
      </c>
      <c r="C857" s="23" t="s">
        <v>34</v>
      </c>
      <c r="D857" s="24">
        <v>95284.9</v>
      </c>
      <c r="E857" s="23">
        <v>63</v>
      </c>
      <c r="F857" s="23" t="s">
        <v>26</v>
      </c>
      <c r="G857" s="25">
        <v>45337</v>
      </c>
      <c r="H857" s="24">
        <v>44419.64</v>
      </c>
      <c r="I857" s="26" t="s">
        <v>47</v>
      </c>
      <c r="J857" s="15" t="s">
        <v>36</v>
      </c>
      <c r="K857" s="15">
        <v>646</v>
      </c>
      <c r="L857" s="16">
        <v>45361</v>
      </c>
      <c r="M857" s="17">
        <v>3</v>
      </c>
      <c r="N857" s="27">
        <v>90856</v>
      </c>
      <c r="O857" s="27" t="s">
        <v>37</v>
      </c>
      <c r="P857" s="28">
        <v>45430</v>
      </c>
      <c r="Q857" s="29">
        <v>0.29420000000000002</v>
      </c>
      <c r="R857" s="30">
        <v>70856</v>
      </c>
      <c r="S857" s="27" t="s">
        <v>41</v>
      </c>
      <c r="T857" s="29">
        <v>88898.284230000005</v>
      </c>
      <c r="U857" s="27" t="s">
        <v>48</v>
      </c>
      <c r="V857" s="28">
        <v>45392</v>
      </c>
      <c r="W857" s="27" t="s">
        <v>38</v>
      </c>
      <c r="X857" s="28">
        <v>45384</v>
      </c>
      <c r="Y857" s="27" t="s">
        <v>33</v>
      </c>
      <c r="Z857" s="43" t="e">
        <f>TEXT([1]!Table64[[#This Row],[Order date]],"mmm-yyyy")</f>
        <v>#REF!</v>
      </c>
    </row>
    <row r="858" spans="1:26" x14ac:dyDescent="0.3">
      <c r="A858" s="10">
        <v>10857</v>
      </c>
      <c r="B858" s="11">
        <v>5634</v>
      </c>
      <c r="C858" s="11" t="s">
        <v>34</v>
      </c>
      <c r="D858" s="12">
        <v>65748.56</v>
      </c>
      <c r="E858" s="11">
        <v>38</v>
      </c>
      <c r="F858" s="11" t="s">
        <v>26</v>
      </c>
      <c r="G858" s="13">
        <v>45306</v>
      </c>
      <c r="H858" s="12">
        <v>111051.97</v>
      </c>
      <c r="I858" s="14" t="s">
        <v>44</v>
      </c>
      <c r="J858" s="15" t="s">
        <v>36</v>
      </c>
      <c r="K858" s="15">
        <v>442</v>
      </c>
      <c r="L858" s="16">
        <v>45361</v>
      </c>
      <c r="M858" s="17">
        <v>12</v>
      </c>
      <c r="N858" s="18">
        <v>90857</v>
      </c>
      <c r="O858" s="18" t="s">
        <v>29</v>
      </c>
      <c r="P858" s="19">
        <v>45430</v>
      </c>
      <c r="Q858" s="20">
        <v>0.13924</v>
      </c>
      <c r="R858" s="21">
        <v>70857</v>
      </c>
      <c r="S858" s="18" t="s">
        <v>41</v>
      </c>
      <c r="T858" s="20">
        <v>173389.54560000001</v>
      </c>
      <c r="U858" s="18" t="s">
        <v>48</v>
      </c>
      <c r="V858" s="19">
        <v>45444</v>
      </c>
      <c r="W858" s="18" t="s">
        <v>38</v>
      </c>
      <c r="X858" s="19">
        <v>45384</v>
      </c>
      <c r="Y858" s="18" t="s">
        <v>33</v>
      </c>
      <c r="Z858" s="43" t="e">
        <f>TEXT([1]!Table64[[#This Row],[Order date]],"mmm-yyyy")</f>
        <v>#REF!</v>
      </c>
    </row>
    <row r="859" spans="1:26" x14ac:dyDescent="0.3">
      <c r="A859" s="22">
        <v>10858</v>
      </c>
      <c r="B859" s="23">
        <v>6218</v>
      </c>
      <c r="C859" s="23" t="s">
        <v>34</v>
      </c>
      <c r="D859" s="24">
        <v>28406.09</v>
      </c>
      <c r="E859" s="23">
        <v>67</v>
      </c>
      <c r="F859" s="23" t="s">
        <v>26</v>
      </c>
      <c r="G859" s="25">
        <v>45361</v>
      </c>
      <c r="H859" s="24">
        <v>117292.7</v>
      </c>
      <c r="I859" s="26" t="s">
        <v>27</v>
      </c>
      <c r="J859" s="15" t="s">
        <v>28</v>
      </c>
      <c r="K859" s="15">
        <v>749</v>
      </c>
      <c r="L859" s="16">
        <v>45361</v>
      </c>
      <c r="M859" s="17">
        <v>10</v>
      </c>
      <c r="N859" s="27">
        <v>90858</v>
      </c>
      <c r="O859" s="27" t="s">
        <v>29</v>
      </c>
      <c r="P859" s="28">
        <v>45430</v>
      </c>
      <c r="Q859" s="29">
        <v>0.37486999999999998</v>
      </c>
      <c r="R859" s="30">
        <v>70858</v>
      </c>
      <c r="S859" s="27" t="s">
        <v>45</v>
      </c>
      <c r="T859" s="29">
        <v>124262.96394</v>
      </c>
      <c r="U859" s="27" t="s">
        <v>42</v>
      </c>
      <c r="V859" s="28">
        <v>45392</v>
      </c>
      <c r="W859" s="27" t="s">
        <v>38</v>
      </c>
      <c r="X859" s="28">
        <v>45384</v>
      </c>
      <c r="Y859" s="27" t="s">
        <v>33</v>
      </c>
      <c r="Z859" s="43" t="e">
        <f>TEXT([1]!Table64[[#This Row],[Order date]],"mmm-yyyy")</f>
        <v>#REF!</v>
      </c>
    </row>
    <row r="860" spans="1:26" x14ac:dyDescent="0.3">
      <c r="A860" s="10">
        <v>10859</v>
      </c>
      <c r="B860" s="11">
        <v>6541</v>
      </c>
      <c r="C860" s="11" t="s">
        <v>34</v>
      </c>
      <c r="D860" s="12">
        <v>78433.94</v>
      </c>
      <c r="E860" s="11">
        <v>59</v>
      </c>
      <c r="F860" s="11" t="s">
        <v>43</v>
      </c>
      <c r="G860" s="13">
        <v>45383</v>
      </c>
      <c r="H860" s="12">
        <v>178495.23</v>
      </c>
      <c r="I860" s="14" t="s">
        <v>47</v>
      </c>
      <c r="J860" s="15" t="s">
        <v>28</v>
      </c>
      <c r="K860" s="15">
        <v>490</v>
      </c>
      <c r="L860" s="16">
        <v>45397</v>
      </c>
      <c r="M860" s="17">
        <v>10</v>
      </c>
      <c r="N860" s="18">
        <v>90859</v>
      </c>
      <c r="O860" s="18" t="s">
        <v>29</v>
      </c>
      <c r="P860" s="19">
        <v>45383</v>
      </c>
      <c r="Q860" s="20">
        <v>0.72621999999999998</v>
      </c>
      <c r="R860" s="21">
        <v>70859</v>
      </c>
      <c r="S860" s="18" t="s">
        <v>30</v>
      </c>
      <c r="T860" s="20">
        <v>132557.86504</v>
      </c>
      <c r="U860" s="18" t="s">
        <v>42</v>
      </c>
      <c r="V860" s="19">
        <v>45444</v>
      </c>
      <c r="W860" s="18" t="s">
        <v>32</v>
      </c>
      <c r="X860" s="19">
        <v>45376</v>
      </c>
      <c r="Y860" s="18" t="s">
        <v>33</v>
      </c>
      <c r="Z860" s="43" t="e">
        <f>TEXT([1]!Table64[[#This Row],[Order date]],"mmm-yyyy")</f>
        <v>#REF!</v>
      </c>
    </row>
    <row r="861" spans="1:26" x14ac:dyDescent="0.3">
      <c r="A861" s="22">
        <v>10860</v>
      </c>
      <c r="B861" s="23">
        <v>5029</v>
      </c>
      <c r="C861" s="23" t="s">
        <v>34</v>
      </c>
      <c r="D861" s="24">
        <v>89541.48</v>
      </c>
      <c r="E861" s="23">
        <v>69</v>
      </c>
      <c r="F861" s="23" t="s">
        <v>26</v>
      </c>
      <c r="G861" s="25">
        <v>45383</v>
      </c>
      <c r="H861" s="24">
        <v>99956.82</v>
      </c>
      <c r="I861" s="26" t="s">
        <v>44</v>
      </c>
      <c r="J861" s="15" t="s">
        <v>49</v>
      </c>
      <c r="K861" s="15">
        <v>967</v>
      </c>
      <c r="L861" s="16">
        <v>45332</v>
      </c>
      <c r="M861" s="17">
        <v>4</v>
      </c>
      <c r="N861" s="27">
        <v>90860</v>
      </c>
      <c r="O861" s="27" t="s">
        <v>50</v>
      </c>
      <c r="P861" s="28">
        <v>45383</v>
      </c>
      <c r="Q861" s="29">
        <v>0.95599999999999996</v>
      </c>
      <c r="R861" s="30">
        <v>70860</v>
      </c>
      <c r="S861" s="27" t="s">
        <v>41</v>
      </c>
      <c r="T861" s="29">
        <v>181964.5288</v>
      </c>
      <c r="U861" s="27" t="s">
        <v>48</v>
      </c>
      <c r="V861" s="28">
        <v>45392</v>
      </c>
      <c r="W861" s="27" t="s">
        <v>38</v>
      </c>
      <c r="X861" s="28">
        <v>45376</v>
      </c>
      <c r="Y861" s="27" t="s">
        <v>39</v>
      </c>
      <c r="Z861" s="43" t="e">
        <f>TEXT([1]!Table64[[#This Row],[Order date]],"mmm-yyyy")</f>
        <v>#REF!</v>
      </c>
    </row>
    <row r="862" spans="1:26" x14ac:dyDescent="0.3">
      <c r="A862" s="10">
        <v>10861</v>
      </c>
      <c r="B862" s="11">
        <v>6189</v>
      </c>
      <c r="C862" s="11" t="s">
        <v>25</v>
      </c>
      <c r="D862" s="12">
        <v>34136.050000000003</v>
      </c>
      <c r="E862" s="11">
        <v>13</v>
      </c>
      <c r="F862" s="11" t="s">
        <v>43</v>
      </c>
      <c r="G862" s="13">
        <v>45383</v>
      </c>
      <c r="H862" s="12">
        <v>156502.39999999999</v>
      </c>
      <c r="I862" s="14" t="s">
        <v>47</v>
      </c>
      <c r="J862" s="15" t="s">
        <v>49</v>
      </c>
      <c r="K862" s="15">
        <v>369</v>
      </c>
      <c r="L862" s="16">
        <v>45397</v>
      </c>
      <c r="M862" s="17">
        <v>7</v>
      </c>
      <c r="N862" s="18">
        <v>90861</v>
      </c>
      <c r="O862" s="18" t="s">
        <v>37</v>
      </c>
      <c r="P862" s="19">
        <v>45352</v>
      </c>
      <c r="Q862" s="20">
        <v>0.16933000000000001</v>
      </c>
      <c r="R862" s="21">
        <v>70861</v>
      </c>
      <c r="S862" s="18" t="s">
        <v>30</v>
      </c>
      <c r="T862" s="20">
        <v>103022.4868</v>
      </c>
      <c r="U862" s="18" t="s">
        <v>42</v>
      </c>
      <c r="V862" s="19">
        <v>45444</v>
      </c>
      <c r="W862" s="18" t="s">
        <v>32</v>
      </c>
      <c r="X862" s="19">
        <v>45376</v>
      </c>
      <c r="Y862" s="18" t="s">
        <v>33</v>
      </c>
      <c r="Z862" s="43" t="e">
        <f>TEXT([1]!Table64[[#This Row],[Order date]],"mmm-yyyy")</f>
        <v>#REF!</v>
      </c>
    </row>
    <row r="863" spans="1:26" x14ac:dyDescent="0.3">
      <c r="A863" s="22">
        <v>10862</v>
      </c>
      <c r="B863" s="23">
        <v>6446</v>
      </c>
      <c r="C863" s="23" t="s">
        <v>34</v>
      </c>
      <c r="D863" s="24">
        <v>80997.429999999993</v>
      </c>
      <c r="E863" s="23">
        <v>47</v>
      </c>
      <c r="F863" s="23" t="s">
        <v>46</v>
      </c>
      <c r="G863" s="25">
        <v>45337</v>
      </c>
      <c r="H863" s="24">
        <v>89887.25</v>
      </c>
      <c r="I863" s="26" t="s">
        <v>44</v>
      </c>
      <c r="J863" s="15" t="s">
        <v>28</v>
      </c>
      <c r="K863" s="15">
        <v>602</v>
      </c>
      <c r="L863" s="16">
        <v>45397</v>
      </c>
      <c r="M863" s="17">
        <v>2</v>
      </c>
      <c r="N863" s="27">
        <v>90862</v>
      </c>
      <c r="O863" s="27" t="s">
        <v>40</v>
      </c>
      <c r="P863" s="28">
        <v>45383</v>
      </c>
      <c r="Q863" s="29">
        <v>0.12564</v>
      </c>
      <c r="R863" s="30">
        <v>70862</v>
      </c>
      <c r="S863" s="27" t="s">
        <v>41</v>
      </c>
      <c r="T863" s="29">
        <v>171925.57388000001</v>
      </c>
      <c r="U863" s="27" t="s">
        <v>31</v>
      </c>
      <c r="V863" s="28">
        <v>45392</v>
      </c>
      <c r="W863" s="27" t="s">
        <v>32</v>
      </c>
      <c r="X863" s="28">
        <v>45376</v>
      </c>
      <c r="Y863" s="27" t="s">
        <v>39</v>
      </c>
      <c r="Z863" s="43" t="e">
        <f>TEXT([1]!Table64[[#This Row],[Order date]],"mmm-yyyy")</f>
        <v>#REF!</v>
      </c>
    </row>
    <row r="864" spans="1:26" x14ac:dyDescent="0.3">
      <c r="A864" s="10">
        <v>10863</v>
      </c>
      <c r="B864" s="11">
        <v>5339</v>
      </c>
      <c r="C864" s="11" t="s">
        <v>25</v>
      </c>
      <c r="D864" s="12">
        <v>40658.39</v>
      </c>
      <c r="E864" s="11">
        <v>61</v>
      </c>
      <c r="F864" s="11" t="s">
        <v>46</v>
      </c>
      <c r="G864" s="13">
        <v>45361</v>
      </c>
      <c r="H864" s="12">
        <v>24853.31</v>
      </c>
      <c r="I864" s="14" t="s">
        <v>44</v>
      </c>
      <c r="J864" s="15" t="s">
        <v>49</v>
      </c>
      <c r="K864" s="15">
        <v>1288</v>
      </c>
      <c r="L864" s="16">
        <v>45332</v>
      </c>
      <c r="M864" s="17">
        <v>3</v>
      </c>
      <c r="N864" s="18">
        <v>90863</v>
      </c>
      <c r="O864" s="18" t="s">
        <v>29</v>
      </c>
      <c r="P864" s="19">
        <v>45430</v>
      </c>
      <c r="Q864" s="20">
        <v>0.89573000000000003</v>
      </c>
      <c r="R864" s="21">
        <v>70863</v>
      </c>
      <c r="S864" s="18" t="s">
        <v>41</v>
      </c>
      <c r="T864" s="20">
        <v>158207.59768000001</v>
      </c>
      <c r="U864" s="18" t="s">
        <v>48</v>
      </c>
      <c r="V864" s="19">
        <v>45422</v>
      </c>
      <c r="W864" s="18" t="s">
        <v>38</v>
      </c>
      <c r="X864" s="19">
        <v>45376</v>
      </c>
      <c r="Y864" s="18" t="s">
        <v>39</v>
      </c>
      <c r="Z864" s="43" t="e">
        <f>TEXT([1]!Table64[[#This Row],[Order date]],"mmm-yyyy")</f>
        <v>#REF!</v>
      </c>
    </row>
    <row r="865" spans="1:26" x14ac:dyDescent="0.3">
      <c r="A865" s="22">
        <v>10864</v>
      </c>
      <c r="B865" s="23">
        <v>6672</v>
      </c>
      <c r="C865" s="23" t="s">
        <v>25</v>
      </c>
      <c r="D865" s="24">
        <v>18504.330000000002</v>
      </c>
      <c r="E865" s="23">
        <v>31</v>
      </c>
      <c r="F865" s="23" t="s">
        <v>43</v>
      </c>
      <c r="G865" s="25">
        <v>45337</v>
      </c>
      <c r="H865" s="24">
        <v>16265.25</v>
      </c>
      <c r="I865" s="26" t="s">
        <v>44</v>
      </c>
      <c r="J865" s="15" t="s">
        <v>36</v>
      </c>
      <c r="K865" s="15">
        <v>1144</v>
      </c>
      <c r="L865" s="16">
        <v>45332</v>
      </c>
      <c r="M865" s="17">
        <v>7</v>
      </c>
      <c r="N865" s="27">
        <v>90864</v>
      </c>
      <c r="O865" s="27" t="s">
        <v>37</v>
      </c>
      <c r="P865" s="28">
        <v>45383</v>
      </c>
      <c r="Q865" s="29">
        <v>0.77332999999999996</v>
      </c>
      <c r="R865" s="30">
        <v>70864</v>
      </c>
      <c r="S865" s="27" t="s">
        <v>45</v>
      </c>
      <c r="T865" s="29">
        <v>106711.19765</v>
      </c>
      <c r="U865" s="27" t="s">
        <v>42</v>
      </c>
      <c r="V865" s="28">
        <v>45392</v>
      </c>
      <c r="W865" s="27" t="s">
        <v>38</v>
      </c>
      <c r="X865" s="28">
        <v>45376</v>
      </c>
      <c r="Y865" s="27" t="s">
        <v>39</v>
      </c>
      <c r="Z865" s="43" t="e">
        <f>TEXT([1]!Table64[[#This Row],[Order date]],"mmm-yyyy")</f>
        <v>#REF!</v>
      </c>
    </row>
    <row r="866" spans="1:26" x14ac:dyDescent="0.3">
      <c r="A866" s="10">
        <v>10865</v>
      </c>
      <c r="B866" s="11">
        <v>6520</v>
      </c>
      <c r="C866" s="11" t="s">
        <v>34</v>
      </c>
      <c r="D866" s="12">
        <v>53607.31</v>
      </c>
      <c r="E866" s="11">
        <v>80</v>
      </c>
      <c r="F866" s="11" t="s">
        <v>35</v>
      </c>
      <c r="G866" s="13">
        <v>45361</v>
      </c>
      <c r="H866" s="12">
        <v>146323.41</v>
      </c>
      <c r="I866" s="14" t="s">
        <v>44</v>
      </c>
      <c r="J866" s="15" t="s">
        <v>28</v>
      </c>
      <c r="K866" s="15">
        <v>617</v>
      </c>
      <c r="L866" s="16">
        <v>45397</v>
      </c>
      <c r="M866" s="17">
        <v>7</v>
      </c>
      <c r="N866" s="18">
        <v>90865</v>
      </c>
      <c r="O866" s="18" t="s">
        <v>37</v>
      </c>
      <c r="P866" s="19">
        <v>45352</v>
      </c>
      <c r="Q866" s="20">
        <v>0.99302000000000001</v>
      </c>
      <c r="R866" s="21">
        <v>70865</v>
      </c>
      <c r="S866" s="18" t="s">
        <v>41</v>
      </c>
      <c r="T866" s="20">
        <v>77205.747300000003</v>
      </c>
      <c r="U866" s="18" t="s">
        <v>31</v>
      </c>
      <c r="V866" s="19">
        <v>45422</v>
      </c>
      <c r="W866" s="18" t="s">
        <v>32</v>
      </c>
      <c r="X866" s="19">
        <v>45384</v>
      </c>
      <c r="Y866" s="18" t="s">
        <v>39</v>
      </c>
      <c r="Z866" s="43" t="e">
        <f>TEXT([1]!Table64[[#This Row],[Order date]],"mmm-yyyy")</f>
        <v>#REF!</v>
      </c>
    </row>
    <row r="867" spans="1:26" x14ac:dyDescent="0.3">
      <c r="A867" s="22">
        <v>10866</v>
      </c>
      <c r="B867" s="23">
        <v>6389</v>
      </c>
      <c r="C867" s="23" t="s">
        <v>34</v>
      </c>
      <c r="D867" s="24">
        <v>11899.01</v>
      </c>
      <c r="E867" s="23">
        <v>96</v>
      </c>
      <c r="F867" s="23" t="s">
        <v>26</v>
      </c>
      <c r="G867" s="25">
        <v>45306</v>
      </c>
      <c r="H867" s="24">
        <v>90283.13</v>
      </c>
      <c r="I867" s="26" t="s">
        <v>44</v>
      </c>
      <c r="J867" s="15" t="s">
        <v>28</v>
      </c>
      <c r="K867" s="15">
        <v>968</v>
      </c>
      <c r="L867" s="16">
        <v>45332</v>
      </c>
      <c r="M867" s="17">
        <v>10</v>
      </c>
      <c r="N867" s="27">
        <v>90866</v>
      </c>
      <c r="O867" s="27" t="s">
        <v>40</v>
      </c>
      <c r="P867" s="28">
        <v>45430</v>
      </c>
      <c r="Q867" s="29">
        <v>0.45711000000000002</v>
      </c>
      <c r="R867" s="30">
        <v>70866</v>
      </c>
      <c r="S867" s="27" t="s">
        <v>41</v>
      </c>
      <c r="T867" s="29">
        <v>129903.62820000001</v>
      </c>
      <c r="U867" s="27" t="s">
        <v>48</v>
      </c>
      <c r="V867" s="28">
        <v>45392</v>
      </c>
      <c r="W867" s="27" t="s">
        <v>38</v>
      </c>
      <c r="X867" s="28">
        <v>45376</v>
      </c>
      <c r="Y867" s="27" t="s">
        <v>39</v>
      </c>
      <c r="Z867" s="43" t="e">
        <f>TEXT([1]!Table64[[#This Row],[Order date]],"mmm-yyyy")</f>
        <v>#REF!</v>
      </c>
    </row>
    <row r="868" spans="1:26" x14ac:dyDescent="0.3">
      <c r="A868" s="10">
        <v>10867</v>
      </c>
      <c r="B868" s="11">
        <v>6857</v>
      </c>
      <c r="C868" s="11" t="s">
        <v>34</v>
      </c>
      <c r="D868" s="12">
        <v>80274.73</v>
      </c>
      <c r="E868" s="11">
        <v>22</v>
      </c>
      <c r="F868" s="11" t="s">
        <v>26</v>
      </c>
      <c r="G868" s="13">
        <v>45337</v>
      </c>
      <c r="H868" s="12">
        <v>160487.62</v>
      </c>
      <c r="I868" s="14" t="s">
        <v>47</v>
      </c>
      <c r="J868" s="15" t="s">
        <v>36</v>
      </c>
      <c r="K868" s="15">
        <v>285</v>
      </c>
      <c r="L868" s="16">
        <v>45361</v>
      </c>
      <c r="M868" s="17">
        <v>3</v>
      </c>
      <c r="N868" s="18">
        <v>90867</v>
      </c>
      <c r="O868" s="18" t="s">
        <v>29</v>
      </c>
      <c r="P868" s="19">
        <v>45383</v>
      </c>
      <c r="Q868" s="20">
        <v>0.47444999999999998</v>
      </c>
      <c r="R868" s="21">
        <v>70867</v>
      </c>
      <c r="S868" s="18" t="s">
        <v>41</v>
      </c>
      <c r="T868" s="20">
        <v>206734.23740000001</v>
      </c>
      <c r="U868" s="18" t="s">
        <v>48</v>
      </c>
      <c r="V868" s="19">
        <v>45392</v>
      </c>
      <c r="W868" s="18" t="s">
        <v>38</v>
      </c>
      <c r="X868" s="19">
        <v>45376</v>
      </c>
      <c r="Y868" s="18" t="s">
        <v>33</v>
      </c>
      <c r="Z868" s="43" t="e">
        <f>TEXT([1]!Table64[[#This Row],[Order date]],"mmm-yyyy")</f>
        <v>#REF!</v>
      </c>
    </row>
    <row r="869" spans="1:26" x14ac:dyDescent="0.3">
      <c r="A869" s="22">
        <v>10868</v>
      </c>
      <c r="B869" s="23">
        <v>6366</v>
      </c>
      <c r="C869" s="23" t="s">
        <v>34</v>
      </c>
      <c r="D869" s="24">
        <v>41472.43</v>
      </c>
      <c r="E869" s="23">
        <v>93</v>
      </c>
      <c r="F869" s="23" t="s">
        <v>26</v>
      </c>
      <c r="G869" s="25">
        <v>45337</v>
      </c>
      <c r="H869" s="24">
        <v>105531.99</v>
      </c>
      <c r="I869" s="26" t="s">
        <v>44</v>
      </c>
      <c r="J869" s="15" t="s">
        <v>36</v>
      </c>
      <c r="K869" s="15">
        <v>1354</v>
      </c>
      <c r="L869" s="16">
        <v>45361</v>
      </c>
      <c r="M869" s="17">
        <v>12</v>
      </c>
      <c r="N869" s="27">
        <v>90868</v>
      </c>
      <c r="O869" s="27" t="s">
        <v>50</v>
      </c>
      <c r="P869" s="28">
        <v>45383</v>
      </c>
      <c r="Q869" s="29">
        <v>0.25507999999999997</v>
      </c>
      <c r="R869" s="30">
        <v>70868</v>
      </c>
      <c r="S869" s="27" t="s">
        <v>30</v>
      </c>
      <c r="T869" s="29">
        <v>119777.09517</v>
      </c>
      <c r="U869" s="27" t="s">
        <v>31</v>
      </c>
      <c r="V869" s="28">
        <v>45444</v>
      </c>
      <c r="W869" s="27" t="s">
        <v>32</v>
      </c>
      <c r="X869" s="28">
        <v>45376</v>
      </c>
      <c r="Y869" s="27" t="s">
        <v>39</v>
      </c>
      <c r="Z869" s="43" t="e">
        <f>TEXT([1]!Table64[[#This Row],[Order date]],"mmm-yyyy")</f>
        <v>#REF!</v>
      </c>
    </row>
    <row r="870" spans="1:26" x14ac:dyDescent="0.3">
      <c r="A870" s="10">
        <v>10869</v>
      </c>
      <c r="B870" s="11">
        <v>5500</v>
      </c>
      <c r="C870" s="11" t="s">
        <v>34</v>
      </c>
      <c r="D870" s="12">
        <v>20336.5</v>
      </c>
      <c r="E870" s="11">
        <v>86</v>
      </c>
      <c r="F870" s="11" t="s">
        <v>43</v>
      </c>
      <c r="G870" s="13">
        <v>45306</v>
      </c>
      <c r="H870" s="12">
        <v>50124.5</v>
      </c>
      <c r="I870" s="14" t="s">
        <v>44</v>
      </c>
      <c r="J870" s="15" t="s">
        <v>36</v>
      </c>
      <c r="K870" s="15">
        <v>1036</v>
      </c>
      <c r="L870" s="16">
        <v>45397</v>
      </c>
      <c r="M870" s="17">
        <v>1</v>
      </c>
      <c r="N870" s="18">
        <v>90869</v>
      </c>
      <c r="O870" s="18" t="s">
        <v>37</v>
      </c>
      <c r="P870" s="19">
        <v>45352</v>
      </c>
      <c r="Q870" s="20">
        <v>0.20426</v>
      </c>
      <c r="R870" s="21">
        <v>70869</v>
      </c>
      <c r="S870" s="18" t="s">
        <v>30</v>
      </c>
      <c r="T870" s="20">
        <v>72767.681920000003</v>
      </c>
      <c r="U870" s="18" t="s">
        <v>48</v>
      </c>
      <c r="V870" s="19">
        <v>45392</v>
      </c>
      <c r="W870" s="18" t="s">
        <v>32</v>
      </c>
      <c r="X870" s="19">
        <v>45376</v>
      </c>
      <c r="Y870" s="18" t="s">
        <v>33</v>
      </c>
      <c r="Z870" s="43" t="e">
        <f>TEXT([1]!Table64[[#This Row],[Order date]],"mmm-yyyy")</f>
        <v>#REF!</v>
      </c>
    </row>
    <row r="871" spans="1:26" x14ac:dyDescent="0.3">
      <c r="A871" s="22">
        <v>10870</v>
      </c>
      <c r="B871" s="23">
        <v>6681</v>
      </c>
      <c r="C871" s="23" t="s">
        <v>34</v>
      </c>
      <c r="D871" s="24">
        <v>30016.15</v>
      </c>
      <c r="E871" s="23">
        <v>43</v>
      </c>
      <c r="F871" s="23" t="s">
        <v>46</v>
      </c>
      <c r="G871" s="25">
        <v>45361</v>
      </c>
      <c r="H871" s="24">
        <v>100251.67</v>
      </c>
      <c r="I871" s="26" t="s">
        <v>44</v>
      </c>
      <c r="J871" s="15" t="s">
        <v>49</v>
      </c>
      <c r="K871" s="15">
        <v>1235</v>
      </c>
      <c r="L871" s="16">
        <v>45397</v>
      </c>
      <c r="M871" s="17">
        <v>12</v>
      </c>
      <c r="N871" s="27">
        <v>90870</v>
      </c>
      <c r="O871" s="27" t="s">
        <v>40</v>
      </c>
      <c r="P871" s="28">
        <v>45430</v>
      </c>
      <c r="Q871" s="29">
        <v>0.62085000000000001</v>
      </c>
      <c r="R871" s="30">
        <v>70870</v>
      </c>
      <c r="S871" s="27" t="s">
        <v>41</v>
      </c>
      <c r="T871" s="29">
        <v>90144.850439999995</v>
      </c>
      <c r="U871" s="27" t="s">
        <v>42</v>
      </c>
      <c r="V871" s="28">
        <v>45392</v>
      </c>
      <c r="W871" s="27" t="s">
        <v>38</v>
      </c>
      <c r="X871" s="28">
        <v>45384</v>
      </c>
      <c r="Y871" s="27" t="s">
        <v>33</v>
      </c>
      <c r="Z871" s="43" t="e">
        <f>TEXT([1]!Table64[[#This Row],[Order date]],"mmm-yyyy")</f>
        <v>#REF!</v>
      </c>
    </row>
    <row r="872" spans="1:26" x14ac:dyDescent="0.3">
      <c r="A872" s="10">
        <v>10871</v>
      </c>
      <c r="B872" s="11">
        <v>5511</v>
      </c>
      <c r="C872" s="11" t="s">
        <v>34</v>
      </c>
      <c r="D872" s="12">
        <v>15625.03</v>
      </c>
      <c r="E872" s="11">
        <v>67</v>
      </c>
      <c r="F872" s="11" t="s">
        <v>26</v>
      </c>
      <c r="G872" s="13">
        <v>45383</v>
      </c>
      <c r="H872" s="12">
        <v>48506.3</v>
      </c>
      <c r="I872" s="14" t="s">
        <v>44</v>
      </c>
      <c r="J872" s="15" t="s">
        <v>28</v>
      </c>
      <c r="K872" s="15">
        <v>1264</v>
      </c>
      <c r="L872" s="16">
        <v>45332</v>
      </c>
      <c r="M872" s="17">
        <v>3</v>
      </c>
      <c r="N872" s="18">
        <v>90871</v>
      </c>
      <c r="O872" s="18" t="s">
        <v>50</v>
      </c>
      <c r="P872" s="19">
        <v>45352</v>
      </c>
      <c r="Q872" s="20">
        <v>0.42786000000000002</v>
      </c>
      <c r="R872" s="21">
        <v>70871</v>
      </c>
      <c r="S872" s="18" t="s">
        <v>30</v>
      </c>
      <c r="T872" s="20">
        <v>202437.84419999999</v>
      </c>
      <c r="U872" s="18" t="s">
        <v>48</v>
      </c>
      <c r="V872" s="19">
        <v>45392</v>
      </c>
      <c r="W872" s="18" t="s">
        <v>32</v>
      </c>
      <c r="X872" s="19">
        <v>45376</v>
      </c>
      <c r="Y872" s="18" t="s">
        <v>33</v>
      </c>
      <c r="Z872" s="43" t="e">
        <f>TEXT([1]!Table64[[#This Row],[Order date]],"mmm-yyyy")</f>
        <v>#REF!</v>
      </c>
    </row>
    <row r="873" spans="1:26" x14ac:dyDescent="0.3">
      <c r="A873" s="22">
        <v>10872</v>
      </c>
      <c r="B873" s="23">
        <v>6351</v>
      </c>
      <c r="C873" s="23" t="s">
        <v>34</v>
      </c>
      <c r="D873" s="24">
        <v>89468.79</v>
      </c>
      <c r="E873" s="23">
        <v>54</v>
      </c>
      <c r="F873" s="23" t="s">
        <v>46</v>
      </c>
      <c r="G873" s="25">
        <v>45306</v>
      </c>
      <c r="H873" s="24">
        <v>111009.16</v>
      </c>
      <c r="I873" s="26" t="s">
        <v>44</v>
      </c>
      <c r="J873" s="15" t="s">
        <v>49</v>
      </c>
      <c r="K873" s="15">
        <v>1082</v>
      </c>
      <c r="L873" s="16">
        <v>45332</v>
      </c>
      <c r="M873" s="17">
        <v>5</v>
      </c>
      <c r="N873" s="27">
        <v>90872</v>
      </c>
      <c r="O873" s="27" t="s">
        <v>37</v>
      </c>
      <c r="P873" s="28">
        <v>45430</v>
      </c>
      <c r="Q873" s="29">
        <v>0.17227999999999999</v>
      </c>
      <c r="R873" s="30">
        <v>70872</v>
      </c>
      <c r="S873" s="27" t="s">
        <v>30</v>
      </c>
      <c r="T873" s="29">
        <v>88956.474860000002</v>
      </c>
      <c r="U873" s="27" t="s">
        <v>42</v>
      </c>
      <c r="V873" s="28">
        <v>45422</v>
      </c>
      <c r="W873" s="27" t="s">
        <v>38</v>
      </c>
      <c r="X873" s="28">
        <v>45384</v>
      </c>
      <c r="Y873" s="27" t="s">
        <v>39</v>
      </c>
      <c r="Z873" s="43" t="e">
        <f>TEXT([1]!Table64[[#This Row],[Order date]],"mmm-yyyy")</f>
        <v>#REF!</v>
      </c>
    </row>
    <row r="874" spans="1:26" x14ac:dyDescent="0.3">
      <c r="A874" s="10">
        <v>10873</v>
      </c>
      <c r="B874" s="11">
        <v>5217</v>
      </c>
      <c r="C874" s="11" t="s">
        <v>34</v>
      </c>
      <c r="D874" s="12">
        <v>55971.37</v>
      </c>
      <c r="E874" s="11">
        <v>10</v>
      </c>
      <c r="F874" s="11" t="s">
        <v>26</v>
      </c>
      <c r="G874" s="13">
        <v>45383</v>
      </c>
      <c r="H874" s="12">
        <v>143042.35</v>
      </c>
      <c r="I874" s="14" t="s">
        <v>44</v>
      </c>
      <c r="J874" s="15" t="s">
        <v>36</v>
      </c>
      <c r="K874" s="15">
        <v>109</v>
      </c>
      <c r="L874" s="16">
        <v>45397</v>
      </c>
      <c r="M874" s="17">
        <v>7</v>
      </c>
      <c r="N874" s="18">
        <v>90873</v>
      </c>
      <c r="O874" s="18" t="s">
        <v>29</v>
      </c>
      <c r="P874" s="19">
        <v>45430</v>
      </c>
      <c r="Q874" s="20">
        <v>0.89829000000000003</v>
      </c>
      <c r="R874" s="21">
        <v>70873</v>
      </c>
      <c r="S874" s="18" t="s">
        <v>41</v>
      </c>
      <c r="T874" s="20">
        <v>70012.078339999993</v>
      </c>
      <c r="U874" s="18" t="s">
        <v>31</v>
      </c>
      <c r="V874" s="19">
        <v>45444</v>
      </c>
      <c r="W874" s="18" t="s">
        <v>32</v>
      </c>
      <c r="X874" s="19">
        <v>45376</v>
      </c>
      <c r="Y874" s="18" t="s">
        <v>33</v>
      </c>
      <c r="Z874" s="43" t="e">
        <f>TEXT([1]!Table64[[#This Row],[Order date]],"mmm-yyyy")</f>
        <v>#REF!</v>
      </c>
    </row>
    <row r="875" spans="1:26" x14ac:dyDescent="0.3">
      <c r="A875" s="22">
        <v>10874</v>
      </c>
      <c r="B875" s="23">
        <v>6325</v>
      </c>
      <c r="C875" s="23" t="s">
        <v>34</v>
      </c>
      <c r="D875" s="24">
        <v>52213.93</v>
      </c>
      <c r="E875" s="23">
        <v>42</v>
      </c>
      <c r="F875" s="23" t="s">
        <v>26</v>
      </c>
      <c r="G875" s="25">
        <v>45383</v>
      </c>
      <c r="H875" s="24">
        <v>69000.429999999993</v>
      </c>
      <c r="I875" s="26" t="s">
        <v>47</v>
      </c>
      <c r="J875" s="15" t="s">
        <v>49</v>
      </c>
      <c r="K875" s="15">
        <v>942</v>
      </c>
      <c r="L875" s="16">
        <v>45397</v>
      </c>
      <c r="M875" s="17">
        <v>4</v>
      </c>
      <c r="N875" s="27">
        <v>90874</v>
      </c>
      <c r="O875" s="27" t="s">
        <v>37</v>
      </c>
      <c r="P875" s="28">
        <v>45383</v>
      </c>
      <c r="Q875" s="29">
        <v>0.27851999999999999</v>
      </c>
      <c r="R875" s="30">
        <v>70874</v>
      </c>
      <c r="S875" s="27" t="s">
        <v>41</v>
      </c>
      <c r="T875" s="29">
        <v>106325.48813</v>
      </c>
      <c r="U875" s="27" t="s">
        <v>31</v>
      </c>
      <c r="V875" s="28">
        <v>45444</v>
      </c>
      <c r="W875" s="27" t="s">
        <v>32</v>
      </c>
      <c r="X875" s="28">
        <v>45384</v>
      </c>
      <c r="Y875" s="27" t="s">
        <v>33</v>
      </c>
      <c r="Z875" s="43" t="e">
        <f>TEXT([1]!Table64[[#This Row],[Order date]],"mmm-yyyy")</f>
        <v>#REF!</v>
      </c>
    </row>
    <row r="876" spans="1:26" x14ac:dyDescent="0.3">
      <c r="A876" s="10">
        <v>10875</v>
      </c>
      <c r="B876" s="11">
        <v>6156</v>
      </c>
      <c r="C876" s="11" t="s">
        <v>34</v>
      </c>
      <c r="D876" s="12">
        <v>9489.36</v>
      </c>
      <c r="E876" s="11">
        <v>64</v>
      </c>
      <c r="F876" s="11" t="s">
        <v>43</v>
      </c>
      <c r="G876" s="13">
        <v>45306</v>
      </c>
      <c r="H876" s="12">
        <v>83267.25</v>
      </c>
      <c r="I876" s="14" t="s">
        <v>27</v>
      </c>
      <c r="J876" s="15" t="s">
        <v>36</v>
      </c>
      <c r="K876" s="15">
        <v>274</v>
      </c>
      <c r="L876" s="16">
        <v>45361</v>
      </c>
      <c r="M876" s="17">
        <v>13</v>
      </c>
      <c r="N876" s="18">
        <v>90875</v>
      </c>
      <c r="O876" s="18" t="s">
        <v>50</v>
      </c>
      <c r="P876" s="19">
        <v>45352</v>
      </c>
      <c r="Q876" s="20">
        <v>0.77373000000000003</v>
      </c>
      <c r="R876" s="21">
        <v>70875</v>
      </c>
      <c r="S876" s="18" t="s">
        <v>41</v>
      </c>
      <c r="T876" s="20">
        <v>104541.28581</v>
      </c>
      <c r="U876" s="18" t="s">
        <v>48</v>
      </c>
      <c r="V876" s="19">
        <v>45392</v>
      </c>
      <c r="W876" s="18" t="s">
        <v>38</v>
      </c>
      <c r="X876" s="19">
        <v>45376</v>
      </c>
      <c r="Y876" s="18" t="s">
        <v>39</v>
      </c>
      <c r="Z876" s="43" t="e">
        <f>TEXT([1]!Table64[[#This Row],[Order date]],"mmm-yyyy")</f>
        <v>#REF!</v>
      </c>
    </row>
    <row r="877" spans="1:26" x14ac:dyDescent="0.3">
      <c r="A877" s="22">
        <v>10876</v>
      </c>
      <c r="B877" s="23">
        <v>6828</v>
      </c>
      <c r="C877" s="23" t="s">
        <v>34</v>
      </c>
      <c r="D877" s="24">
        <v>38402.559999999998</v>
      </c>
      <c r="E877" s="23">
        <v>21</v>
      </c>
      <c r="F877" s="23" t="s">
        <v>35</v>
      </c>
      <c r="G877" s="25">
        <v>45361</v>
      </c>
      <c r="H877" s="24">
        <v>38897.94</v>
      </c>
      <c r="I877" s="26" t="s">
        <v>44</v>
      </c>
      <c r="J877" s="15" t="s">
        <v>49</v>
      </c>
      <c r="K877" s="15">
        <v>749</v>
      </c>
      <c r="L877" s="16">
        <v>45361</v>
      </c>
      <c r="M877" s="17">
        <v>13</v>
      </c>
      <c r="N877" s="27">
        <v>90876</v>
      </c>
      <c r="O877" s="27" t="s">
        <v>50</v>
      </c>
      <c r="P877" s="28">
        <v>45352</v>
      </c>
      <c r="Q877" s="29">
        <v>0.35400999999999999</v>
      </c>
      <c r="R877" s="30">
        <v>70876</v>
      </c>
      <c r="S877" s="27" t="s">
        <v>45</v>
      </c>
      <c r="T877" s="29">
        <v>53332.601340000001</v>
      </c>
      <c r="U877" s="27" t="s">
        <v>31</v>
      </c>
      <c r="V877" s="28">
        <v>45392</v>
      </c>
      <c r="W877" s="27" t="s">
        <v>38</v>
      </c>
      <c r="X877" s="28">
        <v>45376</v>
      </c>
      <c r="Y877" s="27" t="s">
        <v>39</v>
      </c>
      <c r="Z877" s="43" t="e">
        <f>TEXT([1]!Table64[[#This Row],[Order date]],"mmm-yyyy")</f>
        <v>#REF!</v>
      </c>
    </row>
    <row r="878" spans="1:26" x14ac:dyDescent="0.3">
      <c r="A878" s="10">
        <v>10877</v>
      </c>
      <c r="B878" s="11">
        <v>6094</v>
      </c>
      <c r="C878" s="11" t="s">
        <v>34</v>
      </c>
      <c r="D878" s="12">
        <v>67100.42</v>
      </c>
      <c r="E878" s="11">
        <v>80</v>
      </c>
      <c r="F878" s="11" t="s">
        <v>43</v>
      </c>
      <c r="G878" s="13">
        <v>45383</v>
      </c>
      <c r="H878" s="12">
        <v>59472.639999999999</v>
      </c>
      <c r="I878" s="14" t="s">
        <v>47</v>
      </c>
      <c r="J878" s="15" t="s">
        <v>49</v>
      </c>
      <c r="K878" s="15">
        <v>631</v>
      </c>
      <c r="L878" s="16">
        <v>45332</v>
      </c>
      <c r="M878" s="17">
        <v>11</v>
      </c>
      <c r="N878" s="18">
        <v>90877</v>
      </c>
      <c r="O878" s="18" t="s">
        <v>29</v>
      </c>
      <c r="P878" s="19">
        <v>45352</v>
      </c>
      <c r="Q878" s="20">
        <v>0.83160999999999996</v>
      </c>
      <c r="R878" s="21">
        <v>70877</v>
      </c>
      <c r="S878" s="18" t="s">
        <v>45</v>
      </c>
      <c r="T878" s="20">
        <v>129716.09826</v>
      </c>
      <c r="U878" s="18" t="s">
        <v>31</v>
      </c>
      <c r="V878" s="19">
        <v>45422</v>
      </c>
      <c r="W878" s="18" t="s">
        <v>38</v>
      </c>
      <c r="X878" s="19">
        <v>45376</v>
      </c>
      <c r="Y878" s="18" t="s">
        <v>33</v>
      </c>
      <c r="Z878" s="43" t="e">
        <f>TEXT([1]!Table64[[#This Row],[Order date]],"mmm-yyyy")</f>
        <v>#REF!</v>
      </c>
    </row>
    <row r="879" spans="1:26" x14ac:dyDescent="0.3">
      <c r="A879" s="22">
        <v>10878</v>
      </c>
      <c r="B879" s="23">
        <v>6276</v>
      </c>
      <c r="C879" s="23" t="s">
        <v>34</v>
      </c>
      <c r="D879" s="24">
        <v>64873.66</v>
      </c>
      <c r="E879" s="23">
        <v>76</v>
      </c>
      <c r="F879" s="23" t="s">
        <v>26</v>
      </c>
      <c r="G879" s="25">
        <v>45306</v>
      </c>
      <c r="H879" s="24">
        <v>128531.98</v>
      </c>
      <c r="I879" s="26" t="s">
        <v>44</v>
      </c>
      <c r="J879" s="15" t="s">
        <v>36</v>
      </c>
      <c r="K879" s="15">
        <v>1360</v>
      </c>
      <c r="L879" s="16">
        <v>45361</v>
      </c>
      <c r="M879" s="17">
        <v>11</v>
      </c>
      <c r="N879" s="27">
        <v>90878</v>
      </c>
      <c r="O879" s="27" t="s">
        <v>29</v>
      </c>
      <c r="P879" s="28">
        <v>45430</v>
      </c>
      <c r="Q879" s="29">
        <v>0.20655999999999999</v>
      </c>
      <c r="R879" s="30">
        <v>70878</v>
      </c>
      <c r="S879" s="27" t="s">
        <v>41</v>
      </c>
      <c r="T879" s="29">
        <v>210114.39540000001</v>
      </c>
      <c r="U879" s="27" t="s">
        <v>48</v>
      </c>
      <c r="V879" s="28">
        <v>45392</v>
      </c>
      <c r="W879" s="27" t="s">
        <v>38</v>
      </c>
      <c r="X879" s="28">
        <v>45376</v>
      </c>
      <c r="Y879" s="27" t="s">
        <v>33</v>
      </c>
      <c r="Z879" s="43" t="e">
        <f>TEXT([1]!Table64[[#This Row],[Order date]],"mmm-yyyy")</f>
        <v>#REF!</v>
      </c>
    </row>
    <row r="880" spans="1:26" x14ac:dyDescent="0.3">
      <c r="A880" s="10">
        <v>10879</v>
      </c>
      <c r="B880" s="11">
        <v>6439</v>
      </c>
      <c r="C880" s="11" t="s">
        <v>34</v>
      </c>
      <c r="D880" s="12">
        <v>42664.19</v>
      </c>
      <c r="E880" s="11">
        <v>66</v>
      </c>
      <c r="F880" s="11" t="s">
        <v>26</v>
      </c>
      <c r="G880" s="13">
        <v>45337</v>
      </c>
      <c r="H880" s="12">
        <v>158062.49</v>
      </c>
      <c r="I880" s="14" t="s">
        <v>44</v>
      </c>
      <c r="J880" s="15" t="s">
        <v>49</v>
      </c>
      <c r="K880" s="15">
        <v>1043</v>
      </c>
      <c r="L880" s="16">
        <v>45332</v>
      </c>
      <c r="M880" s="17">
        <v>1</v>
      </c>
      <c r="N880" s="18">
        <v>90879</v>
      </c>
      <c r="O880" s="18" t="s">
        <v>40</v>
      </c>
      <c r="P880" s="19">
        <v>45352</v>
      </c>
      <c r="Q880" s="20">
        <v>0.78046000000000004</v>
      </c>
      <c r="R880" s="21">
        <v>70879</v>
      </c>
      <c r="S880" s="18" t="s">
        <v>41</v>
      </c>
      <c r="T880" s="20">
        <v>190652.52799999999</v>
      </c>
      <c r="U880" s="18" t="s">
        <v>42</v>
      </c>
      <c r="V880" s="19">
        <v>45444</v>
      </c>
      <c r="W880" s="18" t="s">
        <v>38</v>
      </c>
      <c r="X880" s="19">
        <v>45384</v>
      </c>
      <c r="Y880" s="18" t="s">
        <v>33</v>
      </c>
      <c r="Z880" s="43" t="e">
        <f>TEXT([1]!Table64[[#This Row],[Order date]],"mmm-yyyy")</f>
        <v>#REF!</v>
      </c>
    </row>
    <row r="881" spans="1:26" x14ac:dyDescent="0.3">
      <c r="A881" s="22">
        <v>10880</v>
      </c>
      <c r="B881" s="23">
        <v>6811</v>
      </c>
      <c r="C881" s="23" t="s">
        <v>34</v>
      </c>
      <c r="D881" s="24">
        <v>79261.95</v>
      </c>
      <c r="E881" s="23">
        <v>41</v>
      </c>
      <c r="F881" s="23" t="s">
        <v>35</v>
      </c>
      <c r="G881" s="25">
        <v>45337</v>
      </c>
      <c r="H881" s="24">
        <v>137138.44</v>
      </c>
      <c r="I881" s="26" t="s">
        <v>44</v>
      </c>
      <c r="J881" s="15" t="s">
        <v>28</v>
      </c>
      <c r="K881" s="15">
        <v>218</v>
      </c>
      <c r="L881" s="16">
        <v>45332</v>
      </c>
      <c r="M881" s="17">
        <v>6</v>
      </c>
      <c r="N881" s="27">
        <v>90880</v>
      </c>
      <c r="O881" s="27" t="s">
        <v>29</v>
      </c>
      <c r="P881" s="28">
        <v>45430</v>
      </c>
      <c r="Q881" s="29">
        <v>0.18831000000000001</v>
      </c>
      <c r="R881" s="30">
        <v>70880</v>
      </c>
      <c r="S881" s="27" t="s">
        <v>41</v>
      </c>
      <c r="T881" s="29">
        <v>98463.553</v>
      </c>
      <c r="U881" s="27" t="s">
        <v>48</v>
      </c>
      <c r="V881" s="28">
        <v>45444</v>
      </c>
      <c r="W881" s="27" t="s">
        <v>32</v>
      </c>
      <c r="X881" s="28">
        <v>45376</v>
      </c>
      <c r="Y881" s="27" t="s">
        <v>39</v>
      </c>
      <c r="Z881" s="43" t="e">
        <f>TEXT([1]!Table64[[#This Row],[Order date]],"mmm-yyyy")</f>
        <v>#REF!</v>
      </c>
    </row>
    <row r="882" spans="1:26" x14ac:dyDescent="0.3">
      <c r="A882" s="10">
        <v>10881</v>
      </c>
      <c r="B882" s="11">
        <v>5445</v>
      </c>
      <c r="C882" s="11" t="s">
        <v>34</v>
      </c>
      <c r="D882" s="12">
        <v>23357.22</v>
      </c>
      <c r="E882" s="11">
        <v>24</v>
      </c>
      <c r="F882" s="11" t="s">
        <v>46</v>
      </c>
      <c r="G882" s="13">
        <v>45337</v>
      </c>
      <c r="H882" s="12">
        <v>134956.9</v>
      </c>
      <c r="I882" s="14" t="s">
        <v>44</v>
      </c>
      <c r="J882" s="15" t="s">
        <v>49</v>
      </c>
      <c r="K882" s="15">
        <v>1135</v>
      </c>
      <c r="L882" s="16">
        <v>45332</v>
      </c>
      <c r="M882" s="17">
        <v>2</v>
      </c>
      <c r="N882" s="18">
        <v>90881</v>
      </c>
      <c r="O882" s="18" t="s">
        <v>40</v>
      </c>
      <c r="P882" s="19">
        <v>45352</v>
      </c>
      <c r="Q882" s="20">
        <v>0.50222</v>
      </c>
      <c r="R882" s="21">
        <v>70881</v>
      </c>
      <c r="S882" s="18" t="s">
        <v>45</v>
      </c>
      <c r="T882" s="20">
        <v>101149.50290000001</v>
      </c>
      <c r="U882" s="18" t="s">
        <v>48</v>
      </c>
      <c r="V882" s="19">
        <v>45422</v>
      </c>
      <c r="W882" s="18" t="s">
        <v>38</v>
      </c>
      <c r="X882" s="19">
        <v>45384</v>
      </c>
      <c r="Y882" s="18" t="s">
        <v>33</v>
      </c>
      <c r="Z882" s="43" t="e">
        <f>TEXT([1]!Table64[[#This Row],[Order date]],"mmm-yyyy")</f>
        <v>#REF!</v>
      </c>
    </row>
    <row r="883" spans="1:26" x14ac:dyDescent="0.3">
      <c r="A883" s="22">
        <v>10882</v>
      </c>
      <c r="B883" s="23">
        <v>5876</v>
      </c>
      <c r="C883" s="23" t="s">
        <v>25</v>
      </c>
      <c r="D883" s="24">
        <v>51286.52</v>
      </c>
      <c r="E883" s="23">
        <v>35</v>
      </c>
      <c r="F883" s="23" t="s">
        <v>46</v>
      </c>
      <c r="G883" s="25">
        <v>45306</v>
      </c>
      <c r="H883" s="24">
        <v>127825.94</v>
      </c>
      <c r="I883" s="26" t="s">
        <v>44</v>
      </c>
      <c r="J883" s="15" t="s">
        <v>49</v>
      </c>
      <c r="K883" s="15">
        <v>1422</v>
      </c>
      <c r="L883" s="16">
        <v>45361</v>
      </c>
      <c r="M883" s="17">
        <v>12</v>
      </c>
      <c r="N883" s="27">
        <v>90882</v>
      </c>
      <c r="O883" s="27" t="s">
        <v>50</v>
      </c>
      <c r="P883" s="28">
        <v>45352</v>
      </c>
      <c r="Q883" s="29">
        <v>0.76060000000000005</v>
      </c>
      <c r="R883" s="30">
        <v>70882</v>
      </c>
      <c r="S883" s="27" t="s">
        <v>30</v>
      </c>
      <c r="T883" s="29">
        <v>63395.534</v>
      </c>
      <c r="U883" s="27" t="s">
        <v>42</v>
      </c>
      <c r="V883" s="28">
        <v>45422</v>
      </c>
      <c r="W883" s="27" t="s">
        <v>38</v>
      </c>
      <c r="X883" s="28">
        <v>45384</v>
      </c>
      <c r="Y883" s="27" t="s">
        <v>33</v>
      </c>
      <c r="Z883" s="43" t="e">
        <f>TEXT([1]!Table64[[#This Row],[Order date]],"mmm-yyyy")</f>
        <v>#REF!</v>
      </c>
    </row>
    <row r="884" spans="1:26" x14ac:dyDescent="0.3">
      <c r="A884" s="10">
        <v>10883</v>
      </c>
      <c r="B884" s="11">
        <v>6206</v>
      </c>
      <c r="C884" s="11" t="s">
        <v>25</v>
      </c>
      <c r="D884" s="12">
        <v>44608.53</v>
      </c>
      <c r="E884" s="11">
        <v>56</v>
      </c>
      <c r="F884" s="11" t="s">
        <v>26</v>
      </c>
      <c r="G884" s="13">
        <v>45337</v>
      </c>
      <c r="H884" s="12">
        <v>42249.36</v>
      </c>
      <c r="I884" s="14" t="s">
        <v>47</v>
      </c>
      <c r="J884" s="15" t="s">
        <v>28</v>
      </c>
      <c r="K884" s="15">
        <v>63</v>
      </c>
      <c r="L884" s="16">
        <v>45397</v>
      </c>
      <c r="M884" s="17">
        <v>3</v>
      </c>
      <c r="N884" s="18">
        <v>90883</v>
      </c>
      <c r="O884" s="18" t="s">
        <v>50</v>
      </c>
      <c r="P884" s="19">
        <v>45383</v>
      </c>
      <c r="Q884" s="20">
        <v>0.25590000000000002</v>
      </c>
      <c r="R884" s="21">
        <v>70883</v>
      </c>
      <c r="S884" s="18" t="s">
        <v>41</v>
      </c>
      <c r="T884" s="20">
        <v>83948.161699999997</v>
      </c>
      <c r="U884" s="18" t="s">
        <v>42</v>
      </c>
      <c r="V884" s="19">
        <v>45444</v>
      </c>
      <c r="W884" s="18" t="s">
        <v>32</v>
      </c>
      <c r="X884" s="19">
        <v>45376</v>
      </c>
      <c r="Y884" s="18" t="s">
        <v>33</v>
      </c>
      <c r="Z884" s="43" t="e">
        <f>TEXT([1]!Table64[[#This Row],[Order date]],"mmm-yyyy")</f>
        <v>#REF!</v>
      </c>
    </row>
    <row r="885" spans="1:26" x14ac:dyDescent="0.3">
      <c r="A885" s="22">
        <v>10884</v>
      </c>
      <c r="B885" s="23">
        <v>5167</v>
      </c>
      <c r="C885" s="23" t="s">
        <v>34</v>
      </c>
      <c r="D885" s="24">
        <v>51662.13</v>
      </c>
      <c r="E885" s="23">
        <v>30</v>
      </c>
      <c r="F885" s="23" t="s">
        <v>46</v>
      </c>
      <c r="G885" s="25">
        <v>45383</v>
      </c>
      <c r="H885" s="24">
        <v>122616.91</v>
      </c>
      <c r="I885" s="26" t="s">
        <v>27</v>
      </c>
      <c r="J885" s="15" t="s">
        <v>36</v>
      </c>
      <c r="K885" s="15">
        <v>213</v>
      </c>
      <c r="L885" s="16">
        <v>45397</v>
      </c>
      <c r="M885" s="17">
        <v>4</v>
      </c>
      <c r="N885" s="27">
        <v>90884</v>
      </c>
      <c r="O885" s="27" t="s">
        <v>37</v>
      </c>
      <c r="P885" s="28">
        <v>45352</v>
      </c>
      <c r="Q885" s="29">
        <v>0.35709999999999997</v>
      </c>
      <c r="R885" s="30">
        <v>70884</v>
      </c>
      <c r="S885" s="27" t="s">
        <v>41</v>
      </c>
      <c r="T885" s="29">
        <v>175026.53229999999</v>
      </c>
      <c r="U885" s="27" t="s">
        <v>42</v>
      </c>
      <c r="V885" s="28">
        <v>45422</v>
      </c>
      <c r="W885" s="27" t="s">
        <v>38</v>
      </c>
      <c r="X885" s="28">
        <v>45384</v>
      </c>
      <c r="Y885" s="27" t="s">
        <v>33</v>
      </c>
      <c r="Z885" s="43" t="e">
        <f>TEXT([1]!Table64[[#This Row],[Order date]],"mmm-yyyy")</f>
        <v>#REF!</v>
      </c>
    </row>
    <row r="886" spans="1:26" x14ac:dyDescent="0.3">
      <c r="A886" s="10">
        <v>10885</v>
      </c>
      <c r="B886" s="11">
        <v>5091</v>
      </c>
      <c r="C886" s="11" t="s">
        <v>34</v>
      </c>
      <c r="D886" s="12">
        <v>63879.97</v>
      </c>
      <c r="E886" s="11">
        <v>57</v>
      </c>
      <c r="F886" s="11" t="s">
        <v>26</v>
      </c>
      <c r="G886" s="13">
        <v>45337</v>
      </c>
      <c r="H886" s="12">
        <v>74744.23</v>
      </c>
      <c r="I886" s="14" t="s">
        <v>27</v>
      </c>
      <c r="J886" s="15" t="s">
        <v>28</v>
      </c>
      <c r="K886" s="15">
        <v>1493</v>
      </c>
      <c r="L886" s="16">
        <v>45361</v>
      </c>
      <c r="M886" s="17">
        <v>6</v>
      </c>
      <c r="N886" s="18">
        <v>90885</v>
      </c>
      <c r="O886" s="18" t="s">
        <v>37</v>
      </c>
      <c r="P886" s="19">
        <v>45383</v>
      </c>
      <c r="Q886" s="20">
        <v>0.87829000000000002</v>
      </c>
      <c r="R886" s="21">
        <v>70885</v>
      </c>
      <c r="S886" s="18" t="s">
        <v>30</v>
      </c>
      <c r="T886" s="20">
        <v>154190.57149999999</v>
      </c>
      <c r="U886" s="18" t="s">
        <v>48</v>
      </c>
      <c r="V886" s="19">
        <v>45392</v>
      </c>
      <c r="W886" s="18" t="s">
        <v>38</v>
      </c>
      <c r="X886" s="19">
        <v>45376</v>
      </c>
      <c r="Y886" s="18" t="s">
        <v>33</v>
      </c>
      <c r="Z886" s="43" t="e">
        <f>TEXT([1]!Table64[[#This Row],[Order date]],"mmm-yyyy")</f>
        <v>#REF!</v>
      </c>
    </row>
    <row r="887" spans="1:26" x14ac:dyDescent="0.3">
      <c r="A887" s="22">
        <v>10886</v>
      </c>
      <c r="B887" s="23">
        <v>5714</v>
      </c>
      <c r="C887" s="23" t="s">
        <v>34</v>
      </c>
      <c r="D887" s="24">
        <v>9993.19</v>
      </c>
      <c r="E887" s="23">
        <v>94</v>
      </c>
      <c r="F887" s="23" t="s">
        <v>35</v>
      </c>
      <c r="G887" s="25">
        <v>45337</v>
      </c>
      <c r="H887" s="24">
        <v>84932.77</v>
      </c>
      <c r="I887" s="26" t="s">
        <v>47</v>
      </c>
      <c r="J887" s="15" t="s">
        <v>49</v>
      </c>
      <c r="K887" s="15">
        <v>806</v>
      </c>
      <c r="L887" s="16">
        <v>45397</v>
      </c>
      <c r="M887" s="17">
        <v>6</v>
      </c>
      <c r="N887" s="27">
        <v>90886</v>
      </c>
      <c r="O887" s="27" t="s">
        <v>40</v>
      </c>
      <c r="P887" s="28">
        <v>45383</v>
      </c>
      <c r="Q887" s="29">
        <v>0.89661000000000002</v>
      </c>
      <c r="R887" s="30">
        <v>70886</v>
      </c>
      <c r="S887" s="27" t="s">
        <v>41</v>
      </c>
      <c r="T887" s="29">
        <v>165715.62789999999</v>
      </c>
      <c r="U887" s="27" t="s">
        <v>42</v>
      </c>
      <c r="V887" s="28">
        <v>45392</v>
      </c>
      <c r="W887" s="27" t="s">
        <v>32</v>
      </c>
      <c r="X887" s="28">
        <v>45376</v>
      </c>
      <c r="Y887" s="27" t="s">
        <v>39</v>
      </c>
      <c r="Z887" s="43" t="e">
        <f>TEXT([1]!Table64[[#This Row],[Order date]],"mmm-yyyy")</f>
        <v>#REF!</v>
      </c>
    </row>
    <row r="888" spans="1:26" x14ac:dyDescent="0.3">
      <c r="A888" s="10">
        <v>10887</v>
      </c>
      <c r="B888" s="11">
        <v>6882</v>
      </c>
      <c r="C888" s="11" t="s">
        <v>34</v>
      </c>
      <c r="D888" s="12">
        <v>51143.07</v>
      </c>
      <c r="E888" s="11">
        <v>47</v>
      </c>
      <c r="F888" s="11" t="s">
        <v>35</v>
      </c>
      <c r="G888" s="13">
        <v>45383</v>
      </c>
      <c r="H888" s="12">
        <v>86263.07</v>
      </c>
      <c r="I888" s="14" t="s">
        <v>44</v>
      </c>
      <c r="J888" s="15" t="s">
        <v>36</v>
      </c>
      <c r="K888" s="15">
        <v>1101</v>
      </c>
      <c r="L888" s="16">
        <v>45332</v>
      </c>
      <c r="M888" s="17">
        <v>7</v>
      </c>
      <c r="N888" s="18">
        <v>90887</v>
      </c>
      <c r="O888" s="18" t="s">
        <v>29</v>
      </c>
      <c r="P888" s="19">
        <v>45430</v>
      </c>
      <c r="Q888" s="20">
        <v>0.14044000000000001</v>
      </c>
      <c r="R888" s="21">
        <v>70887</v>
      </c>
      <c r="S888" s="18" t="s">
        <v>30</v>
      </c>
      <c r="T888" s="20">
        <v>203010.91829999999</v>
      </c>
      <c r="U888" s="18" t="s">
        <v>31</v>
      </c>
      <c r="V888" s="19">
        <v>45422</v>
      </c>
      <c r="W888" s="18" t="s">
        <v>32</v>
      </c>
      <c r="X888" s="19">
        <v>45376</v>
      </c>
      <c r="Y888" s="18" t="s">
        <v>39</v>
      </c>
      <c r="Z888" s="43" t="e">
        <f>TEXT([1]!Table64[[#This Row],[Order date]],"mmm-yyyy")</f>
        <v>#REF!</v>
      </c>
    </row>
    <row r="889" spans="1:26" x14ac:dyDescent="0.3">
      <c r="A889" s="22">
        <v>10888</v>
      </c>
      <c r="B889" s="23">
        <v>6555</v>
      </c>
      <c r="C889" s="23" t="s">
        <v>34</v>
      </c>
      <c r="D889" s="24">
        <v>29827.25</v>
      </c>
      <c r="E889" s="23">
        <v>35</v>
      </c>
      <c r="F889" s="23" t="s">
        <v>26</v>
      </c>
      <c r="G889" s="25">
        <v>45337</v>
      </c>
      <c r="H889" s="24">
        <v>94262.73</v>
      </c>
      <c r="I889" s="26" t="s">
        <v>47</v>
      </c>
      <c r="J889" s="15" t="s">
        <v>49</v>
      </c>
      <c r="K889" s="15">
        <v>495</v>
      </c>
      <c r="L889" s="16">
        <v>45397</v>
      </c>
      <c r="M889" s="17">
        <v>5</v>
      </c>
      <c r="N889" s="27">
        <v>90888</v>
      </c>
      <c r="O889" s="27" t="s">
        <v>29</v>
      </c>
      <c r="P889" s="28">
        <v>45352</v>
      </c>
      <c r="Q889" s="29">
        <v>0.25128</v>
      </c>
      <c r="R889" s="30">
        <v>70888</v>
      </c>
      <c r="S889" s="27" t="s">
        <v>45</v>
      </c>
      <c r="T889" s="29">
        <v>161539.51991</v>
      </c>
      <c r="U889" s="27" t="s">
        <v>42</v>
      </c>
      <c r="V889" s="28">
        <v>45444</v>
      </c>
      <c r="W889" s="27" t="s">
        <v>38</v>
      </c>
      <c r="X889" s="28">
        <v>45376</v>
      </c>
      <c r="Y889" s="27" t="s">
        <v>33</v>
      </c>
      <c r="Z889" s="43" t="e">
        <f>TEXT([1]!Table64[[#This Row],[Order date]],"mmm-yyyy")</f>
        <v>#REF!</v>
      </c>
    </row>
    <row r="890" spans="1:26" x14ac:dyDescent="0.3">
      <c r="A890" s="10">
        <v>10889</v>
      </c>
      <c r="B890" s="11">
        <v>5039</v>
      </c>
      <c r="C890" s="11" t="s">
        <v>34</v>
      </c>
      <c r="D890" s="12">
        <v>20912.96</v>
      </c>
      <c r="E890" s="11">
        <v>19</v>
      </c>
      <c r="F890" s="11" t="s">
        <v>35</v>
      </c>
      <c r="G890" s="13">
        <v>45383</v>
      </c>
      <c r="H890" s="12">
        <v>50317.66</v>
      </c>
      <c r="I890" s="14" t="s">
        <v>44</v>
      </c>
      <c r="J890" s="15" t="s">
        <v>49</v>
      </c>
      <c r="K890" s="15">
        <v>1281</v>
      </c>
      <c r="L890" s="16">
        <v>45361</v>
      </c>
      <c r="M890" s="17">
        <v>7</v>
      </c>
      <c r="N890" s="18">
        <v>90889</v>
      </c>
      <c r="O890" s="18" t="s">
        <v>37</v>
      </c>
      <c r="P890" s="19">
        <v>45352</v>
      </c>
      <c r="Q890" s="20">
        <v>0.20571999999999999</v>
      </c>
      <c r="R890" s="21">
        <v>70889</v>
      </c>
      <c r="S890" s="18" t="s">
        <v>41</v>
      </c>
      <c r="T890" s="20">
        <v>219016.78760000001</v>
      </c>
      <c r="U890" s="18" t="s">
        <v>31</v>
      </c>
      <c r="V890" s="19">
        <v>45422</v>
      </c>
      <c r="W890" s="18" t="s">
        <v>38</v>
      </c>
      <c r="X890" s="19">
        <v>45376</v>
      </c>
      <c r="Y890" s="18" t="s">
        <v>33</v>
      </c>
      <c r="Z890" s="43" t="e">
        <f>TEXT([1]!Table64[[#This Row],[Order date]],"mmm-yyyy")</f>
        <v>#REF!</v>
      </c>
    </row>
    <row r="891" spans="1:26" x14ac:dyDescent="0.3">
      <c r="A891" s="22">
        <v>10890</v>
      </c>
      <c r="B891" s="23">
        <v>6150</v>
      </c>
      <c r="C891" s="23" t="s">
        <v>34</v>
      </c>
      <c r="D891" s="24">
        <v>26801.7</v>
      </c>
      <c r="E891" s="23">
        <v>8</v>
      </c>
      <c r="F891" s="23" t="s">
        <v>43</v>
      </c>
      <c r="G891" s="25">
        <v>45337</v>
      </c>
      <c r="H891" s="24">
        <v>62440.69</v>
      </c>
      <c r="I891" s="26" t="s">
        <v>47</v>
      </c>
      <c r="J891" s="15" t="s">
        <v>28</v>
      </c>
      <c r="K891" s="15">
        <v>765</v>
      </c>
      <c r="L891" s="16">
        <v>45397</v>
      </c>
      <c r="M891" s="17">
        <v>2</v>
      </c>
      <c r="N891" s="27">
        <v>90890</v>
      </c>
      <c r="O891" s="27" t="s">
        <v>50</v>
      </c>
      <c r="P891" s="28">
        <v>45352</v>
      </c>
      <c r="Q891" s="29">
        <v>0.26172000000000001</v>
      </c>
      <c r="R891" s="30">
        <v>70890</v>
      </c>
      <c r="S891" s="27" t="s">
        <v>41</v>
      </c>
      <c r="T891" s="29">
        <v>95077.565100000007</v>
      </c>
      <c r="U891" s="27" t="s">
        <v>42</v>
      </c>
      <c r="V891" s="28">
        <v>45444</v>
      </c>
      <c r="W891" s="27" t="s">
        <v>38</v>
      </c>
      <c r="X891" s="28">
        <v>45384</v>
      </c>
      <c r="Y891" s="27" t="s">
        <v>39</v>
      </c>
      <c r="Z891" s="43" t="e">
        <f>TEXT([1]!Table64[[#This Row],[Order date]],"mmm-yyyy")</f>
        <v>#REF!</v>
      </c>
    </row>
    <row r="892" spans="1:26" x14ac:dyDescent="0.3">
      <c r="A892" s="10">
        <v>10891</v>
      </c>
      <c r="B892" s="11">
        <v>6475</v>
      </c>
      <c r="C892" s="11" t="s">
        <v>34</v>
      </c>
      <c r="D892" s="12">
        <v>74033.2</v>
      </c>
      <c r="E892" s="11">
        <v>26</v>
      </c>
      <c r="F892" s="11" t="s">
        <v>43</v>
      </c>
      <c r="G892" s="13">
        <v>45383</v>
      </c>
      <c r="H892" s="12">
        <v>37144.980000000003</v>
      </c>
      <c r="I892" s="14" t="s">
        <v>47</v>
      </c>
      <c r="J892" s="15" t="s">
        <v>28</v>
      </c>
      <c r="K892" s="15">
        <v>1025</v>
      </c>
      <c r="L892" s="16">
        <v>45332</v>
      </c>
      <c r="M892" s="17">
        <v>1</v>
      </c>
      <c r="N892" s="18">
        <v>90891</v>
      </c>
      <c r="O892" s="18" t="s">
        <v>40</v>
      </c>
      <c r="P892" s="19">
        <v>45383</v>
      </c>
      <c r="Q892" s="20">
        <v>0.97316999999999998</v>
      </c>
      <c r="R892" s="21">
        <v>70891</v>
      </c>
      <c r="S892" s="18" t="s">
        <v>30</v>
      </c>
      <c r="T892" s="20">
        <v>185544.19399999999</v>
      </c>
      <c r="U892" s="18" t="s">
        <v>31</v>
      </c>
      <c r="V892" s="19">
        <v>45422</v>
      </c>
      <c r="W892" s="18" t="s">
        <v>32</v>
      </c>
      <c r="X892" s="19">
        <v>45376</v>
      </c>
      <c r="Y892" s="18" t="s">
        <v>33</v>
      </c>
      <c r="Z892" s="43" t="e">
        <f>TEXT([1]!Table64[[#This Row],[Order date]],"mmm-yyyy")</f>
        <v>#REF!</v>
      </c>
    </row>
    <row r="893" spans="1:26" x14ac:dyDescent="0.3">
      <c r="A893" s="22">
        <v>10892</v>
      </c>
      <c r="B893" s="23">
        <v>5173</v>
      </c>
      <c r="C893" s="23" t="s">
        <v>34</v>
      </c>
      <c r="D893" s="24">
        <v>58575.51</v>
      </c>
      <c r="E893" s="23">
        <v>71</v>
      </c>
      <c r="F893" s="23" t="s">
        <v>35</v>
      </c>
      <c r="G893" s="25">
        <v>45337</v>
      </c>
      <c r="H893" s="24">
        <v>35284.75</v>
      </c>
      <c r="I893" s="26" t="s">
        <v>47</v>
      </c>
      <c r="J893" s="15" t="s">
        <v>36</v>
      </c>
      <c r="K893" s="15">
        <v>868</v>
      </c>
      <c r="L893" s="16">
        <v>45332</v>
      </c>
      <c r="M893" s="17">
        <v>12</v>
      </c>
      <c r="N893" s="27">
        <v>90892</v>
      </c>
      <c r="O893" s="27" t="s">
        <v>50</v>
      </c>
      <c r="P893" s="28">
        <v>45352</v>
      </c>
      <c r="Q893" s="29">
        <v>0.59648999999999996</v>
      </c>
      <c r="R893" s="30">
        <v>70892</v>
      </c>
      <c r="S893" s="27" t="s">
        <v>30</v>
      </c>
      <c r="T893" s="29">
        <v>158851.2096</v>
      </c>
      <c r="U893" s="27" t="s">
        <v>31</v>
      </c>
      <c r="V893" s="28">
        <v>45422</v>
      </c>
      <c r="W893" s="27" t="s">
        <v>38</v>
      </c>
      <c r="X893" s="28">
        <v>45376</v>
      </c>
      <c r="Y893" s="27" t="s">
        <v>39</v>
      </c>
      <c r="Z893" s="43" t="e">
        <f>TEXT([1]!Table64[[#This Row],[Order date]],"mmm-yyyy")</f>
        <v>#REF!</v>
      </c>
    </row>
    <row r="894" spans="1:26" x14ac:dyDescent="0.3">
      <c r="A894" s="10">
        <v>10893</v>
      </c>
      <c r="B894" s="11">
        <v>5653</v>
      </c>
      <c r="C894" s="11" t="s">
        <v>25</v>
      </c>
      <c r="D894" s="12">
        <v>44659.21</v>
      </c>
      <c r="E894" s="11">
        <v>30</v>
      </c>
      <c r="F894" s="11" t="s">
        <v>26</v>
      </c>
      <c r="G894" s="13">
        <v>45383</v>
      </c>
      <c r="H894" s="12">
        <v>138050.56</v>
      </c>
      <c r="I894" s="14" t="s">
        <v>27</v>
      </c>
      <c r="J894" s="15" t="s">
        <v>36</v>
      </c>
      <c r="K894" s="15">
        <v>153</v>
      </c>
      <c r="L894" s="16">
        <v>45361</v>
      </c>
      <c r="M894" s="17">
        <v>10</v>
      </c>
      <c r="N894" s="18">
        <v>90893</v>
      </c>
      <c r="O894" s="18" t="s">
        <v>50</v>
      </c>
      <c r="P894" s="19">
        <v>45430</v>
      </c>
      <c r="Q894" s="20">
        <v>0.52129999999999999</v>
      </c>
      <c r="R894" s="21">
        <v>70893</v>
      </c>
      <c r="S894" s="18" t="s">
        <v>45</v>
      </c>
      <c r="T894" s="20">
        <v>161256.15723000001</v>
      </c>
      <c r="U894" s="18" t="s">
        <v>31</v>
      </c>
      <c r="V894" s="19">
        <v>45422</v>
      </c>
      <c r="W894" s="18" t="s">
        <v>38</v>
      </c>
      <c r="X894" s="19">
        <v>45376</v>
      </c>
      <c r="Y894" s="18" t="s">
        <v>39</v>
      </c>
      <c r="Z894" s="43" t="e">
        <f>TEXT([1]!Table64[[#This Row],[Order date]],"mmm-yyyy")</f>
        <v>#REF!</v>
      </c>
    </row>
    <row r="895" spans="1:26" x14ac:dyDescent="0.3">
      <c r="A895" s="22">
        <v>10894</v>
      </c>
      <c r="B895" s="23">
        <v>5754</v>
      </c>
      <c r="C895" s="23" t="s">
        <v>34</v>
      </c>
      <c r="D895" s="24">
        <v>97856.09</v>
      </c>
      <c r="E895" s="23">
        <v>7</v>
      </c>
      <c r="F895" s="23" t="s">
        <v>26</v>
      </c>
      <c r="G895" s="25">
        <v>45306</v>
      </c>
      <c r="H895" s="24">
        <v>116472.02</v>
      </c>
      <c r="I895" s="26" t="s">
        <v>44</v>
      </c>
      <c r="J895" s="15" t="s">
        <v>36</v>
      </c>
      <c r="K895" s="15">
        <v>791</v>
      </c>
      <c r="L895" s="16">
        <v>45361</v>
      </c>
      <c r="M895" s="17">
        <v>8</v>
      </c>
      <c r="N895" s="27">
        <v>90894</v>
      </c>
      <c r="O895" s="27" t="s">
        <v>29</v>
      </c>
      <c r="P895" s="28">
        <v>45430</v>
      </c>
      <c r="Q895" s="29">
        <v>0.98602000000000001</v>
      </c>
      <c r="R895" s="30">
        <v>70894</v>
      </c>
      <c r="S895" s="27" t="s">
        <v>30</v>
      </c>
      <c r="T895" s="29">
        <v>132141.44263999999</v>
      </c>
      <c r="U895" s="27" t="s">
        <v>31</v>
      </c>
      <c r="V895" s="28">
        <v>45392</v>
      </c>
      <c r="W895" s="27" t="s">
        <v>38</v>
      </c>
      <c r="X895" s="28">
        <v>45376</v>
      </c>
      <c r="Y895" s="27" t="s">
        <v>39</v>
      </c>
      <c r="Z895" s="43" t="e">
        <f>TEXT([1]!Table64[[#This Row],[Order date]],"mmm-yyyy")</f>
        <v>#REF!</v>
      </c>
    </row>
    <row r="896" spans="1:26" x14ac:dyDescent="0.3">
      <c r="A896" s="10">
        <v>10895</v>
      </c>
      <c r="B896" s="11">
        <v>6244</v>
      </c>
      <c r="C896" s="11" t="s">
        <v>25</v>
      </c>
      <c r="D896" s="12">
        <v>57398.98</v>
      </c>
      <c r="E896" s="11">
        <v>67</v>
      </c>
      <c r="F896" s="11" t="s">
        <v>35</v>
      </c>
      <c r="G896" s="13">
        <v>45383</v>
      </c>
      <c r="H896" s="12">
        <v>114197.25</v>
      </c>
      <c r="I896" s="14" t="s">
        <v>47</v>
      </c>
      <c r="J896" s="15" t="s">
        <v>49</v>
      </c>
      <c r="K896" s="15">
        <v>475</v>
      </c>
      <c r="L896" s="16">
        <v>45361</v>
      </c>
      <c r="M896" s="17">
        <v>1</v>
      </c>
      <c r="N896" s="18">
        <v>90895</v>
      </c>
      <c r="O896" s="18" t="s">
        <v>40</v>
      </c>
      <c r="P896" s="19">
        <v>45352</v>
      </c>
      <c r="Q896" s="20">
        <v>0.60126000000000002</v>
      </c>
      <c r="R896" s="21">
        <v>70895</v>
      </c>
      <c r="S896" s="18" t="s">
        <v>30</v>
      </c>
      <c r="T896" s="20">
        <v>131774.78330000001</v>
      </c>
      <c r="U896" s="18" t="s">
        <v>31</v>
      </c>
      <c r="V896" s="19">
        <v>45392</v>
      </c>
      <c r="W896" s="18" t="s">
        <v>32</v>
      </c>
      <c r="X896" s="19">
        <v>45376</v>
      </c>
      <c r="Y896" s="18" t="s">
        <v>39</v>
      </c>
      <c r="Z896" s="43" t="e">
        <f>TEXT([1]!Table64[[#This Row],[Order date]],"mmm-yyyy")</f>
        <v>#REF!</v>
      </c>
    </row>
    <row r="897" spans="1:26" x14ac:dyDescent="0.3">
      <c r="A897" s="22">
        <v>10896</v>
      </c>
      <c r="B897" s="23">
        <v>6662</v>
      </c>
      <c r="C897" s="23" t="s">
        <v>25</v>
      </c>
      <c r="D897" s="24">
        <v>11671.86</v>
      </c>
      <c r="E897" s="23">
        <v>65</v>
      </c>
      <c r="F897" s="23" t="s">
        <v>46</v>
      </c>
      <c r="G897" s="25">
        <v>45337</v>
      </c>
      <c r="H897" s="24">
        <v>110276.28</v>
      </c>
      <c r="I897" s="26" t="s">
        <v>27</v>
      </c>
      <c r="J897" s="15" t="s">
        <v>28</v>
      </c>
      <c r="K897" s="15">
        <v>1174</v>
      </c>
      <c r="L897" s="16">
        <v>45332</v>
      </c>
      <c r="M897" s="17">
        <v>12</v>
      </c>
      <c r="N897" s="27">
        <v>90896</v>
      </c>
      <c r="O897" s="27" t="s">
        <v>50</v>
      </c>
      <c r="P897" s="28">
        <v>45383</v>
      </c>
      <c r="Q897" s="29">
        <v>0.69501000000000002</v>
      </c>
      <c r="R897" s="30">
        <v>70896</v>
      </c>
      <c r="S897" s="27" t="s">
        <v>45</v>
      </c>
      <c r="T897" s="29">
        <v>93481.989310000004</v>
      </c>
      <c r="U897" s="27" t="s">
        <v>42</v>
      </c>
      <c r="V897" s="28">
        <v>45444</v>
      </c>
      <c r="W897" s="27" t="s">
        <v>32</v>
      </c>
      <c r="X897" s="28">
        <v>45384</v>
      </c>
      <c r="Y897" s="27" t="s">
        <v>39</v>
      </c>
      <c r="Z897" s="43" t="e">
        <f>TEXT([1]!Table64[[#This Row],[Order date]],"mmm-yyyy")</f>
        <v>#REF!</v>
      </c>
    </row>
    <row r="898" spans="1:26" x14ac:dyDescent="0.3">
      <c r="A898" s="10">
        <v>10897</v>
      </c>
      <c r="B898" s="11">
        <v>6082</v>
      </c>
      <c r="C898" s="11" t="s">
        <v>34</v>
      </c>
      <c r="D898" s="12">
        <v>71976.34</v>
      </c>
      <c r="E898" s="11">
        <v>36</v>
      </c>
      <c r="F898" s="11" t="s">
        <v>43</v>
      </c>
      <c r="G898" s="13">
        <v>45337</v>
      </c>
      <c r="H898" s="12">
        <v>171587.76</v>
      </c>
      <c r="I898" s="14" t="s">
        <v>44</v>
      </c>
      <c r="J898" s="15" t="s">
        <v>28</v>
      </c>
      <c r="K898" s="15">
        <v>688</v>
      </c>
      <c r="L898" s="16">
        <v>45397</v>
      </c>
      <c r="M898" s="17">
        <v>2</v>
      </c>
      <c r="N898" s="18">
        <v>90897</v>
      </c>
      <c r="O898" s="18" t="s">
        <v>37</v>
      </c>
      <c r="P898" s="19">
        <v>45430</v>
      </c>
      <c r="Q898" s="20">
        <v>0.39949000000000001</v>
      </c>
      <c r="R898" s="21">
        <v>70897</v>
      </c>
      <c r="S898" s="18" t="s">
        <v>41</v>
      </c>
      <c r="T898" s="20">
        <v>122262.32490000001</v>
      </c>
      <c r="U898" s="18" t="s">
        <v>48</v>
      </c>
      <c r="V898" s="19">
        <v>45422</v>
      </c>
      <c r="W898" s="18" t="s">
        <v>38</v>
      </c>
      <c r="X898" s="19">
        <v>45376</v>
      </c>
      <c r="Y898" s="18" t="s">
        <v>39</v>
      </c>
      <c r="Z898" s="43" t="e">
        <f>TEXT([1]!Table64[[#This Row],[Order date]],"mmm-yyyy")</f>
        <v>#REF!</v>
      </c>
    </row>
    <row r="899" spans="1:26" x14ac:dyDescent="0.3">
      <c r="A899" s="22">
        <v>10898</v>
      </c>
      <c r="B899" s="23">
        <v>6684</v>
      </c>
      <c r="C899" s="23" t="s">
        <v>34</v>
      </c>
      <c r="D899" s="24">
        <v>39883.97</v>
      </c>
      <c r="E899" s="23">
        <v>25</v>
      </c>
      <c r="F899" s="23" t="s">
        <v>46</v>
      </c>
      <c r="G899" s="25">
        <v>45361</v>
      </c>
      <c r="H899" s="24">
        <v>89680.84</v>
      </c>
      <c r="I899" s="26" t="s">
        <v>44</v>
      </c>
      <c r="J899" s="15" t="s">
        <v>28</v>
      </c>
      <c r="K899" s="15">
        <v>899</v>
      </c>
      <c r="L899" s="16">
        <v>45397</v>
      </c>
      <c r="M899" s="17">
        <v>11</v>
      </c>
      <c r="N899" s="27">
        <v>90898</v>
      </c>
      <c r="O899" s="27" t="s">
        <v>37</v>
      </c>
      <c r="P899" s="28">
        <v>45430</v>
      </c>
      <c r="Q899" s="29">
        <v>0.44390000000000002</v>
      </c>
      <c r="R899" s="30">
        <v>70898</v>
      </c>
      <c r="S899" s="27" t="s">
        <v>41</v>
      </c>
      <c r="T899" s="29">
        <v>181924.14064999999</v>
      </c>
      <c r="U899" s="27" t="s">
        <v>48</v>
      </c>
      <c r="V899" s="28">
        <v>45392</v>
      </c>
      <c r="W899" s="27" t="s">
        <v>32</v>
      </c>
      <c r="X899" s="28">
        <v>45384</v>
      </c>
      <c r="Y899" s="27" t="s">
        <v>33</v>
      </c>
      <c r="Z899" s="43" t="e">
        <f>TEXT([1]!Table64[[#This Row],[Order date]],"mmm-yyyy")</f>
        <v>#REF!</v>
      </c>
    </row>
    <row r="900" spans="1:26" x14ac:dyDescent="0.3">
      <c r="A900" s="10">
        <v>10899</v>
      </c>
      <c r="B900" s="11">
        <v>5476</v>
      </c>
      <c r="C900" s="11" t="s">
        <v>34</v>
      </c>
      <c r="D900" s="12">
        <v>70216.19</v>
      </c>
      <c r="E900" s="11">
        <v>37</v>
      </c>
      <c r="F900" s="11" t="s">
        <v>26</v>
      </c>
      <c r="G900" s="13">
        <v>45383</v>
      </c>
      <c r="H900" s="12">
        <v>85519.1</v>
      </c>
      <c r="I900" s="14" t="s">
        <v>47</v>
      </c>
      <c r="J900" s="15" t="s">
        <v>36</v>
      </c>
      <c r="K900" s="15">
        <v>1179</v>
      </c>
      <c r="L900" s="16">
        <v>45361</v>
      </c>
      <c r="M900" s="17">
        <v>12</v>
      </c>
      <c r="N900" s="18">
        <v>90899</v>
      </c>
      <c r="O900" s="18" t="s">
        <v>29</v>
      </c>
      <c r="P900" s="19">
        <v>45383</v>
      </c>
      <c r="Q900" s="20">
        <v>0.63497000000000003</v>
      </c>
      <c r="R900" s="21">
        <v>70899</v>
      </c>
      <c r="S900" s="18" t="s">
        <v>30</v>
      </c>
      <c r="T900" s="20">
        <v>191304.51561</v>
      </c>
      <c r="U900" s="18" t="s">
        <v>48</v>
      </c>
      <c r="V900" s="19">
        <v>45422</v>
      </c>
      <c r="W900" s="18" t="s">
        <v>32</v>
      </c>
      <c r="X900" s="19">
        <v>45384</v>
      </c>
      <c r="Y900" s="18" t="s">
        <v>33</v>
      </c>
      <c r="Z900" s="43" t="e">
        <f>TEXT([1]!Table64[[#This Row],[Order date]],"mmm-yyyy")</f>
        <v>#REF!</v>
      </c>
    </row>
    <row r="901" spans="1:26" x14ac:dyDescent="0.3">
      <c r="A901" s="22">
        <v>10900</v>
      </c>
      <c r="B901" s="23">
        <v>5456</v>
      </c>
      <c r="C901" s="23" t="s">
        <v>34</v>
      </c>
      <c r="D901" s="24">
        <v>80056.160000000003</v>
      </c>
      <c r="E901" s="23">
        <v>1</v>
      </c>
      <c r="F901" s="23" t="s">
        <v>26</v>
      </c>
      <c r="G901" s="25">
        <v>45306</v>
      </c>
      <c r="H901" s="24">
        <v>73955.009999999995</v>
      </c>
      <c r="I901" s="26" t="s">
        <v>44</v>
      </c>
      <c r="J901" s="15" t="s">
        <v>28</v>
      </c>
      <c r="K901" s="15">
        <v>818</v>
      </c>
      <c r="L901" s="16">
        <v>45397</v>
      </c>
      <c r="M901" s="17">
        <v>10</v>
      </c>
      <c r="N901" s="27">
        <v>90900</v>
      </c>
      <c r="O901" s="27" t="s">
        <v>37</v>
      </c>
      <c r="P901" s="28">
        <v>45430</v>
      </c>
      <c r="Q901" s="29">
        <v>0.16281000000000001</v>
      </c>
      <c r="R901" s="30">
        <v>70900</v>
      </c>
      <c r="S901" s="27" t="s">
        <v>45</v>
      </c>
      <c r="T901" s="29">
        <v>70247.902199999997</v>
      </c>
      <c r="U901" s="27" t="s">
        <v>48</v>
      </c>
      <c r="V901" s="28">
        <v>45444</v>
      </c>
      <c r="W901" s="27" t="s">
        <v>32</v>
      </c>
      <c r="X901" s="28">
        <v>45376</v>
      </c>
      <c r="Y901" s="27" t="s">
        <v>39</v>
      </c>
      <c r="Z901" s="43" t="e">
        <f>TEXT([1]!Table64[[#This Row],[Order date]],"mmm-yyyy")</f>
        <v>#REF!</v>
      </c>
    </row>
    <row r="902" spans="1:26" x14ac:dyDescent="0.3">
      <c r="A902" s="10">
        <v>10901</v>
      </c>
      <c r="B902" s="11">
        <v>5829</v>
      </c>
      <c r="C902" s="11" t="s">
        <v>25</v>
      </c>
      <c r="D902" s="12">
        <v>47882.36</v>
      </c>
      <c r="E902" s="11">
        <v>15</v>
      </c>
      <c r="F902" s="11" t="s">
        <v>46</v>
      </c>
      <c r="G902" s="13">
        <v>45383</v>
      </c>
      <c r="H902" s="12">
        <v>102504.45</v>
      </c>
      <c r="I902" s="14" t="s">
        <v>44</v>
      </c>
      <c r="J902" s="15" t="s">
        <v>28</v>
      </c>
      <c r="K902" s="15">
        <v>326</v>
      </c>
      <c r="L902" s="16">
        <v>45397</v>
      </c>
      <c r="M902" s="17">
        <v>6</v>
      </c>
      <c r="N902" s="18">
        <v>90901</v>
      </c>
      <c r="O902" s="18" t="s">
        <v>37</v>
      </c>
      <c r="P902" s="19">
        <v>45383</v>
      </c>
      <c r="Q902" s="20">
        <v>0.33028999999999997</v>
      </c>
      <c r="R902" s="21">
        <v>70901</v>
      </c>
      <c r="S902" s="18" t="s">
        <v>41</v>
      </c>
      <c r="T902" s="20">
        <v>173125.3358</v>
      </c>
      <c r="U902" s="18" t="s">
        <v>48</v>
      </c>
      <c r="V902" s="19">
        <v>45392</v>
      </c>
      <c r="W902" s="18" t="s">
        <v>38</v>
      </c>
      <c r="X902" s="19">
        <v>45384</v>
      </c>
      <c r="Y902" s="18" t="s">
        <v>33</v>
      </c>
      <c r="Z902" s="43" t="e">
        <f>TEXT([1]!Table64[[#This Row],[Order date]],"mmm-yyyy")</f>
        <v>#REF!</v>
      </c>
    </row>
    <row r="903" spans="1:26" x14ac:dyDescent="0.3">
      <c r="A903" s="22">
        <v>10902</v>
      </c>
      <c r="B903" s="23">
        <v>5895</v>
      </c>
      <c r="C903" s="23" t="s">
        <v>34</v>
      </c>
      <c r="D903" s="24">
        <v>77569.83</v>
      </c>
      <c r="E903" s="23">
        <v>37</v>
      </c>
      <c r="F903" s="23" t="s">
        <v>35</v>
      </c>
      <c r="G903" s="25">
        <v>45383</v>
      </c>
      <c r="H903" s="24">
        <v>155183.42000000001</v>
      </c>
      <c r="I903" s="26" t="s">
        <v>44</v>
      </c>
      <c r="J903" s="15" t="s">
        <v>28</v>
      </c>
      <c r="K903" s="15">
        <v>1138</v>
      </c>
      <c r="L903" s="16">
        <v>45361</v>
      </c>
      <c r="M903" s="17">
        <v>1</v>
      </c>
      <c r="N903" s="27">
        <v>90902</v>
      </c>
      <c r="O903" s="27" t="s">
        <v>50</v>
      </c>
      <c r="P903" s="28">
        <v>45430</v>
      </c>
      <c r="Q903" s="29">
        <v>0.27712999999999999</v>
      </c>
      <c r="R903" s="30">
        <v>70902</v>
      </c>
      <c r="S903" s="27" t="s">
        <v>45</v>
      </c>
      <c r="T903" s="29">
        <v>159947.41222999999</v>
      </c>
      <c r="U903" s="27" t="s">
        <v>31</v>
      </c>
      <c r="V903" s="28">
        <v>45444</v>
      </c>
      <c r="W903" s="27" t="s">
        <v>38</v>
      </c>
      <c r="X903" s="28">
        <v>45376</v>
      </c>
      <c r="Y903" s="27" t="s">
        <v>33</v>
      </c>
      <c r="Z903" s="43" t="e">
        <f>TEXT([1]!Table64[[#This Row],[Order date]],"mmm-yyyy")</f>
        <v>#REF!</v>
      </c>
    </row>
    <row r="904" spans="1:26" x14ac:dyDescent="0.3">
      <c r="A904" s="10">
        <v>10903</v>
      </c>
      <c r="B904" s="11">
        <v>6385</v>
      </c>
      <c r="C904" s="11" t="s">
        <v>34</v>
      </c>
      <c r="D904" s="12">
        <v>12267.35</v>
      </c>
      <c r="E904" s="11">
        <v>13</v>
      </c>
      <c r="F904" s="11" t="s">
        <v>46</v>
      </c>
      <c r="G904" s="13">
        <v>45306</v>
      </c>
      <c r="H904" s="12">
        <v>96496.35</v>
      </c>
      <c r="I904" s="14" t="s">
        <v>47</v>
      </c>
      <c r="J904" s="15" t="s">
        <v>36</v>
      </c>
      <c r="K904" s="15">
        <v>949</v>
      </c>
      <c r="L904" s="16">
        <v>45361</v>
      </c>
      <c r="M904" s="17">
        <v>10</v>
      </c>
      <c r="N904" s="18">
        <v>90903</v>
      </c>
      <c r="O904" s="18" t="s">
        <v>37</v>
      </c>
      <c r="P904" s="19">
        <v>45383</v>
      </c>
      <c r="Q904" s="20">
        <v>0.1143</v>
      </c>
      <c r="R904" s="21">
        <v>70903</v>
      </c>
      <c r="S904" s="18" t="s">
        <v>30</v>
      </c>
      <c r="T904" s="20">
        <v>103405.23035</v>
      </c>
      <c r="U904" s="18" t="s">
        <v>42</v>
      </c>
      <c r="V904" s="19">
        <v>45392</v>
      </c>
      <c r="W904" s="18" t="s">
        <v>38</v>
      </c>
      <c r="X904" s="19">
        <v>45376</v>
      </c>
      <c r="Y904" s="18" t="s">
        <v>33</v>
      </c>
      <c r="Z904" s="43" t="e">
        <f>TEXT([1]!Table64[[#This Row],[Order date]],"mmm-yyyy")</f>
        <v>#REF!</v>
      </c>
    </row>
    <row r="905" spans="1:26" x14ac:dyDescent="0.3">
      <c r="A905" s="22">
        <v>10904</v>
      </c>
      <c r="B905" s="23">
        <v>6959</v>
      </c>
      <c r="C905" s="23" t="s">
        <v>34</v>
      </c>
      <c r="D905" s="24">
        <v>47939.98</v>
      </c>
      <c r="E905" s="23">
        <v>8</v>
      </c>
      <c r="F905" s="23" t="s">
        <v>46</v>
      </c>
      <c r="G905" s="25">
        <v>45383</v>
      </c>
      <c r="H905" s="24">
        <v>75964.009999999995</v>
      </c>
      <c r="I905" s="26" t="s">
        <v>44</v>
      </c>
      <c r="J905" s="15" t="s">
        <v>28</v>
      </c>
      <c r="K905" s="15">
        <v>237</v>
      </c>
      <c r="L905" s="16">
        <v>45332</v>
      </c>
      <c r="M905" s="17">
        <v>3</v>
      </c>
      <c r="N905" s="27">
        <v>90904</v>
      </c>
      <c r="O905" s="27" t="s">
        <v>37</v>
      </c>
      <c r="P905" s="28">
        <v>45430</v>
      </c>
      <c r="Q905" s="29">
        <v>0.58321000000000001</v>
      </c>
      <c r="R905" s="30">
        <v>70904</v>
      </c>
      <c r="S905" s="27" t="s">
        <v>30</v>
      </c>
      <c r="T905" s="29">
        <v>173093.04440000001</v>
      </c>
      <c r="U905" s="27" t="s">
        <v>31</v>
      </c>
      <c r="V905" s="28">
        <v>45422</v>
      </c>
      <c r="W905" s="27" t="s">
        <v>38</v>
      </c>
      <c r="X905" s="28">
        <v>45376</v>
      </c>
      <c r="Y905" s="27" t="s">
        <v>39</v>
      </c>
      <c r="Z905" s="43" t="e">
        <f>TEXT([1]!Table64[[#This Row],[Order date]],"mmm-yyyy")</f>
        <v>#REF!</v>
      </c>
    </row>
    <row r="906" spans="1:26" x14ac:dyDescent="0.3">
      <c r="A906" s="10">
        <v>10905</v>
      </c>
      <c r="B906" s="11">
        <v>6025</v>
      </c>
      <c r="C906" s="11" t="s">
        <v>34</v>
      </c>
      <c r="D906" s="12">
        <v>79060.72</v>
      </c>
      <c r="E906" s="11">
        <v>5</v>
      </c>
      <c r="F906" s="11" t="s">
        <v>43</v>
      </c>
      <c r="G906" s="13">
        <v>45306</v>
      </c>
      <c r="H906" s="12">
        <v>21638.03</v>
      </c>
      <c r="I906" s="14" t="s">
        <v>27</v>
      </c>
      <c r="J906" s="15" t="s">
        <v>36</v>
      </c>
      <c r="K906" s="15">
        <v>1390</v>
      </c>
      <c r="L906" s="16">
        <v>45332</v>
      </c>
      <c r="M906" s="17">
        <v>7</v>
      </c>
      <c r="N906" s="18">
        <v>90905</v>
      </c>
      <c r="O906" s="18" t="s">
        <v>50</v>
      </c>
      <c r="P906" s="19">
        <v>45352</v>
      </c>
      <c r="Q906" s="20">
        <v>0.60494999999999999</v>
      </c>
      <c r="R906" s="21">
        <v>70905</v>
      </c>
      <c r="S906" s="18" t="s">
        <v>45</v>
      </c>
      <c r="T906" s="20">
        <v>195096.38370000001</v>
      </c>
      <c r="U906" s="18" t="s">
        <v>42</v>
      </c>
      <c r="V906" s="19">
        <v>45444</v>
      </c>
      <c r="W906" s="18" t="s">
        <v>38</v>
      </c>
      <c r="X906" s="19">
        <v>45384</v>
      </c>
      <c r="Y906" s="18" t="s">
        <v>33</v>
      </c>
      <c r="Z906" s="43" t="e">
        <f>TEXT([1]!Table64[[#This Row],[Order date]],"mmm-yyyy")</f>
        <v>#REF!</v>
      </c>
    </row>
    <row r="907" spans="1:26" x14ac:dyDescent="0.3">
      <c r="A907" s="22">
        <v>10906</v>
      </c>
      <c r="B907" s="23">
        <v>5387</v>
      </c>
      <c r="C907" s="23" t="s">
        <v>25</v>
      </c>
      <c r="D907" s="24">
        <v>8538.32</v>
      </c>
      <c r="E907" s="23">
        <v>60</v>
      </c>
      <c r="F907" s="23" t="s">
        <v>43</v>
      </c>
      <c r="G907" s="25">
        <v>45306</v>
      </c>
      <c r="H907" s="24">
        <v>51369.88</v>
      </c>
      <c r="I907" s="26" t="s">
        <v>27</v>
      </c>
      <c r="J907" s="15" t="s">
        <v>28</v>
      </c>
      <c r="K907" s="15">
        <v>1211</v>
      </c>
      <c r="L907" s="16">
        <v>45332</v>
      </c>
      <c r="M907" s="17">
        <v>12</v>
      </c>
      <c r="N907" s="27">
        <v>90906</v>
      </c>
      <c r="O907" s="27" t="s">
        <v>29</v>
      </c>
      <c r="P907" s="28">
        <v>45430</v>
      </c>
      <c r="Q907" s="29">
        <v>0.44555</v>
      </c>
      <c r="R907" s="30">
        <v>70906</v>
      </c>
      <c r="S907" s="27" t="s">
        <v>41</v>
      </c>
      <c r="T907" s="29">
        <v>141768.33882</v>
      </c>
      <c r="U907" s="27" t="s">
        <v>42</v>
      </c>
      <c r="V907" s="28">
        <v>45392</v>
      </c>
      <c r="W907" s="27" t="s">
        <v>38</v>
      </c>
      <c r="X907" s="28">
        <v>45376</v>
      </c>
      <c r="Y907" s="27" t="s">
        <v>33</v>
      </c>
      <c r="Z907" s="43" t="e">
        <f>TEXT([1]!Table64[[#This Row],[Order date]],"mmm-yyyy")</f>
        <v>#REF!</v>
      </c>
    </row>
    <row r="908" spans="1:26" x14ac:dyDescent="0.3">
      <c r="A908" s="10">
        <v>10907</v>
      </c>
      <c r="B908" s="11">
        <v>6997</v>
      </c>
      <c r="C908" s="11" t="s">
        <v>34</v>
      </c>
      <c r="D908" s="12">
        <v>16059.62</v>
      </c>
      <c r="E908" s="11">
        <v>73</v>
      </c>
      <c r="F908" s="11" t="s">
        <v>46</v>
      </c>
      <c r="G908" s="13">
        <v>45383</v>
      </c>
      <c r="H908" s="12">
        <v>32722.39</v>
      </c>
      <c r="I908" s="14" t="s">
        <v>27</v>
      </c>
      <c r="J908" s="15" t="s">
        <v>28</v>
      </c>
      <c r="K908" s="15">
        <v>1416</v>
      </c>
      <c r="L908" s="16">
        <v>45332</v>
      </c>
      <c r="M908" s="17">
        <v>8</v>
      </c>
      <c r="N908" s="18">
        <v>90907</v>
      </c>
      <c r="O908" s="18" t="s">
        <v>29</v>
      </c>
      <c r="P908" s="19">
        <v>45430</v>
      </c>
      <c r="Q908" s="20">
        <v>0.34184999999999999</v>
      </c>
      <c r="R908" s="21">
        <v>70907</v>
      </c>
      <c r="S908" s="18" t="s">
        <v>30</v>
      </c>
      <c r="T908" s="20">
        <v>183287.64670000001</v>
      </c>
      <c r="U908" s="18" t="s">
        <v>42</v>
      </c>
      <c r="V908" s="19">
        <v>45392</v>
      </c>
      <c r="W908" s="18" t="s">
        <v>32</v>
      </c>
      <c r="X908" s="19">
        <v>45376</v>
      </c>
      <c r="Y908" s="18" t="s">
        <v>33</v>
      </c>
      <c r="Z908" s="43" t="e">
        <f>TEXT([1]!Table64[[#This Row],[Order date]],"mmm-yyyy")</f>
        <v>#REF!</v>
      </c>
    </row>
    <row r="909" spans="1:26" x14ac:dyDescent="0.3">
      <c r="A909" s="22">
        <v>10908</v>
      </c>
      <c r="B909" s="23">
        <v>5348</v>
      </c>
      <c r="C909" s="23" t="s">
        <v>34</v>
      </c>
      <c r="D909" s="24">
        <v>44308.51</v>
      </c>
      <c r="E909" s="23">
        <v>1</v>
      </c>
      <c r="F909" s="23" t="s">
        <v>46</v>
      </c>
      <c r="G909" s="25">
        <v>45383</v>
      </c>
      <c r="H909" s="24">
        <v>104002.15</v>
      </c>
      <c r="I909" s="26" t="s">
        <v>27</v>
      </c>
      <c r="J909" s="15" t="s">
        <v>28</v>
      </c>
      <c r="K909" s="15">
        <v>154</v>
      </c>
      <c r="L909" s="16">
        <v>45397</v>
      </c>
      <c r="M909" s="17">
        <v>4</v>
      </c>
      <c r="N909" s="27">
        <v>90908</v>
      </c>
      <c r="O909" s="27" t="s">
        <v>40</v>
      </c>
      <c r="P909" s="28">
        <v>45352</v>
      </c>
      <c r="Q909" s="29">
        <v>0.68684999999999996</v>
      </c>
      <c r="R909" s="30">
        <v>70908</v>
      </c>
      <c r="S909" s="27" t="s">
        <v>30</v>
      </c>
      <c r="T909" s="29">
        <v>160716.14932999999</v>
      </c>
      <c r="U909" s="27" t="s">
        <v>42</v>
      </c>
      <c r="V909" s="28">
        <v>45422</v>
      </c>
      <c r="W909" s="27" t="s">
        <v>32</v>
      </c>
      <c r="X909" s="28">
        <v>45384</v>
      </c>
      <c r="Y909" s="27" t="s">
        <v>33</v>
      </c>
      <c r="Z909" s="43" t="e">
        <f>TEXT([1]!Table64[[#This Row],[Order date]],"mmm-yyyy")</f>
        <v>#REF!</v>
      </c>
    </row>
    <row r="910" spans="1:26" x14ac:dyDescent="0.3">
      <c r="A910" s="10">
        <v>10909</v>
      </c>
      <c r="B910" s="11">
        <v>5190</v>
      </c>
      <c r="C910" s="11" t="s">
        <v>25</v>
      </c>
      <c r="D910" s="12">
        <v>22936.07</v>
      </c>
      <c r="E910" s="11">
        <v>36</v>
      </c>
      <c r="F910" s="11" t="s">
        <v>26</v>
      </c>
      <c r="G910" s="13">
        <v>45337</v>
      </c>
      <c r="H910" s="12">
        <v>28535.62</v>
      </c>
      <c r="I910" s="14" t="s">
        <v>44</v>
      </c>
      <c r="J910" s="15" t="s">
        <v>36</v>
      </c>
      <c r="K910" s="15">
        <v>595</v>
      </c>
      <c r="L910" s="16">
        <v>45397</v>
      </c>
      <c r="M910" s="17">
        <v>12</v>
      </c>
      <c r="N910" s="18">
        <v>90909</v>
      </c>
      <c r="O910" s="18" t="s">
        <v>37</v>
      </c>
      <c r="P910" s="19">
        <v>45352</v>
      </c>
      <c r="Q910" s="20">
        <v>0.22119</v>
      </c>
      <c r="R910" s="21">
        <v>70909</v>
      </c>
      <c r="S910" s="18" t="s">
        <v>30</v>
      </c>
      <c r="T910" s="20">
        <v>77717.067540000004</v>
      </c>
      <c r="U910" s="18" t="s">
        <v>48</v>
      </c>
      <c r="V910" s="19">
        <v>45444</v>
      </c>
      <c r="W910" s="18" t="s">
        <v>38</v>
      </c>
      <c r="X910" s="19">
        <v>45376</v>
      </c>
      <c r="Y910" s="18" t="s">
        <v>33</v>
      </c>
      <c r="Z910" s="43" t="e">
        <f>TEXT([1]!Table64[[#This Row],[Order date]],"mmm-yyyy")</f>
        <v>#REF!</v>
      </c>
    </row>
    <row r="911" spans="1:26" x14ac:dyDescent="0.3">
      <c r="A911" s="22">
        <v>10910</v>
      </c>
      <c r="B911" s="23">
        <v>5505</v>
      </c>
      <c r="C911" s="23" t="s">
        <v>34</v>
      </c>
      <c r="D911" s="24">
        <v>14879.85</v>
      </c>
      <c r="E911" s="23">
        <v>35</v>
      </c>
      <c r="F911" s="23" t="s">
        <v>43</v>
      </c>
      <c r="G911" s="25">
        <v>45337</v>
      </c>
      <c r="H911" s="24">
        <v>81947.56</v>
      </c>
      <c r="I911" s="26" t="s">
        <v>27</v>
      </c>
      <c r="J911" s="15" t="s">
        <v>36</v>
      </c>
      <c r="K911" s="15">
        <v>429</v>
      </c>
      <c r="L911" s="16">
        <v>45332</v>
      </c>
      <c r="M911" s="17">
        <v>3</v>
      </c>
      <c r="N911" s="27">
        <v>90910</v>
      </c>
      <c r="O911" s="27" t="s">
        <v>50</v>
      </c>
      <c r="P911" s="28">
        <v>45352</v>
      </c>
      <c r="Q911" s="29">
        <v>0.56674999999999998</v>
      </c>
      <c r="R911" s="30">
        <v>70910</v>
      </c>
      <c r="S911" s="27" t="s">
        <v>30</v>
      </c>
      <c r="T911" s="29">
        <v>181647.63021</v>
      </c>
      <c r="U911" s="27" t="s">
        <v>42</v>
      </c>
      <c r="V911" s="28">
        <v>45444</v>
      </c>
      <c r="W911" s="27" t="s">
        <v>32</v>
      </c>
      <c r="X911" s="28">
        <v>45384</v>
      </c>
      <c r="Y911" s="27" t="s">
        <v>33</v>
      </c>
      <c r="Z911" s="43" t="e">
        <f>TEXT([1]!Table64[[#This Row],[Order date]],"mmm-yyyy")</f>
        <v>#REF!</v>
      </c>
    </row>
    <row r="912" spans="1:26" x14ac:dyDescent="0.3">
      <c r="A912" s="10">
        <v>10911</v>
      </c>
      <c r="B912" s="11">
        <v>6215</v>
      </c>
      <c r="C912" s="11" t="s">
        <v>34</v>
      </c>
      <c r="D912" s="12">
        <v>62629.84</v>
      </c>
      <c r="E912" s="11">
        <v>66</v>
      </c>
      <c r="F912" s="11" t="s">
        <v>43</v>
      </c>
      <c r="G912" s="13">
        <v>45361</v>
      </c>
      <c r="H912" s="12">
        <v>117264</v>
      </c>
      <c r="I912" s="14" t="s">
        <v>44</v>
      </c>
      <c r="J912" s="15" t="s">
        <v>28</v>
      </c>
      <c r="K912" s="15">
        <v>159</v>
      </c>
      <c r="L912" s="16">
        <v>45332</v>
      </c>
      <c r="M912" s="17">
        <v>1</v>
      </c>
      <c r="N912" s="18">
        <v>90911</v>
      </c>
      <c r="O912" s="18" t="s">
        <v>40</v>
      </c>
      <c r="P912" s="19">
        <v>45352</v>
      </c>
      <c r="Q912" s="20">
        <v>0.79127000000000003</v>
      </c>
      <c r="R912" s="21">
        <v>70911</v>
      </c>
      <c r="S912" s="18" t="s">
        <v>45</v>
      </c>
      <c r="T912" s="20">
        <v>161339.19886999999</v>
      </c>
      <c r="U912" s="18" t="s">
        <v>42</v>
      </c>
      <c r="V912" s="19">
        <v>45444</v>
      </c>
      <c r="W912" s="18" t="s">
        <v>32</v>
      </c>
      <c r="X912" s="19">
        <v>45384</v>
      </c>
      <c r="Y912" s="18" t="s">
        <v>33</v>
      </c>
      <c r="Z912" s="43" t="e">
        <f>TEXT([1]!Table64[[#This Row],[Order date]],"mmm-yyyy")</f>
        <v>#REF!</v>
      </c>
    </row>
    <row r="913" spans="1:26" x14ac:dyDescent="0.3">
      <c r="A913" s="22">
        <v>10912</v>
      </c>
      <c r="B913" s="23">
        <v>6532</v>
      </c>
      <c r="C913" s="23" t="s">
        <v>34</v>
      </c>
      <c r="D913" s="24">
        <v>79510.45</v>
      </c>
      <c r="E913" s="23">
        <v>63</v>
      </c>
      <c r="F913" s="23" t="s">
        <v>26</v>
      </c>
      <c r="G913" s="25">
        <v>45361</v>
      </c>
      <c r="H913" s="24">
        <v>77390.509999999995</v>
      </c>
      <c r="I913" s="26" t="s">
        <v>47</v>
      </c>
      <c r="J913" s="15" t="s">
        <v>49</v>
      </c>
      <c r="K913" s="15">
        <v>594</v>
      </c>
      <c r="L913" s="16">
        <v>45361</v>
      </c>
      <c r="M913" s="17">
        <v>12</v>
      </c>
      <c r="N913" s="27">
        <v>90912</v>
      </c>
      <c r="O913" s="27" t="s">
        <v>29</v>
      </c>
      <c r="P913" s="28">
        <v>45383</v>
      </c>
      <c r="Q913" s="29">
        <v>0.24787000000000001</v>
      </c>
      <c r="R913" s="30">
        <v>70912</v>
      </c>
      <c r="S913" s="27" t="s">
        <v>45</v>
      </c>
      <c r="T913" s="29">
        <v>175447.59698</v>
      </c>
      <c r="U913" s="27" t="s">
        <v>48</v>
      </c>
      <c r="V913" s="28">
        <v>45422</v>
      </c>
      <c r="W913" s="27" t="s">
        <v>38</v>
      </c>
      <c r="X913" s="28">
        <v>45384</v>
      </c>
      <c r="Y913" s="27" t="s">
        <v>33</v>
      </c>
      <c r="Z913" s="43" t="e">
        <f>TEXT([1]!Table64[[#This Row],[Order date]],"mmm-yyyy")</f>
        <v>#REF!</v>
      </c>
    </row>
    <row r="914" spans="1:26" x14ac:dyDescent="0.3">
      <c r="A914" s="10">
        <v>10913</v>
      </c>
      <c r="B914" s="11">
        <v>6393</v>
      </c>
      <c r="C914" s="11" t="s">
        <v>25</v>
      </c>
      <c r="D914" s="12">
        <v>55309.8</v>
      </c>
      <c r="E914" s="11">
        <v>23</v>
      </c>
      <c r="F914" s="11" t="s">
        <v>35</v>
      </c>
      <c r="G914" s="13">
        <v>45383</v>
      </c>
      <c r="H914" s="12">
        <v>47109.85</v>
      </c>
      <c r="I914" s="14" t="s">
        <v>44</v>
      </c>
      <c r="J914" s="15" t="s">
        <v>36</v>
      </c>
      <c r="K914" s="15">
        <v>403</v>
      </c>
      <c r="L914" s="16">
        <v>45397</v>
      </c>
      <c r="M914" s="17">
        <v>9</v>
      </c>
      <c r="N914" s="18">
        <v>90913</v>
      </c>
      <c r="O914" s="18" t="s">
        <v>29</v>
      </c>
      <c r="P914" s="19">
        <v>45383</v>
      </c>
      <c r="Q914" s="20">
        <v>0.77793000000000001</v>
      </c>
      <c r="R914" s="21">
        <v>70913</v>
      </c>
      <c r="S914" s="18" t="s">
        <v>45</v>
      </c>
      <c r="T914" s="20">
        <v>191348.67658</v>
      </c>
      <c r="U914" s="18" t="s">
        <v>31</v>
      </c>
      <c r="V914" s="19">
        <v>45392</v>
      </c>
      <c r="W914" s="18" t="s">
        <v>32</v>
      </c>
      <c r="X914" s="19">
        <v>45384</v>
      </c>
      <c r="Y914" s="18" t="s">
        <v>33</v>
      </c>
      <c r="Z914" s="43" t="e">
        <f>TEXT([1]!Table64[[#This Row],[Order date]],"mmm-yyyy")</f>
        <v>#REF!</v>
      </c>
    </row>
    <row r="915" spans="1:26" x14ac:dyDescent="0.3">
      <c r="A915" s="22">
        <v>10914</v>
      </c>
      <c r="B915" s="23">
        <v>6433</v>
      </c>
      <c r="C915" s="23" t="s">
        <v>34</v>
      </c>
      <c r="D915" s="24">
        <v>93038.34</v>
      </c>
      <c r="E915" s="23">
        <v>9</v>
      </c>
      <c r="F915" s="23" t="s">
        <v>43</v>
      </c>
      <c r="G915" s="25">
        <v>45306</v>
      </c>
      <c r="H915" s="24">
        <v>135681.97</v>
      </c>
      <c r="I915" s="26" t="s">
        <v>27</v>
      </c>
      <c r="J915" s="15" t="s">
        <v>36</v>
      </c>
      <c r="K915" s="15">
        <v>792</v>
      </c>
      <c r="L915" s="16">
        <v>45397</v>
      </c>
      <c r="M915" s="17">
        <v>10</v>
      </c>
      <c r="N915" s="27">
        <v>90914</v>
      </c>
      <c r="O915" s="27" t="s">
        <v>50</v>
      </c>
      <c r="P915" s="28">
        <v>45430</v>
      </c>
      <c r="Q915" s="29">
        <v>0.78471999999999997</v>
      </c>
      <c r="R915" s="30">
        <v>70914</v>
      </c>
      <c r="S915" s="27" t="s">
        <v>45</v>
      </c>
      <c r="T915" s="29">
        <v>89233.334600000002</v>
      </c>
      <c r="U915" s="27" t="s">
        <v>31</v>
      </c>
      <c r="V915" s="28">
        <v>45392</v>
      </c>
      <c r="W915" s="27" t="s">
        <v>32</v>
      </c>
      <c r="X915" s="28">
        <v>45376</v>
      </c>
      <c r="Y915" s="27" t="s">
        <v>39</v>
      </c>
      <c r="Z915" s="43" t="e">
        <f>TEXT([1]!Table64[[#This Row],[Order date]],"mmm-yyyy")</f>
        <v>#REF!</v>
      </c>
    </row>
    <row r="916" spans="1:26" x14ac:dyDescent="0.3">
      <c r="A916" s="10">
        <v>10915</v>
      </c>
      <c r="B916" s="11">
        <v>5824</v>
      </c>
      <c r="C916" s="11" t="s">
        <v>34</v>
      </c>
      <c r="D916" s="12">
        <v>81095.14</v>
      </c>
      <c r="E916" s="11">
        <v>34</v>
      </c>
      <c r="F916" s="11" t="s">
        <v>43</v>
      </c>
      <c r="G916" s="13">
        <v>45361</v>
      </c>
      <c r="H916" s="12">
        <v>37089.879999999997</v>
      </c>
      <c r="I916" s="14" t="s">
        <v>44</v>
      </c>
      <c r="J916" s="15" t="s">
        <v>28</v>
      </c>
      <c r="K916" s="15">
        <v>366</v>
      </c>
      <c r="L916" s="16">
        <v>45332</v>
      </c>
      <c r="M916" s="17">
        <v>6</v>
      </c>
      <c r="N916" s="18">
        <v>90915</v>
      </c>
      <c r="O916" s="18" t="s">
        <v>40</v>
      </c>
      <c r="P916" s="19">
        <v>45430</v>
      </c>
      <c r="Q916" s="20">
        <v>0.15393000000000001</v>
      </c>
      <c r="R916" s="21">
        <v>70915</v>
      </c>
      <c r="S916" s="18" t="s">
        <v>41</v>
      </c>
      <c r="T916" s="20">
        <v>127570.3702</v>
      </c>
      <c r="U916" s="18" t="s">
        <v>31</v>
      </c>
      <c r="V916" s="19">
        <v>45444</v>
      </c>
      <c r="W916" s="18" t="s">
        <v>38</v>
      </c>
      <c r="X916" s="19">
        <v>45376</v>
      </c>
      <c r="Y916" s="18" t="s">
        <v>33</v>
      </c>
      <c r="Z916" s="43" t="e">
        <f>TEXT([1]!Table64[[#This Row],[Order date]],"mmm-yyyy")</f>
        <v>#REF!</v>
      </c>
    </row>
    <row r="917" spans="1:26" x14ac:dyDescent="0.3">
      <c r="A917" s="22">
        <v>10916</v>
      </c>
      <c r="B917" s="23">
        <v>5929</v>
      </c>
      <c r="C917" s="23" t="s">
        <v>34</v>
      </c>
      <c r="D917" s="24">
        <v>76547.92</v>
      </c>
      <c r="E917" s="23">
        <v>46</v>
      </c>
      <c r="F917" s="23" t="s">
        <v>35</v>
      </c>
      <c r="G917" s="25">
        <v>45383</v>
      </c>
      <c r="H917" s="24">
        <v>134595.92000000001</v>
      </c>
      <c r="I917" s="26" t="s">
        <v>27</v>
      </c>
      <c r="J917" s="15" t="s">
        <v>49</v>
      </c>
      <c r="K917" s="15">
        <v>1339</v>
      </c>
      <c r="L917" s="16">
        <v>45397</v>
      </c>
      <c r="M917" s="17">
        <v>6</v>
      </c>
      <c r="N917" s="27">
        <v>90916</v>
      </c>
      <c r="O917" s="27" t="s">
        <v>40</v>
      </c>
      <c r="P917" s="28">
        <v>45430</v>
      </c>
      <c r="Q917" s="29">
        <v>0.11691</v>
      </c>
      <c r="R917" s="30">
        <v>70916</v>
      </c>
      <c r="S917" s="27" t="s">
        <v>45</v>
      </c>
      <c r="T917" s="29">
        <v>149492.26509</v>
      </c>
      <c r="U917" s="27" t="s">
        <v>31</v>
      </c>
      <c r="V917" s="28">
        <v>45392</v>
      </c>
      <c r="W917" s="27" t="s">
        <v>38</v>
      </c>
      <c r="X917" s="28">
        <v>45376</v>
      </c>
      <c r="Y917" s="27" t="s">
        <v>33</v>
      </c>
      <c r="Z917" s="43" t="e">
        <f>TEXT([1]!Table64[[#This Row],[Order date]],"mmm-yyyy")</f>
        <v>#REF!</v>
      </c>
    </row>
    <row r="918" spans="1:26" x14ac:dyDescent="0.3">
      <c r="A918" s="10">
        <v>10917</v>
      </c>
      <c r="B918" s="11">
        <v>5934</v>
      </c>
      <c r="C918" s="11" t="s">
        <v>25</v>
      </c>
      <c r="D918" s="12">
        <v>11878.65</v>
      </c>
      <c r="E918" s="11">
        <v>78</v>
      </c>
      <c r="F918" s="11" t="s">
        <v>43</v>
      </c>
      <c r="G918" s="13">
        <v>45361</v>
      </c>
      <c r="H918" s="12">
        <v>10835.9</v>
      </c>
      <c r="I918" s="14" t="s">
        <v>47</v>
      </c>
      <c r="J918" s="15" t="s">
        <v>28</v>
      </c>
      <c r="K918" s="15">
        <v>1138</v>
      </c>
      <c r="L918" s="16">
        <v>45361</v>
      </c>
      <c r="M918" s="17">
        <v>9</v>
      </c>
      <c r="N918" s="18">
        <v>90917</v>
      </c>
      <c r="O918" s="18" t="s">
        <v>50</v>
      </c>
      <c r="P918" s="19">
        <v>45383</v>
      </c>
      <c r="Q918" s="20">
        <v>0.97653999999999996</v>
      </c>
      <c r="R918" s="21">
        <v>70917</v>
      </c>
      <c r="S918" s="18" t="s">
        <v>45</v>
      </c>
      <c r="T918" s="20">
        <v>191585.18090000001</v>
      </c>
      <c r="U918" s="18" t="s">
        <v>42</v>
      </c>
      <c r="V918" s="19">
        <v>45444</v>
      </c>
      <c r="W918" s="18" t="s">
        <v>38</v>
      </c>
      <c r="X918" s="19">
        <v>45384</v>
      </c>
      <c r="Y918" s="18" t="s">
        <v>33</v>
      </c>
      <c r="Z918" s="43" t="e">
        <f>TEXT([1]!Table64[[#This Row],[Order date]],"mmm-yyyy")</f>
        <v>#REF!</v>
      </c>
    </row>
    <row r="919" spans="1:26" x14ac:dyDescent="0.3">
      <c r="A919" s="22">
        <v>10918</v>
      </c>
      <c r="B919" s="23">
        <v>6141</v>
      </c>
      <c r="C919" s="23" t="s">
        <v>34</v>
      </c>
      <c r="D919" s="24">
        <v>71868.19</v>
      </c>
      <c r="E919" s="23">
        <v>4</v>
      </c>
      <c r="F919" s="23" t="s">
        <v>43</v>
      </c>
      <c r="G919" s="25">
        <v>45306</v>
      </c>
      <c r="H919" s="24">
        <v>13513.67</v>
      </c>
      <c r="I919" s="26" t="s">
        <v>44</v>
      </c>
      <c r="J919" s="15" t="s">
        <v>36</v>
      </c>
      <c r="K919" s="15">
        <v>382</v>
      </c>
      <c r="L919" s="16">
        <v>45361</v>
      </c>
      <c r="M919" s="17">
        <v>1</v>
      </c>
      <c r="N919" s="27">
        <v>90918</v>
      </c>
      <c r="O919" s="27" t="s">
        <v>50</v>
      </c>
      <c r="P919" s="28">
        <v>45430</v>
      </c>
      <c r="Q919" s="29">
        <v>0.27404000000000001</v>
      </c>
      <c r="R919" s="30">
        <v>70918</v>
      </c>
      <c r="S919" s="27" t="s">
        <v>30</v>
      </c>
      <c r="T919" s="29">
        <v>192860.33264000001</v>
      </c>
      <c r="U919" s="27" t="s">
        <v>48</v>
      </c>
      <c r="V919" s="28">
        <v>45422</v>
      </c>
      <c r="W919" s="27" t="s">
        <v>32</v>
      </c>
      <c r="X919" s="28">
        <v>45376</v>
      </c>
      <c r="Y919" s="27" t="s">
        <v>33</v>
      </c>
      <c r="Z919" s="43" t="e">
        <f>TEXT([1]!Table64[[#This Row],[Order date]],"mmm-yyyy")</f>
        <v>#REF!</v>
      </c>
    </row>
    <row r="920" spans="1:26" x14ac:dyDescent="0.3">
      <c r="A920" s="10">
        <v>10919</v>
      </c>
      <c r="B920" s="11">
        <v>5134</v>
      </c>
      <c r="C920" s="11" t="s">
        <v>34</v>
      </c>
      <c r="D920" s="12">
        <v>81842.45</v>
      </c>
      <c r="E920" s="11">
        <v>30</v>
      </c>
      <c r="F920" s="11" t="s">
        <v>35</v>
      </c>
      <c r="G920" s="13">
        <v>45383</v>
      </c>
      <c r="H920" s="12">
        <v>76139.320000000007</v>
      </c>
      <c r="I920" s="14" t="s">
        <v>47</v>
      </c>
      <c r="J920" s="15" t="s">
        <v>36</v>
      </c>
      <c r="K920" s="15">
        <v>1206</v>
      </c>
      <c r="L920" s="16">
        <v>45397</v>
      </c>
      <c r="M920" s="17">
        <v>6</v>
      </c>
      <c r="N920" s="18">
        <v>90919</v>
      </c>
      <c r="O920" s="18" t="s">
        <v>40</v>
      </c>
      <c r="P920" s="19">
        <v>45430</v>
      </c>
      <c r="Q920" s="20">
        <v>0.83992999999999995</v>
      </c>
      <c r="R920" s="21">
        <v>70919</v>
      </c>
      <c r="S920" s="18" t="s">
        <v>41</v>
      </c>
      <c r="T920" s="20">
        <v>76481.323489999995</v>
      </c>
      <c r="U920" s="18" t="s">
        <v>48</v>
      </c>
      <c r="V920" s="19">
        <v>45422</v>
      </c>
      <c r="W920" s="18" t="s">
        <v>38</v>
      </c>
      <c r="X920" s="19">
        <v>45384</v>
      </c>
      <c r="Y920" s="18" t="s">
        <v>33</v>
      </c>
      <c r="Z920" s="43" t="e">
        <f>TEXT([1]!Table64[[#This Row],[Order date]],"mmm-yyyy")</f>
        <v>#REF!</v>
      </c>
    </row>
    <row r="921" spans="1:26" x14ac:dyDescent="0.3">
      <c r="A921" s="22">
        <v>10920</v>
      </c>
      <c r="B921" s="23">
        <v>5058</v>
      </c>
      <c r="C921" s="23" t="s">
        <v>25</v>
      </c>
      <c r="D921" s="24">
        <v>22076.6</v>
      </c>
      <c r="E921" s="23">
        <v>95</v>
      </c>
      <c r="F921" s="23" t="s">
        <v>35</v>
      </c>
      <c r="G921" s="25">
        <v>45306</v>
      </c>
      <c r="H921" s="24">
        <v>86764.08</v>
      </c>
      <c r="I921" s="26" t="s">
        <v>47</v>
      </c>
      <c r="J921" s="15" t="s">
        <v>28</v>
      </c>
      <c r="K921" s="15">
        <v>641</v>
      </c>
      <c r="L921" s="16">
        <v>45332</v>
      </c>
      <c r="M921" s="17">
        <v>12</v>
      </c>
      <c r="N921" s="27">
        <v>90920</v>
      </c>
      <c r="O921" s="27" t="s">
        <v>29</v>
      </c>
      <c r="P921" s="28">
        <v>45383</v>
      </c>
      <c r="Q921" s="29">
        <v>0.60567000000000004</v>
      </c>
      <c r="R921" s="30">
        <v>70920</v>
      </c>
      <c r="S921" s="27" t="s">
        <v>30</v>
      </c>
      <c r="T921" s="29">
        <v>94384.706489999997</v>
      </c>
      <c r="U921" s="27" t="s">
        <v>31</v>
      </c>
      <c r="V921" s="28">
        <v>45422</v>
      </c>
      <c r="W921" s="27" t="s">
        <v>38</v>
      </c>
      <c r="X921" s="28">
        <v>45376</v>
      </c>
      <c r="Y921" s="27" t="s">
        <v>33</v>
      </c>
      <c r="Z921" s="43" t="e">
        <f>TEXT([1]!Table64[[#This Row],[Order date]],"mmm-yyyy")</f>
        <v>#REF!</v>
      </c>
    </row>
    <row r="922" spans="1:26" x14ac:dyDescent="0.3">
      <c r="A922" s="10">
        <v>10921</v>
      </c>
      <c r="B922" s="11">
        <v>6580</v>
      </c>
      <c r="C922" s="11" t="s">
        <v>34</v>
      </c>
      <c r="D922" s="12">
        <v>55417.69</v>
      </c>
      <c r="E922" s="11">
        <v>75</v>
      </c>
      <c r="F922" s="11" t="s">
        <v>46</v>
      </c>
      <c r="G922" s="13">
        <v>45383</v>
      </c>
      <c r="H922" s="12">
        <v>51306.12</v>
      </c>
      <c r="I922" s="14" t="s">
        <v>47</v>
      </c>
      <c r="J922" s="15" t="s">
        <v>28</v>
      </c>
      <c r="K922" s="15">
        <v>832</v>
      </c>
      <c r="L922" s="16">
        <v>45397</v>
      </c>
      <c r="M922" s="17">
        <v>5</v>
      </c>
      <c r="N922" s="18">
        <v>90921</v>
      </c>
      <c r="O922" s="18" t="s">
        <v>37</v>
      </c>
      <c r="P922" s="19">
        <v>45430</v>
      </c>
      <c r="Q922" s="20">
        <v>0.33801999999999999</v>
      </c>
      <c r="R922" s="21">
        <v>70921</v>
      </c>
      <c r="S922" s="18" t="s">
        <v>41</v>
      </c>
      <c r="T922" s="20">
        <v>192178.52121000001</v>
      </c>
      <c r="U922" s="18" t="s">
        <v>48</v>
      </c>
      <c r="V922" s="19">
        <v>45444</v>
      </c>
      <c r="W922" s="18" t="s">
        <v>38</v>
      </c>
      <c r="X922" s="19">
        <v>45384</v>
      </c>
      <c r="Y922" s="18" t="s">
        <v>39</v>
      </c>
      <c r="Z922" s="43" t="e">
        <f>TEXT([1]!Table64[[#This Row],[Order date]],"mmm-yyyy")</f>
        <v>#REF!</v>
      </c>
    </row>
    <row r="923" spans="1:26" x14ac:dyDescent="0.3">
      <c r="A923" s="22">
        <v>10922</v>
      </c>
      <c r="B923" s="23">
        <v>5685</v>
      </c>
      <c r="C923" s="23" t="s">
        <v>34</v>
      </c>
      <c r="D923" s="24">
        <v>61661.94</v>
      </c>
      <c r="E923" s="23">
        <v>99</v>
      </c>
      <c r="F923" s="23" t="s">
        <v>26</v>
      </c>
      <c r="G923" s="25">
        <v>45361</v>
      </c>
      <c r="H923" s="24">
        <v>86925.14</v>
      </c>
      <c r="I923" s="26" t="s">
        <v>44</v>
      </c>
      <c r="J923" s="15" t="s">
        <v>49</v>
      </c>
      <c r="K923" s="15">
        <v>589</v>
      </c>
      <c r="L923" s="16">
        <v>45361</v>
      </c>
      <c r="M923" s="17">
        <v>13</v>
      </c>
      <c r="N923" s="27">
        <v>90922</v>
      </c>
      <c r="O923" s="27" t="s">
        <v>29</v>
      </c>
      <c r="P923" s="28">
        <v>45383</v>
      </c>
      <c r="Q923" s="29">
        <v>0.21697</v>
      </c>
      <c r="R923" s="30">
        <v>70922</v>
      </c>
      <c r="S923" s="27" t="s">
        <v>41</v>
      </c>
      <c r="T923" s="29">
        <v>126172.2282</v>
      </c>
      <c r="U923" s="27" t="s">
        <v>42</v>
      </c>
      <c r="V923" s="28">
        <v>45392</v>
      </c>
      <c r="W923" s="27" t="s">
        <v>32</v>
      </c>
      <c r="X923" s="28">
        <v>45376</v>
      </c>
      <c r="Y923" s="27" t="s">
        <v>33</v>
      </c>
      <c r="Z923" s="43" t="e">
        <f>TEXT([1]!Table64[[#This Row],[Order date]],"mmm-yyyy")</f>
        <v>#REF!</v>
      </c>
    </row>
    <row r="924" spans="1:26" x14ac:dyDescent="0.3">
      <c r="A924" s="10">
        <v>10923</v>
      </c>
      <c r="B924" s="11">
        <v>5672</v>
      </c>
      <c r="C924" s="11" t="s">
        <v>34</v>
      </c>
      <c r="D924" s="12">
        <v>23533.35</v>
      </c>
      <c r="E924" s="11">
        <v>72</v>
      </c>
      <c r="F924" s="11" t="s">
        <v>26</v>
      </c>
      <c r="G924" s="13">
        <v>45337</v>
      </c>
      <c r="H924" s="12">
        <v>105353.96</v>
      </c>
      <c r="I924" s="14" t="s">
        <v>27</v>
      </c>
      <c r="J924" s="15" t="s">
        <v>49</v>
      </c>
      <c r="K924" s="15">
        <v>784</v>
      </c>
      <c r="L924" s="16">
        <v>45332</v>
      </c>
      <c r="M924" s="17">
        <v>11</v>
      </c>
      <c r="N924" s="18">
        <v>90923</v>
      </c>
      <c r="O924" s="18" t="s">
        <v>50</v>
      </c>
      <c r="P924" s="19">
        <v>45383</v>
      </c>
      <c r="Q924" s="20">
        <v>0.54701</v>
      </c>
      <c r="R924" s="21">
        <v>70923</v>
      </c>
      <c r="S924" s="18" t="s">
        <v>41</v>
      </c>
      <c r="T924" s="20">
        <v>153056.32819999999</v>
      </c>
      <c r="U924" s="18" t="s">
        <v>31</v>
      </c>
      <c r="V924" s="19">
        <v>45422</v>
      </c>
      <c r="W924" s="18" t="s">
        <v>38</v>
      </c>
      <c r="X924" s="19">
        <v>45376</v>
      </c>
      <c r="Y924" s="18" t="s">
        <v>33</v>
      </c>
      <c r="Z924" s="43" t="e">
        <f>TEXT([1]!Table64[[#This Row],[Order date]],"mmm-yyyy")</f>
        <v>#REF!</v>
      </c>
    </row>
    <row r="925" spans="1:26" x14ac:dyDescent="0.3">
      <c r="A925" s="22">
        <v>10924</v>
      </c>
      <c r="B925" s="23">
        <v>5173</v>
      </c>
      <c r="C925" s="23" t="s">
        <v>34</v>
      </c>
      <c r="D925" s="24">
        <v>49726.559999999998</v>
      </c>
      <c r="E925" s="23">
        <v>3</v>
      </c>
      <c r="F925" s="23" t="s">
        <v>35</v>
      </c>
      <c r="G925" s="25">
        <v>45361</v>
      </c>
      <c r="H925" s="24">
        <v>160650.04999999999</v>
      </c>
      <c r="I925" s="26" t="s">
        <v>47</v>
      </c>
      <c r="J925" s="15" t="s">
        <v>36</v>
      </c>
      <c r="K925" s="15">
        <v>670</v>
      </c>
      <c r="L925" s="16">
        <v>45397</v>
      </c>
      <c r="M925" s="17">
        <v>6</v>
      </c>
      <c r="N925" s="27">
        <v>90924</v>
      </c>
      <c r="O925" s="27" t="s">
        <v>40</v>
      </c>
      <c r="P925" s="28">
        <v>45352</v>
      </c>
      <c r="Q925" s="29">
        <v>0.46661999999999998</v>
      </c>
      <c r="R925" s="30">
        <v>70924</v>
      </c>
      <c r="S925" s="27" t="s">
        <v>41</v>
      </c>
      <c r="T925" s="29">
        <v>151713.88070000001</v>
      </c>
      <c r="U925" s="27" t="s">
        <v>42</v>
      </c>
      <c r="V925" s="28">
        <v>45444</v>
      </c>
      <c r="W925" s="27" t="s">
        <v>38</v>
      </c>
      <c r="X925" s="28">
        <v>45376</v>
      </c>
      <c r="Y925" s="27" t="s">
        <v>39</v>
      </c>
      <c r="Z925" s="43" t="e">
        <f>TEXT([1]!Table64[[#This Row],[Order date]],"mmm-yyyy")</f>
        <v>#REF!</v>
      </c>
    </row>
    <row r="926" spans="1:26" x14ac:dyDescent="0.3">
      <c r="A926" s="10">
        <v>10925</v>
      </c>
      <c r="B926" s="11">
        <v>6853</v>
      </c>
      <c r="C926" s="11" t="s">
        <v>34</v>
      </c>
      <c r="D926" s="12">
        <v>57879.26</v>
      </c>
      <c r="E926" s="11">
        <v>14</v>
      </c>
      <c r="F926" s="11" t="s">
        <v>35</v>
      </c>
      <c r="G926" s="13">
        <v>45361</v>
      </c>
      <c r="H926" s="12">
        <v>35808.53</v>
      </c>
      <c r="I926" s="14" t="s">
        <v>44</v>
      </c>
      <c r="J926" s="15" t="s">
        <v>49</v>
      </c>
      <c r="K926" s="15">
        <v>668</v>
      </c>
      <c r="L926" s="16">
        <v>45332</v>
      </c>
      <c r="M926" s="17">
        <v>14</v>
      </c>
      <c r="N926" s="18">
        <v>90925</v>
      </c>
      <c r="O926" s="18" t="s">
        <v>40</v>
      </c>
      <c r="P926" s="19">
        <v>45352</v>
      </c>
      <c r="Q926" s="20">
        <v>0.72899999999999998</v>
      </c>
      <c r="R926" s="21">
        <v>70925</v>
      </c>
      <c r="S926" s="18" t="s">
        <v>30</v>
      </c>
      <c r="T926" s="20">
        <v>56257.318379999997</v>
      </c>
      <c r="U926" s="18" t="s">
        <v>42</v>
      </c>
      <c r="V926" s="19">
        <v>45444</v>
      </c>
      <c r="W926" s="18" t="s">
        <v>38</v>
      </c>
      <c r="X926" s="19">
        <v>45384</v>
      </c>
      <c r="Y926" s="18" t="s">
        <v>39</v>
      </c>
      <c r="Z926" s="43" t="e">
        <f>TEXT([1]!Table64[[#This Row],[Order date]],"mmm-yyyy")</f>
        <v>#REF!</v>
      </c>
    </row>
    <row r="927" spans="1:26" x14ac:dyDescent="0.3">
      <c r="A927" s="22">
        <v>10926</v>
      </c>
      <c r="B927" s="23">
        <v>5815</v>
      </c>
      <c r="C927" s="23" t="s">
        <v>34</v>
      </c>
      <c r="D927" s="24">
        <v>40442.82</v>
      </c>
      <c r="E927" s="23">
        <v>60</v>
      </c>
      <c r="F927" s="23" t="s">
        <v>43</v>
      </c>
      <c r="G927" s="25">
        <v>45337</v>
      </c>
      <c r="H927" s="24">
        <v>65141.22</v>
      </c>
      <c r="I927" s="26" t="s">
        <v>44</v>
      </c>
      <c r="J927" s="15" t="s">
        <v>49</v>
      </c>
      <c r="K927" s="15">
        <v>1442</v>
      </c>
      <c r="L927" s="16">
        <v>45332</v>
      </c>
      <c r="M927" s="17">
        <v>11</v>
      </c>
      <c r="N927" s="27">
        <v>90926</v>
      </c>
      <c r="O927" s="27" t="s">
        <v>37</v>
      </c>
      <c r="P927" s="28">
        <v>45383</v>
      </c>
      <c r="Q927" s="29">
        <v>0.91374999999999995</v>
      </c>
      <c r="R927" s="30">
        <v>70926</v>
      </c>
      <c r="S927" s="27" t="s">
        <v>41</v>
      </c>
      <c r="T927" s="29">
        <v>212573.06649999999</v>
      </c>
      <c r="U927" s="27" t="s">
        <v>42</v>
      </c>
      <c r="V927" s="28">
        <v>45422</v>
      </c>
      <c r="W927" s="27" t="s">
        <v>38</v>
      </c>
      <c r="X927" s="28">
        <v>45384</v>
      </c>
      <c r="Y927" s="27" t="s">
        <v>33</v>
      </c>
      <c r="Z927" s="43" t="e">
        <f>TEXT([1]!Table64[[#This Row],[Order date]],"mmm-yyyy")</f>
        <v>#REF!</v>
      </c>
    </row>
    <row r="928" spans="1:26" x14ac:dyDescent="0.3">
      <c r="A928" s="10">
        <v>10927</v>
      </c>
      <c r="B928" s="11">
        <v>6173</v>
      </c>
      <c r="C928" s="11" t="s">
        <v>34</v>
      </c>
      <c r="D928" s="12">
        <v>41198.35</v>
      </c>
      <c r="E928" s="11">
        <v>77</v>
      </c>
      <c r="F928" s="11" t="s">
        <v>46</v>
      </c>
      <c r="G928" s="13">
        <v>45337</v>
      </c>
      <c r="H928" s="12">
        <v>119011.21</v>
      </c>
      <c r="I928" s="14" t="s">
        <v>44</v>
      </c>
      <c r="J928" s="15" t="s">
        <v>36</v>
      </c>
      <c r="K928" s="15">
        <v>958</v>
      </c>
      <c r="L928" s="16">
        <v>45361</v>
      </c>
      <c r="M928" s="17">
        <v>8</v>
      </c>
      <c r="N928" s="18">
        <v>90927</v>
      </c>
      <c r="O928" s="18" t="s">
        <v>40</v>
      </c>
      <c r="P928" s="19">
        <v>45383</v>
      </c>
      <c r="Q928" s="20">
        <v>0.82472000000000001</v>
      </c>
      <c r="R928" s="21">
        <v>70927</v>
      </c>
      <c r="S928" s="18" t="s">
        <v>41</v>
      </c>
      <c r="T928" s="20">
        <v>74854.786699999997</v>
      </c>
      <c r="U928" s="18" t="s">
        <v>42</v>
      </c>
      <c r="V928" s="19">
        <v>45422</v>
      </c>
      <c r="W928" s="18" t="s">
        <v>38</v>
      </c>
      <c r="X928" s="19">
        <v>45376</v>
      </c>
      <c r="Y928" s="18" t="s">
        <v>33</v>
      </c>
      <c r="Z928" s="43" t="e">
        <f>TEXT([1]!Table64[[#This Row],[Order date]],"mmm-yyyy")</f>
        <v>#REF!</v>
      </c>
    </row>
    <row r="929" spans="1:26" x14ac:dyDescent="0.3">
      <c r="A929" s="22">
        <v>10928</v>
      </c>
      <c r="B929" s="23">
        <v>5080</v>
      </c>
      <c r="C929" s="23" t="s">
        <v>34</v>
      </c>
      <c r="D929" s="24">
        <v>64109.49</v>
      </c>
      <c r="E929" s="23">
        <v>45</v>
      </c>
      <c r="F929" s="23" t="s">
        <v>46</v>
      </c>
      <c r="G929" s="25">
        <v>45383</v>
      </c>
      <c r="H929" s="24">
        <v>141169.67000000001</v>
      </c>
      <c r="I929" s="26" t="s">
        <v>44</v>
      </c>
      <c r="J929" s="15" t="s">
        <v>36</v>
      </c>
      <c r="K929" s="15">
        <v>1041</v>
      </c>
      <c r="L929" s="16">
        <v>45332</v>
      </c>
      <c r="M929" s="17">
        <v>5</v>
      </c>
      <c r="N929" s="27">
        <v>90928</v>
      </c>
      <c r="O929" s="27" t="s">
        <v>37</v>
      </c>
      <c r="P929" s="28">
        <v>45352</v>
      </c>
      <c r="Q929" s="29">
        <v>0.34700999999999999</v>
      </c>
      <c r="R929" s="30">
        <v>70928</v>
      </c>
      <c r="S929" s="27" t="s">
        <v>30</v>
      </c>
      <c r="T929" s="29">
        <v>99538.631609999997</v>
      </c>
      <c r="U929" s="27" t="s">
        <v>42</v>
      </c>
      <c r="V929" s="28">
        <v>45422</v>
      </c>
      <c r="W929" s="27" t="s">
        <v>38</v>
      </c>
      <c r="X929" s="28">
        <v>45384</v>
      </c>
      <c r="Y929" s="27" t="s">
        <v>33</v>
      </c>
      <c r="Z929" s="43" t="e">
        <f>TEXT([1]!Table64[[#This Row],[Order date]],"mmm-yyyy")</f>
        <v>#REF!</v>
      </c>
    </row>
    <row r="930" spans="1:26" x14ac:dyDescent="0.3">
      <c r="A930" s="10">
        <v>10929</v>
      </c>
      <c r="B930" s="11">
        <v>5886</v>
      </c>
      <c r="C930" s="11" t="s">
        <v>34</v>
      </c>
      <c r="D930" s="12">
        <v>35515.15</v>
      </c>
      <c r="E930" s="11">
        <v>96</v>
      </c>
      <c r="F930" s="11" t="s">
        <v>35</v>
      </c>
      <c r="G930" s="13">
        <v>45383</v>
      </c>
      <c r="H930" s="12">
        <v>55551.32</v>
      </c>
      <c r="I930" s="14" t="s">
        <v>44</v>
      </c>
      <c r="J930" s="15" t="s">
        <v>36</v>
      </c>
      <c r="K930" s="15">
        <v>148</v>
      </c>
      <c r="L930" s="16">
        <v>45397</v>
      </c>
      <c r="M930" s="17">
        <v>2</v>
      </c>
      <c r="N930" s="18">
        <v>90929</v>
      </c>
      <c r="O930" s="18" t="s">
        <v>29</v>
      </c>
      <c r="P930" s="19">
        <v>45430</v>
      </c>
      <c r="Q930" s="20">
        <v>0.89104000000000005</v>
      </c>
      <c r="R930" s="21">
        <v>70929</v>
      </c>
      <c r="S930" s="18" t="s">
        <v>41</v>
      </c>
      <c r="T930" s="20">
        <v>115547.52819</v>
      </c>
      <c r="U930" s="18" t="s">
        <v>31</v>
      </c>
      <c r="V930" s="19">
        <v>45392</v>
      </c>
      <c r="W930" s="18" t="s">
        <v>32</v>
      </c>
      <c r="X930" s="19">
        <v>45376</v>
      </c>
      <c r="Y930" s="18" t="s">
        <v>39</v>
      </c>
      <c r="Z930" s="43" t="e">
        <f>TEXT([1]!Table64[[#This Row],[Order date]],"mmm-yyyy")</f>
        <v>#REF!</v>
      </c>
    </row>
    <row r="931" spans="1:26" x14ac:dyDescent="0.3">
      <c r="A931" s="22">
        <v>10930</v>
      </c>
      <c r="B931" s="23">
        <v>6237</v>
      </c>
      <c r="C931" s="23" t="s">
        <v>34</v>
      </c>
      <c r="D931" s="24">
        <v>12401.32</v>
      </c>
      <c r="E931" s="23">
        <v>34</v>
      </c>
      <c r="F931" s="23" t="s">
        <v>43</v>
      </c>
      <c r="G931" s="25">
        <v>45306</v>
      </c>
      <c r="H931" s="24">
        <v>20014.07</v>
      </c>
      <c r="I931" s="26" t="s">
        <v>27</v>
      </c>
      <c r="J931" s="15" t="s">
        <v>36</v>
      </c>
      <c r="K931" s="15">
        <v>366</v>
      </c>
      <c r="L931" s="16">
        <v>45332</v>
      </c>
      <c r="M931" s="17">
        <v>12</v>
      </c>
      <c r="N931" s="27">
        <v>90930</v>
      </c>
      <c r="O931" s="27" t="s">
        <v>29</v>
      </c>
      <c r="P931" s="28">
        <v>45430</v>
      </c>
      <c r="Q931" s="29">
        <v>0.85004999999999997</v>
      </c>
      <c r="R931" s="30">
        <v>70930</v>
      </c>
      <c r="S931" s="27" t="s">
        <v>41</v>
      </c>
      <c r="T931" s="29">
        <v>115531.2582</v>
      </c>
      <c r="U931" s="27" t="s">
        <v>42</v>
      </c>
      <c r="V931" s="28">
        <v>45392</v>
      </c>
      <c r="W931" s="27" t="s">
        <v>38</v>
      </c>
      <c r="X931" s="28">
        <v>45376</v>
      </c>
      <c r="Y931" s="27" t="s">
        <v>33</v>
      </c>
      <c r="Z931" s="43" t="e">
        <f>TEXT([1]!Table64[[#This Row],[Order date]],"mmm-yyyy")</f>
        <v>#REF!</v>
      </c>
    </row>
    <row r="932" spans="1:26" x14ac:dyDescent="0.3">
      <c r="A932" s="10">
        <v>10931</v>
      </c>
      <c r="B932" s="11">
        <v>5203</v>
      </c>
      <c r="C932" s="11" t="s">
        <v>34</v>
      </c>
      <c r="D932" s="12">
        <v>8874.3799999999992</v>
      </c>
      <c r="E932" s="11">
        <v>45</v>
      </c>
      <c r="F932" s="11" t="s">
        <v>43</v>
      </c>
      <c r="G932" s="13">
        <v>45306</v>
      </c>
      <c r="H932" s="12">
        <v>96514.08</v>
      </c>
      <c r="I932" s="14" t="s">
        <v>47</v>
      </c>
      <c r="J932" s="15" t="s">
        <v>28</v>
      </c>
      <c r="K932" s="15">
        <v>172</v>
      </c>
      <c r="L932" s="16">
        <v>45332</v>
      </c>
      <c r="M932" s="17">
        <v>12</v>
      </c>
      <c r="N932" s="18">
        <v>90931</v>
      </c>
      <c r="O932" s="18" t="s">
        <v>40</v>
      </c>
      <c r="P932" s="19">
        <v>45430</v>
      </c>
      <c r="Q932" s="20">
        <v>0.93622000000000005</v>
      </c>
      <c r="R932" s="21">
        <v>70931</v>
      </c>
      <c r="S932" s="18" t="s">
        <v>41</v>
      </c>
      <c r="T932" s="20">
        <v>64079.489909999997</v>
      </c>
      <c r="U932" s="18" t="s">
        <v>31</v>
      </c>
      <c r="V932" s="19">
        <v>45444</v>
      </c>
      <c r="W932" s="18" t="s">
        <v>38</v>
      </c>
      <c r="X932" s="19">
        <v>45376</v>
      </c>
      <c r="Y932" s="18" t="s">
        <v>33</v>
      </c>
      <c r="Z932" s="43" t="e">
        <f>TEXT([1]!Table64[[#This Row],[Order date]],"mmm-yyyy")</f>
        <v>#REF!</v>
      </c>
    </row>
    <row r="933" spans="1:26" x14ac:dyDescent="0.3">
      <c r="A933" s="22">
        <v>10932</v>
      </c>
      <c r="B933" s="23">
        <v>5764</v>
      </c>
      <c r="C933" s="23" t="s">
        <v>34</v>
      </c>
      <c r="D933" s="24">
        <v>59859.360000000001</v>
      </c>
      <c r="E933" s="23">
        <v>61</v>
      </c>
      <c r="F933" s="23" t="s">
        <v>26</v>
      </c>
      <c r="G933" s="25">
        <v>45361</v>
      </c>
      <c r="H933" s="24">
        <v>102782.9</v>
      </c>
      <c r="I933" s="26" t="s">
        <v>27</v>
      </c>
      <c r="J933" s="15" t="s">
        <v>36</v>
      </c>
      <c r="K933" s="15">
        <v>1393</v>
      </c>
      <c r="L933" s="16">
        <v>45397</v>
      </c>
      <c r="M933" s="17">
        <v>2</v>
      </c>
      <c r="N933" s="27">
        <v>90932</v>
      </c>
      <c r="O933" s="27" t="s">
        <v>40</v>
      </c>
      <c r="P933" s="28">
        <v>45383</v>
      </c>
      <c r="Q933" s="29">
        <v>0.51278999999999997</v>
      </c>
      <c r="R933" s="30">
        <v>70932</v>
      </c>
      <c r="S933" s="27" t="s">
        <v>41</v>
      </c>
      <c r="T933" s="29">
        <v>129676.7997</v>
      </c>
      <c r="U933" s="27" t="s">
        <v>48</v>
      </c>
      <c r="V933" s="28">
        <v>45422</v>
      </c>
      <c r="W933" s="27" t="s">
        <v>32</v>
      </c>
      <c r="X933" s="28">
        <v>45376</v>
      </c>
      <c r="Y933" s="27" t="s">
        <v>33</v>
      </c>
      <c r="Z933" s="43" t="e">
        <f>TEXT([1]!Table64[[#This Row],[Order date]],"mmm-yyyy")</f>
        <v>#REF!</v>
      </c>
    </row>
    <row r="934" spans="1:26" x14ac:dyDescent="0.3">
      <c r="A934" s="10">
        <v>10933</v>
      </c>
      <c r="B934" s="11">
        <v>6253</v>
      </c>
      <c r="C934" s="11" t="s">
        <v>34</v>
      </c>
      <c r="D934" s="12">
        <v>77601.710000000006</v>
      </c>
      <c r="E934" s="11">
        <v>83</v>
      </c>
      <c r="F934" s="11" t="s">
        <v>26</v>
      </c>
      <c r="G934" s="13">
        <v>45337</v>
      </c>
      <c r="H934" s="12">
        <v>55981.1</v>
      </c>
      <c r="I934" s="14" t="s">
        <v>44</v>
      </c>
      <c r="J934" s="15" t="s">
        <v>36</v>
      </c>
      <c r="K934" s="15">
        <v>848</v>
      </c>
      <c r="L934" s="16">
        <v>45361</v>
      </c>
      <c r="M934" s="17">
        <v>10</v>
      </c>
      <c r="N934" s="18">
        <v>90933</v>
      </c>
      <c r="O934" s="18" t="s">
        <v>50</v>
      </c>
      <c r="P934" s="19">
        <v>45352</v>
      </c>
      <c r="Q934" s="20">
        <v>0.79171999999999998</v>
      </c>
      <c r="R934" s="21">
        <v>70933</v>
      </c>
      <c r="S934" s="18" t="s">
        <v>30</v>
      </c>
      <c r="T934" s="20">
        <v>192378.20809999999</v>
      </c>
      <c r="U934" s="18" t="s">
        <v>42</v>
      </c>
      <c r="V934" s="19">
        <v>45422</v>
      </c>
      <c r="W934" s="18" t="s">
        <v>32</v>
      </c>
      <c r="X934" s="19">
        <v>45384</v>
      </c>
      <c r="Y934" s="18" t="s">
        <v>33</v>
      </c>
      <c r="Z934" s="43" t="e">
        <f>TEXT([1]!Table64[[#This Row],[Order date]],"mmm-yyyy")</f>
        <v>#REF!</v>
      </c>
    </row>
    <row r="935" spans="1:26" x14ac:dyDescent="0.3">
      <c r="A935" s="22">
        <v>10934</v>
      </c>
      <c r="B935" s="23">
        <v>6700</v>
      </c>
      <c r="C935" s="23" t="s">
        <v>25</v>
      </c>
      <c r="D935" s="24">
        <v>55724.55</v>
      </c>
      <c r="E935" s="23">
        <v>16</v>
      </c>
      <c r="F935" s="23" t="s">
        <v>43</v>
      </c>
      <c r="G935" s="25">
        <v>45306</v>
      </c>
      <c r="H935" s="24">
        <v>105366.63</v>
      </c>
      <c r="I935" s="26" t="s">
        <v>47</v>
      </c>
      <c r="J935" s="15" t="s">
        <v>36</v>
      </c>
      <c r="K935" s="15">
        <v>506</v>
      </c>
      <c r="L935" s="16">
        <v>45361</v>
      </c>
      <c r="M935" s="17">
        <v>5</v>
      </c>
      <c r="N935" s="27">
        <v>90934</v>
      </c>
      <c r="O935" s="27" t="s">
        <v>50</v>
      </c>
      <c r="P935" s="28">
        <v>45430</v>
      </c>
      <c r="Q935" s="29">
        <v>0.63249</v>
      </c>
      <c r="R935" s="30">
        <v>70934</v>
      </c>
      <c r="S935" s="27" t="s">
        <v>41</v>
      </c>
      <c r="T935" s="29">
        <v>82446.79466</v>
      </c>
      <c r="U935" s="27" t="s">
        <v>42</v>
      </c>
      <c r="V935" s="28">
        <v>45392</v>
      </c>
      <c r="W935" s="27" t="s">
        <v>32</v>
      </c>
      <c r="X935" s="28">
        <v>45384</v>
      </c>
      <c r="Y935" s="27" t="s">
        <v>39</v>
      </c>
      <c r="Z935" s="43" t="e">
        <f>TEXT([1]!Table64[[#This Row],[Order date]],"mmm-yyyy")</f>
        <v>#REF!</v>
      </c>
    </row>
    <row r="936" spans="1:26" x14ac:dyDescent="0.3">
      <c r="A936" s="10">
        <v>10935</v>
      </c>
      <c r="B936" s="11">
        <v>6251</v>
      </c>
      <c r="C936" s="11" t="s">
        <v>34</v>
      </c>
      <c r="D936" s="12">
        <v>39246.25</v>
      </c>
      <c r="E936" s="11">
        <v>66</v>
      </c>
      <c r="F936" s="11" t="s">
        <v>26</v>
      </c>
      <c r="G936" s="13">
        <v>45361</v>
      </c>
      <c r="H936" s="12">
        <v>65484.34</v>
      </c>
      <c r="I936" s="14" t="s">
        <v>44</v>
      </c>
      <c r="J936" s="15" t="s">
        <v>49</v>
      </c>
      <c r="K936" s="15">
        <v>571</v>
      </c>
      <c r="L936" s="16">
        <v>45397</v>
      </c>
      <c r="M936" s="17">
        <v>3</v>
      </c>
      <c r="N936" s="18">
        <v>90935</v>
      </c>
      <c r="O936" s="18" t="s">
        <v>40</v>
      </c>
      <c r="P936" s="19">
        <v>45352</v>
      </c>
      <c r="Q936" s="20">
        <v>0.37945000000000001</v>
      </c>
      <c r="R936" s="21">
        <v>70935</v>
      </c>
      <c r="S936" s="18" t="s">
        <v>41</v>
      </c>
      <c r="T936" s="20">
        <v>67642.389930000005</v>
      </c>
      <c r="U936" s="18" t="s">
        <v>48</v>
      </c>
      <c r="V936" s="19">
        <v>45422</v>
      </c>
      <c r="W936" s="18" t="s">
        <v>32</v>
      </c>
      <c r="X936" s="19">
        <v>45384</v>
      </c>
      <c r="Y936" s="18" t="s">
        <v>33</v>
      </c>
      <c r="Z936" s="43" t="e">
        <f>TEXT([1]!Table64[[#This Row],[Order date]],"mmm-yyyy")</f>
        <v>#REF!</v>
      </c>
    </row>
    <row r="937" spans="1:26" x14ac:dyDescent="0.3">
      <c r="A937" s="22">
        <v>10936</v>
      </c>
      <c r="B937" s="23">
        <v>6683</v>
      </c>
      <c r="C937" s="23" t="s">
        <v>34</v>
      </c>
      <c r="D937" s="24">
        <v>57561.07</v>
      </c>
      <c r="E937" s="23">
        <v>40</v>
      </c>
      <c r="F937" s="23" t="s">
        <v>35</v>
      </c>
      <c r="G937" s="25">
        <v>45337</v>
      </c>
      <c r="H937" s="24">
        <v>145309.74</v>
      </c>
      <c r="I937" s="26" t="s">
        <v>44</v>
      </c>
      <c r="J937" s="15" t="s">
        <v>36</v>
      </c>
      <c r="K937" s="15">
        <v>569</v>
      </c>
      <c r="L937" s="16">
        <v>45397</v>
      </c>
      <c r="M937" s="17">
        <v>10</v>
      </c>
      <c r="N937" s="27">
        <v>90936</v>
      </c>
      <c r="O937" s="27" t="s">
        <v>40</v>
      </c>
      <c r="P937" s="28">
        <v>45352</v>
      </c>
      <c r="Q937" s="29">
        <v>0.99499000000000004</v>
      </c>
      <c r="R937" s="30">
        <v>70936</v>
      </c>
      <c r="S937" s="27" t="s">
        <v>41</v>
      </c>
      <c r="T937" s="29">
        <v>70489.274099999995</v>
      </c>
      <c r="U937" s="27" t="s">
        <v>31</v>
      </c>
      <c r="V937" s="28">
        <v>45444</v>
      </c>
      <c r="W937" s="27" t="s">
        <v>38</v>
      </c>
      <c r="X937" s="28">
        <v>45376</v>
      </c>
      <c r="Y937" s="27" t="s">
        <v>39</v>
      </c>
      <c r="Z937" s="43" t="e">
        <f>TEXT([1]!Table64[[#This Row],[Order date]],"mmm-yyyy")</f>
        <v>#REF!</v>
      </c>
    </row>
    <row r="938" spans="1:26" x14ac:dyDescent="0.3">
      <c r="A938" s="10">
        <v>10937</v>
      </c>
      <c r="B938" s="11">
        <v>6556</v>
      </c>
      <c r="C938" s="11" t="s">
        <v>34</v>
      </c>
      <c r="D938" s="12">
        <v>27879.09</v>
      </c>
      <c r="E938" s="11">
        <v>17</v>
      </c>
      <c r="F938" s="11" t="s">
        <v>43</v>
      </c>
      <c r="G938" s="13">
        <v>45383</v>
      </c>
      <c r="H938" s="12">
        <v>84331.91</v>
      </c>
      <c r="I938" s="14" t="s">
        <v>47</v>
      </c>
      <c r="J938" s="15" t="s">
        <v>28</v>
      </c>
      <c r="K938" s="15">
        <v>966</v>
      </c>
      <c r="L938" s="16">
        <v>45361</v>
      </c>
      <c r="M938" s="17">
        <v>3</v>
      </c>
      <c r="N938" s="18">
        <v>90937</v>
      </c>
      <c r="O938" s="18" t="s">
        <v>29</v>
      </c>
      <c r="P938" s="19">
        <v>45383</v>
      </c>
      <c r="Q938" s="20">
        <v>0.13447999999999999</v>
      </c>
      <c r="R938" s="21">
        <v>70937</v>
      </c>
      <c r="S938" s="18" t="s">
        <v>41</v>
      </c>
      <c r="T938" s="20">
        <v>158643.20882999999</v>
      </c>
      <c r="U938" s="18" t="s">
        <v>42</v>
      </c>
      <c r="V938" s="19">
        <v>45422</v>
      </c>
      <c r="W938" s="18" t="s">
        <v>38</v>
      </c>
      <c r="X938" s="19">
        <v>45376</v>
      </c>
      <c r="Y938" s="18" t="s">
        <v>33</v>
      </c>
      <c r="Z938" s="43" t="e">
        <f>TEXT([1]!Table64[[#This Row],[Order date]],"mmm-yyyy")</f>
        <v>#REF!</v>
      </c>
    </row>
    <row r="939" spans="1:26" x14ac:dyDescent="0.3">
      <c r="A939" s="22">
        <v>10938</v>
      </c>
      <c r="B939" s="23">
        <v>6465</v>
      </c>
      <c r="C939" s="23" t="s">
        <v>25</v>
      </c>
      <c r="D939" s="24">
        <v>24558.04</v>
      </c>
      <c r="E939" s="23">
        <v>34</v>
      </c>
      <c r="F939" s="23" t="s">
        <v>26</v>
      </c>
      <c r="G939" s="25">
        <v>45361</v>
      </c>
      <c r="H939" s="24">
        <v>25215</v>
      </c>
      <c r="I939" s="26" t="s">
        <v>44</v>
      </c>
      <c r="J939" s="15" t="s">
        <v>28</v>
      </c>
      <c r="K939" s="15">
        <v>766</v>
      </c>
      <c r="L939" s="16">
        <v>45332</v>
      </c>
      <c r="M939" s="17">
        <v>8</v>
      </c>
      <c r="N939" s="27">
        <v>90938</v>
      </c>
      <c r="O939" s="27" t="s">
        <v>40</v>
      </c>
      <c r="P939" s="28">
        <v>45430</v>
      </c>
      <c r="Q939" s="29">
        <v>0.24604999999999999</v>
      </c>
      <c r="R939" s="30">
        <v>70938</v>
      </c>
      <c r="S939" s="27" t="s">
        <v>30</v>
      </c>
      <c r="T939" s="29">
        <v>103004.22352</v>
      </c>
      <c r="U939" s="27" t="s">
        <v>48</v>
      </c>
      <c r="V939" s="28">
        <v>45392</v>
      </c>
      <c r="W939" s="27" t="s">
        <v>32</v>
      </c>
      <c r="X939" s="28">
        <v>45376</v>
      </c>
      <c r="Y939" s="27" t="s">
        <v>33</v>
      </c>
      <c r="Z939" s="43" t="e">
        <f>TEXT([1]!Table64[[#This Row],[Order date]],"mmm-yyyy")</f>
        <v>#REF!</v>
      </c>
    </row>
    <row r="940" spans="1:26" x14ac:dyDescent="0.3">
      <c r="A940" s="10">
        <v>10939</v>
      </c>
      <c r="B940" s="11">
        <v>6426</v>
      </c>
      <c r="C940" s="11" t="s">
        <v>25</v>
      </c>
      <c r="D940" s="12">
        <v>97138.16</v>
      </c>
      <c r="E940" s="11">
        <v>16</v>
      </c>
      <c r="F940" s="11" t="s">
        <v>46</v>
      </c>
      <c r="G940" s="13">
        <v>45383</v>
      </c>
      <c r="H940" s="12">
        <v>25994.83</v>
      </c>
      <c r="I940" s="14" t="s">
        <v>44</v>
      </c>
      <c r="J940" s="15" t="s">
        <v>36</v>
      </c>
      <c r="K940" s="15">
        <v>364</v>
      </c>
      <c r="L940" s="16">
        <v>45397</v>
      </c>
      <c r="M940" s="17">
        <v>7</v>
      </c>
      <c r="N940" s="18">
        <v>90939</v>
      </c>
      <c r="O940" s="18" t="s">
        <v>50</v>
      </c>
      <c r="P940" s="19">
        <v>45352</v>
      </c>
      <c r="Q940" s="20">
        <v>0.90329000000000004</v>
      </c>
      <c r="R940" s="21">
        <v>70939</v>
      </c>
      <c r="S940" s="18" t="s">
        <v>41</v>
      </c>
      <c r="T940" s="20">
        <v>174927.0379</v>
      </c>
      <c r="U940" s="18" t="s">
        <v>48</v>
      </c>
      <c r="V940" s="19">
        <v>45444</v>
      </c>
      <c r="W940" s="18" t="s">
        <v>38</v>
      </c>
      <c r="X940" s="19">
        <v>45376</v>
      </c>
      <c r="Y940" s="18" t="s">
        <v>33</v>
      </c>
      <c r="Z940" s="43" t="e">
        <f>TEXT([1]!Table64[[#This Row],[Order date]],"mmm-yyyy")</f>
        <v>#REF!</v>
      </c>
    </row>
    <row r="941" spans="1:26" x14ac:dyDescent="0.3">
      <c r="A941" s="22">
        <v>10940</v>
      </c>
      <c r="B941" s="23">
        <v>5047</v>
      </c>
      <c r="C941" s="23" t="s">
        <v>34</v>
      </c>
      <c r="D941" s="24">
        <v>24207.21</v>
      </c>
      <c r="E941" s="23">
        <v>60</v>
      </c>
      <c r="F941" s="23" t="s">
        <v>43</v>
      </c>
      <c r="G941" s="25">
        <v>45306</v>
      </c>
      <c r="H941" s="24">
        <v>116101.51</v>
      </c>
      <c r="I941" s="26" t="s">
        <v>27</v>
      </c>
      <c r="J941" s="15" t="s">
        <v>28</v>
      </c>
      <c r="K941" s="15">
        <v>758</v>
      </c>
      <c r="L941" s="16">
        <v>45332</v>
      </c>
      <c r="M941" s="17">
        <v>1</v>
      </c>
      <c r="N941" s="27">
        <v>90940</v>
      </c>
      <c r="O941" s="27" t="s">
        <v>29</v>
      </c>
      <c r="P941" s="28">
        <v>45383</v>
      </c>
      <c r="Q941" s="29">
        <v>0.15451000000000001</v>
      </c>
      <c r="R941" s="30">
        <v>70940</v>
      </c>
      <c r="S941" s="27" t="s">
        <v>41</v>
      </c>
      <c r="T941" s="29">
        <v>184921.02069999999</v>
      </c>
      <c r="U941" s="27" t="s">
        <v>42</v>
      </c>
      <c r="V941" s="28">
        <v>45444</v>
      </c>
      <c r="W941" s="27" t="s">
        <v>38</v>
      </c>
      <c r="X941" s="28">
        <v>45376</v>
      </c>
      <c r="Y941" s="27" t="s">
        <v>33</v>
      </c>
      <c r="Z941" s="43" t="e">
        <f>TEXT([1]!Table64[[#This Row],[Order date]],"mmm-yyyy")</f>
        <v>#REF!</v>
      </c>
    </row>
    <row r="942" spans="1:26" x14ac:dyDescent="0.3">
      <c r="A942" s="10">
        <v>10941</v>
      </c>
      <c r="B942" s="11">
        <v>6257</v>
      </c>
      <c r="C942" s="11" t="s">
        <v>34</v>
      </c>
      <c r="D942" s="12">
        <v>57810.28</v>
      </c>
      <c r="E942" s="11">
        <v>66</v>
      </c>
      <c r="F942" s="11" t="s">
        <v>43</v>
      </c>
      <c r="G942" s="13">
        <v>45306</v>
      </c>
      <c r="H942" s="12">
        <v>31394.240000000002</v>
      </c>
      <c r="I942" s="14" t="s">
        <v>44</v>
      </c>
      <c r="J942" s="15" t="s">
        <v>49</v>
      </c>
      <c r="K942" s="15">
        <v>759</v>
      </c>
      <c r="L942" s="16">
        <v>45397</v>
      </c>
      <c r="M942" s="17">
        <v>12</v>
      </c>
      <c r="N942" s="18">
        <v>90941</v>
      </c>
      <c r="O942" s="18" t="s">
        <v>37</v>
      </c>
      <c r="P942" s="19">
        <v>45383</v>
      </c>
      <c r="Q942" s="20">
        <v>0.89814000000000005</v>
      </c>
      <c r="R942" s="21">
        <v>70941</v>
      </c>
      <c r="S942" s="18" t="s">
        <v>41</v>
      </c>
      <c r="T942" s="20">
        <v>89552.769799999995</v>
      </c>
      <c r="U942" s="18" t="s">
        <v>31</v>
      </c>
      <c r="V942" s="19">
        <v>45422</v>
      </c>
      <c r="W942" s="18" t="s">
        <v>38</v>
      </c>
      <c r="X942" s="19">
        <v>45384</v>
      </c>
      <c r="Y942" s="18" t="s">
        <v>33</v>
      </c>
      <c r="Z942" s="43" t="e">
        <f>TEXT([1]!Table64[[#This Row],[Order date]],"mmm-yyyy")</f>
        <v>#REF!</v>
      </c>
    </row>
    <row r="943" spans="1:26" x14ac:dyDescent="0.3">
      <c r="A943" s="22">
        <v>10942</v>
      </c>
      <c r="B943" s="23">
        <v>6329</v>
      </c>
      <c r="C943" s="23" t="s">
        <v>34</v>
      </c>
      <c r="D943" s="24">
        <v>81795.47</v>
      </c>
      <c r="E943" s="23">
        <v>66</v>
      </c>
      <c r="F943" s="23" t="s">
        <v>46</v>
      </c>
      <c r="G943" s="25">
        <v>45337</v>
      </c>
      <c r="H943" s="24">
        <v>35806.199999999997</v>
      </c>
      <c r="I943" s="26" t="s">
        <v>44</v>
      </c>
      <c r="J943" s="15" t="s">
        <v>36</v>
      </c>
      <c r="K943" s="15">
        <v>1093</v>
      </c>
      <c r="L943" s="16">
        <v>45361</v>
      </c>
      <c r="M943" s="17">
        <v>13</v>
      </c>
      <c r="N943" s="27">
        <v>90942</v>
      </c>
      <c r="O943" s="27" t="s">
        <v>50</v>
      </c>
      <c r="P943" s="28">
        <v>45383</v>
      </c>
      <c r="Q943" s="29">
        <v>0.74370000000000003</v>
      </c>
      <c r="R943" s="30">
        <v>70942</v>
      </c>
      <c r="S943" s="27" t="s">
        <v>30</v>
      </c>
      <c r="T943" s="29">
        <v>135773.17933000001</v>
      </c>
      <c r="U943" s="27" t="s">
        <v>31</v>
      </c>
      <c r="V943" s="28">
        <v>45444</v>
      </c>
      <c r="W943" s="27" t="s">
        <v>32</v>
      </c>
      <c r="X943" s="28">
        <v>45376</v>
      </c>
      <c r="Y943" s="27" t="s">
        <v>39</v>
      </c>
      <c r="Z943" s="43" t="e">
        <f>TEXT([1]!Table64[[#This Row],[Order date]],"mmm-yyyy")</f>
        <v>#REF!</v>
      </c>
    </row>
    <row r="944" spans="1:26" x14ac:dyDescent="0.3">
      <c r="A944" s="10">
        <v>10943</v>
      </c>
      <c r="B944" s="11">
        <v>6550</v>
      </c>
      <c r="C944" s="11" t="s">
        <v>25</v>
      </c>
      <c r="D944" s="12">
        <v>40500.99</v>
      </c>
      <c r="E944" s="11">
        <v>90</v>
      </c>
      <c r="F944" s="11" t="s">
        <v>35</v>
      </c>
      <c r="G944" s="13">
        <v>45361</v>
      </c>
      <c r="H944" s="12">
        <v>108235.16</v>
      </c>
      <c r="I944" s="14" t="s">
        <v>47</v>
      </c>
      <c r="J944" s="15" t="s">
        <v>28</v>
      </c>
      <c r="K944" s="15">
        <v>609</v>
      </c>
      <c r="L944" s="16">
        <v>45332</v>
      </c>
      <c r="M944" s="17">
        <v>12</v>
      </c>
      <c r="N944" s="18">
        <v>90943</v>
      </c>
      <c r="O944" s="18" t="s">
        <v>50</v>
      </c>
      <c r="P944" s="19">
        <v>45430</v>
      </c>
      <c r="Q944" s="20">
        <v>0.13302</v>
      </c>
      <c r="R944" s="21">
        <v>70943</v>
      </c>
      <c r="S944" s="18" t="s">
        <v>45</v>
      </c>
      <c r="T944" s="20">
        <v>191141.13939999999</v>
      </c>
      <c r="U944" s="18" t="s">
        <v>42</v>
      </c>
      <c r="V944" s="19">
        <v>45422</v>
      </c>
      <c r="W944" s="18" t="s">
        <v>38</v>
      </c>
      <c r="X944" s="19">
        <v>45384</v>
      </c>
      <c r="Y944" s="18" t="s">
        <v>33</v>
      </c>
      <c r="Z944" s="43" t="e">
        <f>TEXT([1]!Table64[[#This Row],[Order date]],"mmm-yyyy")</f>
        <v>#REF!</v>
      </c>
    </row>
    <row r="945" spans="1:26" x14ac:dyDescent="0.3">
      <c r="A945" s="22">
        <v>10944</v>
      </c>
      <c r="B945" s="23">
        <v>6167</v>
      </c>
      <c r="C945" s="23" t="s">
        <v>34</v>
      </c>
      <c r="D945" s="24">
        <v>24279.78</v>
      </c>
      <c r="E945" s="23">
        <v>13</v>
      </c>
      <c r="F945" s="23" t="s">
        <v>46</v>
      </c>
      <c r="G945" s="25">
        <v>45383</v>
      </c>
      <c r="H945" s="24">
        <v>139994.29999999999</v>
      </c>
      <c r="I945" s="26" t="s">
        <v>44</v>
      </c>
      <c r="J945" s="15" t="s">
        <v>28</v>
      </c>
      <c r="K945" s="15">
        <v>1018</v>
      </c>
      <c r="L945" s="16">
        <v>45332</v>
      </c>
      <c r="M945" s="17">
        <v>5</v>
      </c>
      <c r="N945" s="27">
        <v>90944</v>
      </c>
      <c r="O945" s="27" t="s">
        <v>29</v>
      </c>
      <c r="P945" s="28">
        <v>45430</v>
      </c>
      <c r="Q945" s="29">
        <v>0.48638999999999999</v>
      </c>
      <c r="R945" s="30">
        <v>70944</v>
      </c>
      <c r="S945" s="27" t="s">
        <v>41</v>
      </c>
      <c r="T945" s="29">
        <v>51217.433550000002</v>
      </c>
      <c r="U945" s="27" t="s">
        <v>48</v>
      </c>
      <c r="V945" s="28">
        <v>45422</v>
      </c>
      <c r="W945" s="27" t="s">
        <v>38</v>
      </c>
      <c r="X945" s="28">
        <v>45384</v>
      </c>
      <c r="Y945" s="27" t="s">
        <v>39</v>
      </c>
      <c r="Z945" s="43" t="e">
        <f>TEXT([1]!Table64[[#This Row],[Order date]],"mmm-yyyy")</f>
        <v>#REF!</v>
      </c>
    </row>
    <row r="946" spans="1:26" x14ac:dyDescent="0.3">
      <c r="A946" s="10">
        <v>10945</v>
      </c>
      <c r="B946" s="11">
        <v>6439</v>
      </c>
      <c r="C946" s="11" t="s">
        <v>25</v>
      </c>
      <c r="D946" s="12">
        <v>71691.81</v>
      </c>
      <c r="E946" s="11">
        <v>56</v>
      </c>
      <c r="F946" s="11" t="s">
        <v>43</v>
      </c>
      <c r="G946" s="13">
        <v>45337</v>
      </c>
      <c r="H946" s="12">
        <v>81263.23</v>
      </c>
      <c r="I946" s="14" t="s">
        <v>44</v>
      </c>
      <c r="J946" s="15" t="s">
        <v>36</v>
      </c>
      <c r="K946" s="15">
        <v>1203</v>
      </c>
      <c r="L946" s="16">
        <v>45397</v>
      </c>
      <c r="M946" s="17">
        <v>9</v>
      </c>
      <c r="N946" s="18">
        <v>90945</v>
      </c>
      <c r="O946" s="18" t="s">
        <v>37</v>
      </c>
      <c r="P946" s="19">
        <v>45383</v>
      </c>
      <c r="Q946" s="20">
        <v>0.77902000000000005</v>
      </c>
      <c r="R946" s="21">
        <v>70945</v>
      </c>
      <c r="S946" s="18" t="s">
        <v>41</v>
      </c>
      <c r="T946" s="20">
        <v>57633.506139999998</v>
      </c>
      <c r="U946" s="18" t="s">
        <v>42</v>
      </c>
      <c r="V946" s="19">
        <v>45392</v>
      </c>
      <c r="W946" s="18" t="s">
        <v>38</v>
      </c>
      <c r="X946" s="19">
        <v>45376</v>
      </c>
      <c r="Y946" s="18" t="s">
        <v>33</v>
      </c>
      <c r="Z946" s="43" t="e">
        <f>TEXT([1]!Table64[[#This Row],[Order date]],"mmm-yyyy")</f>
        <v>#REF!</v>
      </c>
    </row>
    <row r="947" spans="1:26" x14ac:dyDescent="0.3">
      <c r="A947" s="22">
        <v>10946</v>
      </c>
      <c r="B947" s="23">
        <v>6537</v>
      </c>
      <c r="C947" s="23" t="s">
        <v>34</v>
      </c>
      <c r="D947" s="24">
        <v>41466</v>
      </c>
      <c r="E947" s="23">
        <v>31</v>
      </c>
      <c r="F947" s="23" t="s">
        <v>35</v>
      </c>
      <c r="G947" s="25">
        <v>45306</v>
      </c>
      <c r="H947" s="24">
        <v>146274.23000000001</v>
      </c>
      <c r="I947" s="26" t="s">
        <v>27</v>
      </c>
      <c r="J947" s="15" t="s">
        <v>28</v>
      </c>
      <c r="K947" s="15">
        <v>1366</v>
      </c>
      <c r="L947" s="16">
        <v>45332</v>
      </c>
      <c r="M947" s="17">
        <v>4</v>
      </c>
      <c r="N947" s="27">
        <v>90946</v>
      </c>
      <c r="O947" s="27" t="s">
        <v>50</v>
      </c>
      <c r="P947" s="28">
        <v>45430</v>
      </c>
      <c r="Q947" s="29">
        <v>0.62478999999999996</v>
      </c>
      <c r="R947" s="30">
        <v>70946</v>
      </c>
      <c r="S947" s="27" t="s">
        <v>41</v>
      </c>
      <c r="T947" s="29">
        <v>66823.178700000004</v>
      </c>
      <c r="U947" s="27" t="s">
        <v>31</v>
      </c>
      <c r="V947" s="28">
        <v>45444</v>
      </c>
      <c r="W947" s="27" t="s">
        <v>38</v>
      </c>
      <c r="X947" s="28">
        <v>45376</v>
      </c>
      <c r="Y947" s="27" t="s">
        <v>39</v>
      </c>
      <c r="Z947" s="43" t="e">
        <f>TEXT([1]!Table64[[#This Row],[Order date]],"mmm-yyyy")</f>
        <v>#REF!</v>
      </c>
    </row>
    <row r="948" spans="1:26" x14ac:dyDescent="0.3">
      <c r="A948" s="10">
        <v>10947</v>
      </c>
      <c r="B948" s="11">
        <v>6397</v>
      </c>
      <c r="C948" s="11" t="s">
        <v>34</v>
      </c>
      <c r="D948" s="12">
        <v>42546.32</v>
      </c>
      <c r="E948" s="11">
        <v>34</v>
      </c>
      <c r="F948" s="11" t="s">
        <v>26</v>
      </c>
      <c r="G948" s="13">
        <v>45306</v>
      </c>
      <c r="H948" s="12">
        <v>129879.12</v>
      </c>
      <c r="I948" s="14" t="s">
        <v>27</v>
      </c>
      <c r="J948" s="15" t="s">
        <v>36</v>
      </c>
      <c r="K948" s="15">
        <v>1205</v>
      </c>
      <c r="L948" s="16">
        <v>45397</v>
      </c>
      <c r="M948" s="17">
        <v>1</v>
      </c>
      <c r="N948" s="18">
        <v>90947</v>
      </c>
      <c r="O948" s="18" t="s">
        <v>40</v>
      </c>
      <c r="P948" s="19">
        <v>45430</v>
      </c>
      <c r="Q948" s="20">
        <v>0.94228000000000001</v>
      </c>
      <c r="R948" s="21">
        <v>70947</v>
      </c>
      <c r="S948" s="18" t="s">
        <v>30</v>
      </c>
      <c r="T948" s="20">
        <v>140943.4197</v>
      </c>
      <c r="U948" s="18" t="s">
        <v>48</v>
      </c>
      <c r="V948" s="19">
        <v>45422</v>
      </c>
      <c r="W948" s="18" t="s">
        <v>38</v>
      </c>
      <c r="X948" s="19">
        <v>45376</v>
      </c>
      <c r="Y948" s="18" t="s">
        <v>33</v>
      </c>
      <c r="Z948" s="43" t="e">
        <f>TEXT([1]!Table64[[#This Row],[Order date]],"mmm-yyyy")</f>
        <v>#REF!</v>
      </c>
    </row>
    <row r="949" spans="1:26" x14ac:dyDescent="0.3">
      <c r="A949" s="22">
        <v>10948</v>
      </c>
      <c r="B949" s="23">
        <v>6590</v>
      </c>
      <c r="C949" s="23" t="s">
        <v>34</v>
      </c>
      <c r="D949" s="24">
        <v>59327.91</v>
      </c>
      <c r="E949" s="23">
        <v>39</v>
      </c>
      <c r="F949" s="23" t="s">
        <v>26</v>
      </c>
      <c r="G949" s="25">
        <v>45361</v>
      </c>
      <c r="H949" s="24">
        <v>34942.93</v>
      </c>
      <c r="I949" s="26" t="s">
        <v>47</v>
      </c>
      <c r="J949" s="15" t="s">
        <v>28</v>
      </c>
      <c r="K949" s="15">
        <v>405</v>
      </c>
      <c r="L949" s="16">
        <v>45361</v>
      </c>
      <c r="M949" s="17">
        <v>8</v>
      </c>
      <c r="N949" s="27">
        <v>90948</v>
      </c>
      <c r="O949" s="27" t="s">
        <v>50</v>
      </c>
      <c r="P949" s="28">
        <v>45352</v>
      </c>
      <c r="Q949" s="29">
        <v>0.88088</v>
      </c>
      <c r="R949" s="30">
        <v>70948</v>
      </c>
      <c r="S949" s="27" t="s">
        <v>45</v>
      </c>
      <c r="T949" s="29">
        <v>171561.87317000001</v>
      </c>
      <c r="U949" s="27" t="s">
        <v>42</v>
      </c>
      <c r="V949" s="28">
        <v>45422</v>
      </c>
      <c r="W949" s="27" t="s">
        <v>38</v>
      </c>
      <c r="X949" s="28">
        <v>45384</v>
      </c>
      <c r="Y949" s="27" t="s">
        <v>39</v>
      </c>
      <c r="Z949" s="43" t="e">
        <f>TEXT([1]!Table64[[#This Row],[Order date]],"mmm-yyyy")</f>
        <v>#REF!</v>
      </c>
    </row>
    <row r="950" spans="1:26" x14ac:dyDescent="0.3">
      <c r="A950" s="10">
        <v>10949</v>
      </c>
      <c r="B950" s="11">
        <v>6910</v>
      </c>
      <c r="C950" s="11" t="s">
        <v>34</v>
      </c>
      <c r="D950" s="12">
        <v>44467.09</v>
      </c>
      <c r="E950" s="11">
        <v>67</v>
      </c>
      <c r="F950" s="11" t="s">
        <v>26</v>
      </c>
      <c r="G950" s="13">
        <v>45383</v>
      </c>
      <c r="H950" s="12">
        <v>146452.71</v>
      </c>
      <c r="I950" s="14" t="s">
        <v>27</v>
      </c>
      <c r="J950" s="15" t="s">
        <v>49</v>
      </c>
      <c r="K950" s="15">
        <v>1127</v>
      </c>
      <c r="L950" s="16">
        <v>45332</v>
      </c>
      <c r="M950" s="17">
        <v>5</v>
      </c>
      <c r="N950" s="18">
        <v>90949</v>
      </c>
      <c r="O950" s="18" t="s">
        <v>29</v>
      </c>
      <c r="P950" s="19">
        <v>45383</v>
      </c>
      <c r="Q950" s="20">
        <v>0.39938000000000001</v>
      </c>
      <c r="R950" s="21">
        <v>70949</v>
      </c>
      <c r="S950" s="18" t="s">
        <v>41</v>
      </c>
      <c r="T950" s="20">
        <v>129863.52546999999</v>
      </c>
      <c r="U950" s="18" t="s">
        <v>48</v>
      </c>
      <c r="V950" s="19">
        <v>45422</v>
      </c>
      <c r="W950" s="18" t="s">
        <v>38</v>
      </c>
      <c r="X950" s="19">
        <v>45376</v>
      </c>
      <c r="Y950" s="18" t="s">
        <v>39</v>
      </c>
      <c r="Z950" s="43" t="e">
        <f>TEXT([1]!Table64[[#This Row],[Order date]],"mmm-yyyy")</f>
        <v>#REF!</v>
      </c>
    </row>
    <row r="951" spans="1:26" x14ac:dyDescent="0.3">
      <c r="A951" s="22">
        <v>10950</v>
      </c>
      <c r="B951" s="23">
        <v>6283</v>
      </c>
      <c r="C951" s="23" t="s">
        <v>34</v>
      </c>
      <c r="D951" s="24">
        <v>49716.9</v>
      </c>
      <c r="E951" s="23">
        <v>8</v>
      </c>
      <c r="F951" s="23" t="s">
        <v>43</v>
      </c>
      <c r="G951" s="25">
        <v>45361</v>
      </c>
      <c r="H951" s="24">
        <v>149534.89000000001</v>
      </c>
      <c r="I951" s="26" t="s">
        <v>44</v>
      </c>
      <c r="J951" s="15" t="s">
        <v>28</v>
      </c>
      <c r="K951" s="15">
        <v>939</v>
      </c>
      <c r="L951" s="16">
        <v>45397</v>
      </c>
      <c r="M951" s="17">
        <v>2</v>
      </c>
      <c r="N951" s="27">
        <v>90950</v>
      </c>
      <c r="O951" s="27" t="s">
        <v>29</v>
      </c>
      <c r="P951" s="28">
        <v>45383</v>
      </c>
      <c r="Q951" s="29">
        <v>0.17616000000000001</v>
      </c>
      <c r="R951" s="30">
        <v>70950</v>
      </c>
      <c r="S951" s="27" t="s">
        <v>45</v>
      </c>
      <c r="T951" s="29">
        <v>140456.34362999999</v>
      </c>
      <c r="U951" s="27" t="s">
        <v>31</v>
      </c>
      <c r="V951" s="28">
        <v>45444</v>
      </c>
      <c r="W951" s="27" t="s">
        <v>32</v>
      </c>
      <c r="X951" s="28">
        <v>45384</v>
      </c>
      <c r="Y951" s="27" t="s">
        <v>39</v>
      </c>
      <c r="Z951" s="43" t="e">
        <f>TEXT([1]!Table64[[#This Row],[Order date]],"mmm-yyyy")</f>
        <v>#REF!</v>
      </c>
    </row>
    <row r="952" spans="1:26" x14ac:dyDescent="0.3">
      <c r="A952" s="10">
        <v>10951</v>
      </c>
      <c r="B952" s="11">
        <v>5656</v>
      </c>
      <c r="C952" s="11" t="s">
        <v>34</v>
      </c>
      <c r="D952" s="12">
        <v>49285.7</v>
      </c>
      <c r="E952" s="11">
        <v>87</v>
      </c>
      <c r="F952" s="11" t="s">
        <v>46</v>
      </c>
      <c r="G952" s="13">
        <v>45383</v>
      </c>
      <c r="H952" s="12">
        <v>41932.97</v>
      </c>
      <c r="I952" s="14" t="s">
        <v>44</v>
      </c>
      <c r="J952" s="15" t="s">
        <v>28</v>
      </c>
      <c r="K952" s="15">
        <v>842</v>
      </c>
      <c r="L952" s="16">
        <v>45332</v>
      </c>
      <c r="M952" s="17">
        <v>12</v>
      </c>
      <c r="N952" s="18">
        <v>90951</v>
      </c>
      <c r="O952" s="18" t="s">
        <v>29</v>
      </c>
      <c r="P952" s="19">
        <v>45430</v>
      </c>
      <c r="Q952" s="20">
        <v>0.94982999999999995</v>
      </c>
      <c r="R952" s="21">
        <v>70951</v>
      </c>
      <c r="S952" s="18" t="s">
        <v>30</v>
      </c>
      <c r="T952" s="20">
        <v>120744.9774</v>
      </c>
      <c r="U952" s="18" t="s">
        <v>31</v>
      </c>
      <c r="V952" s="19">
        <v>45444</v>
      </c>
      <c r="W952" s="18" t="s">
        <v>38</v>
      </c>
      <c r="X952" s="19">
        <v>45384</v>
      </c>
      <c r="Y952" s="18" t="s">
        <v>33</v>
      </c>
      <c r="Z952" s="43" t="e">
        <f>TEXT([1]!Table64[[#This Row],[Order date]],"mmm-yyyy")</f>
        <v>#REF!</v>
      </c>
    </row>
    <row r="953" spans="1:26" x14ac:dyDescent="0.3">
      <c r="A953" s="22">
        <v>10952</v>
      </c>
      <c r="B953" s="23">
        <v>5471</v>
      </c>
      <c r="C953" s="23" t="s">
        <v>34</v>
      </c>
      <c r="D953" s="24">
        <v>47976.21</v>
      </c>
      <c r="E953" s="23">
        <v>78</v>
      </c>
      <c r="F953" s="23" t="s">
        <v>35</v>
      </c>
      <c r="G953" s="25">
        <v>45383</v>
      </c>
      <c r="H953" s="24">
        <v>86417.74</v>
      </c>
      <c r="I953" s="26" t="s">
        <v>27</v>
      </c>
      <c r="J953" s="15" t="s">
        <v>36</v>
      </c>
      <c r="K953" s="15">
        <v>1460</v>
      </c>
      <c r="L953" s="16">
        <v>45397</v>
      </c>
      <c r="M953" s="17">
        <v>1</v>
      </c>
      <c r="N953" s="27">
        <v>90952</v>
      </c>
      <c r="O953" s="27" t="s">
        <v>50</v>
      </c>
      <c r="P953" s="28">
        <v>45383</v>
      </c>
      <c r="Q953" s="29">
        <v>0.56555999999999995</v>
      </c>
      <c r="R953" s="30">
        <v>70952</v>
      </c>
      <c r="S953" s="27" t="s">
        <v>30</v>
      </c>
      <c r="T953" s="29">
        <v>117657.57709999999</v>
      </c>
      <c r="U953" s="27" t="s">
        <v>31</v>
      </c>
      <c r="V953" s="28">
        <v>45444</v>
      </c>
      <c r="W953" s="27" t="s">
        <v>38</v>
      </c>
      <c r="X953" s="28">
        <v>45384</v>
      </c>
      <c r="Y953" s="27" t="s">
        <v>39</v>
      </c>
      <c r="Z953" s="43" t="e">
        <f>TEXT([1]!Table64[[#This Row],[Order date]],"mmm-yyyy")</f>
        <v>#REF!</v>
      </c>
    </row>
    <row r="954" spans="1:26" x14ac:dyDescent="0.3">
      <c r="A954" s="10">
        <v>10953</v>
      </c>
      <c r="B954" s="11">
        <v>6977</v>
      </c>
      <c r="C954" s="11" t="s">
        <v>25</v>
      </c>
      <c r="D954" s="12">
        <v>32350.42</v>
      </c>
      <c r="E954" s="11">
        <v>55</v>
      </c>
      <c r="F954" s="11" t="s">
        <v>26</v>
      </c>
      <c r="G954" s="13">
        <v>45361</v>
      </c>
      <c r="H954" s="12">
        <v>127559.71</v>
      </c>
      <c r="I954" s="14" t="s">
        <v>44</v>
      </c>
      <c r="J954" s="15" t="s">
        <v>28</v>
      </c>
      <c r="K954" s="15">
        <v>314</v>
      </c>
      <c r="L954" s="16">
        <v>45397</v>
      </c>
      <c r="M954" s="17">
        <v>14</v>
      </c>
      <c r="N954" s="18">
        <v>90953</v>
      </c>
      <c r="O954" s="18" t="s">
        <v>37</v>
      </c>
      <c r="P954" s="19">
        <v>45383</v>
      </c>
      <c r="Q954" s="20">
        <v>0.16696</v>
      </c>
      <c r="R954" s="21">
        <v>70953</v>
      </c>
      <c r="S954" s="18" t="s">
        <v>30</v>
      </c>
      <c r="T954" s="20">
        <v>164193.03002000001</v>
      </c>
      <c r="U954" s="18" t="s">
        <v>42</v>
      </c>
      <c r="V954" s="19">
        <v>45422</v>
      </c>
      <c r="W954" s="18" t="s">
        <v>32</v>
      </c>
      <c r="X954" s="19">
        <v>45384</v>
      </c>
      <c r="Y954" s="18" t="s">
        <v>33</v>
      </c>
      <c r="Z954" s="43" t="e">
        <f>TEXT([1]!Table64[[#This Row],[Order date]],"mmm-yyyy")</f>
        <v>#REF!</v>
      </c>
    </row>
    <row r="955" spans="1:26" x14ac:dyDescent="0.3">
      <c r="A955" s="22">
        <v>10954</v>
      </c>
      <c r="B955" s="23">
        <v>5971</v>
      </c>
      <c r="C955" s="23" t="s">
        <v>25</v>
      </c>
      <c r="D955" s="24">
        <v>36864.71</v>
      </c>
      <c r="E955" s="23">
        <v>27</v>
      </c>
      <c r="F955" s="23" t="s">
        <v>35</v>
      </c>
      <c r="G955" s="25">
        <v>45337</v>
      </c>
      <c r="H955" s="24">
        <v>15772.87</v>
      </c>
      <c r="I955" s="26" t="s">
        <v>44</v>
      </c>
      <c r="J955" s="15" t="s">
        <v>36</v>
      </c>
      <c r="K955" s="15">
        <v>1031</v>
      </c>
      <c r="L955" s="16">
        <v>45397</v>
      </c>
      <c r="M955" s="17">
        <v>12</v>
      </c>
      <c r="N955" s="27">
        <v>90954</v>
      </c>
      <c r="O955" s="27" t="s">
        <v>40</v>
      </c>
      <c r="P955" s="28">
        <v>45383</v>
      </c>
      <c r="Q955" s="29">
        <v>0.83492</v>
      </c>
      <c r="R955" s="30">
        <v>70954</v>
      </c>
      <c r="S955" s="27" t="s">
        <v>41</v>
      </c>
      <c r="T955" s="29">
        <v>72712.259569999995</v>
      </c>
      <c r="U955" s="27" t="s">
        <v>48</v>
      </c>
      <c r="V955" s="28">
        <v>45444</v>
      </c>
      <c r="W955" s="27" t="s">
        <v>38</v>
      </c>
      <c r="X955" s="28">
        <v>45376</v>
      </c>
      <c r="Y955" s="27" t="s">
        <v>33</v>
      </c>
      <c r="Z955" s="43" t="e">
        <f>TEXT([1]!Table64[[#This Row],[Order date]],"mmm-yyyy")</f>
        <v>#REF!</v>
      </c>
    </row>
    <row r="956" spans="1:26" x14ac:dyDescent="0.3">
      <c r="A956" s="10">
        <v>10955</v>
      </c>
      <c r="B956" s="11">
        <v>6036</v>
      </c>
      <c r="C956" s="11" t="s">
        <v>34</v>
      </c>
      <c r="D956" s="12">
        <v>73418</v>
      </c>
      <c r="E956" s="11">
        <v>93</v>
      </c>
      <c r="F956" s="11" t="s">
        <v>43</v>
      </c>
      <c r="G956" s="13">
        <v>45361</v>
      </c>
      <c r="H956" s="12">
        <v>156591.22</v>
      </c>
      <c r="I956" s="14" t="s">
        <v>47</v>
      </c>
      <c r="J956" s="15" t="s">
        <v>49</v>
      </c>
      <c r="K956" s="15">
        <v>1288</v>
      </c>
      <c r="L956" s="16">
        <v>45361</v>
      </c>
      <c r="M956" s="17">
        <v>12</v>
      </c>
      <c r="N956" s="18">
        <v>90955</v>
      </c>
      <c r="O956" s="18" t="s">
        <v>29</v>
      </c>
      <c r="P956" s="19">
        <v>45430</v>
      </c>
      <c r="Q956" s="20">
        <v>0.88166</v>
      </c>
      <c r="R956" s="21">
        <v>70955</v>
      </c>
      <c r="S956" s="18" t="s">
        <v>30</v>
      </c>
      <c r="T956" s="20">
        <v>98715.064799999993</v>
      </c>
      <c r="U956" s="18" t="s">
        <v>42</v>
      </c>
      <c r="V956" s="19">
        <v>45422</v>
      </c>
      <c r="W956" s="18" t="s">
        <v>38</v>
      </c>
      <c r="X956" s="19">
        <v>45376</v>
      </c>
      <c r="Y956" s="18" t="s">
        <v>33</v>
      </c>
      <c r="Z956" s="43" t="e">
        <f>TEXT([1]!Table64[[#This Row],[Order date]],"mmm-yyyy")</f>
        <v>#REF!</v>
      </c>
    </row>
    <row r="957" spans="1:26" x14ac:dyDescent="0.3">
      <c r="A957" s="22">
        <v>10956</v>
      </c>
      <c r="B957" s="23">
        <v>6354</v>
      </c>
      <c r="C957" s="23" t="s">
        <v>25</v>
      </c>
      <c r="D957" s="24">
        <v>77497.58</v>
      </c>
      <c r="E957" s="23">
        <v>53</v>
      </c>
      <c r="F957" s="23" t="s">
        <v>26</v>
      </c>
      <c r="G957" s="25">
        <v>45361</v>
      </c>
      <c r="H957" s="24">
        <v>25655.93</v>
      </c>
      <c r="I957" s="26" t="s">
        <v>27</v>
      </c>
      <c r="J957" s="15" t="s">
        <v>36</v>
      </c>
      <c r="K957" s="15">
        <v>851</v>
      </c>
      <c r="L957" s="16">
        <v>45332</v>
      </c>
      <c r="M957" s="17">
        <v>12</v>
      </c>
      <c r="N957" s="27">
        <v>90956</v>
      </c>
      <c r="O957" s="27" t="s">
        <v>37</v>
      </c>
      <c r="P957" s="28">
        <v>45430</v>
      </c>
      <c r="Q957" s="29">
        <v>0.67547999999999997</v>
      </c>
      <c r="R957" s="30">
        <v>70956</v>
      </c>
      <c r="S957" s="27" t="s">
        <v>41</v>
      </c>
      <c r="T957" s="29">
        <v>72664.411850000004</v>
      </c>
      <c r="U957" s="27" t="s">
        <v>42</v>
      </c>
      <c r="V957" s="28">
        <v>45444</v>
      </c>
      <c r="W957" s="27" t="s">
        <v>32</v>
      </c>
      <c r="X957" s="28">
        <v>45376</v>
      </c>
      <c r="Y957" s="27" t="s">
        <v>33</v>
      </c>
      <c r="Z957" s="43" t="e">
        <f>TEXT([1]!Table64[[#This Row],[Order date]],"mmm-yyyy")</f>
        <v>#REF!</v>
      </c>
    </row>
    <row r="958" spans="1:26" x14ac:dyDescent="0.3">
      <c r="A958" s="10">
        <v>10957</v>
      </c>
      <c r="B958" s="11">
        <v>5736</v>
      </c>
      <c r="C958" s="11" t="s">
        <v>34</v>
      </c>
      <c r="D958" s="12">
        <v>72872.87</v>
      </c>
      <c r="E958" s="11">
        <v>39</v>
      </c>
      <c r="F958" s="11" t="s">
        <v>43</v>
      </c>
      <c r="G958" s="13">
        <v>45306</v>
      </c>
      <c r="H958" s="12">
        <v>136052.10999999999</v>
      </c>
      <c r="I958" s="14" t="s">
        <v>44</v>
      </c>
      <c r="J958" s="15" t="s">
        <v>36</v>
      </c>
      <c r="K958" s="15">
        <v>92</v>
      </c>
      <c r="L958" s="16">
        <v>45361</v>
      </c>
      <c r="M958" s="17">
        <v>3</v>
      </c>
      <c r="N958" s="18">
        <v>90957</v>
      </c>
      <c r="O958" s="18" t="s">
        <v>40</v>
      </c>
      <c r="P958" s="19">
        <v>45430</v>
      </c>
      <c r="Q958" s="20">
        <v>0.50275999999999998</v>
      </c>
      <c r="R958" s="21">
        <v>70957</v>
      </c>
      <c r="S958" s="18" t="s">
        <v>41</v>
      </c>
      <c r="T958" s="20">
        <v>100049.51625</v>
      </c>
      <c r="U958" s="18" t="s">
        <v>42</v>
      </c>
      <c r="V958" s="19">
        <v>45444</v>
      </c>
      <c r="W958" s="18" t="s">
        <v>32</v>
      </c>
      <c r="X958" s="19">
        <v>45376</v>
      </c>
      <c r="Y958" s="18" t="s">
        <v>39</v>
      </c>
      <c r="Z958" s="43" t="e">
        <f>TEXT([1]!Table64[[#This Row],[Order date]],"mmm-yyyy")</f>
        <v>#REF!</v>
      </c>
    </row>
    <row r="959" spans="1:26" x14ac:dyDescent="0.3">
      <c r="A959" s="22">
        <v>10958</v>
      </c>
      <c r="B959" s="23">
        <v>5784</v>
      </c>
      <c r="C959" s="23" t="s">
        <v>34</v>
      </c>
      <c r="D959" s="24">
        <v>20554.169999999998</v>
      </c>
      <c r="E959" s="23">
        <v>65</v>
      </c>
      <c r="F959" s="23" t="s">
        <v>46</v>
      </c>
      <c r="G959" s="25">
        <v>45306</v>
      </c>
      <c r="H959" s="24">
        <v>112662.56</v>
      </c>
      <c r="I959" s="26" t="s">
        <v>27</v>
      </c>
      <c r="J959" s="15" t="s">
        <v>28</v>
      </c>
      <c r="K959" s="15">
        <v>911</v>
      </c>
      <c r="L959" s="16">
        <v>45397</v>
      </c>
      <c r="M959" s="17">
        <v>9</v>
      </c>
      <c r="N959" s="27">
        <v>90958</v>
      </c>
      <c r="O959" s="27" t="s">
        <v>29</v>
      </c>
      <c r="P959" s="28">
        <v>45352</v>
      </c>
      <c r="Q959" s="29">
        <v>0.69596000000000002</v>
      </c>
      <c r="R959" s="30">
        <v>70958</v>
      </c>
      <c r="S959" s="27" t="s">
        <v>41</v>
      </c>
      <c r="T959" s="29">
        <v>134061.66154</v>
      </c>
      <c r="U959" s="27" t="s">
        <v>42</v>
      </c>
      <c r="V959" s="28">
        <v>45422</v>
      </c>
      <c r="W959" s="27" t="s">
        <v>38</v>
      </c>
      <c r="X959" s="28">
        <v>45376</v>
      </c>
      <c r="Y959" s="27" t="s">
        <v>33</v>
      </c>
      <c r="Z959" s="43" t="e">
        <f>TEXT([1]!Table64[[#This Row],[Order date]],"mmm-yyyy")</f>
        <v>#REF!</v>
      </c>
    </row>
    <row r="960" spans="1:26" x14ac:dyDescent="0.3">
      <c r="A960" s="10">
        <v>10959</v>
      </c>
      <c r="B960" s="11">
        <v>5968</v>
      </c>
      <c r="C960" s="11" t="s">
        <v>34</v>
      </c>
      <c r="D960" s="12">
        <v>72765.070000000007</v>
      </c>
      <c r="E960" s="11">
        <v>17</v>
      </c>
      <c r="F960" s="11" t="s">
        <v>43</v>
      </c>
      <c r="G960" s="13">
        <v>45361</v>
      </c>
      <c r="H960" s="12">
        <v>37278.480000000003</v>
      </c>
      <c r="I960" s="14" t="s">
        <v>47</v>
      </c>
      <c r="J960" s="15" t="s">
        <v>49</v>
      </c>
      <c r="K960" s="15">
        <v>1351</v>
      </c>
      <c r="L960" s="16">
        <v>45397</v>
      </c>
      <c r="M960" s="17">
        <v>1</v>
      </c>
      <c r="N960" s="18">
        <v>90959</v>
      </c>
      <c r="O960" s="18" t="s">
        <v>40</v>
      </c>
      <c r="P960" s="19">
        <v>45383</v>
      </c>
      <c r="Q960" s="20">
        <v>0.73602000000000001</v>
      </c>
      <c r="R960" s="21">
        <v>70959</v>
      </c>
      <c r="S960" s="18" t="s">
        <v>41</v>
      </c>
      <c r="T960" s="20">
        <v>70058.5769</v>
      </c>
      <c r="U960" s="18" t="s">
        <v>48</v>
      </c>
      <c r="V960" s="19">
        <v>45444</v>
      </c>
      <c r="W960" s="18" t="s">
        <v>38</v>
      </c>
      <c r="X960" s="19">
        <v>45384</v>
      </c>
      <c r="Y960" s="18" t="s">
        <v>39</v>
      </c>
      <c r="Z960" s="43" t="e">
        <f>TEXT([1]!Table64[[#This Row],[Order date]],"mmm-yyyy")</f>
        <v>#REF!</v>
      </c>
    </row>
    <row r="961" spans="1:26" x14ac:dyDescent="0.3">
      <c r="A961" s="22">
        <v>10960</v>
      </c>
      <c r="B961" s="23">
        <v>5358</v>
      </c>
      <c r="C961" s="23" t="s">
        <v>34</v>
      </c>
      <c r="D961" s="24">
        <v>59465.59</v>
      </c>
      <c r="E961" s="23">
        <v>30</v>
      </c>
      <c r="F961" s="23" t="s">
        <v>43</v>
      </c>
      <c r="G961" s="25">
        <v>45361</v>
      </c>
      <c r="H961" s="24">
        <v>66980.039999999994</v>
      </c>
      <c r="I961" s="26" t="s">
        <v>27</v>
      </c>
      <c r="J961" s="15" t="s">
        <v>36</v>
      </c>
      <c r="K961" s="15">
        <v>1203</v>
      </c>
      <c r="L961" s="16">
        <v>45361</v>
      </c>
      <c r="M961" s="17">
        <v>4</v>
      </c>
      <c r="N961" s="27">
        <v>90960</v>
      </c>
      <c r="O961" s="27" t="s">
        <v>40</v>
      </c>
      <c r="P961" s="28">
        <v>45352</v>
      </c>
      <c r="Q961" s="29">
        <v>0.90373000000000003</v>
      </c>
      <c r="R961" s="30">
        <v>70960</v>
      </c>
      <c r="S961" s="27" t="s">
        <v>41</v>
      </c>
      <c r="T961" s="29">
        <v>148680.16759999999</v>
      </c>
      <c r="U961" s="27" t="s">
        <v>48</v>
      </c>
      <c r="V961" s="28">
        <v>45422</v>
      </c>
      <c r="W961" s="27" t="s">
        <v>38</v>
      </c>
      <c r="X961" s="28">
        <v>45384</v>
      </c>
      <c r="Y961" s="27" t="s">
        <v>39</v>
      </c>
      <c r="Z961" s="43" t="e">
        <f>TEXT([1]!Table64[[#This Row],[Order date]],"mmm-yyyy")</f>
        <v>#REF!</v>
      </c>
    </row>
    <row r="962" spans="1:26" x14ac:dyDescent="0.3">
      <c r="A962" s="10">
        <v>10961</v>
      </c>
      <c r="B962" s="11">
        <v>5972</v>
      </c>
      <c r="C962" s="11" t="s">
        <v>34</v>
      </c>
      <c r="D962" s="12">
        <v>48578.01</v>
      </c>
      <c r="E962" s="11">
        <v>53</v>
      </c>
      <c r="F962" s="11" t="s">
        <v>46</v>
      </c>
      <c r="G962" s="13">
        <v>45306</v>
      </c>
      <c r="H962" s="12">
        <v>67375.960000000006</v>
      </c>
      <c r="I962" s="14" t="s">
        <v>44</v>
      </c>
      <c r="J962" s="15" t="s">
        <v>28</v>
      </c>
      <c r="K962" s="15">
        <v>399</v>
      </c>
      <c r="L962" s="16">
        <v>45361</v>
      </c>
      <c r="M962" s="17">
        <v>8</v>
      </c>
      <c r="N962" s="18">
        <v>90961</v>
      </c>
      <c r="O962" s="18" t="s">
        <v>37</v>
      </c>
      <c r="P962" s="19">
        <v>45430</v>
      </c>
      <c r="Q962" s="20">
        <v>0.96028000000000002</v>
      </c>
      <c r="R962" s="21">
        <v>70961</v>
      </c>
      <c r="S962" s="18" t="s">
        <v>41</v>
      </c>
      <c r="T962" s="20">
        <v>53174.030359999997</v>
      </c>
      <c r="U962" s="18" t="s">
        <v>42</v>
      </c>
      <c r="V962" s="19">
        <v>45444</v>
      </c>
      <c r="W962" s="18" t="s">
        <v>38</v>
      </c>
      <c r="X962" s="19">
        <v>45376</v>
      </c>
      <c r="Y962" s="18" t="s">
        <v>33</v>
      </c>
      <c r="Z962" s="43" t="e">
        <f>TEXT([1]!Table64[[#This Row],[Order date]],"mmm-yyyy")</f>
        <v>#REF!</v>
      </c>
    </row>
    <row r="963" spans="1:26" x14ac:dyDescent="0.3">
      <c r="A963" s="22">
        <v>10962</v>
      </c>
      <c r="B963" s="23">
        <v>6432</v>
      </c>
      <c r="C963" s="23" t="s">
        <v>34</v>
      </c>
      <c r="D963" s="24">
        <v>34519.97</v>
      </c>
      <c r="E963" s="23">
        <v>13</v>
      </c>
      <c r="F963" s="23" t="s">
        <v>35</v>
      </c>
      <c r="G963" s="25">
        <v>45383</v>
      </c>
      <c r="H963" s="24">
        <v>151264.35</v>
      </c>
      <c r="I963" s="26" t="s">
        <v>27</v>
      </c>
      <c r="J963" s="15" t="s">
        <v>28</v>
      </c>
      <c r="K963" s="15">
        <v>1179</v>
      </c>
      <c r="L963" s="16">
        <v>45332</v>
      </c>
      <c r="M963" s="17">
        <v>8</v>
      </c>
      <c r="N963" s="27">
        <v>90962</v>
      </c>
      <c r="O963" s="27" t="s">
        <v>40</v>
      </c>
      <c r="P963" s="28">
        <v>45352</v>
      </c>
      <c r="Q963" s="29">
        <v>0.56289</v>
      </c>
      <c r="R963" s="30">
        <v>70962</v>
      </c>
      <c r="S963" s="27" t="s">
        <v>45</v>
      </c>
      <c r="T963" s="29">
        <v>182772.15841</v>
      </c>
      <c r="U963" s="27" t="s">
        <v>42</v>
      </c>
      <c r="V963" s="28">
        <v>45444</v>
      </c>
      <c r="W963" s="27" t="s">
        <v>38</v>
      </c>
      <c r="X963" s="28">
        <v>45376</v>
      </c>
      <c r="Y963" s="27" t="s">
        <v>33</v>
      </c>
      <c r="Z963" s="43" t="e">
        <f>TEXT([1]!Table64[[#This Row],[Order date]],"mmm-yyyy")</f>
        <v>#REF!</v>
      </c>
    </row>
    <row r="964" spans="1:26" x14ac:dyDescent="0.3">
      <c r="A964" s="10">
        <v>10963</v>
      </c>
      <c r="B964" s="11">
        <v>5668</v>
      </c>
      <c r="C964" s="11" t="s">
        <v>25</v>
      </c>
      <c r="D964" s="12">
        <v>71160.44</v>
      </c>
      <c r="E964" s="11">
        <v>21</v>
      </c>
      <c r="F964" s="11" t="s">
        <v>46</v>
      </c>
      <c r="G964" s="13">
        <v>45361</v>
      </c>
      <c r="H964" s="12">
        <v>107480.95</v>
      </c>
      <c r="I964" s="14" t="s">
        <v>44</v>
      </c>
      <c r="J964" s="15" t="s">
        <v>36</v>
      </c>
      <c r="K964" s="15">
        <v>961</v>
      </c>
      <c r="L964" s="16">
        <v>45397</v>
      </c>
      <c r="M964" s="17">
        <v>10</v>
      </c>
      <c r="N964" s="18">
        <v>90963</v>
      </c>
      <c r="O964" s="18" t="s">
        <v>29</v>
      </c>
      <c r="P964" s="19">
        <v>45383</v>
      </c>
      <c r="Q964" s="20">
        <v>0.81864999999999999</v>
      </c>
      <c r="R964" s="21">
        <v>70963</v>
      </c>
      <c r="S964" s="18" t="s">
        <v>41</v>
      </c>
      <c r="T964" s="20">
        <v>73425.905249999996</v>
      </c>
      <c r="U964" s="18" t="s">
        <v>31</v>
      </c>
      <c r="V964" s="19">
        <v>45444</v>
      </c>
      <c r="W964" s="18" t="s">
        <v>38</v>
      </c>
      <c r="X964" s="19">
        <v>45376</v>
      </c>
      <c r="Y964" s="18" t="s">
        <v>33</v>
      </c>
      <c r="Z964" s="43" t="e">
        <f>TEXT([1]!Table64[[#This Row],[Order date]],"mmm-yyyy")</f>
        <v>#REF!</v>
      </c>
    </row>
    <row r="965" spans="1:26" x14ac:dyDescent="0.3">
      <c r="A965" s="22">
        <v>10964</v>
      </c>
      <c r="B965" s="23">
        <v>5373</v>
      </c>
      <c r="C965" s="23" t="s">
        <v>25</v>
      </c>
      <c r="D965" s="24">
        <v>31967.22</v>
      </c>
      <c r="E965" s="23">
        <v>19</v>
      </c>
      <c r="F965" s="23" t="s">
        <v>46</v>
      </c>
      <c r="G965" s="25">
        <v>45337</v>
      </c>
      <c r="H965" s="24">
        <v>23062.28</v>
      </c>
      <c r="I965" s="26" t="s">
        <v>44</v>
      </c>
      <c r="J965" s="15" t="s">
        <v>28</v>
      </c>
      <c r="K965" s="15">
        <v>50</v>
      </c>
      <c r="L965" s="16">
        <v>45361</v>
      </c>
      <c r="M965" s="17">
        <v>12</v>
      </c>
      <c r="N965" s="27">
        <v>90964</v>
      </c>
      <c r="O965" s="27" t="s">
        <v>37</v>
      </c>
      <c r="P965" s="28">
        <v>45383</v>
      </c>
      <c r="Q965" s="29">
        <v>0.96806000000000003</v>
      </c>
      <c r="R965" s="30">
        <v>70964</v>
      </c>
      <c r="S965" s="27" t="s">
        <v>41</v>
      </c>
      <c r="T965" s="29">
        <v>207831.1464</v>
      </c>
      <c r="U965" s="27" t="s">
        <v>31</v>
      </c>
      <c r="V965" s="28">
        <v>45444</v>
      </c>
      <c r="W965" s="27" t="s">
        <v>38</v>
      </c>
      <c r="X965" s="28">
        <v>45376</v>
      </c>
      <c r="Y965" s="27" t="s">
        <v>33</v>
      </c>
      <c r="Z965" s="43" t="e">
        <f>TEXT([1]!Table64[[#This Row],[Order date]],"mmm-yyyy")</f>
        <v>#REF!</v>
      </c>
    </row>
    <row r="966" spans="1:26" x14ac:dyDescent="0.3">
      <c r="A966" s="10">
        <v>10965</v>
      </c>
      <c r="B966" s="11">
        <v>6032</v>
      </c>
      <c r="C966" s="11" t="s">
        <v>34</v>
      </c>
      <c r="D966" s="12">
        <v>51773.42</v>
      </c>
      <c r="E966" s="11">
        <v>53</v>
      </c>
      <c r="F966" s="11" t="s">
        <v>43</v>
      </c>
      <c r="G966" s="13">
        <v>45337</v>
      </c>
      <c r="H966" s="12">
        <v>101067.66</v>
      </c>
      <c r="I966" s="14" t="s">
        <v>44</v>
      </c>
      <c r="J966" s="15" t="s">
        <v>36</v>
      </c>
      <c r="K966" s="15">
        <v>633</v>
      </c>
      <c r="L966" s="16">
        <v>45397</v>
      </c>
      <c r="M966" s="17">
        <v>11</v>
      </c>
      <c r="N966" s="18">
        <v>90965</v>
      </c>
      <c r="O966" s="18" t="s">
        <v>50</v>
      </c>
      <c r="P966" s="19">
        <v>45430</v>
      </c>
      <c r="Q966" s="20">
        <v>0.23612</v>
      </c>
      <c r="R966" s="21">
        <v>70965</v>
      </c>
      <c r="S966" s="18" t="s">
        <v>30</v>
      </c>
      <c r="T966" s="20">
        <v>121428.978</v>
      </c>
      <c r="U966" s="18" t="s">
        <v>48</v>
      </c>
      <c r="V966" s="19">
        <v>45392</v>
      </c>
      <c r="W966" s="18" t="s">
        <v>38</v>
      </c>
      <c r="X966" s="19">
        <v>45384</v>
      </c>
      <c r="Y966" s="18" t="s">
        <v>33</v>
      </c>
      <c r="Z966" s="43" t="e">
        <f>TEXT([1]!Table64[[#This Row],[Order date]],"mmm-yyyy")</f>
        <v>#REF!</v>
      </c>
    </row>
    <row r="967" spans="1:26" x14ac:dyDescent="0.3">
      <c r="A967" s="22">
        <v>10966</v>
      </c>
      <c r="B967" s="23">
        <v>6146</v>
      </c>
      <c r="C967" s="23" t="s">
        <v>34</v>
      </c>
      <c r="D967" s="24">
        <v>78180.36</v>
      </c>
      <c r="E967" s="23">
        <v>19</v>
      </c>
      <c r="F967" s="23" t="s">
        <v>35</v>
      </c>
      <c r="G967" s="25">
        <v>45337</v>
      </c>
      <c r="H967" s="24">
        <v>22018.5</v>
      </c>
      <c r="I967" s="26" t="s">
        <v>47</v>
      </c>
      <c r="J967" s="15" t="s">
        <v>36</v>
      </c>
      <c r="K967" s="15">
        <v>481</v>
      </c>
      <c r="L967" s="16">
        <v>45397</v>
      </c>
      <c r="M967" s="17">
        <v>13</v>
      </c>
      <c r="N967" s="27">
        <v>90966</v>
      </c>
      <c r="O967" s="27" t="s">
        <v>50</v>
      </c>
      <c r="P967" s="28">
        <v>45430</v>
      </c>
      <c r="Q967" s="29">
        <v>0.11644</v>
      </c>
      <c r="R967" s="30">
        <v>70966</v>
      </c>
      <c r="S967" s="27" t="s">
        <v>30</v>
      </c>
      <c r="T967" s="29">
        <v>146213.375</v>
      </c>
      <c r="U967" s="27" t="s">
        <v>31</v>
      </c>
      <c r="V967" s="28">
        <v>45422</v>
      </c>
      <c r="W967" s="27" t="s">
        <v>38</v>
      </c>
      <c r="X967" s="28">
        <v>45376</v>
      </c>
      <c r="Y967" s="27" t="s">
        <v>33</v>
      </c>
      <c r="Z967" s="43" t="e">
        <f>TEXT([1]!Table64[[#This Row],[Order date]],"mmm-yyyy")</f>
        <v>#REF!</v>
      </c>
    </row>
    <row r="968" spans="1:26" x14ac:dyDescent="0.3">
      <c r="A968" s="10">
        <v>10967</v>
      </c>
      <c r="B968" s="11">
        <v>6372</v>
      </c>
      <c r="C968" s="11" t="s">
        <v>25</v>
      </c>
      <c r="D968" s="12">
        <v>26850.61</v>
      </c>
      <c r="E968" s="11">
        <v>57</v>
      </c>
      <c r="F968" s="11" t="s">
        <v>26</v>
      </c>
      <c r="G968" s="13">
        <v>45361</v>
      </c>
      <c r="H968" s="12">
        <v>76936.36</v>
      </c>
      <c r="I968" s="14" t="s">
        <v>27</v>
      </c>
      <c r="J968" s="15" t="s">
        <v>36</v>
      </c>
      <c r="K968" s="15">
        <v>1379</v>
      </c>
      <c r="L968" s="16">
        <v>45332</v>
      </c>
      <c r="M968" s="17">
        <v>11</v>
      </c>
      <c r="N968" s="18">
        <v>90967</v>
      </c>
      <c r="O968" s="18" t="s">
        <v>37</v>
      </c>
      <c r="P968" s="19">
        <v>45352</v>
      </c>
      <c r="Q968" s="20">
        <v>0.88207000000000002</v>
      </c>
      <c r="R968" s="21">
        <v>70967</v>
      </c>
      <c r="S968" s="18" t="s">
        <v>41</v>
      </c>
      <c r="T968" s="20">
        <v>107373.1358</v>
      </c>
      <c r="U968" s="18" t="s">
        <v>48</v>
      </c>
      <c r="V968" s="19">
        <v>45392</v>
      </c>
      <c r="W968" s="18" t="s">
        <v>38</v>
      </c>
      <c r="X968" s="19">
        <v>45376</v>
      </c>
      <c r="Y968" s="18" t="s">
        <v>39</v>
      </c>
      <c r="Z968" s="43" t="e">
        <f>TEXT([1]!Table64[[#This Row],[Order date]],"mmm-yyyy")</f>
        <v>#REF!</v>
      </c>
    </row>
    <row r="969" spans="1:26" x14ac:dyDescent="0.3">
      <c r="A969" s="22">
        <v>10968</v>
      </c>
      <c r="B969" s="23">
        <v>5676</v>
      </c>
      <c r="C969" s="23" t="s">
        <v>34</v>
      </c>
      <c r="D969" s="24">
        <v>53864.3</v>
      </c>
      <c r="E969" s="23">
        <v>25</v>
      </c>
      <c r="F969" s="23" t="s">
        <v>46</v>
      </c>
      <c r="G969" s="25">
        <v>45383</v>
      </c>
      <c r="H969" s="24">
        <v>135264.69</v>
      </c>
      <c r="I969" s="26" t="s">
        <v>47</v>
      </c>
      <c r="J969" s="15" t="s">
        <v>49</v>
      </c>
      <c r="K969" s="15">
        <v>102</v>
      </c>
      <c r="L969" s="16">
        <v>45332</v>
      </c>
      <c r="M969" s="17">
        <v>8</v>
      </c>
      <c r="N969" s="27">
        <v>90968</v>
      </c>
      <c r="O969" s="27" t="s">
        <v>50</v>
      </c>
      <c r="P969" s="28">
        <v>45430</v>
      </c>
      <c r="Q969" s="29">
        <v>0.27575</v>
      </c>
      <c r="R969" s="30">
        <v>70968</v>
      </c>
      <c r="S969" s="27" t="s">
        <v>30</v>
      </c>
      <c r="T969" s="29">
        <v>85824.719599999997</v>
      </c>
      <c r="U969" s="27" t="s">
        <v>48</v>
      </c>
      <c r="V969" s="28">
        <v>45444</v>
      </c>
      <c r="W969" s="27" t="s">
        <v>32</v>
      </c>
      <c r="X969" s="28">
        <v>45376</v>
      </c>
      <c r="Y969" s="27" t="s">
        <v>33</v>
      </c>
      <c r="Z969" s="43" t="e">
        <f>TEXT([1]!Table64[[#This Row],[Order date]],"mmm-yyyy")</f>
        <v>#REF!</v>
      </c>
    </row>
    <row r="970" spans="1:26" x14ac:dyDescent="0.3">
      <c r="A970" s="10">
        <v>10969</v>
      </c>
      <c r="B970" s="11">
        <v>5090</v>
      </c>
      <c r="C970" s="11" t="s">
        <v>25</v>
      </c>
      <c r="D970" s="12">
        <v>23550.54</v>
      </c>
      <c r="E970" s="11">
        <v>86</v>
      </c>
      <c r="F970" s="11" t="s">
        <v>35</v>
      </c>
      <c r="G970" s="13">
        <v>45383</v>
      </c>
      <c r="H970" s="12">
        <v>48127.88</v>
      </c>
      <c r="I970" s="14" t="s">
        <v>27</v>
      </c>
      <c r="J970" s="15" t="s">
        <v>36</v>
      </c>
      <c r="K970" s="15">
        <v>989</v>
      </c>
      <c r="L970" s="16">
        <v>45332</v>
      </c>
      <c r="M970" s="17">
        <v>10</v>
      </c>
      <c r="N970" s="18">
        <v>90969</v>
      </c>
      <c r="O970" s="18" t="s">
        <v>40</v>
      </c>
      <c r="P970" s="19">
        <v>45352</v>
      </c>
      <c r="Q970" s="20">
        <v>0.13822999999999999</v>
      </c>
      <c r="R970" s="21">
        <v>70969</v>
      </c>
      <c r="S970" s="18" t="s">
        <v>41</v>
      </c>
      <c r="T970" s="20">
        <v>181744.79689999999</v>
      </c>
      <c r="U970" s="18" t="s">
        <v>48</v>
      </c>
      <c r="V970" s="19">
        <v>45444</v>
      </c>
      <c r="W970" s="18" t="s">
        <v>32</v>
      </c>
      <c r="X970" s="19">
        <v>45376</v>
      </c>
      <c r="Y970" s="18" t="s">
        <v>33</v>
      </c>
      <c r="Z970" s="43" t="e">
        <f>TEXT([1]!Table64[[#This Row],[Order date]],"mmm-yyyy")</f>
        <v>#REF!</v>
      </c>
    </row>
    <row r="971" spans="1:26" x14ac:dyDescent="0.3">
      <c r="A971" s="22">
        <v>10970</v>
      </c>
      <c r="B971" s="23">
        <v>6672</v>
      </c>
      <c r="C971" s="23" t="s">
        <v>34</v>
      </c>
      <c r="D971" s="24">
        <v>45581.35</v>
      </c>
      <c r="E971" s="23">
        <v>31</v>
      </c>
      <c r="F971" s="23" t="s">
        <v>46</v>
      </c>
      <c r="G971" s="25">
        <v>45306</v>
      </c>
      <c r="H971" s="24">
        <v>131812.26</v>
      </c>
      <c r="I971" s="26" t="s">
        <v>47</v>
      </c>
      <c r="J971" s="15" t="s">
        <v>28</v>
      </c>
      <c r="K971" s="15">
        <v>569</v>
      </c>
      <c r="L971" s="16">
        <v>45361</v>
      </c>
      <c r="M971" s="17">
        <v>8</v>
      </c>
      <c r="N971" s="27">
        <v>90970</v>
      </c>
      <c r="O971" s="27" t="s">
        <v>29</v>
      </c>
      <c r="P971" s="28">
        <v>45383</v>
      </c>
      <c r="Q971" s="29">
        <v>0.24409</v>
      </c>
      <c r="R971" s="30">
        <v>70970</v>
      </c>
      <c r="S971" s="27" t="s">
        <v>30</v>
      </c>
      <c r="T971" s="29">
        <v>131726.72057</v>
      </c>
      <c r="U971" s="27" t="s">
        <v>31</v>
      </c>
      <c r="V971" s="28">
        <v>45422</v>
      </c>
      <c r="W971" s="27" t="s">
        <v>38</v>
      </c>
      <c r="X971" s="28">
        <v>45376</v>
      </c>
      <c r="Y971" s="27" t="s">
        <v>33</v>
      </c>
      <c r="Z971" s="43" t="e">
        <f>TEXT([1]!Table64[[#This Row],[Order date]],"mmm-yyyy")</f>
        <v>#REF!</v>
      </c>
    </row>
    <row r="972" spans="1:26" x14ac:dyDescent="0.3">
      <c r="A972" s="10">
        <v>10971</v>
      </c>
      <c r="B972" s="11">
        <v>5698</v>
      </c>
      <c r="C972" s="11" t="s">
        <v>34</v>
      </c>
      <c r="D972" s="12">
        <v>89876.61</v>
      </c>
      <c r="E972" s="11">
        <v>81</v>
      </c>
      <c r="F972" s="11" t="s">
        <v>46</v>
      </c>
      <c r="G972" s="13">
        <v>45361</v>
      </c>
      <c r="H972" s="12">
        <v>141164.92000000001</v>
      </c>
      <c r="I972" s="14" t="s">
        <v>44</v>
      </c>
      <c r="J972" s="15" t="s">
        <v>49</v>
      </c>
      <c r="K972" s="15">
        <v>1403</v>
      </c>
      <c r="L972" s="16">
        <v>45397</v>
      </c>
      <c r="M972" s="17">
        <v>4</v>
      </c>
      <c r="N972" s="18">
        <v>90971</v>
      </c>
      <c r="O972" s="18" t="s">
        <v>40</v>
      </c>
      <c r="P972" s="19">
        <v>45383</v>
      </c>
      <c r="Q972" s="20">
        <v>0.44569999999999999</v>
      </c>
      <c r="R972" s="21">
        <v>70971</v>
      </c>
      <c r="S972" s="18" t="s">
        <v>41</v>
      </c>
      <c r="T972" s="20">
        <v>190053.80596999999</v>
      </c>
      <c r="U972" s="18" t="s">
        <v>31</v>
      </c>
      <c r="V972" s="19">
        <v>45422</v>
      </c>
      <c r="W972" s="18" t="s">
        <v>38</v>
      </c>
      <c r="X972" s="19">
        <v>45376</v>
      </c>
      <c r="Y972" s="18" t="s">
        <v>39</v>
      </c>
      <c r="Z972" s="43" t="e">
        <f>TEXT([1]!Table64[[#This Row],[Order date]],"mmm-yyyy")</f>
        <v>#REF!</v>
      </c>
    </row>
    <row r="973" spans="1:26" x14ac:dyDescent="0.3">
      <c r="A973" s="22">
        <v>10972</v>
      </c>
      <c r="B973" s="23">
        <v>6340</v>
      </c>
      <c r="C973" s="23" t="s">
        <v>25</v>
      </c>
      <c r="D973" s="24">
        <v>77900.75</v>
      </c>
      <c r="E973" s="23">
        <v>55</v>
      </c>
      <c r="F973" s="23" t="s">
        <v>46</v>
      </c>
      <c r="G973" s="25">
        <v>45383</v>
      </c>
      <c r="H973" s="24">
        <v>33127.050000000003</v>
      </c>
      <c r="I973" s="26" t="s">
        <v>44</v>
      </c>
      <c r="J973" s="15" t="s">
        <v>28</v>
      </c>
      <c r="K973" s="15">
        <v>1398</v>
      </c>
      <c r="L973" s="16">
        <v>45361</v>
      </c>
      <c r="M973" s="17">
        <v>8</v>
      </c>
      <c r="N973" s="27">
        <v>90972</v>
      </c>
      <c r="O973" s="27" t="s">
        <v>37</v>
      </c>
      <c r="P973" s="28">
        <v>45383</v>
      </c>
      <c r="Q973" s="29">
        <v>0.29733999999999999</v>
      </c>
      <c r="R973" s="30">
        <v>70972</v>
      </c>
      <c r="S973" s="27" t="s">
        <v>30</v>
      </c>
      <c r="T973" s="29">
        <v>150518.01452</v>
      </c>
      <c r="U973" s="27" t="s">
        <v>48</v>
      </c>
      <c r="V973" s="28">
        <v>45422</v>
      </c>
      <c r="W973" s="27" t="s">
        <v>38</v>
      </c>
      <c r="X973" s="28">
        <v>45384</v>
      </c>
      <c r="Y973" s="27" t="s">
        <v>39</v>
      </c>
      <c r="Z973" s="43" t="e">
        <f>TEXT([1]!Table64[[#This Row],[Order date]],"mmm-yyyy")</f>
        <v>#REF!</v>
      </c>
    </row>
    <row r="974" spans="1:26" x14ac:dyDescent="0.3">
      <c r="A974" s="10">
        <v>10973</v>
      </c>
      <c r="B974" s="11">
        <v>6202</v>
      </c>
      <c r="C974" s="11" t="s">
        <v>34</v>
      </c>
      <c r="D974" s="12">
        <v>29189.47</v>
      </c>
      <c r="E974" s="11">
        <v>23</v>
      </c>
      <c r="F974" s="11" t="s">
        <v>46</v>
      </c>
      <c r="G974" s="13">
        <v>45361</v>
      </c>
      <c r="H974" s="12">
        <v>36511.15</v>
      </c>
      <c r="I974" s="14" t="s">
        <v>44</v>
      </c>
      <c r="J974" s="15" t="s">
        <v>49</v>
      </c>
      <c r="K974" s="15">
        <v>1187</v>
      </c>
      <c r="L974" s="16">
        <v>45361</v>
      </c>
      <c r="M974" s="17">
        <v>9</v>
      </c>
      <c r="N974" s="18">
        <v>90973</v>
      </c>
      <c r="O974" s="18" t="s">
        <v>29</v>
      </c>
      <c r="P974" s="19">
        <v>45383</v>
      </c>
      <c r="Q974" s="20">
        <v>0.37473000000000001</v>
      </c>
      <c r="R974" s="21">
        <v>70973</v>
      </c>
      <c r="S974" s="18" t="s">
        <v>30</v>
      </c>
      <c r="T974" s="20">
        <v>144043.326</v>
      </c>
      <c r="U974" s="18" t="s">
        <v>48</v>
      </c>
      <c r="V974" s="19">
        <v>45422</v>
      </c>
      <c r="W974" s="18" t="s">
        <v>32</v>
      </c>
      <c r="X974" s="19">
        <v>45376</v>
      </c>
      <c r="Y974" s="18" t="s">
        <v>33</v>
      </c>
      <c r="Z974" s="43" t="e">
        <f>TEXT([1]!Table64[[#This Row],[Order date]],"mmm-yyyy")</f>
        <v>#REF!</v>
      </c>
    </row>
    <row r="975" spans="1:26" x14ac:dyDescent="0.3">
      <c r="A975" s="22">
        <v>10974</v>
      </c>
      <c r="B975" s="23">
        <v>5540</v>
      </c>
      <c r="C975" s="23" t="s">
        <v>34</v>
      </c>
      <c r="D975" s="24">
        <v>52258.6</v>
      </c>
      <c r="E975" s="23">
        <v>32</v>
      </c>
      <c r="F975" s="23" t="s">
        <v>43</v>
      </c>
      <c r="G975" s="25">
        <v>45306</v>
      </c>
      <c r="H975" s="24">
        <v>91209.36</v>
      </c>
      <c r="I975" s="26" t="s">
        <v>47</v>
      </c>
      <c r="J975" s="15" t="s">
        <v>49</v>
      </c>
      <c r="K975" s="15">
        <v>196</v>
      </c>
      <c r="L975" s="16">
        <v>45332</v>
      </c>
      <c r="M975" s="17">
        <v>7</v>
      </c>
      <c r="N975" s="27">
        <v>90974</v>
      </c>
      <c r="O975" s="27" t="s">
        <v>37</v>
      </c>
      <c r="P975" s="28">
        <v>45383</v>
      </c>
      <c r="Q975" s="29">
        <v>0.97775999999999996</v>
      </c>
      <c r="R975" s="30">
        <v>70974</v>
      </c>
      <c r="S975" s="27" t="s">
        <v>41</v>
      </c>
      <c r="T975" s="29">
        <v>96709.381580000001</v>
      </c>
      <c r="U975" s="27" t="s">
        <v>42</v>
      </c>
      <c r="V975" s="28">
        <v>45444</v>
      </c>
      <c r="W975" s="27" t="s">
        <v>38</v>
      </c>
      <c r="X975" s="28">
        <v>45376</v>
      </c>
      <c r="Y975" s="27" t="s">
        <v>33</v>
      </c>
      <c r="Z975" s="43" t="e">
        <f>TEXT([1]!Table64[[#This Row],[Order date]],"mmm-yyyy")</f>
        <v>#REF!</v>
      </c>
    </row>
    <row r="976" spans="1:26" x14ac:dyDescent="0.3">
      <c r="A976" s="10">
        <v>10975</v>
      </c>
      <c r="B976" s="11">
        <v>5732</v>
      </c>
      <c r="C976" s="11" t="s">
        <v>34</v>
      </c>
      <c r="D976" s="12">
        <v>66859.22</v>
      </c>
      <c r="E976" s="11">
        <v>62</v>
      </c>
      <c r="F976" s="11" t="s">
        <v>35</v>
      </c>
      <c r="G976" s="13">
        <v>45306</v>
      </c>
      <c r="H976" s="12">
        <v>39752.79</v>
      </c>
      <c r="I976" s="14" t="s">
        <v>44</v>
      </c>
      <c r="J976" s="15" t="s">
        <v>49</v>
      </c>
      <c r="K976" s="15">
        <v>1239</v>
      </c>
      <c r="L976" s="16">
        <v>45397</v>
      </c>
      <c r="M976" s="17">
        <v>14</v>
      </c>
      <c r="N976" s="18">
        <v>90975</v>
      </c>
      <c r="O976" s="18" t="s">
        <v>37</v>
      </c>
      <c r="P976" s="19">
        <v>45352</v>
      </c>
      <c r="Q976" s="20">
        <v>0.73395999999999995</v>
      </c>
      <c r="R976" s="21">
        <v>70975</v>
      </c>
      <c r="S976" s="18" t="s">
        <v>41</v>
      </c>
      <c r="T976" s="20">
        <v>129997.38327999999</v>
      </c>
      <c r="U976" s="18" t="s">
        <v>48</v>
      </c>
      <c r="V976" s="19">
        <v>45422</v>
      </c>
      <c r="W976" s="18" t="s">
        <v>38</v>
      </c>
      <c r="X976" s="19">
        <v>45376</v>
      </c>
      <c r="Y976" s="18" t="s">
        <v>33</v>
      </c>
      <c r="Z976" s="43" t="e">
        <f>TEXT([1]!Table64[[#This Row],[Order date]],"mmm-yyyy")</f>
        <v>#REF!</v>
      </c>
    </row>
    <row r="977" spans="1:26" x14ac:dyDescent="0.3">
      <c r="A977" s="22">
        <v>10976</v>
      </c>
      <c r="B977" s="23">
        <v>5869</v>
      </c>
      <c r="C977" s="23" t="s">
        <v>34</v>
      </c>
      <c r="D977" s="24">
        <v>54694.31</v>
      </c>
      <c r="E977" s="23">
        <v>74</v>
      </c>
      <c r="F977" s="23" t="s">
        <v>35</v>
      </c>
      <c r="G977" s="25">
        <v>45306</v>
      </c>
      <c r="H977" s="24">
        <v>14734.68</v>
      </c>
      <c r="I977" s="26" t="s">
        <v>44</v>
      </c>
      <c r="J977" s="15" t="s">
        <v>49</v>
      </c>
      <c r="K977" s="15">
        <v>1452</v>
      </c>
      <c r="L977" s="16">
        <v>45397</v>
      </c>
      <c r="M977" s="17">
        <v>12</v>
      </c>
      <c r="N977" s="27">
        <v>90976</v>
      </c>
      <c r="O977" s="27" t="s">
        <v>37</v>
      </c>
      <c r="P977" s="28">
        <v>45383</v>
      </c>
      <c r="Q977" s="29">
        <v>0.74097000000000002</v>
      </c>
      <c r="R977" s="30">
        <v>70976</v>
      </c>
      <c r="S977" s="27" t="s">
        <v>30</v>
      </c>
      <c r="T977" s="29">
        <v>102176.1256</v>
      </c>
      <c r="U977" s="27" t="s">
        <v>48</v>
      </c>
      <c r="V977" s="28">
        <v>45392</v>
      </c>
      <c r="W977" s="27" t="s">
        <v>38</v>
      </c>
      <c r="X977" s="28">
        <v>45384</v>
      </c>
      <c r="Y977" s="27" t="s">
        <v>33</v>
      </c>
      <c r="Z977" s="43" t="e">
        <f>TEXT([1]!Table64[[#This Row],[Order date]],"mmm-yyyy")</f>
        <v>#REF!</v>
      </c>
    </row>
    <row r="978" spans="1:26" x14ac:dyDescent="0.3">
      <c r="A978" s="10">
        <v>10977</v>
      </c>
      <c r="B978" s="11">
        <v>5041</v>
      </c>
      <c r="C978" s="11" t="s">
        <v>34</v>
      </c>
      <c r="D978" s="12">
        <v>19449.13</v>
      </c>
      <c r="E978" s="11">
        <v>10</v>
      </c>
      <c r="F978" s="11" t="s">
        <v>35</v>
      </c>
      <c r="G978" s="13">
        <v>45337</v>
      </c>
      <c r="H978" s="12">
        <v>78026</v>
      </c>
      <c r="I978" s="14" t="s">
        <v>27</v>
      </c>
      <c r="J978" s="15" t="s">
        <v>28</v>
      </c>
      <c r="K978" s="15">
        <v>1212</v>
      </c>
      <c r="L978" s="16">
        <v>45332</v>
      </c>
      <c r="M978" s="17">
        <v>2</v>
      </c>
      <c r="N978" s="18">
        <v>90977</v>
      </c>
      <c r="O978" s="18" t="s">
        <v>40</v>
      </c>
      <c r="P978" s="19">
        <v>45352</v>
      </c>
      <c r="Q978" s="20">
        <v>0.18522</v>
      </c>
      <c r="R978" s="21">
        <v>70977</v>
      </c>
      <c r="S978" s="18" t="s">
        <v>30</v>
      </c>
      <c r="T978" s="20">
        <v>76284.857999999993</v>
      </c>
      <c r="U978" s="18" t="s">
        <v>42</v>
      </c>
      <c r="V978" s="19">
        <v>45422</v>
      </c>
      <c r="W978" s="18" t="s">
        <v>38</v>
      </c>
      <c r="X978" s="19">
        <v>45376</v>
      </c>
      <c r="Y978" s="18" t="s">
        <v>33</v>
      </c>
      <c r="Z978" s="43" t="e">
        <f>TEXT([1]!Table64[[#This Row],[Order date]],"mmm-yyyy")</f>
        <v>#REF!</v>
      </c>
    </row>
    <row r="979" spans="1:26" x14ac:dyDescent="0.3">
      <c r="A979" s="22">
        <v>10978</v>
      </c>
      <c r="B979" s="23">
        <v>5740</v>
      </c>
      <c r="C979" s="23" t="s">
        <v>34</v>
      </c>
      <c r="D979" s="24">
        <v>44685.13</v>
      </c>
      <c r="E979" s="23">
        <v>72</v>
      </c>
      <c r="F979" s="23" t="s">
        <v>46</v>
      </c>
      <c r="G979" s="25">
        <v>45361</v>
      </c>
      <c r="H979" s="24">
        <v>95784.72</v>
      </c>
      <c r="I979" s="26" t="s">
        <v>47</v>
      </c>
      <c r="J979" s="15" t="s">
        <v>36</v>
      </c>
      <c r="K979" s="15">
        <v>678</v>
      </c>
      <c r="L979" s="16">
        <v>45397</v>
      </c>
      <c r="M979" s="17">
        <v>9</v>
      </c>
      <c r="N979" s="27">
        <v>90978</v>
      </c>
      <c r="O979" s="27" t="s">
        <v>29</v>
      </c>
      <c r="P979" s="28">
        <v>45383</v>
      </c>
      <c r="Q979" s="29">
        <v>0.75888999999999995</v>
      </c>
      <c r="R979" s="30">
        <v>70978</v>
      </c>
      <c r="S979" s="27" t="s">
        <v>41</v>
      </c>
      <c r="T979" s="29">
        <v>147398.80809999999</v>
      </c>
      <c r="U979" s="27" t="s">
        <v>48</v>
      </c>
      <c r="V979" s="28">
        <v>45422</v>
      </c>
      <c r="W979" s="27" t="s">
        <v>38</v>
      </c>
      <c r="X979" s="28">
        <v>45376</v>
      </c>
      <c r="Y979" s="27" t="s">
        <v>33</v>
      </c>
      <c r="Z979" s="43" t="e">
        <f>TEXT([1]!Table64[[#This Row],[Order date]],"mmm-yyyy")</f>
        <v>#REF!</v>
      </c>
    </row>
    <row r="980" spans="1:26" x14ac:dyDescent="0.3">
      <c r="A980" s="10">
        <v>10979</v>
      </c>
      <c r="B980" s="11">
        <v>6728</v>
      </c>
      <c r="C980" s="11" t="s">
        <v>34</v>
      </c>
      <c r="D980" s="12">
        <v>38175.42</v>
      </c>
      <c r="E980" s="11">
        <v>54</v>
      </c>
      <c r="F980" s="11" t="s">
        <v>43</v>
      </c>
      <c r="G980" s="13">
        <v>45306</v>
      </c>
      <c r="H980" s="12">
        <v>141010.91</v>
      </c>
      <c r="I980" s="14" t="s">
        <v>44</v>
      </c>
      <c r="J980" s="15" t="s">
        <v>28</v>
      </c>
      <c r="K980" s="15">
        <v>348</v>
      </c>
      <c r="L980" s="16">
        <v>45332</v>
      </c>
      <c r="M980" s="17">
        <v>11</v>
      </c>
      <c r="N980" s="18">
        <v>90979</v>
      </c>
      <c r="O980" s="18" t="s">
        <v>29</v>
      </c>
      <c r="P980" s="19">
        <v>45352</v>
      </c>
      <c r="Q980" s="20">
        <v>0.76541000000000003</v>
      </c>
      <c r="R980" s="21">
        <v>70979</v>
      </c>
      <c r="S980" s="18" t="s">
        <v>41</v>
      </c>
      <c r="T980" s="20">
        <v>216423.48319999999</v>
      </c>
      <c r="U980" s="18" t="s">
        <v>48</v>
      </c>
      <c r="V980" s="19">
        <v>45392</v>
      </c>
      <c r="W980" s="18" t="s">
        <v>32</v>
      </c>
      <c r="X980" s="19">
        <v>45376</v>
      </c>
      <c r="Y980" s="18" t="s">
        <v>39</v>
      </c>
      <c r="Z980" s="43" t="e">
        <f>TEXT([1]!Table64[[#This Row],[Order date]],"mmm-yyyy")</f>
        <v>#REF!</v>
      </c>
    </row>
    <row r="981" spans="1:26" x14ac:dyDescent="0.3">
      <c r="A981" s="22">
        <v>10980</v>
      </c>
      <c r="B981" s="23">
        <v>6947</v>
      </c>
      <c r="C981" s="23" t="s">
        <v>25</v>
      </c>
      <c r="D981" s="24">
        <v>79715.73</v>
      </c>
      <c r="E981" s="23">
        <v>52</v>
      </c>
      <c r="F981" s="23" t="s">
        <v>46</v>
      </c>
      <c r="G981" s="25">
        <v>45361</v>
      </c>
      <c r="H981" s="24">
        <v>84273.93</v>
      </c>
      <c r="I981" s="26" t="s">
        <v>44</v>
      </c>
      <c r="J981" s="15" t="s">
        <v>36</v>
      </c>
      <c r="K981" s="15">
        <v>1349</v>
      </c>
      <c r="L981" s="16">
        <v>45361</v>
      </c>
      <c r="M981" s="17">
        <v>8</v>
      </c>
      <c r="N981" s="27">
        <v>90980</v>
      </c>
      <c r="O981" s="27" t="s">
        <v>29</v>
      </c>
      <c r="P981" s="28">
        <v>45352</v>
      </c>
      <c r="Q981" s="29">
        <v>0.69377</v>
      </c>
      <c r="R981" s="30">
        <v>70980</v>
      </c>
      <c r="S981" s="27" t="s">
        <v>41</v>
      </c>
      <c r="T981" s="29">
        <v>95907.145199999999</v>
      </c>
      <c r="U981" s="27" t="s">
        <v>48</v>
      </c>
      <c r="V981" s="28">
        <v>45392</v>
      </c>
      <c r="W981" s="27" t="s">
        <v>38</v>
      </c>
      <c r="X981" s="28">
        <v>45376</v>
      </c>
      <c r="Y981" s="27" t="s">
        <v>39</v>
      </c>
      <c r="Z981" s="43" t="e">
        <f>TEXT([1]!Table64[[#This Row],[Order date]],"mmm-yyyy")</f>
        <v>#REF!</v>
      </c>
    </row>
    <row r="982" spans="1:26" x14ac:dyDescent="0.3">
      <c r="A982" s="10">
        <v>10981</v>
      </c>
      <c r="B982" s="11">
        <v>5502</v>
      </c>
      <c r="C982" s="11" t="s">
        <v>34</v>
      </c>
      <c r="D982" s="12">
        <v>64416.98</v>
      </c>
      <c r="E982" s="11">
        <v>20</v>
      </c>
      <c r="F982" s="11" t="s">
        <v>46</v>
      </c>
      <c r="G982" s="13">
        <v>45337</v>
      </c>
      <c r="H982" s="12">
        <v>168469.02</v>
      </c>
      <c r="I982" s="14" t="s">
        <v>47</v>
      </c>
      <c r="J982" s="15" t="s">
        <v>28</v>
      </c>
      <c r="K982" s="15">
        <v>838</v>
      </c>
      <c r="L982" s="16">
        <v>45361</v>
      </c>
      <c r="M982" s="17">
        <v>13</v>
      </c>
      <c r="N982" s="18">
        <v>90981</v>
      </c>
      <c r="O982" s="18" t="s">
        <v>40</v>
      </c>
      <c r="P982" s="19">
        <v>45352</v>
      </c>
      <c r="Q982" s="20">
        <v>0.30558999999999997</v>
      </c>
      <c r="R982" s="21">
        <v>70981</v>
      </c>
      <c r="S982" s="18" t="s">
        <v>45</v>
      </c>
      <c r="T982" s="20">
        <v>186408.77679999999</v>
      </c>
      <c r="U982" s="18" t="s">
        <v>42</v>
      </c>
      <c r="V982" s="19">
        <v>45392</v>
      </c>
      <c r="W982" s="18" t="s">
        <v>38</v>
      </c>
      <c r="X982" s="19">
        <v>45376</v>
      </c>
      <c r="Y982" s="18" t="s">
        <v>39</v>
      </c>
      <c r="Z982" s="43" t="e">
        <f>TEXT([1]!Table64[[#This Row],[Order date]],"mmm-yyyy")</f>
        <v>#REF!</v>
      </c>
    </row>
    <row r="983" spans="1:26" x14ac:dyDescent="0.3">
      <c r="A983" s="22">
        <v>10982</v>
      </c>
      <c r="B983" s="23">
        <v>5959</v>
      </c>
      <c r="C983" s="23" t="s">
        <v>34</v>
      </c>
      <c r="D983" s="24">
        <v>88546.03</v>
      </c>
      <c r="E983" s="23">
        <v>32</v>
      </c>
      <c r="F983" s="23" t="s">
        <v>35</v>
      </c>
      <c r="G983" s="25">
        <v>45337</v>
      </c>
      <c r="H983" s="24">
        <v>142805.54999999999</v>
      </c>
      <c r="I983" s="26" t="s">
        <v>47</v>
      </c>
      <c r="J983" s="15" t="s">
        <v>49</v>
      </c>
      <c r="K983" s="15">
        <v>899</v>
      </c>
      <c r="L983" s="16">
        <v>45332</v>
      </c>
      <c r="M983" s="17">
        <v>5</v>
      </c>
      <c r="N983" s="27">
        <v>90982</v>
      </c>
      <c r="O983" s="27" t="s">
        <v>50</v>
      </c>
      <c r="P983" s="28">
        <v>45430</v>
      </c>
      <c r="Q983" s="29">
        <v>0.48072999999999999</v>
      </c>
      <c r="R983" s="30">
        <v>70982</v>
      </c>
      <c r="S983" s="27" t="s">
        <v>41</v>
      </c>
      <c r="T983" s="29">
        <v>84930.944770000002</v>
      </c>
      <c r="U983" s="27" t="s">
        <v>31</v>
      </c>
      <c r="V983" s="28">
        <v>45392</v>
      </c>
      <c r="W983" s="27" t="s">
        <v>38</v>
      </c>
      <c r="X983" s="28">
        <v>45376</v>
      </c>
      <c r="Y983" s="27" t="s">
        <v>33</v>
      </c>
      <c r="Z983" s="43" t="e">
        <f>TEXT([1]!Table64[[#This Row],[Order date]],"mmm-yyyy")</f>
        <v>#REF!</v>
      </c>
    </row>
    <row r="984" spans="1:26" x14ac:dyDescent="0.3">
      <c r="A984" s="10">
        <v>10983</v>
      </c>
      <c r="B984" s="11">
        <v>6169</v>
      </c>
      <c r="C984" s="11" t="s">
        <v>34</v>
      </c>
      <c r="D984" s="12">
        <v>35657.99</v>
      </c>
      <c r="E984" s="11">
        <v>14</v>
      </c>
      <c r="F984" s="11" t="s">
        <v>46</v>
      </c>
      <c r="G984" s="13">
        <v>45306</v>
      </c>
      <c r="H984" s="12">
        <v>128457.28</v>
      </c>
      <c r="I984" s="14" t="s">
        <v>27</v>
      </c>
      <c r="J984" s="15" t="s">
        <v>49</v>
      </c>
      <c r="K984" s="15">
        <v>227</v>
      </c>
      <c r="L984" s="16">
        <v>45361</v>
      </c>
      <c r="M984" s="17">
        <v>12</v>
      </c>
      <c r="N984" s="18">
        <v>90983</v>
      </c>
      <c r="O984" s="18" t="s">
        <v>40</v>
      </c>
      <c r="P984" s="19">
        <v>45352</v>
      </c>
      <c r="Q984" s="20">
        <v>0.86165000000000003</v>
      </c>
      <c r="R984" s="21">
        <v>70983</v>
      </c>
      <c r="S984" s="18" t="s">
        <v>41</v>
      </c>
      <c r="T984" s="20">
        <v>190093.80760999999</v>
      </c>
      <c r="U984" s="18" t="s">
        <v>48</v>
      </c>
      <c r="V984" s="19">
        <v>45422</v>
      </c>
      <c r="W984" s="18" t="s">
        <v>38</v>
      </c>
      <c r="X984" s="19">
        <v>45376</v>
      </c>
      <c r="Y984" s="18" t="s">
        <v>33</v>
      </c>
      <c r="Z984" s="43" t="e">
        <f>TEXT([1]!Table64[[#This Row],[Order date]],"mmm-yyyy")</f>
        <v>#REF!</v>
      </c>
    </row>
    <row r="985" spans="1:26" x14ac:dyDescent="0.3">
      <c r="A985" s="22">
        <v>10984</v>
      </c>
      <c r="B985" s="23">
        <v>6225</v>
      </c>
      <c r="C985" s="23" t="s">
        <v>34</v>
      </c>
      <c r="D985" s="24">
        <v>66370.28</v>
      </c>
      <c r="E985" s="23">
        <v>50</v>
      </c>
      <c r="F985" s="23" t="s">
        <v>26</v>
      </c>
      <c r="G985" s="25">
        <v>45306</v>
      </c>
      <c r="H985" s="24">
        <v>90995.44</v>
      </c>
      <c r="I985" s="26" t="s">
        <v>27</v>
      </c>
      <c r="J985" s="15" t="s">
        <v>36</v>
      </c>
      <c r="K985" s="15">
        <v>891</v>
      </c>
      <c r="L985" s="16">
        <v>45361</v>
      </c>
      <c r="M985" s="17">
        <v>3</v>
      </c>
      <c r="N985" s="27">
        <v>90984</v>
      </c>
      <c r="O985" s="27" t="s">
        <v>40</v>
      </c>
      <c r="P985" s="28">
        <v>45352</v>
      </c>
      <c r="Q985" s="29">
        <v>0.70318000000000003</v>
      </c>
      <c r="R985" s="30">
        <v>70984</v>
      </c>
      <c r="S985" s="27" t="s">
        <v>30</v>
      </c>
      <c r="T985" s="29">
        <v>96038.708799999993</v>
      </c>
      <c r="U985" s="27" t="s">
        <v>42</v>
      </c>
      <c r="V985" s="28">
        <v>45392</v>
      </c>
      <c r="W985" s="27" t="s">
        <v>38</v>
      </c>
      <c r="X985" s="28">
        <v>45376</v>
      </c>
      <c r="Y985" s="27" t="s">
        <v>33</v>
      </c>
      <c r="Z985" s="43" t="e">
        <f>TEXT([1]!Table64[[#This Row],[Order date]],"mmm-yyyy")</f>
        <v>#REF!</v>
      </c>
    </row>
    <row r="986" spans="1:26" x14ac:dyDescent="0.3">
      <c r="A986" s="10">
        <v>10985</v>
      </c>
      <c r="B986" s="11">
        <v>5929</v>
      </c>
      <c r="C986" s="11" t="s">
        <v>34</v>
      </c>
      <c r="D986" s="12">
        <v>45727.01</v>
      </c>
      <c r="E986" s="11">
        <v>28</v>
      </c>
      <c r="F986" s="11" t="s">
        <v>46</v>
      </c>
      <c r="G986" s="13">
        <v>45383</v>
      </c>
      <c r="H986" s="12">
        <v>122896.15</v>
      </c>
      <c r="I986" s="14" t="s">
        <v>44</v>
      </c>
      <c r="J986" s="15" t="s">
        <v>36</v>
      </c>
      <c r="K986" s="15">
        <v>1427</v>
      </c>
      <c r="L986" s="16">
        <v>45332</v>
      </c>
      <c r="M986" s="17">
        <v>7</v>
      </c>
      <c r="N986" s="18">
        <v>90985</v>
      </c>
      <c r="O986" s="18" t="s">
        <v>37</v>
      </c>
      <c r="P986" s="19">
        <v>45383</v>
      </c>
      <c r="Q986" s="20">
        <v>0.75949</v>
      </c>
      <c r="R986" s="21">
        <v>70985</v>
      </c>
      <c r="S986" s="18" t="s">
        <v>30</v>
      </c>
      <c r="T986" s="20">
        <v>132295.0612</v>
      </c>
      <c r="U986" s="18" t="s">
        <v>48</v>
      </c>
      <c r="V986" s="19">
        <v>45444</v>
      </c>
      <c r="W986" s="18" t="s">
        <v>38</v>
      </c>
      <c r="X986" s="19">
        <v>45384</v>
      </c>
      <c r="Y986" s="18" t="s">
        <v>33</v>
      </c>
      <c r="Z986" s="43" t="e">
        <f>TEXT([1]!Table64[[#This Row],[Order date]],"mmm-yyyy")</f>
        <v>#REF!</v>
      </c>
    </row>
    <row r="987" spans="1:26" x14ac:dyDescent="0.3">
      <c r="A987" s="22">
        <v>10986</v>
      </c>
      <c r="B987" s="23">
        <v>6748</v>
      </c>
      <c r="C987" s="23" t="s">
        <v>34</v>
      </c>
      <c r="D987" s="24">
        <v>88547.42</v>
      </c>
      <c r="E987" s="23">
        <v>53</v>
      </c>
      <c r="F987" s="23" t="s">
        <v>26</v>
      </c>
      <c r="G987" s="25">
        <v>45361</v>
      </c>
      <c r="H987" s="24">
        <v>123569.63</v>
      </c>
      <c r="I987" s="26" t="s">
        <v>44</v>
      </c>
      <c r="J987" s="15" t="s">
        <v>28</v>
      </c>
      <c r="K987" s="15">
        <v>1227</v>
      </c>
      <c r="L987" s="16">
        <v>45361</v>
      </c>
      <c r="M987" s="17">
        <v>14</v>
      </c>
      <c r="N987" s="27">
        <v>90986</v>
      </c>
      <c r="O987" s="27" t="s">
        <v>29</v>
      </c>
      <c r="P987" s="28">
        <v>45352</v>
      </c>
      <c r="Q987" s="29">
        <v>0.62863999999999998</v>
      </c>
      <c r="R987" s="30">
        <v>70986</v>
      </c>
      <c r="S987" s="27" t="s">
        <v>45</v>
      </c>
      <c r="T987" s="29">
        <v>160911.19883000001</v>
      </c>
      <c r="U987" s="27" t="s">
        <v>42</v>
      </c>
      <c r="V987" s="28">
        <v>45422</v>
      </c>
      <c r="W987" s="27" t="s">
        <v>32</v>
      </c>
      <c r="X987" s="28">
        <v>45384</v>
      </c>
      <c r="Y987" s="27" t="s">
        <v>33</v>
      </c>
      <c r="Z987" s="43" t="e">
        <f>TEXT([1]!Table64[[#This Row],[Order date]],"mmm-yyyy")</f>
        <v>#REF!</v>
      </c>
    </row>
    <row r="988" spans="1:26" x14ac:dyDescent="0.3">
      <c r="A988" s="10">
        <v>10987</v>
      </c>
      <c r="B988" s="11">
        <v>5461</v>
      </c>
      <c r="C988" s="11" t="s">
        <v>25</v>
      </c>
      <c r="D988" s="12">
        <v>20336.57</v>
      </c>
      <c r="E988" s="11">
        <v>24</v>
      </c>
      <c r="F988" s="11" t="s">
        <v>46</v>
      </c>
      <c r="G988" s="13">
        <v>45306</v>
      </c>
      <c r="H988" s="12">
        <v>132032.65</v>
      </c>
      <c r="I988" s="14" t="s">
        <v>47</v>
      </c>
      <c r="J988" s="15" t="s">
        <v>36</v>
      </c>
      <c r="K988" s="15">
        <v>1274</v>
      </c>
      <c r="L988" s="16">
        <v>45397</v>
      </c>
      <c r="M988" s="17">
        <v>14</v>
      </c>
      <c r="N988" s="18">
        <v>90987</v>
      </c>
      <c r="O988" s="18" t="s">
        <v>29</v>
      </c>
      <c r="P988" s="19">
        <v>45352</v>
      </c>
      <c r="Q988" s="20">
        <v>0.50463000000000002</v>
      </c>
      <c r="R988" s="21">
        <v>70987</v>
      </c>
      <c r="S988" s="18" t="s">
        <v>30</v>
      </c>
      <c r="T988" s="20">
        <v>88322.939440000002</v>
      </c>
      <c r="U988" s="18" t="s">
        <v>48</v>
      </c>
      <c r="V988" s="19">
        <v>45444</v>
      </c>
      <c r="W988" s="18" t="s">
        <v>32</v>
      </c>
      <c r="X988" s="19">
        <v>45376</v>
      </c>
      <c r="Y988" s="18" t="s">
        <v>39</v>
      </c>
      <c r="Z988" s="43" t="e">
        <f>TEXT([1]!Table64[[#This Row],[Order date]],"mmm-yyyy")</f>
        <v>#REF!</v>
      </c>
    </row>
    <row r="989" spans="1:26" x14ac:dyDescent="0.3">
      <c r="A989" s="22">
        <v>10988</v>
      </c>
      <c r="B989" s="23">
        <v>5732</v>
      </c>
      <c r="C989" s="23" t="s">
        <v>34</v>
      </c>
      <c r="D989" s="24">
        <v>78633.56</v>
      </c>
      <c r="E989" s="23">
        <v>79</v>
      </c>
      <c r="F989" s="23" t="s">
        <v>43</v>
      </c>
      <c r="G989" s="25">
        <v>45383</v>
      </c>
      <c r="H989" s="24">
        <v>105536.71</v>
      </c>
      <c r="I989" s="26" t="s">
        <v>44</v>
      </c>
      <c r="J989" s="15" t="s">
        <v>28</v>
      </c>
      <c r="K989" s="15">
        <v>927</v>
      </c>
      <c r="L989" s="16">
        <v>45361</v>
      </c>
      <c r="M989" s="17">
        <v>2</v>
      </c>
      <c r="N989" s="27">
        <v>90988</v>
      </c>
      <c r="O989" s="27" t="s">
        <v>50</v>
      </c>
      <c r="P989" s="28">
        <v>45430</v>
      </c>
      <c r="Q989" s="29">
        <v>0.78315000000000001</v>
      </c>
      <c r="R989" s="30">
        <v>70988</v>
      </c>
      <c r="S989" s="27" t="s">
        <v>30</v>
      </c>
      <c r="T989" s="29">
        <v>141406.58168</v>
      </c>
      <c r="U989" s="27" t="s">
        <v>42</v>
      </c>
      <c r="V989" s="28">
        <v>45422</v>
      </c>
      <c r="W989" s="27" t="s">
        <v>38</v>
      </c>
      <c r="X989" s="28">
        <v>45376</v>
      </c>
      <c r="Y989" s="27" t="s">
        <v>39</v>
      </c>
      <c r="Z989" s="43" t="e">
        <f>TEXT([1]!Table64[[#This Row],[Order date]],"mmm-yyyy")</f>
        <v>#REF!</v>
      </c>
    </row>
    <row r="990" spans="1:26" x14ac:dyDescent="0.3">
      <c r="A990" s="10">
        <v>10989</v>
      </c>
      <c r="B990" s="11">
        <v>5752</v>
      </c>
      <c r="C990" s="11" t="s">
        <v>34</v>
      </c>
      <c r="D990" s="12">
        <v>93953.56</v>
      </c>
      <c r="E990" s="11">
        <v>22</v>
      </c>
      <c r="F990" s="11" t="s">
        <v>43</v>
      </c>
      <c r="G990" s="13">
        <v>45361</v>
      </c>
      <c r="H990" s="12">
        <v>15805.3</v>
      </c>
      <c r="I990" s="14" t="s">
        <v>44</v>
      </c>
      <c r="J990" s="15" t="s">
        <v>36</v>
      </c>
      <c r="K990" s="15">
        <v>1188</v>
      </c>
      <c r="L990" s="16">
        <v>45332</v>
      </c>
      <c r="M990" s="17">
        <v>13</v>
      </c>
      <c r="N990" s="18">
        <v>90989</v>
      </c>
      <c r="O990" s="18" t="s">
        <v>50</v>
      </c>
      <c r="P990" s="19">
        <v>45383</v>
      </c>
      <c r="Q990" s="20">
        <v>0.16113</v>
      </c>
      <c r="R990" s="21">
        <v>70989</v>
      </c>
      <c r="S990" s="18" t="s">
        <v>41</v>
      </c>
      <c r="T990" s="20">
        <v>133459.41190000001</v>
      </c>
      <c r="U990" s="18" t="s">
        <v>31</v>
      </c>
      <c r="V990" s="19">
        <v>45422</v>
      </c>
      <c r="W990" s="18" t="s">
        <v>32</v>
      </c>
      <c r="X990" s="19">
        <v>45384</v>
      </c>
      <c r="Y990" s="18" t="s">
        <v>33</v>
      </c>
      <c r="Z990" s="43" t="e">
        <f>TEXT([1]!Table64[[#This Row],[Order date]],"mmm-yyyy")</f>
        <v>#REF!</v>
      </c>
    </row>
    <row r="991" spans="1:26" x14ac:dyDescent="0.3">
      <c r="A991" s="22">
        <v>10990</v>
      </c>
      <c r="B991" s="23">
        <v>5925</v>
      </c>
      <c r="C991" s="23" t="s">
        <v>25</v>
      </c>
      <c r="D991" s="24">
        <v>82001.42</v>
      </c>
      <c r="E991" s="23">
        <v>30</v>
      </c>
      <c r="F991" s="23" t="s">
        <v>35</v>
      </c>
      <c r="G991" s="25">
        <v>45306</v>
      </c>
      <c r="H991" s="24">
        <v>101331.12</v>
      </c>
      <c r="I991" s="26" t="s">
        <v>47</v>
      </c>
      <c r="J991" s="15" t="s">
        <v>36</v>
      </c>
      <c r="K991" s="15">
        <v>808</v>
      </c>
      <c r="L991" s="16">
        <v>45397</v>
      </c>
      <c r="M991" s="17">
        <v>3</v>
      </c>
      <c r="N991" s="27">
        <v>90990</v>
      </c>
      <c r="O991" s="27" t="s">
        <v>37</v>
      </c>
      <c r="P991" s="28">
        <v>45430</v>
      </c>
      <c r="Q991" s="29">
        <v>0.70584000000000002</v>
      </c>
      <c r="R991" s="30">
        <v>70990</v>
      </c>
      <c r="S991" s="27" t="s">
        <v>30</v>
      </c>
      <c r="T991" s="29">
        <v>66872.709400000007</v>
      </c>
      <c r="U991" s="27" t="s">
        <v>31</v>
      </c>
      <c r="V991" s="28">
        <v>45444</v>
      </c>
      <c r="W991" s="27" t="s">
        <v>38</v>
      </c>
      <c r="X991" s="28">
        <v>45376</v>
      </c>
      <c r="Y991" s="27" t="s">
        <v>39</v>
      </c>
      <c r="Z991" s="43" t="e">
        <f>TEXT([1]!Table64[[#This Row],[Order date]],"mmm-yyyy")</f>
        <v>#REF!</v>
      </c>
    </row>
    <row r="992" spans="1:26" x14ac:dyDescent="0.3">
      <c r="A992" s="10">
        <v>10991</v>
      </c>
      <c r="B992" s="11">
        <v>5909</v>
      </c>
      <c r="C992" s="11" t="s">
        <v>34</v>
      </c>
      <c r="D992" s="12">
        <v>43539.37</v>
      </c>
      <c r="E992" s="11">
        <v>63</v>
      </c>
      <c r="F992" s="11" t="s">
        <v>46</v>
      </c>
      <c r="G992" s="13">
        <v>45383</v>
      </c>
      <c r="H992" s="12">
        <v>78168.5</v>
      </c>
      <c r="I992" s="14" t="s">
        <v>44</v>
      </c>
      <c r="J992" s="15" t="s">
        <v>36</v>
      </c>
      <c r="K992" s="15">
        <v>1141</v>
      </c>
      <c r="L992" s="16">
        <v>45397</v>
      </c>
      <c r="M992" s="17">
        <v>12</v>
      </c>
      <c r="N992" s="18">
        <v>90991</v>
      </c>
      <c r="O992" s="18" t="s">
        <v>29</v>
      </c>
      <c r="P992" s="19">
        <v>45430</v>
      </c>
      <c r="Q992" s="20">
        <v>0.99748000000000003</v>
      </c>
      <c r="R992" s="21">
        <v>70991</v>
      </c>
      <c r="S992" s="18" t="s">
        <v>41</v>
      </c>
      <c r="T992" s="20">
        <v>100143.87923999999</v>
      </c>
      <c r="U992" s="18" t="s">
        <v>31</v>
      </c>
      <c r="V992" s="19">
        <v>45392</v>
      </c>
      <c r="W992" s="18" t="s">
        <v>32</v>
      </c>
      <c r="X992" s="19">
        <v>45376</v>
      </c>
      <c r="Y992" s="18" t="s">
        <v>39</v>
      </c>
      <c r="Z992" s="43" t="e">
        <f>TEXT([1]!Table64[[#This Row],[Order date]],"mmm-yyyy")</f>
        <v>#REF!</v>
      </c>
    </row>
    <row r="993" spans="1:26" x14ac:dyDescent="0.3">
      <c r="A993" s="22">
        <v>10992</v>
      </c>
      <c r="B993" s="23">
        <v>6582</v>
      </c>
      <c r="C993" s="23" t="s">
        <v>34</v>
      </c>
      <c r="D993" s="24">
        <v>34111.33</v>
      </c>
      <c r="E993" s="23">
        <v>4</v>
      </c>
      <c r="F993" s="23" t="s">
        <v>26</v>
      </c>
      <c r="G993" s="25">
        <v>45383</v>
      </c>
      <c r="H993" s="24">
        <v>118063.84</v>
      </c>
      <c r="I993" s="26" t="s">
        <v>44</v>
      </c>
      <c r="J993" s="15" t="s">
        <v>49</v>
      </c>
      <c r="K993" s="15">
        <v>494</v>
      </c>
      <c r="L993" s="16">
        <v>45361</v>
      </c>
      <c r="M993" s="17">
        <v>9</v>
      </c>
      <c r="N993" s="27">
        <v>90992</v>
      </c>
      <c r="O993" s="27" t="s">
        <v>50</v>
      </c>
      <c r="P993" s="28">
        <v>45430</v>
      </c>
      <c r="Q993" s="29">
        <v>0.80217000000000005</v>
      </c>
      <c r="R993" s="30">
        <v>70992</v>
      </c>
      <c r="S993" s="27" t="s">
        <v>45</v>
      </c>
      <c r="T993" s="29">
        <v>91939.096139999994</v>
      </c>
      <c r="U993" s="27" t="s">
        <v>48</v>
      </c>
      <c r="V993" s="28">
        <v>45392</v>
      </c>
      <c r="W993" s="27" t="s">
        <v>32</v>
      </c>
      <c r="X993" s="28">
        <v>45384</v>
      </c>
      <c r="Y993" s="27" t="s">
        <v>33</v>
      </c>
      <c r="Z993" s="43" t="e">
        <f>TEXT([1]!Table64[[#This Row],[Order date]],"mmm-yyyy")</f>
        <v>#REF!</v>
      </c>
    </row>
    <row r="994" spans="1:26" x14ac:dyDescent="0.3">
      <c r="A994" s="10">
        <v>10993</v>
      </c>
      <c r="B994" s="11">
        <v>6571</v>
      </c>
      <c r="C994" s="11" t="s">
        <v>34</v>
      </c>
      <c r="D994" s="12">
        <v>67005.56</v>
      </c>
      <c r="E994" s="11">
        <v>77</v>
      </c>
      <c r="F994" s="11" t="s">
        <v>26</v>
      </c>
      <c r="G994" s="13">
        <v>45361</v>
      </c>
      <c r="H994" s="12">
        <v>140229.57</v>
      </c>
      <c r="I994" s="14" t="s">
        <v>44</v>
      </c>
      <c r="J994" s="15" t="s">
        <v>49</v>
      </c>
      <c r="K994" s="15">
        <v>1399</v>
      </c>
      <c r="L994" s="16">
        <v>45397</v>
      </c>
      <c r="M994" s="17">
        <v>4</v>
      </c>
      <c r="N994" s="18">
        <v>90993</v>
      </c>
      <c r="O994" s="18" t="s">
        <v>50</v>
      </c>
      <c r="P994" s="19">
        <v>45352</v>
      </c>
      <c r="Q994" s="20">
        <v>0.36151</v>
      </c>
      <c r="R994" s="21">
        <v>70993</v>
      </c>
      <c r="S994" s="18" t="s">
        <v>41</v>
      </c>
      <c r="T994" s="20">
        <v>90741.423429999995</v>
      </c>
      <c r="U994" s="18" t="s">
        <v>42</v>
      </c>
      <c r="V994" s="19">
        <v>45444</v>
      </c>
      <c r="W994" s="18" t="s">
        <v>38</v>
      </c>
      <c r="X994" s="19">
        <v>45384</v>
      </c>
      <c r="Y994" s="18" t="s">
        <v>33</v>
      </c>
      <c r="Z994" s="43" t="e">
        <f>TEXT([1]!Table64[[#This Row],[Order date]],"mmm-yyyy")</f>
        <v>#REF!</v>
      </c>
    </row>
    <row r="995" spans="1:26" x14ac:dyDescent="0.3">
      <c r="A995" s="22">
        <v>10994</v>
      </c>
      <c r="B995" s="23">
        <v>6277</v>
      </c>
      <c r="C995" s="23" t="s">
        <v>34</v>
      </c>
      <c r="D995" s="24">
        <v>71401.850000000006</v>
      </c>
      <c r="E995" s="23">
        <v>59</v>
      </c>
      <c r="F995" s="23" t="s">
        <v>46</v>
      </c>
      <c r="G995" s="25">
        <v>45383</v>
      </c>
      <c r="H995" s="24">
        <v>78832.56</v>
      </c>
      <c r="I995" s="26" t="s">
        <v>27</v>
      </c>
      <c r="J995" s="15" t="s">
        <v>28</v>
      </c>
      <c r="K995" s="15">
        <v>757</v>
      </c>
      <c r="L995" s="16">
        <v>45332</v>
      </c>
      <c r="M995" s="17">
        <v>4</v>
      </c>
      <c r="N995" s="27">
        <v>90994</v>
      </c>
      <c r="O995" s="27" t="s">
        <v>29</v>
      </c>
      <c r="P995" s="28">
        <v>45430</v>
      </c>
      <c r="Q995" s="29">
        <v>0.35004000000000002</v>
      </c>
      <c r="R995" s="30">
        <v>70994</v>
      </c>
      <c r="S995" s="27" t="s">
        <v>41</v>
      </c>
      <c r="T995" s="29">
        <v>105265.68932</v>
      </c>
      <c r="U995" s="27" t="s">
        <v>48</v>
      </c>
      <c r="V995" s="28">
        <v>45392</v>
      </c>
      <c r="W995" s="27" t="s">
        <v>38</v>
      </c>
      <c r="X995" s="28">
        <v>45376</v>
      </c>
      <c r="Y995" s="27" t="s">
        <v>33</v>
      </c>
      <c r="Z995" s="43" t="e">
        <f>TEXT([1]!Table64[[#This Row],[Order date]],"mmm-yyyy")</f>
        <v>#REF!</v>
      </c>
    </row>
    <row r="996" spans="1:26" x14ac:dyDescent="0.3">
      <c r="A996" s="10">
        <v>10995</v>
      </c>
      <c r="B996" s="11">
        <v>5390</v>
      </c>
      <c r="C996" s="11" t="s">
        <v>34</v>
      </c>
      <c r="D996" s="12">
        <v>53982.91</v>
      </c>
      <c r="E996" s="11">
        <v>87</v>
      </c>
      <c r="F996" s="11" t="s">
        <v>26</v>
      </c>
      <c r="G996" s="13">
        <v>45361</v>
      </c>
      <c r="H996" s="12">
        <v>26171.57</v>
      </c>
      <c r="I996" s="14" t="s">
        <v>47</v>
      </c>
      <c r="J996" s="15" t="s">
        <v>36</v>
      </c>
      <c r="K996" s="15">
        <v>651</v>
      </c>
      <c r="L996" s="16">
        <v>45397</v>
      </c>
      <c r="M996" s="17">
        <v>3</v>
      </c>
      <c r="N996" s="18">
        <v>90995</v>
      </c>
      <c r="O996" s="18" t="s">
        <v>40</v>
      </c>
      <c r="P996" s="19">
        <v>45430</v>
      </c>
      <c r="Q996" s="20">
        <v>0.70050000000000001</v>
      </c>
      <c r="R996" s="21">
        <v>70995</v>
      </c>
      <c r="S996" s="18" t="s">
        <v>41</v>
      </c>
      <c r="T996" s="20">
        <v>60987.270729999997</v>
      </c>
      <c r="U996" s="18" t="s">
        <v>48</v>
      </c>
      <c r="V996" s="19">
        <v>45422</v>
      </c>
      <c r="W996" s="18" t="s">
        <v>38</v>
      </c>
      <c r="X996" s="19">
        <v>45384</v>
      </c>
      <c r="Y996" s="18" t="s">
        <v>33</v>
      </c>
      <c r="Z996" s="43" t="e">
        <f>TEXT([1]!Table64[[#This Row],[Order date]],"mmm-yyyy")</f>
        <v>#REF!</v>
      </c>
    </row>
    <row r="997" spans="1:26" x14ac:dyDescent="0.3">
      <c r="A997" s="22">
        <v>10996</v>
      </c>
      <c r="B997" s="23">
        <v>6618</v>
      </c>
      <c r="C997" s="23" t="s">
        <v>34</v>
      </c>
      <c r="D997" s="24">
        <v>85316.1</v>
      </c>
      <c r="E997" s="23">
        <v>8</v>
      </c>
      <c r="F997" s="23" t="s">
        <v>43</v>
      </c>
      <c r="G997" s="25">
        <v>45361</v>
      </c>
      <c r="H997" s="24">
        <v>138893.15</v>
      </c>
      <c r="I997" s="26" t="s">
        <v>44</v>
      </c>
      <c r="J997" s="15" t="s">
        <v>28</v>
      </c>
      <c r="K997" s="15">
        <v>1432</v>
      </c>
      <c r="L997" s="16">
        <v>45361</v>
      </c>
      <c r="M997" s="17">
        <v>5</v>
      </c>
      <c r="N997" s="27">
        <v>90996</v>
      </c>
      <c r="O997" s="27" t="s">
        <v>50</v>
      </c>
      <c r="P997" s="28">
        <v>45383</v>
      </c>
      <c r="Q997" s="29">
        <v>0.90627000000000002</v>
      </c>
      <c r="R997" s="30">
        <v>70996</v>
      </c>
      <c r="S997" s="27" t="s">
        <v>45</v>
      </c>
      <c r="T997" s="29">
        <v>89524.750100000005</v>
      </c>
      <c r="U997" s="27" t="s">
        <v>42</v>
      </c>
      <c r="V997" s="28">
        <v>45422</v>
      </c>
      <c r="W997" s="27" t="s">
        <v>38</v>
      </c>
      <c r="X997" s="28">
        <v>45376</v>
      </c>
      <c r="Y997" s="27" t="s">
        <v>33</v>
      </c>
      <c r="Z997" s="43" t="e">
        <f>TEXT([1]!Table64[[#This Row],[Order date]],"mmm-yyyy")</f>
        <v>#REF!</v>
      </c>
    </row>
    <row r="998" spans="1:26" x14ac:dyDescent="0.3">
      <c r="A998" s="10">
        <v>10997</v>
      </c>
      <c r="B998" s="11">
        <v>5883</v>
      </c>
      <c r="C998" s="11" t="s">
        <v>25</v>
      </c>
      <c r="D998" s="12">
        <v>75333.100000000006</v>
      </c>
      <c r="E998" s="11">
        <v>82</v>
      </c>
      <c r="F998" s="11" t="s">
        <v>26</v>
      </c>
      <c r="G998" s="13">
        <v>45361</v>
      </c>
      <c r="H998" s="12">
        <v>120587</v>
      </c>
      <c r="I998" s="14" t="s">
        <v>27</v>
      </c>
      <c r="J998" s="15" t="s">
        <v>36</v>
      </c>
      <c r="K998" s="15">
        <v>194</v>
      </c>
      <c r="L998" s="16">
        <v>45361</v>
      </c>
      <c r="M998" s="17">
        <v>3</v>
      </c>
      <c r="N998" s="18">
        <v>90997</v>
      </c>
      <c r="O998" s="18" t="s">
        <v>29</v>
      </c>
      <c r="P998" s="19">
        <v>45383</v>
      </c>
      <c r="Q998" s="20">
        <v>0.62014999999999998</v>
      </c>
      <c r="R998" s="21">
        <v>70997</v>
      </c>
      <c r="S998" s="18" t="s">
        <v>30</v>
      </c>
      <c r="T998" s="20">
        <v>174864.60837</v>
      </c>
      <c r="U998" s="18" t="s">
        <v>48</v>
      </c>
      <c r="V998" s="19">
        <v>45422</v>
      </c>
      <c r="W998" s="18" t="s">
        <v>38</v>
      </c>
      <c r="X998" s="19">
        <v>45384</v>
      </c>
      <c r="Y998" s="18" t="s">
        <v>33</v>
      </c>
      <c r="Z998" s="43" t="e">
        <f>TEXT([1]!Table64[[#This Row],[Order date]],"mmm-yyyy")</f>
        <v>#REF!</v>
      </c>
    </row>
    <row r="999" spans="1:26" x14ac:dyDescent="0.3">
      <c r="A999" s="22">
        <v>10998</v>
      </c>
      <c r="B999" s="23">
        <v>5256</v>
      </c>
      <c r="C999" s="23" t="s">
        <v>34</v>
      </c>
      <c r="D999" s="24">
        <v>75133.36</v>
      </c>
      <c r="E999" s="23">
        <v>12</v>
      </c>
      <c r="F999" s="23" t="s">
        <v>35</v>
      </c>
      <c r="G999" s="25">
        <v>45337</v>
      </c>
      <c r="H999" s="24">
        <v>41413.58</v>
      </c>
      <c r="I999" s="26" t="s">
        <v>27</v>
      </c>
      <c r="J999" s="15" t="s">
        <v>49</v>
      </c>
      <c r="K999" s="15">
        <v>324</v>
      </c>
      <c r="L999" s="16">
        <v>45397</v>
      </c>
      <c r="M999" s="17">
        <v>9</v>
      </c>
      <c r="N999" s="27">
        <v>90998</v>
      </c>
      <c r="O999" s="27" t="s">
        <v>50</v>
      </c>
      <c r="P999" s="28">
        <v>45383</v>
      </c>
      <c r="Q999" s="29">
        <v>0.57465999999999995</v>
      </c>
      <c r="R999" s="30">
        <v>70998</v>
      </c>
      <c r="S999" s="27" t="s">
        <v>41</v>
      </c>
      <c r="T999" s="29">
        <v>155040.66641000001</v>
      </c>
      <c r="U999" s="27" t="s">
        <v>42</v>
      </c>
      <c r="V999" s="28">
        <v>45392</v>
      </c>
      <c r="W999" s="27" t="s">
        <v>38</v>
      </c>
      <c r="X999" s="28">
        <v>45376</v>
      </c>
      <c r="Y999" s="27" t="s">
        <v>39</v>
      </c>
      <c r="Z999" s="43" t="e">
        <f>TEXT([1]!Table64[[#This Row],[Order date]],"mmm-yyyy")</f>
        <v>#REF!</v>
      </c>
    </row>
    <row r="1000" spans="1:26" x14ac:dyDescent="0.3">
      <c r="A1000" s="10">
        <v>10999</v>
      </c>
      <c r="B1000" s="11">
        <v>5709</v>
      </c>
      <c r="C1000" s="11" t="s">
        <v>34</v>
      </c>
      <c r="D1000" s="12">
        <v>98104.49</v>
      </c>
      <c r="E1000" s="11">
        <v>31</v>
      </c>
      <c r="F1000" s="11" t="s">
        <v>43</v>
      </c>
      <c r="G1000" s="13">
        <v>45383</v>
      </c>
      <c r="H1000" s="12">
        <v>105679.55</v>
      </c>
      <c r="I1000" s="14" t="s">
        <v>27</v>
      </c>
      <c r="J1000" s="15" t="s">
        <v>49</v>
      </c>
      <c r="K1000" s="15">
        <v>558</v>
      </c>
      <c r="L1000" s="16">
        <v>45332</v>
      </c>
      <c r="M1000" s="17">
        <v>3</v>
      </c>
      <c r="N1000" s="18">
        <v>90999</v>
      </c>
      <c r="O1000" s="18" t="s">
        <v>37</v>
      </c>
      <c r="P1000" s="19">
        <v>45383</v>
      </c>
      <c r="Q1000" s="20">
        <v>0.24435000000000001</v>
      </c>
      <c r="R1000" s="21">
        <v>70999</v>
      </c>
      <c r="S1000" s="18" t="s">
        <v>41</v>
      </c>
      <c r="T1000" s="20">
        <v>212026.51360000001</v>
      </c>
      <c r="U1000" s="18" t="s">
        <v>42</v>
      </c>
      <c r="V1000" s="19">
        <v>45392</v>
      </c>
      <c r="W1000" s="18" t="s">
        <v>38</v>
      </c>
      <c r="X1000" s="19">
        <v>45376</v>
      </c>
      <c r="Y1000" s="18" t="s">
        <v>33</v>
      </c>
      <c r="Z1000" s="43" t="e">
        <f>TEXT([1]!Table64[[#This Row],[Order date]],"mmm-yyyy")</f>
        <v>#REF!</v>
      </c>
    </row>
    <row r="1001" spans="1:26" x14ac:dyDescent="0.3">
      <c r="A1001" s="22">
        <v>11000</v>
      </c>
      <c r="B1001" s="23">
        <v>6839</v>
      </c>
      <c r="C1001" s="23" t="s">
        <v>25</v>
      </c>
      <c r="D1001" s="24">
        <v>80441.990000000005</v>
      </c>
      <c r="E1001" s="23">
        <v>78</v>
      </c>
      <c r="F1001" s="23" t="s">
        <v>43</v>
      </c>
      <c r="G1001" s="25">
        <v>45361</v>
      </c>
      <c r="H1001" s="24">
        <v>158745.09</v>
      </c>
      <c r="I1001" s="26" t="s">
        <v>44</v>
      </c>
      <c r="J1001" s="15" t="s">
        <v>36</v>
      </c>
      <c r="K1001" s="15">
        <v>1252</v>
      </c>
      <c r="L1001" s="16">
        <v>45332</v>
      </c>
      <c r="M1001" s="17">
        <v>2</v>
      </c>
      <c r="N1001" s="27">
        <v>91000</v>
      </c>
      <c r="O1001" s="27" t="s">
        <v>50</v>
      </c>
      <c r="P1001" s="28">
        <v>45430</v>
      </c>
      <c r="Q1001" s="29">
        <v>0.74390999999999996</v>
      </c>
      <c r="R1001" s="30">
        <v>71000</v>
      </c>
      <c r="S1001" s="27" t="s">
        <v>41</v>
      </c>
      <c r="T1001" s="29">
        <v>183309.28081</v>
      </c>
      <c r="U1001" s="27" t="s">
        <v>31</v>
      </c>
      <c r="V1001" s="28">
        <v>45444</v>
      </c>
      <c r="W1001" s="27" t="s">
        <v>38</v>
      </c>
      <c r="X1001" s="28">
        <v>45384</v>
      </c>
      <c r="Y1001" s="27" t="s">
        <v>33</v>
      </c>
      <c r="Z1001" s="43" t="e">
        <f>TEXT([1]!Table64[[#This Row],[Order date]],"mmm-yyyy")</f>
        <v>#REF!</v>
      </c>
    </row>
    <row r="1002" spans="1:26" x14ac:dyDescent="0.3">
      <c r="A1002" s="10">
        <v>11001</v>
      </c>
      <c r="B1002" s="11">
        <v>6945</v>
      </c>
      <c r="C1002" s="11" t="s">
        <v>25</v>
      </c>
      <c r="D1002" s="12">
        <v>91179.94</v>
      </c>
      <c r="E1002" s="11">
        <v>34</v>
      </c>
      <c r="F1002" s="11" t="s">
        <v>43</v>
      </c>
      <c r="G1002" s="13">
        <v>45306</v>
      </c>
      <c r="H1002" s="12">
        <v>116422.8</v>
      </c>
      <c r="I1002" s="14" t="s">
        <v>44</v>
      </c>
      <c r="J1002" s="15" t="s">
        <v>36</v>
      </c>
      <c r="K1002" s="15">
        <v>802</v>
      </c>
      <c r="L1002" s="16">
        <v>45361</v>
      </c>
      <c r="M1002" s="17">
        <v>12</v>
      </c>
      <c r="N1002" s="18">
        <v>91001</v>
      </c>
      <c r="O1002" s="18" t="s">
        <v>29</v>
      </c>
      <c r="P1002" s="19">
        <v>45383</v>
      </c>
      <c r="Q1002" s="20">
        <v>0.73207</v>
      </c>
      <c r="R1002" s="21">
        <v>71001</v>
      </c>
      <c r="S1002" s="18" t="s">
        <v>41</v>
      </c>
      <c r="T1002" s="20">
        <v>87095.651800000007</v>
      </c>
      <c r="U1002" s="18" t="s">
        <v>31</v>
      </c>
      <c r="V1002" s="19">
        <v>45422</v>
      </c>
      <c r="W1002" s="18" t="s">
        <v>32</v>
      </c>
      <c r="X1002" s="19">
        <v>45384</v>
      </c>
      <c r="Y1002" s="18" t="s">
        <v>33</v>
      </c>
      <c r="Z1002" s="43" t="e">
        <f>TEXT([1]!Table64[[#This Row],[Order date]],"mmm-yyyy")</f>
        <v>#REF!</v>
      </c>
    </row>
    <row r="1003" spans="1:26" x14ac:dyDescent="0.3">
      <c r="A1003" s="22">
        <v>11002</v>
      </c>
      <c r="B1003" s="23">
        <v>5450</v>
      </c>
      <c r="C1003" s="23" t="s">
        <v>34</v>
      </c>
      <c r="D1003" s="24">
        <v>44621.05</v>
      </c>
      <c r="E1003" s="23">
        <v>82</v>
      </c>
      <c r="F1003" s="23" t="s">
        <v>46</v>
      </c>
      <c r="G1003" s="25">
        <v>45337</v>
      </c>
      <c r="H1003" s="24">
        <v>176172.08</v>
      </c>
      <c r="I1003" s="26" t="s">
        <v>27</v>
      </c>
      <c r="J1003" s="15" t="s">
        <v>49</v>
      </c>
      <c r="K1003" s="15">
        <v>526</v>
      </c>
      <c r="L1003" s="16">
        <v>45361</v>
      </c>
      <c r="M1003" s="17">
        <v>5</v>
      </c>
      <c r="N1003" s="27">
        <v>91002</v>
      </c>
      <c r="O1003" s="27" t="s">
        <v>50</v>
      </c>
      <c r="P1003" s="28">
        <v>45352</v>
      </c>
      <c r="Q1003" s="29">
        <v>0.97026000000000001</v>
      </c>
      <c r="R1003" s="30">
        <v>71002</v>
      </c>
      <c r="S1003" s="27" t="s">
        <v>41</v>
      </c>
      <c r="T1003" s="29">
        <v>99537.844299999997</v>
      </c>
      <c r="U1003" s="27" t="s">
        <v>31</v>
      </c>
      <c r="V1003" s="28">
        <v>45444</v>
      </c>
      <c r="W1003" s="27" t="s">
        <v>38</v>
      </c>
      <c r="X1003" s="28">
        <v>45376</v>
      </c>
      <c r="Y1003" s="27" t="s">
        <v>33</v>
      </c>
      <c r="Z1003" s="43" t="e">
        <f>TEXT([1]!Table64[[#This Row],[Order date]],"mmm-yyyy")</f>
        <v>#REF!</v>
      </c>
    </row>
    <row r="1004" spans="1:26" x14ac:dyDescent="0.3">
      <c r="A1004" s="10">
        <v>11003</v>
      </c>
      <c r="B1004" s="11">
        <v>5010</v>
      </c>
      <c r="C1004" s="11" t="s">
        <v>34</v>
      </c>
      <c r="D1004" s="12">
        <v>62666.49</v>
      </c>
      <c r="E1004" s="11">
        <v>98</v>
      </c>
      <c r="F1004" s="11" t="s">
        <v>46</v>
      </c>
      <c r="G1004" s="13">
        <v>45337</v>
      </c>
      <c r="H1004" s="12">
        <v>32489.87</v>
      </c>
      <c r="I1004" s="14" t="s">
        <v>44</v>
      </c>
      <c r="J1004" s="15" t="s">
        <v>49</v>
      </c>
      <c r="K1004" s="15">
        <v>1487</v>
      </c>
      <c r="L1004" s="16">
        <v>45332</v>
      </c>
      <c r="M1004" s="17">
        <v>6</v>
      </c>
      <c r="N1004" s="18">
        <v>91003</v>
      </c>
      <c r="O1004" s="18" t="s">
        <v>37</v>
      </c>
      <c r="P1004" s="19">
        <v>45430</v>
      </c>
      <c r="Q1004" s="20">
        <v>0.37017</v>
      </c>
      <c r="R1004" s="21">
        <v>71003</v>
      </c>
      <c r="S1004" s="18" t="s">
        <v>30</v>
      </c>
      <c r="T1004" s="20">
        <v>102698.68025</v>
      </c>
      <c r="U1004" s="18" t="s">
        <v>42</v>
      </c>
      <c r="V1004" s="19">
        <v>45392</v>
      </c>
      <c r="W1004" s="18" t="s">
        <v>32</v>
      </c>
      <c r="X1004" s="19">
        <v>45376</v>
      </c>
      <c r="Y1004" s="18" t="s">
        <v>33</v>
      </c>
      <c r="Z1004" s="43" t="e">
        <f>TEXT([1]!Table64[[#This Row],[Order date]],"mmm-yyyy")</f>
        <v>#REF!</v>
      </c>
    </row>
    <row r="1005" spans="1:26" x14ac:dyDescent="0.3">
      <c r="A1005" s="22">
        <v>11004</v>
      </c>
      <c r="B1005" s="23">
        <v>5824</v>
      </c>
      <c r="C1005" s="23" t="s">
        <v>34</v>
      </c>
      <c r="D1005" s="24">
        <v>70244.94</v>
      </c>
      <c r="E1005" s="23">
        <v>75</v>
      </c>
      <c r="F1005" s="23" t="s">
        <v>43</v>
      </c>
      <c r="G1005" s="25">
        <v>45383</v>
      </c>
      <c r="H1005" s="24">
        <v>149602.93</v>
      </c>
      <c r="I1005" s="26" t="s">
        <v>44</v>
      </c>
      <c r="J1005" s="15" t="s">
        <v>28</v>
      </c>
      <c r="K1005" s="15">
        <v>1226</v>
      </c>
      <c r="L1005" s="16">
        <v>45397</v>
      </c>
      <c r="M1005" s="17">
        <v>1</v>
      </c>
      <c r="N1005" s="27">
        <v>91004</v>
      </c>
      <c r="O1005" s="27" t="s">
        <v>37</v>
      </c>
      <c r="P1005" s="28">
        <v>45383</v>
      </c>
      <c r="Q1005" s="29">
        <v>0.78080000000000005</v>
      </c>
      <c r="R1005" s="30">
        <v>71004</v>
      </c>
      <c r="S1005" s="27" t="s">
        <v>45</v>
      </c>
      <c r="T1005" s="29">
        <v>109466.1721</v>
      </c>
      <c r="U1005" s="27" t="s">
        <v>31</v>
      </c>
      <c r="V1005" s="28">
        <v>45444</v>
      </c>
      <c r="W1005" s="27" t="s">
        <v>38</v>
      </c>
      <c r="X1005" s="28">
        <v>45384</v>
      </c>
      <c r="Y1005" s="27" t="s">
        <v>33</v>
      </c>
      <c r="Z1005" s="43" t="e">
        <f>TEXT([1]!Table64[[#This Row],[Order date]],"mmm-yyyy")</f>
        <v>#REF!</v>
      </c>
    </row>
    <row r="1006" spans="1:26" x14ac:dyDescent="0.3">
      <c r="A1006" s="10">
        <v>11005</v>
      </c>
      <c r="B1006" s="11">
        <v>5798</v>
      </c>
      <c r="C1006" s="11" t="s">
        <v>34</v>
      </c>
      <c r="D1006" s="12">
        <v>51489.26</v>
      </c>
      <c r="E1006" s="11">
        <v>76</v>
      </c>
      <c r="F1006" s="11" t="s">
        <v>46</v>
      </c>
      <c r="G1006" s="13">
        <v>45361</v>
      </c>
      <c r="H1006" s="12">
        <v>79841.86</v>
      </c>
      <c r="I1006" s="14" t="s">
        <v>44</v>
      </c>
      <c r="J1006" s="15" t="s">
        <v>49</v>
      </c>
      <c r="K1006" s="15">
        <v>1177</v>
      </c>
      <c r="L1006" s="16">
        <v>45397</v>
      </c>
      <c r="M1006" s="17">
        <v>14</v>
      </c>
      <c r="N1006" s="18">
        <v>91005</v>
      </c>
      <c r="O1006" s="18" t="s">
        <v>50</v>
      </c>
      <c r="P1006" s="19">
        <v>45430</v>
      </c>
      <c r="Q1006" s="20">
        <v>0.49065999999999999</v>
      </c>
      <c r="R1006" s="21">
        <v>71005</v>
      </c>
      <c r="S1006" s="18" t="s">
        <v>30</v>
      </c>
      <c r="T1006" s="20">
        <v>119173.04196</v>
      </c>
      <c r="U1006" s="18" t="s">
        <v>42</v>
      </c>
      <c r="V1006" s="19">
        <v>45392</v>
      </c>
      <c r="W1006" s="18" t="s">
        <v>38</v>
      </c>
      <c r="X1006" s="19">
        <v>45376</v>
      </c>
      <c r="Y1006" s="18" t="s">
        <v>33</v>
      </c>
      <c r="Z1006" s="43" t="e">
        <f>TEXT([1]!Table64[[#This Row],[Order date]],"mmm-yyyy")</f>
        <v>#REF!</v>
      </c>
    </row>
    <row r="1007" spans="1:26" x14ac:dyDescent="0.3">
      <c r="A1007" s="22">
        <v>11006</v>
      </c>
      <c r="B1007" s="23">
        <v>6266</v>
      </c>
      <c r="C1007" s="23" t="s">
        <v>34</v>
      </c>
      <c r="D1007" s="24">
        <v>43719.4</v>
      </c>
      <c r="E1007" s="23">
        <v>49</v>
      </c>
      <c r="F1007" s="23" t="s">
        <v>26</v>
      </c>
      <c r="G1007" s="25">
        <v>45383</v>
      </c>
      <c r="H1007" s="24">
        <v>25348.22</v>
      </c>
      <c r="I1007" s="26" t="s">
        <v>44</v>
      </c>
      <c r="J1007" s="15" t="s">
        <v>36</v>
      </c>
      <c r="K1007" s="15">
        <v>1148</v>
      </c>
      <c r="L1007" s="16">
        <v>45397</v>
      </c>
      <c r="M1007" s="17">
        <v>12</v>
      </c>
      <c r="N1007" s="27">
        <v>91006</v>
      </c>
      <c r="O1007" s="27" t="s">
        <v>50</v>
      </c>
      <c r="P1007" s="28">
        <v>45383</v>
      </c>
      <c r="Q1007" s="29">
        <v>0.60263</v>
      </c>
      <c r="R1007" s="30">
        <v>71006</v>
      </c>
      <c r="S1007" s="27" t="s">
        <v>41</v>
      </c>
      <c r="T1007" s="29">
        <v>97302.090249999994</v>
      </c>
      <c r="U1007" s="27" t="s">
        <v>48</v>
      </c>
      <c r="V1007" s="28">
        <v>45422</v>
      </c>
      <c r="W1007" s="27" t="s">
        <v>38</v>
      </c>
      <c r="X1007" s="28">
        <v>45376</v>
      </c>
      <c r="Y1007" s="27" t="s">
        <v>33</v>
      </c>
      <c r="Z1007" s="43" t="e">
        <f>TEXT([1]!Table64[[#This Row],[Order date]],"mmm-yyyy")</f>
        <v>#REF!</v>
      </c>
    </row>
    <row r="1008" spans="1:26" x14ac:dyDescent="0.3">
      <c r="A1008" s="10">
        <v>11007</v>
      </c>
      <c r="B1008" s="11">
        <v>6275</v>
      </c>
      <c r="C1008" s="11" t="s">
        <v>34</v>
      </c>
      <c r="D1008" s="12">
        <v>48229.52</v>
      </c>
      <c r="E1008" s="11">
        <v>79</v>
      </c>
      <c r="F1008" s="11" t="s">
        <v>46</v>
      </c>
      <c r="G1008" s="13">
        <v>45337</v>
      </c>
      <c r="H1008" s="12">
        <v>15399.39</v>
      </c>
      <c r="I1008" s="14" t="s">
        <v>44</v>
      </c>
      <c r="J1008" s="15" t="s">
        <v>28</v>
      </c>
      <c r="K1008" s="15">
        <v>1201</v>
      </c>
      <c r="L1008" s="16">
        <v>45397</v>
      </c>
      <c r="M1008" s="17">
        <v>11</v>
      </c>
      <c r="N1008" s="18">
        <v>91007</v>
      </c>
      <c r="O1008" s="18" t="s">
        <v>37</v>
      </c>
      <c r="P1008" s="19">
        <v>45430</v>
      </c>
      <c r="Q1008" s="20">
        <v>0.83481000000000005</v>
      </c>
      <c r="R1008" s="21">
        <v>71007</v>
      </c>
      <c r="S1008" s="18" t="s">
        <v>41</v>
      </c>
      <c r="T1008" s="20">
        <v>152509.11869999999</v>
      </c>
      <c r="U1008" s="18" t="s">
        <v>31</v>
      </c>
      <c r="V1008" s="19">
        <v>45422</v>
      </c>
      <c r="W1008" s="18" t="s">
        <v>32</v>
      </c>
      <c r="X1008" s="19">
        <v>45376</v>
      </c>
      <c r="Y1008" s="18" t="s">
        <v>33</v>
      </c>
      <c r="Z1008" s="43" t="e">
        <f>TEXT([1]!Table64[[#This Row],[Order date]],"mmm-yyyy")</f>
        <v>#REF!</v>
      </c>
    </row>
    <row r="1009" spans="1:26" x14ac:dyDescent="0.3">
      <c r="A1009" s="22">
        <v>11008</v>
      </c>
      <c r="B1009" s="23">
        <v>5877</v>
      </c>
      <c r="C1009" s="23" t="s">
        <v>34</v>
      </c>
      <c r="D1009" s="24">
        <v>77992.34</v>
      </c>
      <c r="E1009" s="23">
        <v>57</v>
      </c>
      <c r="F1009" s="23" t="s">
        <v>46</v>
      </c>
      <c r="G1009" s="25">
        <v>45361</v>
      </c>
      <c r="H1009" s="24">
        <v>87473.32</v>
      </c>
      <c r="I1009" s="26" t="s">
        <v>27</v>
      </c>
      <c r="J1009" s="15" t="s">
        <v>36</v>
      </c>
      <c r="K1009" s="15">
        <v>715</v>
      </c>
      <c r="L1009" s="16">
        <v>45332</v>
      </c>
      <c r="M1009" s="17">
        <v>6</v>
      </c>
      <c r="N1009" s="27">
        <v>91008</v>
      </c>
      <c r="O1009" s="27" t="s">
        <v>37</v>
      </c>
      <c r="P1009" s="28">
        <v>45383</v>
      </c>
      <c r="Q1009" s="29">
        <v>0.29980000000000001</v>
      </c>
      <c r="R1009" s="30">
        <v>71008</v>
      </c>
      <c r="S1009" s="27" t="s">
        <v>41</v>
      </c>
      <c r="T1009" s="29">
        <v>192747.99064</v>
      </c>
      <c r="U1009" s="27" t="s">
        <v>42</v>
      </c>
      <c r="V1009" s="28">
        <v>45392</v>
      </c>
      <c r="W1009" s="27" t="s">
        <v>38</v>
      </c>
      <c r="X1009" s="28">
        <v>45376</v>
      </c>
      <c r="Y1009" s="27" t="s">
        <v>39</v>
      </c>
      <c r="Z1009" s="43" t="e">
        <f>TEXT([1]!Table64[[#This Row],[Order date]],"mmm-yyyy")</f>
        <v>#REF!</v>
      </c>
    </row>
    <row r="1010" spans="1:26" x14ac:dyDescent="0.3">
      <c r="A1010" s="10">
        <v>11009</v>
      </c>
      <c r="B1010" s="11">
        <v>6029</v>
      </c>
      <c r="C1010" s="11" t="s">
        <v>25</v>
      </c>
      <c r="D1010" s="12">
        <v>94503.24</v>
      </c>
      <c r="E1010" s="11">
        <v>95</v>
      </c>
      <c r="F1010" s="11" t="s">
        <v>43</v>
      </c>
      <c r="G1010" s="13">
        <v>45306</v>
      </c>
      <c r="H1010" s="12">
        <v>100625.89</v>
      </c>
      <c r="I1010" s="14" t="s">
        <v>44</v>
      </c>
      <c r="J1010" s="15" t="s">
        <v>28</v>
      </c>
      <c r="K1010" s="15">
        <v>617</v>
      </c>
      <c r="L1010" s="16">
        <v>45361</v>
      </c>
      <c r="M1010" s="17">
        <v>10</v>
      </c>
      <c r="N1010" s="18">
        <v>91009</v>
      </c>
      <c r="O1010" s="18" t="s">
        <v>40</v>
      </c>
      <c r="P1010" s="19">
        <v>45352</v>
      </c>
      <c r="Q1010" s="20">
        <v>0.40858</v>
      </c>
      <c r="R1010" s="21">
        <v>71009</v>
      </c>
      <c r="S1010" s="18" t="s">
        <v>45</v>
      </c>
      <c r="T1010" s="20">
        <v>74561.075670000006</v>
      </c>
      <c r="U1010" s="18" t="s">
        <v>42</v>
      </c>
      <c r="V1010" s="19">
        <v>45392</v>
      </c>
      <c r="W1010" s="18" t="s">
        <v>38</v>
      </c>
      <c r="X1010" s="19">
        <v>45376</v>
      </c>
      <c r="Y1010" s="18" t="s">
        <v>33</v>
      </c>
      <c r="Z1010" s="43" t="e">
        <f>TEXT([1]!Table64[[#This Row],[Order date]],"mmm-yyyy")</f>
        <v>#REF!</v>
      </c>
    </row>
    <row r="1011" spans="1:26" x14ac:dyDescent="0.3">
      <c r="A1011" s="22">
        <v>11010</v>
      </c>
      <c r="B1011" s="23">
        <v>6143</v>
      </c>
      <c r="C1011" s="23" t="s">
        <v>34</v>
      </c>
      <c r="D1011" s="24">
        <v>88799.38</v>
      </c>
      <c r="E1011" s="23">
        <v>93</v>
      </c>
      <c r="F1011" s="23" t="s">
        <v>35</v>
      </c>
      <c r="G1011" s="25">
        <v>45361</v>
      </c>
      <c r="H1011" s="24">
        <v>116097.43</v>
      </c>
      <c r="I1011" s="26" t="s">
        <v>44</v>
      </c>
      <c r="J1011" s="15" t="s">
        <v>36</v>
      </c>
      <c r="K1011" s="15">
        <v>1418</v>
      </c>
      <c r="L1011" s="16">
        <v>45361</v>
      </c>
      <c r="M1011" s="17">
        <v>3</v>
      </c>
      <c r="N1011" s="27">
        <v>91010</v>
      </c>
      <c r="O1011" s="27" t="s">
        <v>40</v>
      </c>
      <c r="P1011" s="28">
        <v>45383</v>
      </c>
      <c r="Q1011" s="29">
        <v>0.79598000000000002</v>
      </c>
      <c r="R1011" s="30">
        <v>71010</v>
      </c>
      <c r="S1011" s="27" t="s">
        <v>30</v>
      </c>
      <c r="T1011" s="29">
        <v>63577.585079999997</v>
      </c>
      <c r="U1011" s="27" t="s">
        <v>42</v>
      </c>
      <c r="V1011" s="28">
        <v>45392</v>
      </c>
      <c r="W1011" s="27" t="s">
        <v>32</v>
      </c>
      <c r="X1011" s="28">
        <v>45376</v>
      </c>
      <c r="Y1011" s="27" t="s">
        <v>33</v>
      </c>
      <c r="Z1011" s="43" t="e">
        <f>TEXT([1]!Table64[[#This Row],[Order date]],"mmm-yyyy")</f>
        <v>#REF!</v>
      </c>
    </row>
    <row r="1012" spans="1:26" x14ac:dyDescent="0.3">
      <c r="A1012" s="10">
        <v>11011</v>
      </c>
      <c r="B1012" s="11">
        <v>6016</v>
      </c>
      <c r="C1012" s="11" t="s">
        <v>34</v>
      </c>
      <c r="D1012" s="12">
        <v>31130.38</v>
      </c>
      <c r="E1012" s="11">
        <v>26</v>
      </c>
      <c r="F1012" s="11" t="s">
        <v>35</v>
      </c>
      <c r="G1012" s="13">
        <v>45337</v>
      </c>
      <c r="H1012" s="12">
        <v>74012.179999999993</v>
      </c>
      <c r="I1012" s="14" t="s">
        <v>44</v>
      </c>
      <c r="J1012" s="15" t="s">
        <v>49</v>
      </c>
      <c r="K1012" s="15">
        <v>580</v>
      </c>
      <c r="L1012" s="16">
        <v>45397</v>
      </c>
      <c r="M1012" s="17">
        <v>4</v>
      </c>
      <c r="N1012" s="18">
        <v>91011</v>
      </c>
      <c r="O1012" s="18" t="s">
        <v>37</v>
      </c>
      <c r="P1012" s="19">
        <v>45430</v>
      </c>
      <c r="Q1012" s="20">
        <v>0.61341000000000001</v>
      </c>
      <c r="R1012" s="21">
        <v>71011</v>
      </c>
      <c r="S1012" s="18" t="s">
        <v>30</v>
      </c>
      <c r="T1012" s="20">
        <v>193704.924</v>
      </c>
      <c r="U1012" s="18" t="s">
        <v>42</v>
      </c>
      <c r="V1012" s="19">
        <v>45422</v>
      </c>
      <c r="W1012" s="18" t="s">
        <v>38</v>
      </c>
      <c r="X1012" s="19">
        <v>45376</v>
      </c>
      <c r="Y1012" s="18" t="s">
        <v>39</v>
      </c>
      <c r="Z1012" s="43" t="e">
        <f>TEXT([1]!Table64[[#This Row],[Order date]],"mmm-yyyy")</f>
        <v>#REF!</v>
      </c>
    </row>
    <row r="1013" spans="1:26" x14ac:dyDescent="0.3">
      <c r="A1013" s="22">
        <v>11012</v>
      </c>
      <c r="B1013" s="23">
        <v>6825</v>
      </c>
      <c r="C1013" s="23" t="s">
        <v>34</v>
      </c>
      <c r="D1013" s="24">
        <v>29358.17</v>
      </c>
      <c r="E1013" s="23">
        <v>18</v>
      </c>
      <c r="F1013" s="23" t="s">
        <v>35</v>
      </c>
      <c r="G1013" s="25">
        <v>45306</v>
      </c>
      <c r="H1013" s="24">
        <v>74474.41</v>
      </c>
      <c r="I1013" s="26" t="s">
        <v>47</v>
      </c>
      <c r="J1013" s="15" t="s">
        <v>36</v>
      </c>
      <c r="K1013" s="15">
        <v>208</v>
      </c>
      <c r="L1013" s="16">
        <v>45332</v>
      </c>
      <c r="M1013" s="17">
        <v>6</v>
      </c>
      <c r="N1013" s="27">
        <v>91012</v>
      </c>
      <c r="O1013" s="27" t="s">
        <v>50</v>
      </c>
      <c r="P1013" s="28">
        <v>45430</v>
      </c>
      <c r="Q1013" s="29">
        <v>0.18318000000000001</v>
      </c>
      <c r="R1013" s="30">
        <v>71012</v>
      </c>
      <c r="S1013" s="27" t="s">
        <v>30</v>
      </c>
      <c r="T1013" s="29">
        <v>55472.669560000002</v>
      </c>
      <c r="U1013" s="27" t="s">
        <v>31</v>
      </c>
      <c r="V1013" s="28">
        <v>45392</v>
      </c>
      <c r="W1013" s="27" t="s">
        <v>38</v>
      </c>
      <c r="X1013" s="28">
        <v>45376</v>
      </c>
      <c r="Y1013" s="27" t="s">
        <v>33</v>
      </c>
      <c r="Z1013" s="43" t="e">
        <f>TEXT([1]!Table64[[#This Row],[Order date]],"mmm-yyyy")</f>
        <v>#REF!</v>
      </c>
    </row>
    <row r="1014" spans="1:26" x14ac:dyDescent="0.3">
      <c r="A1014" s="10">
        <v>11013</v>
      </c>
      <c r="B1014" s="11">
        <v>5374</v>
      </c>
      <c r="C1014" s="11" t="s">
        <v>34</v>
      </c>
      <c r="D1014" s="12">
        <v>70622.7</v>
      </c>
      <c r="E1014" s="11">
        <v>96</v>
      </c>
      <c r="F1014" s="11" t="s">
        <v>26</v>
      </c>
      <c r="G1014" s="13">
        <v>45361</v>
      </c>
      <c r="H1014" s="12">
        <v>23703.759999999998</v>
      </c>
      <c r="I1014" s="14" t="s">
        <v>27</v>
      </c>
      <c r="J1014" s="15" t="s">
        <v>28</v>
      </c>
      <c r="K1014" s="15">
        <v>1499</v>
      </c>
      <c r="L1014" s="16">
        <v>45332</v>
      </c>
      <c r="M1014" s="17">
        <v>8</v>
      </c>
      <c r="N1014" s="18">
        <v>91013</v>
      </c>
      <c r="O1014" s="18" t="s">
        <v>29</v>
      </c>
      <c r="P1014" s="19">
        <v>45352</v>
      </c>
      <c r="Q1014" s="20">
        <v>0.48716999999999999</v>
      </c>
      <c r="R1014" s="21">
        <v>71013</v>
      </c>
      <c r="S1014" s="18" t="s">
        <v>41</v>
      </c>
      <c r="T1014" s="20">
        <v>166240.34247</v>
      </c>
      <c r="U1014" s="18" t="s">
        <v>31</v>
      </c>
      <c r="V1014" s="19">
        <v>45422</v>
      </c>
      <c r="W1014" s="18" t="s">
        <v>38</v>
      </c>
      <c r="X1014" s="19">
        <v>45376</v>
      </c>
      <c r="Y1014" s="18" t="s">
        <v>33</v>
      </c>
      <c r="Z1014" s="43" t="e">
        <f>TEXT([1]!Table64[[#This Row],[Order date]],"mmm-yyyy")</f>
        <v>#REF!</v>
      </c>
    </row>
    <row r="1015" spans="1:26" x14ac:dyDescent="0.3">
      <c r="A1015" s="22">
        <v>11014</v>
      </c>
      <c r="B1015" s="23">
        <v>6089</v>
      </c>
      <c r="C1015" s="23" t="s">
        <v>25</v>
      </c>
      <c r="D1015" s="24">
        <v>55332.3</v>
      </c>
      <c r="E1015" s="23">
        <v>86</v>
      </c>
      <c r="F1015" s="23" t="s">
        <v>46</v>
      </c>
      <c r="G1015" s="25">
        <v>45306</v>
      </c>
      <c r="H1015" s="24">
        <v>17459.41</v>
      </c>
      <c r="I1015" s="26" t="s">
        <v>47</v>
      </c>
      <c r="J1015" s="15" t="s">
        <v>36</v>
      </c>
      <c r="K1015" s="15">
        <v>730</v>
      </c>
      <c r="L1015" s="16">
        <v>45397</v>
      </c>
      <c r="M1015" s="17">
        <v>9</v>
      </c>
      <c r="N1015" s="27">
        <v>91014</v>
      </c>
      <c r="O1015" s="27" t="s">
        <v>50</v>
      </c>
      <c r="P1015" s="28">
        <v>45430</v>
      </c>
      <c r="Q1015" s="29">
        <v>0.62797000000000003</v>
      </c>
      <c r="R1015" s="30">
        <v>71014</v>
      </c>
      <c r="S1015" s="27" t="s">
        <v>45</v>
      </c>
      <c r="T1015" s="29">
        <v>86459.206510000004</v>
      </c>
      <c r="U1015" s="27" t="s">
        <v>31</v>
      </c>
      <c r="V1015" s="28">
        <v>45444</v>
      </c>
      <c r="W1015" s="27" t="s">
        <v>38</v>
      </c>
      <c r="X1015" s="28">
        <v>45376</v>
      </c>
      <c r="Y1015" s="27" t="s">
        <v>39</v>
      </c>
      <c r="Z1015" s="43" t="e">
        <f>TEXT([1]!Table64[[#This Row],[Order date]],"mmm-yyyy")</f>
        <v>#REF!</v>
      </c>
    </row>
    <row r="1016" spans="1:26" x14ac:dyDescent="0.3">
      <c r="A1016" s="10">
        <v>11015</v>
      </c>
      <c r="B1016" s="11">
        <v>5146</v>
      </c>
      <c r="C1016" s="11" t="s">
        <v>34</v>
      </c>
      <c r="D1016" s="12">
        <v>22775.95</v>
      </c>
      <c r="E1016" s="11">
        <v>38</v>
      </c>
      <c r="F1016" s="11" t="s">
        <v>35</v>
      </c>
      <c r="G1016" s="13">
        <v>45306</v>
      </c>
      <c r="H1016" s="12">
        <v>51222.78</v>
      </c>
      <c r="I1016" s="14" t="s">
        <v>44</v>
      </c>
      <c r="J1016" s="15" t="s">
        <v>28</v>
      </c>
      <c r="K1016" s="15">
        <v>72</v>
      </c>
      <c r="L1016" s="16">
        <v>45397</v>
      </c>
      <c r="M1016" s="17">
        <v>6</v>
      </c>
      <c r="N1016" s="18">
        <v>91015</v>
      </c>
      <c r="O1016" s="18" t="s">
        <v>50</v>
      </c>
      <c r="P1016" s="19">
        <v>45352</v>
      </c>
      <c r="Q1016" s="20">
        <v>0.91857</v>
      </c>
      <c r="R1016" s="21">
        <v>71015</v>
      </c>
      <c r="S1016" s="18" t="s">
        <v>41</v>
      </c>
      <c r="T1016" s="20">
        <v>198389.86309999999</v>
      </c>
      <c r="U1016" s="18" t="s">
        <v>42</v>
      </c>
      <c r="V1016" s="19">
        <v>45422</v>
      </c>
      <c r="W1016" s="18" t="s">
        <v>38</v>
      </c>
      <c r="X1016" s="19">
        <v>45376</v>
      </c>
      <c r="Y1016" s="18" t="s">
        <v>39</v>
      </c>
      <c r="Z1016" s="43" t="e">
        <f>TEXT([1]!Table64[[#This Row],[Order date]],"mmm-yyyy")</f>
        <v>#REF!</v>
      </c>
    </row>
    <row r="1017" spans="1:26" x14ac:dyDescent="0.3">
      <c r="A1017" s="22">
        <v>11016</v>
      </c>
      <c r="B1017" s="23">
        <v>5224</v>
      </c>
      <c r="C1017" s="23" t="s">
        <v>34</v>
      </c>
      <c r="D1017" s="24">
        <v>68747.89</v>
      </c>
      <c r="E1017" s="23">
        <v>81</v>
      </c>
      <c r="F1017" s="23" t="s">
        <v>43</v>
      </c>
      <c r="G1017" s="25">
        <v>45337</v>
      </c>
      <c r="H1017" s="24">
        <v>146589.17000000001</v>
      </c>
      <c r="I1017" s="26" t="s">
        <v>47</v>
      </c>
      <c r="J1017" s="15" t="s">
        <v>36</v>
      </c>
      <c r="K1017" s="15">
        <v>1120</v>
      </c>
      <c r="L1017" s="16">
        <v>45397</v>
      </c>
      <c r="M1017" s="17">
        <v>7</v>
      </c>
      <c r="N1017" s="27">
        <v>91016</v>
      </c>
      <c r="O1017" s="27" t="s">
        <v>40</v>
      </c>
      <c r="P1017" s="28">
        <v>45430</v>
      </c>
      <c r="Q1017" s="29">
        <v>0.26963999999999999</v>
      </c>
      <c r="R1017" s="30">
        <v>71016</v>
      </c>
      <c r="S1017" s="27" t="s">
        <v>30</v>
      </c>
      <c r="T1017" s="29">
        <v>109647.35965</v>
      </c>
      <c r="U1017" s="27" t="s">
        <v>48</v>
      </c>
      <c r="V1017" s="28">
        <v>45444</v>
      </c>
      <c r="W1017" s="27" t="s">
        <v>38</v>
      </c>
      <c r="X1017" s="28">
        <v>45376</v>
      </c>
      <c r="Y1017" s="27" t="s">
        <v>39</v>
      </c>
      <c r="Z1017" s="43" t="e">
        <f>TEXT([1]!Table64[[#This Row],[Order date]],"mmm-yyyy")</f>
        <v>#REF!</v>
      </c>
    </row>
    <row r="1018" spans="1:26" x14ac:dyDescent="0.3">
      <c r="A1018" s="10">
        <v>11017</v>
      </c>
      <c r="B1018" s="11">
        <v>6263</v>
      </c>
      <c r="C1018" s="11" t="s">
        <v>34</v>
      </c>
      <c r="D1018" s="12">
        <v>89199.94</v>
      </c>
      <c r="E1018" s="11">
        <v>87</v>
      </c>
      <c r="F1018" s="11" t="s">
        <v>35</v>
      </c>
      <c r="G1018" s="13">
        <v>45306</v>
      </c>
      <c r="H1018" s="12">
        <v>21335.58</v>
      </c>
      <c r="I1018" s="14" t="s">
        <v>47</v>
      </c>
      <c r="J1018" s="15" t="s">
        <v>49</v>
      </c>
      <c r="K1018" s="15">
        <v>574</v>
      </c>
      <c r="L1018" s="16">
        <v>45361</v>
      </c>
      <c r="M1018" s="17">
        <v>14</v>
      </c>
      <c r="N1018" s="18">
        <v>91017</v>
      </c>
      <c r="O1018" s="18" t="s">
        <v>40</v>
      </c>
      <c r="P1018" s="19">
        <v>45430</v>
      </c>
      <c r="Q1018" s="20">
        <v>0.82535999999999998</v>
      </c>
      <c r="R1018" s="21">
        <v>71017</v>
      </c>
      <c r="S1018" s="18" t="s">
        <v>41</v>
      </c>
      <c r="T1018" s="20">
        <v>91686.639200000005</v>
      </c>
      <c r="U1018" s="18" t="s">
        <v>42</v>
      </c>
      <c r="V1018" s="19">
        <v>45422</v>
      </c>
      <c r="W1018" s="18" t="s">
        <v>38</v>
      </c>
      <c r="X1018" s="19">
        <v>45384</v>
      </c>
      <c r="Y1018" s="18" t="s">
        <v>33</v>
      </c>
      <c r="Z1018" s="43" t="e">
        <f>TEXT([1]!Table64[[#This Row],[Order date]],"mmm-yyyy")</f>
        <v>#REF!</v>
      </c>
    </row>
    <row r="1019" spans="1:26" x14ac:dyDescent="0.3">
      <c r="A1019" s="22">
        <v>11018</v>
      </c>
      <c r="B1019" s="23">
        <v>5177</v>
      </c>
      <c r="C1019" s="23" t="s">
        <v>34</v>
      </c>
      <c r="D1019" s="24">
        <v>88382.17</v>
      </c>
      <c r="E1019" s="23">
        <v>88</v>
      </c>
      <c r="F1019" s="23" t="s">
        <v>35</v>
      </c>
      <c r="G1019" s="25">
        <v>45383</v>
      </c>
      <c r="H1019" s="24">
        <v>137889.57999999999</v>
      </c>
      <c r="I1019" s="26" t="s">
        <v>47</v>
      </c>
      <c r="J1019" s="15" t="s">
        <v>49</v>
      </c>
      <c r="K1019" s="15">
        <v>778</v>
      </c>
      <c r="L1019" s="16">
        <v>45397</v>
      </c>
      <c r="M1019" s="17">
        <v>5</v>
      </c>
      <c r="N1019" s="27">
        <v>91018</v>
      </c>
      <c r="O1019" s="27" t="s">
        <v>40</v>
      </c>
      <c r="P1019" s="28">
        <v>45352</v>
      </c>
      <c r="Q1019" s="29">
        <v>0.21756</v>
      </c>
      <c r="R1019" s="30">
        <v>71018</v>
      </c>
      <c r="S1019" s="27" t="s">
        <v>41</v>
      </c>
      <c r="T1019" s="29">
        <v>123161.36786</v>
      </c>
      <c r="U1019" s="27" t="s">
        <v>48</v>
      </c>
      <c r="V1019" s="28">
        <v>45422</v>
      </c>
      <c r="W1019" s="27" t="s">
        <v>38</v>
      </c>
      <c r="X1019" s="28">
        <v>45376</v>
      </c>
      <c r="Y1019" s="27" t="s">
        <v>39</v>
      </c>
      <c r="Z1019" s="43" t="e">
        <f>TEXT([1]!Table64[[#This Row],[Order date]],"mmm-yyyy")</f>
        <v>#REF!</v>
      </c>
    </row>
    <row r="1020" spans="1:26" x14ac:dyDescent="0.3">
      <c r="A1020" s="10">
        <v>11019</v>
      </c>
      <c r="B1020" s="11">
        <v>6803</v>
      </c>
      <c r="C1020" s="11" t="s">
        <v>34</v>
      </c>
      <c r="D1020" s="12">
        <v>75732.289999999994</v>
      </c>
      <c r="E1020" s="11">
        <v>50</v>
      </c>
      <c r="F1020" s="11" t="s">
        <v>46</v>
      </c>
      <c r="G1020" s="13">
        <v>45337</v>
      </c>
      <c r="H1020" s="12">
        <v>44096.43</v>
      </c>
      <c r="I1020" s="14" t="s">
        <v>27</v>
      </c>
      <c r="J1020" s="15" t="s">
        <v>36</v>
      </c>
      <c r="K1020" s="15">
        <v>193</v>
      </c>
      <c r="L1020" s="16">
        <v>45361</v>
      </c>
      <c r="M1020" s="17">
        <v>14</v>
      </c>
      <c r="N1020" s="18">
        <v>91019</v>
      </c>
      <c r="O1020" s="18" t="s">
        <v>37</v>
      </c>
      <c r="P1020" s="19">
        <v>45430</v>
      </c>
      <c r="Q1020" s="20">
        <v>0.31801000000000001</v>
      </c>
      <c r="R1020" s="21">
        <v>71019</v>
      </c>
      <c r="S1020" s="18" t="s">
        <v>45</v>
      </c>
      <c r="T1020" s="20">
        <v>79087.107839999997</v>
      </c>
      <c r="U1020" s="18" t="s">
        <v>31</v>
      </c>
      <c r="V1020" s="19">
        <v>45392</v>
      </c>
      <c r="W1020" s="18" t="s">
        <v>38</v>
      </c>
      <c r="X1020" s="19">
        <v>45384</v>
      </c>
      <c r="Y1020" s="18" t="s">
        <v>39</v>
      </c>
      <c r="Z1020" s="43" t="e">
        <f>TEXT([1]!Table64[[#This Row],[Order date]],"mmm-yyyy")</f>
        <v>#REF!</v>
      </c>
    </row>
    <row r="1021" spans="1:26" x14ac:dyDescent="0.3">
      <c r="A1021" s="22">
        <v>11020</v>
      </c>
      <c r="B1021" s="23">
        <v>5853</v>
      </c>
      <c r="C1021" s="23" t="s">
        <v>34</v>
      </c>
      <c r="D1021" s="24">
        <v>19452.64</v>
      </c>
      <c r="E1021" s="23">
        <v>8</v>
      </c>
      <c r="F1021" s="23" t="s">
        <v>46</v>
      </c>
      <c r="G1021" s="25">
        <v>45383</v>
      </c>
      <c r="H1021" s="24">
        <v>63209.49</v>
      </c>
      <c r="I1021" s="26" t="s">
        <v>44</v>
      </c>
      <c r="J1021" s="15" t="s">
        <v>36</v>
      </c>
      <c r="K1021" s="15">
        <v>717</v>
      </c>
      <c r="L1021" s="16">
        <v>45332</v>
      </c>
      <c r="M1021" s="17">
        <v>12</v>
      </c>
      <c r="N1021" s="27">
        <v>91020</v>
      </c>
      <c r="O1021" s="27" t="s">
        <v>37</v>
      </c>
      <c r="P1021" s="28">
        <v>45430</v>
      </c>
      <c r="Q1021" s="29">
        <v>0.31901000000000002</v>
      </c>
      <c r="R1021" s="30">
        <v>71020</v>
      </c>
      <c r="S1021" s="27" t="s">
        <v>30</v>
      </c>
      <c r="T1021" s="29">
        <v>186640.57089999999</v>
      </c>
      <c r="U1021" s="27" t="s">
        <v>42</v>
      </c>
      <c r="V1021" s="28">
        <v>45422</v>
      </c>
      <c r="W1021" s="27" t="s">
        <v>38</v>
      </c>
      <c r="X1021" s="28">
        <v>45376</v>
      </c>
      <c r="Y1021" s="27" t="s">
        <v>39</v>
      </c>
      <c r="Z1021" s="43" t="e">
        <f>TEXT([1]!Table64[[#This Row],[Order date]],"mmm-yyyy")</f>
        <v>#REF!</v>
      </c>
    </row>
    <row r="1022" spans="1:26" x14ac:dyDescent="0.3">
      <c r="A1022" s="10">
        <v>11021</v>
      </c>
      <c r="B1022" s="11">
        <v>6306</v>
      </c>
      <c r="C1022" s="11" t="s">
        <v>34</v>
      </c>
      <c r="D1022" s="12">
        <v>11555.78</v>
      </c>
      <c r="E1022" s="11">
        <v>41</v>
      </c>
      <c r="F1022" s="11" t="s">
        <v>46</v>
      </c>
      <c r="G1022" s="13">
        <v>45306</v>
      </c>
      <c r="H1022" s="12">
        <v>52673.03</v>
      </c>
      <c r="I1022" s="14" t="s">
        <v>47</v>
      </c>
      <c r="J1022" s="15" t="s">
        <v>36</v>
      </c>
      <c r="K1022" s="15">
        <v>1492</v>
      </c>
      <c r="L1022" s="16">
        <v>45332</v>
      </c>
      <c r="M1022" s="17">
        <v>9</v>
      </c>
      <c r="N1022" s="18">
        <v>91021</v>
      </c>
      <c r="O1022" s="18" t="s">
        <v>50</v>
      </c>
      <c r="P1022" s="19">
        <v>45352</v>
      </c>
      <c r="Q1022" s="20">
        <v>0.88973000000000002</v>
      </c>
      <c r="R1022" s="21">
        <v>71021</v>
      </c>
      <c r="S1022" s="18" t="s">
        <v>41</v>
      </c>
      <c r="T1022" s="20">
        <v>119480.9466</v>
      </c>
      <c r="U1022" s="18" t="s">
        <v>42</v>
      </c>
      <c r="V1022" s="19">
        <v>45392</v>
      </c>
      <c r="W1022" s="18" t="s">
        <v>32</v>
      </c>
      <c r="X1022" s="19">
        <v>45376</v>
      </c>
      <c r="Y1022" s="18" t="s">
        <v>39</v>
      </c>
      <c r="Z1022" s="43" t="e">
        <f>TEXT([1]!Table64[[#This Row],[Order date]],"mmm-yyyy")</f>
        <v>#REF!</v>
      </c>
    </row>
    <row r="1023" spans="1:26" x14ac:dyDescent="0.3">
      <c r="A1023" s="22">
        <v>11022</v>
      </c>
      <c r="B1023" s="23">
        <v>5063</v>
      </c>
      <c r="C1023" s="23" t="s">
        <v>34</v>
      </c>
      <c r="D1023" s="24">
        <v>9277.74</v>
      </c>
      <c r="E1023" s="23">
        <v>6</v>
      </c>
      <c r="F1023" s="23" t="s">
        <v>26</v>
      </c>
      <c r="G1023" s="25">
        <v>45383</v>
      </c>
      <c r="H1023" s="24">
        <v>121344.48</v>
      </c>
      <c r="I1023" s="26" t="s">
        <v>27</v>
      </c>
      <c r="J1023" s="15" t="s">
        <v>28</v>
      </c>
      <c r="K1023" s="15">
        <v>730</v>
      </c>
      <c r="L1023" s="16">
        <v>45361</v>
      </c>
      <c r="M1023" s="17">
        <v>4</v>
      </c>
      <c r="N1023" s="27">
        <v>91022</v>
      </c>
      <c r="O1023" s="27" t="s">
        <v>50</v>
      </c>
      <c r="P1023" s="28">
        <v>45383</v>
      </c>
      <c r="Q1023" s="29">
        <v>0.27911999999999998</v>
      </c>
      <c r="R1023" s="30">
        <v>71022</v>
      </c>
      <c r="S1023" s="27" t="s">
        <v>41</v>
      </c>
      <c r="T1023" s="29">
        <v>149921.07149999999</v>
      </c>
      <c r="U1023" s="27" t="s">
        <v>31</v>
      </c>
      <c r="V1023" s="28">
        <v>45392</v>
      </c>
      <c r="W1023" s="27" t="s">
        <v>38</v>
      </c>
      <c r="X1023" s="28">
        <v>45376</v>
      </c>
      <c r="Y1023" s="27" t="s">
        <v>33</v>
      </c>
      <c r="Z1023" s="43" t="e">
        <f>TEXT([1]!Table64[[#This Row],[Order date]],"mmm-yyyy")</f>
        <v>#REF!</v>
      </c>
    </row>
    <row r="1024" spans="1:26" x14ac:dyDescent="0.3">
      <c r="A1024" s="10">
        <v>11023</v>
      </c>
      <c r="B1024" s="11">
        <v>6241</v>
      </c>
      <c r="C1024" s="11" t="s">
        <v>34</v>
      </c>
      <c r="D1024" s="12">
        <v>60554.44</v>
      </c>
      <c r="E1024" s="11">
        <v>69</v>
      </c>
      <c r="F1024" s="11" t="s">
        <v>26</v>
      </c>
      <c r="G1024" s="13">
        <v>45361</v>
      </c>
      <c r="H1024" s="12">
        <v>60470.75</v>
      </c>
      <c r="I1024" s="14" t="s">
        <v>44</v>
      </c>
      <c r="J1024" s="15" t="s">
        <v>36</v>
      </c>
      <c r="K1024" s="15">
        <v>1022</v>
      </c>
      <c r="L1024" s="16">
        <v>45361</v>
      </c>
      <c r="M1024" s="17">
        <v>10</v>
      </c>
      <c r="N1024" s="18">
        <v>91023</v>
      </c>
      <c r="O1024" s="18" t="s">
        <v>29</v>
      </c>
      <c r="P1024" s="19">
        <v>45352</v>
      </c>
      <c r="Q1024" s="20">
        <v>0.80825999999999998</v>
      </c>
      <c r="R1024" s="21">
        <v>71023</v>
      </c>
      <c r="S1024" s="18" t="s">
        <v>41</v>
      </c>
      <c r="T1024" s="20">
        <v>68313.824900000007</v>
      </c>
      <c r="U1024" s="18" t="s">
        <v>42</v>
      </c>
      <c r="V1024" s="19">
        <v>45392</v>
      </c>
      <c r="W1024" s="18" t="s">
        <v>38</v>
      </c>
      <c r="X1024" s="19">
        <v>45376</v>
      </c>
      <c r="Y1024" s="18" t="s">
        <v>33</v>
      </c>
      <c r="Z1024" s="43" t="e">
        <f>TEXT([1]!Table64[[#This Row],[Order date]],"mmm-yyyy")</f>
        <v>#REF!</v>
      </c>
    </row>
    <row r="1025" spans="1:26" x14ac:dyDescent="0.3">
      <c r="A1025" s="22">
        <v>11024</v>
      </c>
      <c r="B1025" s="23">
        <v>6878</v>
      </c>
      <c r="C1025" s="23" t="s">
        <v>34</v>
      </c>
      <c r="D1025" s="24">
        <v>76880.100000000006</v>
      </c>
      <c r="E1025" s="23">
        <v>44</v>
      </c>
      <c r="F1025" s="23" t="s">
        <v>35</v>
      </c>
      <c r="G1025" s="25">
        <v>45306</v>
      </c>
      <c r="H1025" s="24">
        <v>132190.91</v>
      </c>
      <c r="I1025" s="26" t="s">
        <v>44</v>
      </c>
      <c r="J1025" s="15" t="s">
        <v>36</v>
      </c>
      <c r="K1025" s="15">
        <v>848</v>
      </c>
      <c r="L1025" s="16">
        <v>45361</v>
      </c>
      <c r="M1025" s="17">
        <v>11</v>
      </c>
      <c r="N1025" s="27">
        <v>91024</v>
      </c>
      <c r="O1025" s="27" t="s">
        <v>50</v>
      </c>
      <c r="P1025" s="28">
        <v>45430</v>
      </c>
      <c r="Q1025" s="29">
        <v>0.51563000000000003</v>
      </c>
      <c r="R1025" s="30">
        <v>71024</v>
      </c>
      <c r="S1025" s="27" t="s">
        <v>41</v>
      </c>
      <c r="T1025" s="29">
        <v>158279.47229999999</v>
      </c>
      <c r="U1025" s="27" t="s">
        <v>48</v>
      </c>
      <c r="V1025" s="28">
        <v>45422</v>
      </c>
      <c r="W1025" s="27" t="s">
        <v>32</v>
      </c>
      <c r="X1025" s="28">
        <v>45376</v>
      </c>
      <c r="Y1025" s="27" t="s">
        <v>33</v>
      </c>
      <c r="Z1025" s="43" t="e">
        <f>TEXT([1]!Table64[[#This Row],[Order date]],"mmm-yyyy")</f>
        <v>#REF!</v>
      </c>
    </row>
    <row r="1026" spans="1:26" x14ac:dyDescent="0.3">
      <c r="A1026" s="10">
        <v>11025</v>
      </c>
      <c r="B1026" s="11">
        <v>5827</v>
      </c>
      <c r="C1026" s="11" t="s">
        <v>34</v>
      </c>
      <c r="D1026" s="12">
        <v>28247.54</v>
      </c>
      <c r="E1026" s="11">
        <v>64</v>
      </c>
      <c r="F1026" s="11" t="s">
        <v>46</v>
      </c>
      <c r="G1026" s="13">
        <v>45361</v>
      </c>
      <c r="H1026" s="12">
        <v>128783.64</v>
      </c>
      <c r="I1026" s="14" t="s">
        <v>47</v>
      </c>
      <c r="J1026" s="15" t="s">
        <v>28</v>
      </c>
      <c r="K1026" s="15">
        <v>134</v>
      </c>
      <c r="L1026" s="16">
        <v>45361</v>
      </c>
      <c r="M1026" s="17">
        <v>6</v>
      </c>
      <c r="N1026" s="18">
        <v>91025</v>
      </c>
      <c r="O1026" s="18" t="s">
        <v>50</v>
      </c>
      <c r="P1026" s="19">
        <v>45383</v>
      </c>
      <c r="Q1026" s="20">
        <v>0.99917999999999996</v>
      </c>
      <c r="R1026" s="21">
        <v>71025</v>
      </c>
      <c r="S1026" s="18" t="s">
        <v>45</v>
      </c>
      <c r="T1026" s="20">
        <v>100050.91581000001</v>
      </c>
      <c r="U1026" s="18" t="s">
        <v>48</v>
      </c>
      <c r="V1026" s="19">
        <v>45392</v>
      </c>
      <c r="W1026" s="18" t="s">
        <v>38</v>
      </c>
      <c r="X1026" s="19">
        <v>45376</v>
      </c>
      <c r="Y1026" s="18" t="s">
        <v>39</v>
      </c>
      <c r="Z1026" s="43" t="e">
        <f>TEXT([1]!Table64[[#This Row],[Order date]],"mmm-yyyy")</f>
        <v>#REF!</v>
      </c>
    </row>
    <row r="1027" spans="1:26" x14ac:dyDescent="0.3">
      <c r="A1027" s="22">
        <v>11026</v>
      </c>
      <c r="B1027" s="23">
        <v>5795</v>
      </c>
      <c r="C1027" s="23" t="s">
        <v>34</v>
      </c>
      <c r="D1027" s="24">
        <v>44905.93</v>
      </c>
      <c r="E1027" s="23">
        <v>29</v>
      </c>
      <c r="F1027" s="23" t="s">
        <v>35</v>
      </c>
      <c r="G1027" s="25">
        <v>45383</v>
      </c>
      <c r="H1027" s="24">
        <v>115372.21</v>
      </c>
      <c r="I1027" s="26" t="s">
        <v>44</v>
      </c>
      <c r="J1027" s="15" t="s">
        <v>49</v>
      </c>
      <c r="K1027" s="15">
        <v>465</v>
      </c>
      <c r="L1027" s="16">
        <v>45397</v>
      </c>
      <c r="M1027" s="17">
        <v>5</v>
      </c>
      <c r="N1027" s="27">
        <v>91026</v>
      </c>
      <c r="O1027" s="27" t="s">
        <v>40</v>
      </c>
      <c r="P1027" s="28">
        <v>45383</v>
      </c>
      <c r="Q1027" s="29">
        <v>0.85518000000000005</v>
      </c>
      <c r="R1027" s="30">
        <v>71026</v>
      </c>
      <c r="S1027" s="27" t="s">
        <v>41</v>
      </c>
      <c r="T1027" s="29">
        <v>64351.107900000003</v>
      </c>
      <c r="U1027" s="27" t="s">
        <v>48</v>
      </c>
      <c r="V1027" s="28">
        <v>45444</v>
      </c>
      <c r="W1027" s="27" t="s">
        <v>32</v>
      </c>
      <c r="X1027" s="28">
        <v>45384</v>
      </c>
      <c r="Y1027" s="27" t="s">
        <v>33</v>
      </c>
      <c r="Z1027" s="43" t="e">
        <f>TEXT([1]!Table64[[#This Row],[Order date]],"mmm-yyyy")</f>
        <v>#REF!</v>
      </c>
    </row>
    <row r="1028" spans="1:26" x14ac:dyDescent="0.3">
      <c r="A1028" s="10">
        <v>11027</v>
      </c>
      <c r="B1028" s="11">
        <v>5689</v>
      </c>
      <c r="C1028" s="11" t="s">
        <v>34</v>
      </c>
      <c r="D1028" s="12">
        <v>98019.63</v>
      </c>
      <c r="E1028" s="11">
        <v>28</v>
      </c>
      <c r="F1028" s="11" t="s">
        <v>43</v>
      </c>
      <c r="G1028" s="13">
        <v>45361</v>
      </c>
      <c r="H1028" s="12">
        <v>21028.65</v>
      </c>
      <c r="I1028" s="14" t="s">
        <v>47</v>
      </c>
      <c r="J1028" s="15" t="s">
        <v>36</v>
      </c>
      <c r="K1028" s="15">
        <v>743</v>
      </c>
      <c r="L1028" s="16">
        <v>45332</v>
      </c>
      <c r="M1028" s="17">
        <v>1</v>
      </c>
      <c r="N1028" s="18">
        <v>91027</v>
      </c>
      <c r="O1028" s="18" t="s">
        <v>40</v>
      </c>
      <c r="P1028" s="19">
        <v>45383</v>
      </c>
      <c r="Q1028" s="20">
        <v>0.76573000000000002</v>
      </c>
      <c r="R1028" s="21">
        <v>71027</v>
      </c>
      <c r="S1028" s="18" t="s">
        <v>45</v>
      </c>
      <c r="T1028" s="20">
        <v>134341.35</v>
      </c>
      <c r="U1028" s="18" t="s">
        <v>42</v>
      </c>
      <c r="V1028" s="19">
        <v>45444</v>
      </c>
      <c r="W1028" s="18" t="s">
        <v>38</v>
      </c>
      <c r="X1028" s="19">
        <v>45384</v>
      </c>
      <c r="Y1028" s="18" t="s">
        <v>39</v>
      </c>
      <c r="Z1028" s="43" t="e">
        <f>TEXT([1]!Table64[[#This Row],[Order date]],"mmm-yyyy")</f>
        <v>#REF!</v>
      </c>
    </row>
    <row r="1029" spans="1:26" x14ac:dyDescent="0.3">
      <c r="A1029" s="22">
        <v>11028</v>
      </c>
      <c r="B1029" s="23">
        <v>6485</v>
      </c>
      <c r="C1029" s="23" t="s">
        <v>25</v>
      </c>
      <c r="D1029" s="24">
        <v>22515.96</v>
      </c>
      <c r="E1029" s="23">
        <v>11</v>
      </c>
      <c r="F1029" s="23" t="s">
        <v>43</v>
      </c>
      <c r="G1029" s="25">
        <v>45306</v>
      </c>
      <c r="H1029" s="24">
        <v>148284.76</v>
      </c>
      <c r="I1029" s="26" t="s">
        <v>44</v>
      </c>
      <c r="J1029" s="15" t="s">
        <v>36</v>
      </c>
      <c r="K1029" s="15">
        <v>531</v>
      </c>
      <c r="L1029" s="16">
        <v>45397</v>
      </c>
      <c r="M1029" s="17">
        <v>5</v>
      </c>
      <c r="N1029" s="27">
        <v>91028</v>
      </c>
      <c r="O1029" s="27" t="s">
        <v>40</v>
      </c>
      <c r="P1029" s="28">
        <v>45352</v>
      </c>
      <c r="Q1029" s="29">
        <v>0.88365000000000005</v>
      </c>
      <c r="R1029" s="30">
        <v>71028</v>
      </c>
      <c r="S1029" s="27" t="s">
        <v>30</v>
      </c>
      <c r="T1029" s="29">
        <v>193490.81341999999</v>
      </c>
      <c r="U1029" s="27" t="s">
        <v>42</v>
      </c>
      <c r="V1029" s="28">
        <v>45422</v>
      </c>
      <c r="W1029" s="27" t="s">
        <v>38</v>
      </c>
      <c r="X1029" s="28">
        <v>45376</v>
      </c>
      <c r="Y1029" s="27" t="s">
        <v>33</v>
      </c>
      <c r="Z1029" s="43" t="e">
        <f>TEXT([1]!Table64[[#This Row],[Order date]],"mmm-yyyy")</f>
        <v>#REF!</v>
      </c>
    </row>
    <row r="1030" spans="1:26" x14ac:dyDescent="0.3">
      <c r="A1030" s="10">
        <v>11029</v>
      </c>
      <c r="B1030" s="11">
        <v>6953</v>
      </c>
      <c r="C1030" s="11" t="s">
        <v>34</v>
      </c>
      <c r="D1030" s="12">
        <v>77444.56</v>
      </c>
      <c r="E1030" s="11">
        <v>65</v>
      </c>
      <c r="F1030" s="11" t="s">
        <v>46</v>
      </c>
      <c r="G1030" s="13">
        <v>45361</v>
      </c>
      <c r="H1030" s="12">
        <v>21256.9</v>
      </c>
      <c r="I1030" s="14" t="s">
        <v>44</v>
      </c>
      <c r="J1030" s="15" t="s">
        <v>49</v>
      </c>
      <c r="K1030" s="15">
        <v>505</v>
      </c>
      <c r="L1030" s="16">
        <v>45361</v>
      </c>
      <c r="M1030" s="17">
        <v>13</v>
      </c>
      <c r="N1030" s="18">
        <v>91029</v>
      </c>
      <c r="O1030" s="18" t="s">
        <v>40</v>
      </c>
      <c r="P1030" s="19">
        <v>45383</v>
      </c>
      <c r="Q1030" s="20">
        <v>0.67062999999999995</v>
      </c>
      <c r="R1030" s="21">
        <v>71029</v>
      </c>
      <c r="S1030" s="18" t="s">
        <v>41</v>
      </c>
      <c r="T1030" s="20">
        <v>89161.936960000006</v>
      </c>
      <c r="U1030" s="18" t="s">
        <v>48</v>
      </c>
      <c r="V1030" s="19">
        <v>45392</v>
      </c>
      <c r="W1030" s="18" t="s">
        <v>38</v>
      </c>
      <c r="X1030" s="19">
        <v>45376</v>
      </c>
      <c r="Y1030" s="18" t="s">
        <v>33</v>
      </c>
      <c r="Z1030" s="43" t="e">
        <f>TEXT([1]!Table64[[#This Row],[Order date]],"mmm-yyyy")</f>
        <v>#REF!</v>
      </c>
    </row>
    <row r="1031" spans="1:26" x14ac:dyDescent="0.3">
      <c r="A1031" s="22">
        <v>11030</v>
      </c>
      <c r="B1031" s="23">
        <v>6634</v>
      </c>
      <c r="C1031" s="23" t="s">
        <v>34</v>
      </c>
      <c r="D1031" s="24">
        <v>23097.06</v>
      </c>
      <c r="E1031" s="23">
        <v>19</v>
      </c>
      <c r="F1031" s="23" t="s">
        <v>46</v>
      </c>
      <c r="G1031" s="25">
        <v>45383</v>
      </c>
      <c r="H1031" s="24">
        <v>44604.65</v>
      </c>
      <c r="I1031" s="26" t="s">
        <v>27</v>
      </c>
      <c r="J1031" s="15" t="s">
        <v>49</v>
      </c>
      <c r="K1031" s="15">
        <v>876</v>
      </c>
      <c r="L1031" s="16">
        <v>45397</v>
      </c>
      <c r="M1031" s="17">
        <v>5</v>
      </c>
      <c r="N1031" s="27">
        <v>91030</v>
      </c>
      <c r="O1031" s="27" t="s">
        <v>40</v>
      </c>
      <c r="P1031" s="28">
        <v>45383</v>
      </c>
      <c r="Q1031" s="29">
        <v>0.85929</v>
      </c>
      <c r="R1031" s="30">
        <v>71030</v>
      </c>
      <c r="S1031" s="27" t="s">
        <v>45</v>
      </c>
      <c r="T1031" s="29">
        <v>120764.82014</v>
      </c>
      <c r="U1031" s="27" t="s">
        <v>42</v>
      </c>
      <c r="V1031" s="28">
        <v>45444</v>
      </c>
      <c r="W1031" s="27" t="s">
        <v>32</v>
      </c>
      <c r="X1031" s="28">
        <v>45376</v>
      </c>
      <c r="Y1031" s="27" t="s">
        <v>33</v>
      </c>
      <c r="Z1031" s="43" t="e">
        <f>TEXT([1]!Table64[[#This Row],[Order date]],"mmm-yyyy")</f>
        <v>#REF!</v>
      </c>
    </row>
    <row r="1032" spans="1:26" x14ac:dyDescent="0.3">
      <c r="A1032" s="10">
        <v>11031</v>
      </c>
      <c r="B1032" s="11">
        <v>5105</v>
      </c>
      <c r="C1032" s="11" t="s">
        <v>34</v>
      </c>
      <c r="D1032" s="12">
        <v>49408.99</v>
      </c>
      <c r="E1032" s="11">
        <v>9</v>
      </c>
      <c r="F1032" s="11" t="s">
        <v>43</v>
      </c>
      <c r="G1032" s="13">
        <v>45383</v>
      </c>
      <c r="H1032" s="12">
        <v>147469.5</v>
      </c>
      <c r="I1032" s="14" t="s">
        <v>44</v>
      </c>
      <c r="J1032" s="15" t="s">
        <v>28</v>
      </c>
      <c r="K1032" s="15">
        <v>346</v>
      </c>
      <c r="L1032" s="16">
        <v>45397</v>
      </c>
      <c r="M1032" s="17">
        <v>14</v>
      </c>
      <c r="N1032" s="18">
        <v>91031</v>
      </c>
      <c r="O1032" s="18" t="s">
        <v>29</v>
      </c>
      <c r="P1032" s="19">
        <v>45383</v>
      </c>
      <c r="Q1032" s="20">
        <v>0.33500999999999997</v>
      </c>
      <c r="R1032" s="21">
        <v>71031</v>
      </c>
      <c r="S1032" s="18" t="s">
        <v>45</v>
      </c>
      <c r="T1032" s="20">
        <v>150255.25109999999</v>
      </c>
      <c r="U1032" s="18" t="s">
        <v>48</v>
      </c>
      <c r="V1032" s="19">
        <v>45422</v>
      </c>
      <c r="W1032" s="18" t="s">
        <v>38</v>
      </c>
      <c r="X1032" s="19">
        <v>45384</v>
      </c>
      <c r="Y1032" s="18" t="s">
        <v>39</v>
      </c>
      <c r="Z1032" s="43" t="e">
        <f>TEXT([1]!Table64[[#This Row],[Order date]],"mmm-yyyy")</f>
        <v>#REF!</v>
      </c>
    </row>
    <row r="1033" spans="1:26" x14ac:dyDescent="0.3">
      <c r="A1033" s="22">
        <v>11032</v>
      </c>
      <c r="B1033" s="23">
        <v>6123</v>
      </c>
      <c r="C1033" s="23" t="s">
        <v>34</v>
      </c>
      <c r="D1033" s="24">
        <v>25916.54</v>
      </c>
      <c r="E1033" s="23">
        <v>27</v>
      </c>
      <c r="F1033" s="23" t="s">
        <v>46</v>
      </c>
      <c r="G1033" s="25">
        <v>45383</v>
      </c>
      <c r="H1033" s="24">
        <v>36361.550000000003</v>
      </c>
      <c r="I1033" s="26" t="s">
        <v>27</v>
      </c>
      <c r="J1033" s="15" t="s">
        <v>36</v>
      </c>
      <c r="K1033" s="15">
        <v>1185</v>
      </c>
      <c r="L1033" s="16">
        <v>45332</v>
      </c>
      <c r="M1033" s="17">
        <v>9</v>
      </c>
      <c r="N1033" s="27">
        <v>91032</v>
      </c>
      <c r="O1033" s="27" t="s">
        <v>29</v>
      </c>
      <c r="P1033" s="28">
        <v>45430</v>
      </c>
      <c r="Q1033" s="29">
        <v>0.18793000000000001</v>
      </c>
      <c r="R1033" s="30">
        <v>71032</v>
      </c>
      <c r="S1033" s="27" t="s">
        <v>30</v>
      </c>
      <c r="T1033" s="29">
        <v>147398.05030999999</v>
      </c>
      <c r="U1033" s="27" t="s">
        <v>31</v>
      </c>
      <c r="V1033" s="28">
        <v>45422</v>
      </c>
      <c r="W1033" s="27" t="s">
        <v>38</v>
      </c>
      <c r="X1033" s="28">
        <v>45384</v>
      </c>
      <c r="Y1033" s="27" t="s">
        <v>39</v>
      </c>
      <c r="Z1033" s="43" t="e">
        <f>TEXT([1]!Table64[[#This Row],[Order date]],"mmm-yyyy")</f>
        <v>#REF!</v>
      </c>
    </row>
    <row r="1034" spans="1:26" x14ac:dyDescent="0.3">
      <c r="A1034" s="10">
        <v>11033</v>
      </c>
      <c r="B1034" s="11">
        <v>5511</v>
      </c>
      <c r="C1034" s="11" t="s">
        <v>34</v>
      </c>
      <c r="D1034" s="12">
        <v>59720.49</v>
      </c>
      <c r="E1034" s="11">
        <v>34</v>
      </c>
      <c r="F1034" s="11" t="s">
        <v>26</v>
      </c>
      <c r="G1034" s="13">
        <v>45306</v>
      </c>
      <c r="H1034" s="12">
        <v>56067.19</v>
      </c>
      <c r="I1034" s="14" t="s">
        <v>44</v>
      </c>
      <c r="J1034" s="15" t="s">
        <v>36</v>
      </c>
      <c r="K1034" s="15">
        <v>1303</v>
      </c>
      <c r="L1034" s="16">
        <v>45397</v>
      </c>
      <c r="M1034" s="17">
        <v>1</v>
      </c>
      <c r="N1034" s="18">
        <v>91033</v>
      </c>
      <c r="O1034" s="18" t="s">
        <v>29</v>
      </c>
      <c r="P1034" s="19">
        <v>45352</v>
      </c>
      <c r="Q1034" s="20">
        <v>0.65434000000000003</v>
      </c>
      <c r="R1034" s="21">
        <v>71033</v>
      </c>
      <c r="S1034" s="18" t="s">
        <v>41</v>
      </c>
      <c r="T1034" s="20">
        <v>166897.4455</v>
      </c>
      <c r="U1034" s="18" t="s">
        <v>48</v>
      </c>
      <c r="V1034" s="19">
        <v>45422</v>
      </c>
      <c r="W1034" s="18" t="s">
        <v>38</v>
      </c>
      <c r="X1034" s="19">
        <v>45376</v>
      </c>
      <c r="Y1034" s="18" t="s">
        <v>33</v>
      </c>
      <c r="Z1034" s="43" t="e">
        <f>TEXT([1]!Table64[[#This Row],[Order date]],"mmm-yyyy")</f>
        <v>#REF!</v>
      </c>
    </row>
    <row r="1035" spans="1:26" x14ac:dyDescent="0.3">
      <c r="A1035" s="22">
        <v>11034</v>
      </c>
      <c r="B1035" s="23">
        <v>5385</v>
      </c>
      <c r="C1035" s="23" t="s">
        <v>25</v>
      </c>
      <c r="D1035" s="24">
        <v>16517.919999999998</v>
      </c>
      <c r="E1035" s="23">
        <v>44</v>
      </c>
      <c r="F1035" s="23" t="s">
        <v>26</v>
      </c>
      <c r="G1035" s="25">
        <v>45383</v>
      </c>
      <c r="H1035" s="24">
        <v>124275.36</v>
      </c>
      <c r="I1035" s="26" t="s">
        <v>27</v>
      </c>
      <c r="J1035" s="15" t="s">
        <v>28</v>
      </c>
      <c r="K1035" s="15">
        <v>1169</v>
      </c>
      <c r="L1035" s="16">
        <v>45332</v>
      </c>
      <c r="M1035" s="17">
        <v>5</v>
      </c>
      <c r="N1035" s="27">
        <v>91034</v>
      </c>
      <c r="O1035" s="27" t="s">
        <v>40</v>
      </c>
      <c r="P1035" s="28">
        <v>45352</v>
      </c>
      <c r="Q1035" s="29">
        <v>0.49121999999999999</v>
      </c>
      <c r="R1035" s="30">
        <v>71034</v>
      </c>
      <c r="S1035" s="27" t="s">
        <v>45</v>
      </c>
      <c r="T1035" s="29">
        <v>132438.66970999999</v>
      </c>
      <c r="U1035" s="27" t="s">
        <v>31</v>
      </c>
      <c r="V1035" s="28">
        <v>45422</v>
      </c>
      <c r="W1035" s="27" t="s">
        <v>38</v>
      </c>
      <c r="X1035" s="28">
        <v>45384</v>
      </c>
      <c r="Y1035" s="27" t="s">
        <v>33</v>
      </c>
      <c r="Z1035" s="43" t="e">
        <f>TEXT([1]!Table64[[#This Row],[Order date]],"mmm-yyyy")</f>
        <v>#REF!</v>
      </c>
    </row>
    <row r="1036" spans="1:26" x14ac:dyDescent="0.3">
      <c r="A1036" s="10">
        <v>11035</v>
      </c>
      <c r="B1036" s="11">
        <v>5405</v>
      </c>
      <c r="C1036" s="11" t="s">
        <v>34</v>
      </c>
      <c r="D1036" s="12">
        <v>90563.29</v>
      </c>
      <c r="E1036" s="11">
        <v>68</v>
      </c>
      <c r="F1036" s="11" t="s">
        <v>46</v>
      </c>
      <c r="G1036" s="13">
        <v>45306</v>
      </c>
      <c r="H1036" s="12">
        <v>60599.18</v>
      </c>
      <c r="I1036" s="14" t="s">
        <v>44</v>
      </c>
      <c r="J1036" s="15" t="s">
        <v>49</v>
      </c>
      <c r="K1036" s="15">
        <v>999</v>
      </c>
      <c r="L1036" s="16">
        <v>45361</v>
      </c>
      <c r="M1036" s="17">
        <v>7</v>
      </c>
      <c r="N1036" s="18">
        <v>91035</v>
      </c>
      <c r="O1036" s="18" t="s">
        <v>37</v>
      </c>
      <c r="P1036" s="19">
        <v>45430</v>
      </c>
      <c r="Q1036" s="20">
        <v>0.48380000000000001</v>
      </c>
      <c r="R1036" s="21">
        <v>71035</v>
      </c>
      <c r="S1036" s="18" t="s">
        <v>41</v>
      </c>
      <c r="T1036" s="20">
        <v>67637.393800000005</v>
      </c>
      <c r="U1036" s="18" t="s">
        <v>31</v>
      </c>
      <c r="V1036" s="19">
        <v>45422</v>
      </c>
      <c r="W1036" s="18" t="s">
        <v>38</v>
      </c>
      <c r="X1036" s="19">
        <v>45384</v>
      </c>
      <c r="Y1036" s="18" t="s">
        <v>33</v>
      </c>
      <c r="Z1036" s="43" t="e">
        <f>TEXT([1]!Table64[[#This Row],[Order date]],"mmm-yyyy")</f>
        <v>#REF!</v>
      </c>
    </row>
    <row r="1037" spans="1:26" x14ac:dyDescent="0.3">
      <c r="A1037" s="22">
        <v>11036</v>
      </c>
      <c r="B1037" s="23">
        <v>5823</v>
      </c>
      <c r="C1037" s="23" t="s">
        <v>25</v>
      </c>
      <c r="D1037" s="24">
        <v>24840.25</v>
      </c>
      <c r="E1037" s="23">
        <v>82</v>
      </c>
      <c r="F1037" s="23" t="s">
        <v>43</v>
      </c>
      <c r="G1037" s="25">
        <v>45361</v>
      </c>
      <c r="H1037" s="24">
        <v>96742.09</v>
      </c>
      <c r="I1037" s="26" t="s">
        <v>44</v>
      </c>
      <c r="J1037" s="15" t="s">
        <v>28</v>
      </c>
      <c r="K1037" s="15">
        <v>729</v>
      </c>
      <c r="L1037" s="16">
        <v>45397</v>
      </c>
      <c r="M1037" s="17">
        <v>11</v>
      </c>
      <c r="N1037" s="27">
        <v>91036</v>
      </c>
      <c r="O1037" s="27" t="s">
        <v>40</v>
      </c>
      <c r="P1037" s="28">
        <v>45383</v>
      </c>
      <c r="Q1037" s="29">
        <v>0.57406999999999997</v>
      </c>
      <c r="R1037" s="30">
        <v>71036</v>
      </c>
      <c r="S1037" s="27" t="s">
        <v>41</v>
      </c>
      <c r="T1037" s="29">
        <v>198565.2384</v>
      </c>
      <c r="U1037" s="27" t="s">
        <v>31</v>
      </c>
      <c r="V1037" s="28">
        <v>45392</v>
      </c>
      <c r="W1037" s="27" t="s">
        <v>38</v>
      </c>
      <c r="X1037" s="28">
        <v>45376</v>
      </c>
      <c r="Y1037" s="27" t="s">
        <v>33</v>
      </c>
      <c r="Z1037" s="43" t="e">
        <f>TEXT([1]!Table64[[#This Row],[Order date]],"mmm-yyyy")</f>
        <v>#REF!</v>
      </c>
    </row>
    <row r="1038" spans="1:26" x14ac:dyDescent="0.3">
      <c r="A1038" s="10">
        <v>11037</v>
      </c>
      <c r="B1038" s="11">
        <v>5518</v>
      </c>
      <c r="C1038" s="11" t="s">
        <v>34</v>
      </c>
      <c r="D1038" s="12">
        <v>82301.919999999998</v>
      </c>
      <c r="E1038" s="11">
        <v>15</v>
      </c>
      <c r="F1038" s="11" t="s">
        <v>35</v>
      </c>
      <c r="G1038" s="13">
        <v>45383</v>
      </c>
      <c r="H1038" s="12">
        <v>74404</v>
      </c>
      <c r="I1038" s="14" t="s">
        <v>44</v>
      </c>
      <c r="J1038" s="15" t="s">
        <v>49</v>
      </c>
      <c r="K1038" s="15">
        <v>427</v>
      </c>
      <c r="L1038" s="16">
        <v>45361</v>
      </c>
      <c r="M1038" s="17">
        <v>6</v>
      </c>
      <c r="N1038" s="18">
        <v>91037</v>
      </c>
      <c r="O1038" s="18" t="s">
        <v>40</v>
      </c>
      <c r="P1038" s="19">
        <v>45430</v>
      </c>
      <c r="Q1038" s="20">
        <v>0.42524000000000001</v>
      </c>
      <c r="R1038" s="21">
        <v>71037</v>
      </c>
      <c r="S1038" s="18" t="s">
        <v>41</v>
      </c>
      <c r="T1038" s="20">
        <v>116200.22682</v>
      </c>
      <c r="U1038" s="18" t="s">
        <v>48</v>
      </c>
      <c r="V1038" s="19">
        <v>45392</v>
      </c>
      <c r="W1038" s="18" t="s">
        <v>38</v>
      </c>
      <c r="X1038" s="19">
        <v>45384</v>
      </c>
      <c r="Y1038" s="18" t="s">
        <v>33</v>
      </c>
      <c r="Z1038" s="43" t="e">
        <f>TEXT([1]!Table64[[#This Row],[Order date]],"mmm-yyyy")</f>
        <v>#REF!</v>
      </c>
    </row>
    <row r="1039" spans="1:26" x14ac:dyDescent="0.3">
      <c r="A1039" s="22">
        <v>11038</v>
      </c>
      <c r="B1039" s="23">
        <v>5476</v>
      </c>
      <c r="C1039" s="23" t="s">
        <v>34</v>
      </c>
      <c r="D1039" s="24">
        <v>89953.76</v>
      </c>
      <c r="E1039" s="23">
        <v>51</v>
      </c>
      <c r="F1039" s="23" t="s">
        <v>46</v>
      </c>
      <c r="G1039" s="25">
        <v>45361</v>
      </c>
      <c r="H1039" s="24">
        <v>135533.60999999999</v>
      </c>
      <c r="I1039" s="26" t="s">
        <v>44</v>
      </c>
      <c r="J1039" s="15" t="s">
        <v>28</v>
      </c>
      <c r="K1039" s="15">
        <v>1229</v>
      </c>
      <c r="L1039" s="16">
        <v>45332</v>
      </c>
      <c r="M1039" s="17">
        <v>6</v>
      </c>
      <c r="N1039" s="27">
        <v>91038</v>
      </c>
      <c r="O1039" s="27" t="s">
        <v>29</v>
      </c>
      <c r="P1039" s="28">
        <v>45430</v>
      </c>
      <c r="Q1039" s="29">
        <v>0.66344999999999998</v>
      </c>
      <c r="R1039" s="30">
        <v>71038</v>
      </c>
      <c r="S1039" s="27" t="s">
        <v>41</v>
      </c>
      <c r="T1039" s="29">
        <v>138002.82225</v>
      </c>
      <c r="U1039" s="27" t="s">
        <v>48</v>
      </c>
      <c r="V1039" s="28">
        <v>45392</v>
      </c>
      <c r="W1039" s="27" t="s">
        <v>38</v>
      </c>
      <c r="X1039" s="28">
        <v>45376</v>
      </c>
      <c r="Y1039" s="27" t="s">
        <v>33</v>
      </c>
      <c r="Z1039" s="43" t="e">
        <f>TEXT([1]!Table64[[#This Row],[Order date]],"mmm-yyyy")</f>
        <v>#REF!</v>
      </c>
    </row>
    <row r="1040" spans="1:26" x14ac:dyDescent="0.3">
      <c r="A1040" s="10">
        <v>11039</v>
      </c>
      <c r="B1040" s="11">
        <v>5709</v>
      </c>
      <c r="C1040" s="11" t="s">
        <v>34</v>
      </c>
      <c r="D1040" s="12">
        <v>53567.33</v>
      </c>
      <c r="E1040" s="11">
        <v>13</v>
      </c>
      <c r="F1040" s="11" t="s">
        <v>46</v>
      </c>
      <c r="G1040" s="13">
        <v>45337</v>
      </c>
      <c r="H1040" s="12">
        <v>93013.78</v>
      </c>
      <c r="I1040" s="14" t="s">
        <v>44</v>
      </c>
      <c r="J1040" s="15" t="s">
        <v>49</v>
      </c>
      <c r="K1040" s="15">
        <v>470</v>
      </c>
      <c r="L1040" s="16">
        <v>45361</v>
      </c>
      <c r="M1040" s="17">
        <v>12</v>
      </c>
      <c r="N1040" s="18">
        <v>91039</v>
      </c>
      <c r="O1040" s="18" t="s">
        <v>40</v>
      </c>
      <c r="P1040" s="19">
        <v>45383</v>
      </c>
      <c r="Q1040" s="20">
        <v>0.12751000000000001</v>
      </c>
      <c r="R1040" s="21">
        <v>71039</v>
      </c>
      <c r="S1040" s="18" t="s">
        <v>45</v>
      </c>
      <c r="T1040" s="20">
        <v>130413.49976000001</v>
      </c>
      <c r="U1040" s="18" t="s">
        <v>42</v>
      </c>
      <c r="V1040" s="19">
        <v>45392</v>
      </c>
      <c r="W1040" s="18" t="s">
        <v>38</v>
      </c>
      <c r="X1040" s="19">
        <v>45384</v>
      </c>
      <c r="Y1040" s="18" t="s">
        <v>33</v>
      </c>
      <c r="Z1040" s="43" t="e">
        <f>TEXT([1]!Table64[[#This Row],[Order date]],"mmm-yyyy")</f>
        <v>#REF!</v>
      </c>
    </row>
    <row r="1041" spans="1:26" x14ac:dyDescent="0.3">
      <c r="A1041" s="22">
        <v>11040</v>
      </c>
      <c r="B1041" s="23">
        <v>6887</v>
      </c>
      <c r="C1041" s="23" t="s">
        <v>34</v>
      </c>
      <c r="D1041" s="24">
        <v>13744.71</v>
      </c>
      <c r="E1041" s="23">
        <v>83</v>
      </c>
      <c r="F1041" s="23" t="s">
        <v>35</v>
      </c>
      <c r="G1041" s="25">
        <v>45361</v>
      </c>
      <c r="H1041" s="24">
        <v>133059.76</v>
      </c>
      <c r="I1041" s="26" t="s">
        <v>47</v>
      </c>
      <c r="J1041" s="15" t="s">
        <v>28</v>
      </c>
      <c r="K1041" s="15">
        <v>154</v>
      </c>
      <c r="L1041" s="16">
        <v>45361</v>
      </c>
      <c r="M1041" s="17">
        <v>7</v>
      </c>
      <c r="N1041" s="27">
        <v>91040</v>
      </c>
      <c r="O1041" s="27" t="s">
        <v>29</v>
      </c>
      <c r="P1041" s="28">
        <v>45383</v>
      </c>
      <c r="Q1041" s="29">
        <v>0.97289999999999999</v>
      </c>
      <c r="R1041" s="30">
        <v>71040</v>
      </c>
      <c r="S1041" s="27" t="s">
        <v>41</v>
      </c>
      <c r="T1041" s="29">
        <v>218808.516</v>
      </c>
      <c r="U1041" s="27" t="s">
        <v>42</v>
      </c>
      <c r="V1041" s="28">
        <v>45422</v>
      </c>
      <c r="W1041" s="27" t="s">
        <v>32</v>
      </c>
      <c r="X1041" s="28">
        <v>45376</v>
      </c>
      <c r="Y1041" s="27" t="s">
        <v>39</v>
      </c>
      <c r="Z1041" s="43" t="e">
        <f>TEXT([1]!Table64[[#This Row],[Order date]],"mmm-yyyy")</f>
        <v>#REF!</v>
      </c>
    </row>
    <row r="1042" spans="1:26" x14ac:dyDescent="0.3">
      <c r="A1042" s="10">
        <v>11041</v>
      </c>
      <c r="B1042" s="11">
        <v>6669</v>
      </c>
      <c r="C1042" s="11" t="s">
        <v>34</v>
      </c>
      <c r="D1042" s="12">
        <v>16153.37</v>
      </c>
      <c r="E1042" s="11">
        <v>49</v>
      </c>
      <c r="F1042" s="11" t="s">
        <v>46</v>
      </c>
      <c r="G1042" s="13">
        <v>45337</v>
      </c>
      <c r="H1042" s="12">
        <v>32132.18</v>
      </c>
      <c r="I1042" s="14" t="s">
        <v>44</v>
      </c>
      <c r="J1042" s="15" t="s">
        <v>49</v>
      </c>
      <c r="K1042" s="15">
        <v>379</v>
      </c>
      <c r="L1042" s="16">
        <v>45332</v>
      </c>
      <c r="M1042" s="17">
        <v>6</v>
      </c>
      <c r="N1042" s="18">
        <v>91041</v>
      </c>
      <c r="O1042" s="18" t="s">
        <v>40</v>
      </c>
      <c r="P1042" s="19">
        <v>45352</v>
      </c>
      <c r="Q1042" s="20">
        <v>0.93223999999999996</v>
      </c>
      <c r="R1042" s="21">
        <v>71041</v>
      </c>
      <c r="S1042" s="18" t="s">
        <v>45</v>
      </c>
      <c r="T1042" s="20">
        <v>74048.006510000007</v>
      </c>
      <c r="U1042" s="18" t="s">
        <v>31</v>
      </c>
      <c r="V1042" s="19">
        <v>45422</v>
      </c>
      <c r="W1042" s="18" t="s">
        <v>38</v>
      </c>
      <c r="X1042" s="19">
        <v>45376</v>
      </c>
      <c r="Y1042" s="18" t="s">
        <v>33</v>
      </c>
      <c r="Z1042" s="43" t="e">
        <f>TEXT([1]!Table64[[#This Row],[Order date]],"mmm-yyyy")</f>
        <v>#REF!</v>
      </c>
    </row>
    <row r="1043" spans="1:26" x14ac:dyDescent="0.3">
      <c r="A1043" s="22">
        <v>11042</v>
      </c>
      <c r="B1043" s="23">
        <v>6894</v>
      </c>
      <c r="C1043" s="23" t="s">
        <v>25</v>
      </c>
      <c r="D1043" s="24">
        <v>34398.839999999997</v>
      </c>
      <c r="E1043" s="23">
        <v>70</v>
      </c>
      <c r="F1043" s="23" t="s">
        <v>35</v>
      </c>
      <c r="G1043" s="25">
        <v>45361</v>
      </c>
      <c r="H1043" s="24">
        <v>124642.9</v>
      </c>
      <c r="I1043" s="26" t="s">
        <v>27</v>
      </c>
      <c r="J1043" s="15" t="s">
        <v>49</v>
      </c>
      <c r="K1043" s="15">
        <v>488</v>
      </c>
      <c r="L1043" s="16">
        <v>45361</v>
      </c>
      <c r="M1043" s="17">
        <v>5</v>
      </c>
      <c r="N1043" s="27">
        <v>91042</v>
      </c>
      <c r="O1043" s="27" t="s">
        <v>50</v>
      </c>
      <c r="P1043" s="28">
        <v>45383</v>
      </c>
      <c r="Q1043" s="29">
        <v>0.94174000000000002</v>
      </c>
      <c r="R1043" s="30">
        <v>71042</v>
      </c>
      <c r="S1043" s="27" t="s">
        <v>41</v>
      </c>
      <c r="T1043" s="29">
        <v>131488.06719999999</v>
      </c>
      <c r="U1043" s="27" t="s">
        <v>48</v>
      </c>
      <c r="V1043" s="28">
        <v>45444</v>
      </c>
      <c r="W1043" s="27" t="s">
        <v>32</v>
      </c>
      <c r="X1043" s="28">
        <v>45376</v>
      </c>
      <c r="Y1043" s="27" t="s">
        <v>33</v>
      </c>
      <c r="Z1043" s="43" t="e">
        <f>TEXT([1]!Table64[[#This Row],[Order date]],"mmm-yyyy")</f>
        <v>#REF!</v>
      </c>
    </row>
    <row r="1044" spans="1:26" x14ac:dyDescent="0.3">
      <c r="A1044" s="10">
        <v>11043</v>
      </c>
      <c r="B1044" s="11">
        <v>5771</v>
      </c>
      <c r="C1044" s="11" t="s">
        <v>25</v>
      </c>
      <c r="D1044" s="12">
        <v>46861.29</v>
      </c>
      <c r="E1044" s="11">
        <v>56</v>
      </c>
      <c r="F1044" s="11" t="s">
        <v>43</v>
      </c>
      <c r="G1044" s="13">
        <v>45306</v>
      </c>
      <c r="H1044" s="12">
        <v>55824.39</v>
      </c>
      <c r="I1044" s="14" t="s">
        <v>27</v>
      </c>
      <c r="J1044" s="15" t="s">
        <v>49</v>
      </c>
      <c r="K1044" s="15">
        <v>1205</v>
      </c>
      <c r="L1044" s="16">
        <v>45361</v>
      </c>
      <c r="M1044" s="17">
        <v>10</v>
      </c>
      <c r="N1044" s="18">
        <v>91043</v>
      </c>
      <c r="O1044" s="18" t="s">
        <v>37</v>
      </c>
      <c r="P1044" s="19">
        <v>45430</v>
      </c>
      <c r="Q1044" s="20">
        <v>0.42849999999999999</v>
      </c>
      <c r="R1044" s="21">
        <v>71043</v>
      </c>
      <c r="S1044" s="18" t="s">
        <v>41</v>
      </c>
      <c r="T1044" s="20">
        <v>192018.85578000001</v>
      </c>
      <c r="U1044" s="18" t="s">
        <v>42</v>
      </c>
      <c r="V1044" s="19">
        <v>45444</v>
      </c>
      <c r="W1044" s="18" t="s">
        <v>32</v>
      </c>
      <c r="X1044" s="19">
        <v>45376</v>
      </c>
      <c r="Y1044" s="18" t="s">
        <v>33</v>
      </c>
      <c r="Z1044" s="43" t="e">
        <f>TEXT([1]!Table64[[#This Row],[Order date]],"mmm-yyyy")</f>
        <v>#REF!</v>
      </c>
    </row>
    <row r="1045" spans="1:26" x14ac:dyDescent="0.3">
      <c r="A1045" s="22">
        <v>11044</v>
      </c>
      <c r="B1045" s="23">
        <v>6461</v>
      </c>
      <c r="C1045" s="23" t="s">
        <v>34</v>
      </c>
      <c r="D1045" s="24">
        <v>49719.11</v>
      </c>
      <c r="E1045" s="23">
        <v>76</v>
      </c>
      <c r="F1045" s="23" t="s">
        <v>26</v>
      </c>
      <c r="G1045" s="25">
        <v>45361</v>
      </c>
      <c r="H1045" s="24">
        <v>130726.97</v>
      </c>
      <c r="I1045" s="26" t="s">
        <v>27</v>
      </c>
      <c r="J1045" s="15" t="s">
        <v>49</v>
      </c>
      <c r="K1045" s="15">
        <v>431</v>
      </c>
      <c r="L1045" s="16">
        <v>45361</v>
      </c>
      <c r="M1045" s="17">
        <v>5</v>
      </c>
      <c r="N1045" s="27">
        <v>91044</v>
      </c>
      <c r="O1045" s="27" t="s">
        <v>37</v>
      </c>
      <c r="P1045" s="28">
        <v>45430</v>
      </c>
      <c r="Q1045" s="29">
        <v>0.57869999999999999</v>
      </c>
      <c r="R1045" s="30">
        <v>71044</v>
      </c>
      <c r="S1045" s="27" t="s">
        <v>41</v>
      </c>
      <c r="T1045" s="29">
        <v>136127.57920000001</v>
      </c>
      <c r="U1045" s="27" t="s">
        <v>42</v>
      </c>
      <c r="V1045" s="28">
        <v>45392</v>
      </c>
      <c r="W1045" s="27" t="s">
        <v>38</v>
      </c>
      <c r="X1045" s="28">
        <v>45384</v>
      </c>
      <c r="Y1045" s="27" t="s">
        <v>39</v>
      </c>
      <c r="Z1045" s="43" t="e">
        <f>TEXT([1]!Table64[[#This Row],[Order date]],"mmm-yyyy")</f>
        <v>#REF!</v>
      </c>
    </row>
    <row r="1046" spans="1:26" x14ac:dyDescent="0.3">
      <c r="A1046" s="10">
        <v>11045</v>
      </c>
      <c r="B1046" s="11">
        <v>6047</v>
      </c>
      <c r="C1046" s="11" t="s">
        <v>34</v>
      </c>
      <c r="D1046" s="12">
        <v>97985.89</v>
      </c>
      <c r="E1046" s="11">
        <v>51</v>
      </c>
      <c r="F1046" s="11" t="s">
        <v>43</v>
      </c>
      <c r="G1046" s="13">
        <v>45306</v>
      </c>
      <c r="H1046" s="12">
        <v>87097.919999999998</v>
      </c>
      <c r="I1046" s="14" t="s">
        <v>44</v>
      </c>
      <c r="J1046" s="15" t="s">
        <v>49</v>
      </c>
      <c r="K1046" s="15">
        <v>187</v>
      </c>
      <c r="L1046" s="16">
        <v>45397</v>
      </c>
      <c r="M1046" s="17">
        <v>9</v>
      </c>
      <c r="N1046" s="18">
        <v>91045</v>
      </c>
      <c r="O1046" s="18" t="s">
        <v>29</v>
      </c>
      <c r="P1046" s="19">
        <v>45383</v>
      </c>
      <c r="Q1046" s="20">
        <v>0.95872000000000002</v>
      </c>
      <c r="R1046" s="21">
        <v>71045</v>
      </c>
      <c r="S1046" s="18" t="s">
        <v>45</v>
      </c>
      <c r="T1046" s="20">
        <v>151500.53649999999</v>
      </c>
      <c r="U1046" s="18" t="s">
        <v>42</v>
      </c>
      <c r="V1046" s="19">
        <v>45422</v>
      </c>
      <c r="W1046" s="18" t="s">
        <v>38</v>
      </c>
      <c r="X1046" s="19">
        <v>45376</v>
      </c>
      <c r="Y1046" s="18" t="s">
        <v>33</v>
      </c>
      <c r="Z1046" s="43" t="e">
        <f>TEXT([1]!Table64[[#This Row],[Order date]],"mmm-yyyy")</f>
        <v>#REF!</v>
      </c>
    </row>
    <row r="1047" spans="1:26" x14ac:dyDescent="0.3">
      <c r="A1047" s="22">
        <v>11046</v>
      </c>
      <c r="B1047" s="23">
        <v>5997</v>
      </c>
      <c r="C1047" s="23" t="s">
        <v>34</v>
      </c>
      <c r="D1047" s="24">
        <v>41833.85</v>
      </c>
      <c r="E1047" s="23">
        <v>37</v>
      </c>
      <c r="F1047" s="23" t="s">
        <v>26</v>
      </c>
      <c r="G1047" s="25">
        <v>45306</v>
      </c>
      <c r="H1047" s="24">
        <v>120174.79</v>
      </c>
      <c r="I1047" s="26" t="s">
        <v>47</v>
      </c>
      <c r="J1047" s="15" t="s">
        <v>36</v>
      </c>
      <c r="K1047" s="15">
        <v>992</v>
      </c>
      <c r="L1047" s="16">
        <v>45361</v>
      </c>
      <c r="M1047" s="17">
        <v>14</v>
      </c>
      <c r="N1047" s="27">
        <v>91046</v>
      </c>
      <c r="O1047" s="27" t="s">
        <v>50</v>
      </c>
      <c r="P1047" s="28">
        <v>45352</v>
      </c>
      <c r="Q1047" s="29">
        <v>0.91210999999999998</v>
      </c>
      <c r="R1047" s="30">
        <v>71046</v>
      </c>
      <c r="S1047" s="27" t="s">
        <v>30</v>
      </c>
      <c r="T1047" s="29">
        <v>195296.77437999999</v>
      </c>
      <c r="U1047" s="27" t="s">
        <v>48</v>
      </c>
      <c r="V1047" s="28">
        <v>45444</v>
      </c>
      <c r="W1047" s="27" t="s">
        <v>38</v>
      </c>
      <c r="X1047" s="28">
        <v>45376</v>
      </c>
      <c r="Y1047" s="27" t="s">
        <v>33</v>
      </c>
      <c r="Z1047" s="43" t="e">
        <f>TEXT([1]!Table64[[#This Row],[Order date]],"mmm-yyyy")</f>
        <v>#REF!</v>
      </c>
    </row>
    <row r="1048" spans="1:26" x14ac:dyDescent="0.3">
      <c r="A1048" s="10">
        <v>11047</v>
      </c>
      <c r="B1048" s="11">
        <v>6589</v>
      </c>
      <c r="C1048" s="11" t="s">
        <v>34</v>
      </c>
      <c r="D1048" s="12">
        <v>46707.95</v>
      </c>
      <c r="E1048" s="11">
        <v>17</v>
      </c>
      <c r="F1048" s="11" t="s">
        <v>35</v>
      </c>
      <c r="G1048" s="13">
        <v>45383</v>
      </c>
      <c r="H1048" s="12">
        <v>26730.94</v>
      </c>
      <c r="I1048" s="14" t="s">
        <v>44</v>
      </c>
      <c r="J1048" s="15" t="s">
        <v>49</v>
      </c>
      <c r="K1048" s="15">
        <v>892</v>
      </c>
      <c r="L1048" s="16">
        <v>45332</v>
      </c>
      <c r="M1048" s="17">
        <v>8</v>
      </c>
      <c r="N1048" s="18">
        <v>91047</v>
      </c>
      <c r="O1048" s="18" t="s">
        <v>37</v>
      </c>
      <c r="P1048" s="19">
        <v>45430</v>
      </c>
      <c r="Q1048" s="20">
        <v>0.81122000000000005</v>
      </c>
      <c r="R1048" s="21">
        <v>71047</v>
      </c>
      <c r="S1048" s="18" t="s">
        <v>41</v>
      </c>
      <c r="T1048" s="20">
        <v>137367.44659000001</v>
      </c>
      <c r="U1048" s="18" t="s">
        <v>42</v>
      </c>
      <c r="V1048" s="19">
        <v>45444</v>
      </c>
      <c r="W1048" s="18" t="s">
        <v>32</v>
      </c>
      <c r="X1048" s="19">
        <v>45376</v>
      </c>
      <c r="Y1048" s="18" t="s">
        <v>33</v>
      </c>
      <c r="Z1048" s="43" t="e">
        <f>TEXT([1]!Table64[[#This Row],[Order date]],"mmm-yyyy")</f>
        <v>#REF!</v>
      </c>
    </row>
    <row r="1049" spans="1:26" x14ac:dyDescent="0.3">
      <c r="A1049" s="22">
        <v>11048</v>
      </c>
      <c r="B1049" s="23">
        <v>5677</v>
      </c>
      <c r="C1049" s="23" t="s">
        <v>25</v>
      </c>
      <c r="D1049" s="24">
        <v>51778.93</v>
      </c>
      <c r="E1049" s="23">
        <v>58</v>
      </c>
      <c r="F1049" s="23" t="s">
        <v>26</v>
      </c>
      <c r="G1049" s="25">
        <v>45306</v>
      </c>
      <c r="H1049" s="24">
        <v>13398.24</v>
      </c>
      <c r="I1049" s="26" t="s">
        <v>47</v>
      </c>
      <c r="J1049" s="15" t="s">
        <v>36</v>
      </c>
      <c r="K1049" s="15">
        <v>319</v>
      </c>
      <c r="L1049" s="16">
        <v>45397</v>
      </c>
      <c r="M1049" s="17">
        <v>14</v>
      </c>
      <c r="N1049" s="27">
        <v>91048</v>
      </c>
      <c r="O1049" s="27" t="s">
        <v>29</v>
      </c>
      <c r="P1049" s="28">
        <v>45383</v>
      </c>
      <c r="Q1049" s="29">
        <v>0.46660000000000001</v>
      </c>
      <c r="R1049" s="30">
        <v>71048</v>
      </c>
      <c r="S1049" s="27" t="s">
        <v>41</v>
      </c>
      <c r="T1049" s="29">
        <v>193475.63836000001</v>
      </c>
      <c r="U1049" s="27" t="s">
        <v>31</v>
      </c>
      <c r="V1049" s="28">
        <v>45444</v>
      </c>
      <c r="W1049" s="27" t="s">
        <v>32</v>
      </c>
      <c r="X1049" s="28">
        <v>45376</v>
      </c>
      <c r="Y1049" s="27" t="s">
        <v>39</v>
      </c>
      <c r="Z1049" s="43" t="e">
        <f>TEXT([1]!Table64[[#This Row],[Order date]],"mmm-yyyy")</f>
        <v>#REF!</v>
      </c>
    </row>
    <row r="1050" spans="1:26" x14ac:dyDescent="0.3">
      <c r="A1050" s="10">
        <v>11049</v>
      </c>
      <c r="B1050" s="11">
        <v>5714</v>
      </c>
      <c r="C1050" s="11" t="s">
        <v>34</v>
      </c>
      <c r="D1050" s="12">
        <v>53603.21</v>
      </c>
      <c r="E1050" s="11">
        <v>87</v>
      </c>
      <c r="F1050" s="11" t="s">
        <v>43</v>
      </c>
      <c r="G1050" s="13">
        <v>45337</v>
      </c>
      <c r="H1050" s="12">
        <v>69000.63</v>
      </c>
      <c r="I1050" s="14" t="s">
        <v>47</v>
      </c>
      <c r="J1050" s="15" t="s">
        <v>49</v>
      </c>
      <c r="K1050" s="15">
        <v>445</v>
      </c>
      <c r="L1050" s="16">
        <v>45397</v>
      </c>
      <c r="M1050" s="17">
        <v>12</v>
      </c>
      <c r="N1050" s="18">
        <v>91049</v>
      </c>
      <c r="O1050" s="18" t="s">
        <v>40</v>
      </c>
      <c r="P1050" s="19">
        <v>45352</v>
      </c>
      <c r="Q1050" s="20">
        <v>0.60790999999999995</v>
      </c>
      <c r="R1050" s="21">
        <v>71049</v>
      </c>
      <c r="S1050" s="18" t="s">
        <v>30</v>
      </c>
      <c r="T1050" s="20">
        <v>129747.76</v>
      </c>
      <c r="U1050" s="18" t="s">
        <v>48</v>
      </c>
      <c r="V1050" s="19">
        <v>45444</v>
      </c>
      <c r="W1050" s="18" t="s">
        <v>38</v>
      </c>
      <c r="X1050" s="19">
        <v>45384</v>
      </c>
      <c r="Y1050" s="18" t="s">
        <v>33</v>
      </c>
      <c r="Z1050" s="43" t="e">
        <f>TEXT([1]!Table64[[#This Row],[Order date]],"mmm-yyyy")</f>
        <v>#REF!</v>
      </c>
    </row>
    <row r="1051" spans="1:26" x14ac:dyDescent="0.3">
      <c r="A1051" s="22">
        <v>11050</v>
      </c>
      <c r="B1051" s="23">
        <v>6482</v>
      </c>
      <c r="C1051" s="23" t="s">
        <v>34</v>
      </c>
      <c r="D1051" s="24">
        <v>59779.18</v>
      </c>
      <c r="E1051" s="23">
        <v>90</v>
      </c>
      <c r="F1051" s="23" t="s">
        <v>26</v>
      </c>
      <c r="G1051" s="25">
        <v>45383</v>
      </c>
      <c r="H1051" s="24">
        <v>151814.32999999999</v>
      </c>
      <c r="I1051" s="26" t="s">
        <v>27</v>
      </c>
      <c r="J1051" s="15" t="s">
        <v>36</v>
      </c>
      <c r="K1051" s="15">
        <v>962</v>
      </c>
      <c r="L1051" s="16">
        <v>45332</v>
      </c>
      <c r="M1051" s="17">
        <v>10</v>
      </c>
      <c r="N1051" s="27">
        <v>91050</v>
      </c>
      <c r="O1051" s="27" t="s">
        <v>40</v>
      </c>
      <c r="P1051" s="28">
        <v>45352</v>
      </c>
      <c r="Q1051" s="29">
        <v>0.81362000000000001</v>
      </c>
      <c r="R1051" s="30">
        <v>71050</v>
      </c>
      <c r="S1051" s="27" t="s">
        <v>41</v>
      </c>
      <c r="T1051" s="29">
        <v>93735.427119999993</v>
      </c>
      <c r="U1051" s="27" t="s">
        <v>42</v>
      </c>
      <c r="V1051" s="28">
        <v>45392</v>
      </c>
      <c r="W1051" s="27" t="s">
        <v>32</v>
      </c>
      <c r="X1051" s="28">
        <v>45384</v>
      </c>
      <c r="Y1051" s="27" t="s">
        <v>39</v>
      </c>
      <c r="Z1051" s="43" t="e">
        <f>TEXT([1]!Table64[[#This Row],[Order date]],"mmm-yyyy")</f>
        <v>#REF!</v>
      </c>
    </row>
    <row r="1052" spans="1:26" x14ac:dyDescent="0.3">
      <c r="A1052" s="10">
        <v>11051</v>
      </c>
      <c r="B1052" s="11">
        <v>5083</v>
      </c>
      <c r="C1052" s="11" t="s">
        <v>34</v>
      </c>
      <c r="D1052" s="12">
        <v>51809.23</v>
      </c>
      <c r="E1052" s="11">
        <v>29</v>
      </c>
      <c r="F1052" s="11" t="s">
        <v>35</v>
      </c>
      <c r="G1052" s="13">
        <v>45383</v>
      </c>
      <c r="H1052" s="12">
        <v>139477.22</v>
      </c>
      <c r="I1052" s="14" t="s">
        <v>27</v>
      </c>
      <c r="J1052" s="15" t="s">
        <v>36</v>
      </c>
      <c r="K1052" s="15">
        <v>513</v>
      </c>
      <c r="L1052" s="16">
        <v>45361</v>
      </c>
      <c r="M1052" s="17">
        <v>14</v>
      </c>
      <c r="N1052" s="18">
        <v>91051</v>
      </c>
      <c r="O1052" s="18" t="s">
        <v>50</v>
      </c>
      <c r="P1052" s="19">
        <v>45430</v>
      </c>
      <c r="Q1052" s="20">
        <v>0.34571000000000002</v>
      </c>
      <c r="R1052" s="21">
        <v>71051</v>
      </c>
      <c r="S1052" s="18" t="s">
        <v>45</v>
      </c>
      <c r="T1052" s="20">
        <v>164357.08739999999</v>
      </c>
      <c r="U1052" s="18" t="s">
        <v>42</v>
      </c>
      <c r="V1052" s="19">
        <v>45422</v>
      </c>
      <c r="W1052" s="18" t="s">
        <v>38</v>
      </c>
      <c r="X1052" s="19">
        <v>45384</v>
      </c>
      <c r="Y1052" s="18" t="s">
        <v>39</v>
      </c>
      <c r="Z1052" s="43" t="e">
        <f>TEXT([1]!Table64[[#This Row],[Order date]],"mmm-yyyy")</f>
        <v>#REF!</v>
      </c>
    </row>
    <row r="1053" spans="1:26" x14ac:dyDescent="0.3">
      <c r="A1053" s="22">
        <v>11052</v>
      </c>
      <c r="B1053" s="23">
        <v>6169</v>
      </c>
      <c r="C1053" s="23" t="s">
        <v>25</v>
      </c>
      <c r="D1053" s="24">
        <v>87322.22</v>
      </c>
      <c r="E1053" s="23">
        <v>33</v>
      </c>
      <c r="F1053" s="23" t="s">
        <v>26</v>
      </c>
      <c r="G1053" s="25">
        <v>45361</v>
      </c>
      <c r="H1053" s="24">
        <v>87700.84</v>
      </c>
      <c r="I1053" s="26" t="s">
        <v>27</v>
      </c>
      <c r="J1053" s="15" t="s">
        <v>28</v>
      </c>
      <c r="K1053" s="15">
        <v>499</v>
      </c>
      <c r="L1053" s="16">
        <v>45397</v>
      </c>
      <c r="M1053" s="17">
        <v>4</v>
      </c>
      <c r="N1053" s="27">
        <v>91052</v>
      </c>
      <c r="O1053" s="27" t="s">
        <v>37</v>
      </c>
      <c r="P1053" s="28">
        <v>45430</v>
      </c>
      <c r="Q1053" s="29">
        <v>0.66379999999999995</v>
      </c>
      <c r="R1053" s="30">
        <v>71052</v>
      </c>
      <c r="S1053" s="27" t="s">
        <v>45</v>
      </c>
      <c r="T1053" s="29">
        <v>78763.296359999993</v>
      </c>
      <c r="U1053" s="27" t="s">
        <v>48</v>
      </c>
      <c r="V1053" s="28">
        <v>45392</v>
      </c>
      <c r="W1053" s="27" t="s">
        <v>38</v>
      </c>
      <c r="X1053" s="28">
        <v>45384</v>
      </c>
      <c r="Y1053" s="27" t="s">
        <v>33</v>
      </c>
      <c r="Z1053" s="43" t="e">
        <f>TEXT([1]!Table64[[#This Row],[Order date]],"mmm-yyyy")</f>
        <v>#REF!</v>
      </c>
    </row>
    <row r="1054" spans="1:26" x14ac:dyDescent="0.3">
      <c r="A1054" s="10">
        <v>11053</v>
      </c>
      <c r="B1054" s="11">
        <v>6109</v>
      </c>
      <c r="C1054" s="11" t="s">
        <v>34</v>
      </c>
      <c r="D1054" s="12">
        <v>43628.3</v>
      </c>
      <c r="E1054" s="11">
        <v>60</v>
      </c>
      <c r="F1054" s="11" t="s">
        <v>46</v>
      </c>
      <c r="G1054" s="13">
        <v>45306</v>
      </c>
      <c r="H1054" s="12">
        <v>85860.07</v>
      </c>
      <c r="I1054" s="14" t="s">
        <v>44</v>
      </c>
      <c r="J1054" s="15" t="s">
        <v>49</v>
      </c>
      <c r="K1054" s="15">
        <v>1404</v>
      </c>
      <c r="L1054" s="16">
        <v>45397</v>
      </c>
      <c r="M1054" s="17">
        <v>4</v>
      </c>
      <c r="N1054" s="18">
        <v>91053</v>
      </c>
      <c r="O1054" s="18" t="s">
        <v>40</v>
      </c>
      <c r="P1054" s="19">
        <v>45352</v>
      </c>
      <c r="Q1054" s="20">
        <v>0.84514</v>
      </c>
      <c r="R1054" s="21">
        <v>71053</v>
      </c>
      <c r="S1054" s="18" t="s">
        <v>45</v>
      </c>
      <c r="T1054" s="20">
        <v>121186.7332</v>
      </c>
      <c r="U1054" s="18" t="s">
        <v>42</v>
      </c>
      <c r="V1054" s="19">
        <v>45444</v>
      </c>
      <c r="W1054" s="18" t="s">
        <v>38</v>
      </c>
      <c r="X1054" s="19">
        <v>45376</v>
      </c>
      <c r="Y1054" s="18" t="s">
        <v>33</v>
      </c>
      <c r="Z1054" s="43" t="e">
        <f>TEXT([1]!Table64[[#This Row],[Order date]],"mmm-yyyy")</f>
        <v>#REF!</v>
      </c>
    </row>
    <row r="1055" spans="1:26" x14ac:dyDescent="0.3">
      <c r="A1055" s="22">
        <v>11054</v>
      </c>
      <c r="B1055" s="23">
        <v>6102</v>
      </c>
      <c r="C1055" s="23" t="s">
        <v>34</v>
      </c>
      <c r="D1055" s="24">
        <v>87871.02</v>
      </c>
      <c r="E1055" s="23">
        <v>91</v>
      </c>
      <c r="F1055" s="23" t="s">
        <v>43</v>
      </c>
      <c r="G1055" s="25">
        <v>45306</v>
      </c>
      <c r="H1055" s="24">
        <v>134017.74</v>
      </c>
      <c r="I1055" s="26" t="s">
        <v>47</v>
      </c>
      <c r="J1055" s="15" t="s">
        <v>28</v>
      </c>
      <c r="K1055" s="15">
        <v>1326</v>
      </c>
      <c r="L1055" s="16">
        <v>45397</v>
      </c>
      <c r="M1055" s="17">
        <v>10</v>
      </c>
      <c r="N1055" s="27">
        <v>91054</v>
      </c>
      <c r="O1055" s="27" t="s">
        <v>29</v>
      </c>
      <c r="P1055" s="28">
        <v>45352</v>
      </c>
      <c r="Q1055" s="29">
        <v>0.73670999999999998</v>
      </c>
      <c r="R1055" s="30">
        <v>71054</v>
      </c>
      <c r="S1055" s="27" t="s">
        <v>41</v>
      </c>
      <c r="T1055" s="29">
        <v>168689.55519000001</v>
      </c>
      <c r="U1055" s="27" t="s">
        <v>42</v>
      </c>
      <c r="V1055" s="28">
        <v>45444</v>
      </c>
      <c r="W1055" s="27" t="s">
        <v>32</v>
      </c>
      <c r="X1055" s="28">
        <v>45384</v>
      </c>
      <c r="Y1055" s="27" t="s">
        <v>39</v>
      </c>
      <c r="Z1055" s="43" t="e">
        <f>TEXT([1]!Table64[[#This Row],[Order date]],"mmm-yyyy")</f>
        <v>#REF!</v>
      </c>
    </row>
    <row r="1056" spans="1:26" x14ac:dyDescent="0.3">
      <c r="A1056" s="10">
        <v>11055</v>
      </c>
      <c r="B1056" s="11">
        <v>5457</v>
      </c>
      <c r="C1056" s="11" t="s">
        <v>34</v>
      </c>
      <c r="D1056" s="12">
        <v>20485.240000000002</v>
      </c>
      <c r="E1056" s="11">
        <v>89</v>
      </c>
      <c r="F1056" s="11" t="s">
        <v>46</v>
      </c>
      <c r="G1056" s="13">
        <v>45337</v>
      </c>
      <c r="H1056" s="12">
        <v>163858.82999999999</v>
      </c>
      <c r="I1056" s="14" t="s">
        <v>47</v>
      </c>
      <c r="J1056" s="15" t="s">
        <v>28</v>
      </c>
      <c r="K1056" s="15">
        <v>1358</v>
      </c>
      <c r="L1056" s="16">
        <v>45361</v>
      </c>
      <c r="M1056" s="17">
        <v>5</v>
      </c>
      <c r="N1056" s="18">
        <v>91055</v>
      </c>
      <c r="O1056" s="18" t="s">
        <v>40</v>
      </c>
      <c r="P1056" s="19">
        <v>45352</v>
      </c>
      <c r="Q1056" s="20">
        <v>0.53152999999999995</v>
      </c>
      <c r="R1056" s="21">
        <v>71055</v>
      </c>
      <c r="S1056" s="18" t="s">
        <v>45</v>
      </c>
      <c r="T1056" s="20">
        <v>103860.8625</v>
      </c>
      <c r="U1056" s="18" t="s">
        <v>31</v>
      </c>
      <c r="V1056" s="19">
        <v>45422</v>
      </c>
      <c r="W1056" s="18" t="s">
        <v>38</v>
      </c>
      <c r="X1056" s="19">
        <v>45384</v>
      </c>
      <c r="Y1056" s="18" t="s">
        <v>33</v>
      </c>
      <c r="Z1056" s="43" t="e">
        <f>TEXT([1]!Table64[[#This Row],[Order date]],"mmm-yyyy")</f>
        <v>#REF!</v>
      </c>
    </row>
    <row r="1057" spans="1:26" x14ac:dyDescent="0.3">
      <c r="A1057" s="22">
        <v>11056</v>
      </c>
      <c r="B1057" s="23">
        <v>6902</v>
      </c>
      <c r="C1057" s="23" t="s">
        <v>34</v>
      </c>
      <c r="D1057" s="24">
        <v>79059.47</v>
      </c>
      <c r="E1057" s="23">
        <v>55</v>
      </c>
      <c r="F1057" s="23" t="s">
        <v>35</v>
      </c>
      <c r="G1057" s="25">
        <v>45361</v>
      </c>
      <c r="H1057" s="24">
        <v>140411.76</v>
      </c>
      <c r="I1057" s="26" t="s">
        <v>44</v>
      </c>
      <c r="J1057" s="15" t="s">
        <v>49</v>
      </c>
      <c r="K1057" s="15">
        <v>1347</v>
      </c>
      <c r="L1057" s="16">
        <v>45397</v>
      </c>
      <c r="M1057" s="17">
        <v>13</v>
      </c>
      <c r="N1057" s="27">
        <v>91056</v>
      </c>
      <c r="O1057" s="27" t="s">
        <v>40</v>
      </c>
      <c r="P1057" s="28">
        <v>45383</v>
      </c>
      <c r="Q1057" s="29">
        <v>0.62614999999999998</v>
      </c>
      <c r="R1057" s="30">
        <v>71056</v>
      </c>
      <c r="S1057" s="27" t="s">
        <v>41</v>
      </c>
      <c r="T1057" s="29">
        <v>134728.36799999999</v>
      </c>
      <c r="U1057" s="27" t="s">
        <v>48</v>
      </c>
      <c r="V1057" s="28">
        <v>45422</v>
      </c>
      <c r="W1057" s="27" t="s">
        <v>32</v>
      </c>
      <c r="X1057" s="28">
        <v>45376</v>
      </c>
      <c r="Y1057" s="27" t="s">
        <v>33</v>
      </c>
      <c r="Z1057" s="43" t="e">
        <f>TEXT([1]!Table64[[#This Row],[Order date]],"mmm-yyyy")</f>
        <v>#REF!</v>
      </c>
    </row>
    <row r="1058" spans="1:26" x14ac:dyDescent="0.3">
      <c r="A1058" s="10">
        <v>11057</v>
      </c>
      <c r="B1058" s="11">
        <v>5001</v>
      </c>
      <c r="C1058" s="11" t="s">
        <v>34</v>
      </c>
      <c r="D1058" s="12">
        <v>99463.76</v>
      </c>
      <c r="E1058" s="11">
        <v>10</v>
      </c>
      <c r="F1058" s="11" t="s">
        <v>26</v>
      </c>
      <c r="G1058" s="13">
        <v>45361</v>
      </c>
      <c r="H1058" s="12">
        <v>50648.34</v>
      </c>
      <c r="I1058" s="14" t="s">
        <v>44</v>
      </c>
      <c r="J1058" s="15" t="s">
        <v>28</v>
      </c>
      <c r="K1058" s="15">
        <v>69</v>
      </c>
      <c r="L1058" s="16">
        <v>45332</v>
      </c>
      <c r="M1058" s="17">
        <v>13</v>
      </c>
      <c r="N1058" s="18">
        <v>91057</v>
      </c>
      <c r="O1058" s="18" t="s">
        <v>37</v>
      </c>
      <c r="P1058" s="19">
        <v>45430</v>
      </c>
      <c r="Q1058" s="20">
        <v>0.98980999999999997</v>
      </c>
      <c r="R1058" s="21">
        <v>71057</v>
      </c>
      <c r="S1058" s="18" t="s">
        <v>41</v>
      </c>
      <c r="T1058" s="20">
        <v>168734.88378999999</v>
      </c>
      <c r="U1058" s="18" t="s">
        <v>42</v>
      </c>
      <c r="V1058" s="19">
        <v>45392</v>
      </c>
      <c r="W1058" s="18" t="s">
        <v>38</v>
      </c>
      <c r="X1058" s="19">
        <v>45384</v>
      </c>
      <c r="Y1058" s="18" t="s">
        <v>33</v>
      </c>
      <c r="Z1058" s="43" t="e">
        <f>TEXT([1]!Table64[[#This Row],[Order date]],"mmm-yyyy")</f>
        <v>#REF!</v>
      </c>
    </row>
    <row r="1059" spans="1:26" x14ac:dyDescent="0.3">
      <c r="A1059" s="22">
        <v>11058</v>
      </c>
      <c r="B1059" s="23">
        <v>5051</v>
      </c>
      <c r="C1059" s="23" t="s">
        <v>34</v>
      </c>
      <c r="D1059" s="24">
        <v>82010.34</v>
      </c>
      <c r="E1059" s="23">
        <v>47</v>
      </c>
      <c r="F1059" s="23" t="s">
        <v>46</v>
      </c>
      <c r="G1059" s="25">
        <v>45383</v>
      </c>
      <c r="H1059" s="24">
        <v>22597.05</v>
      </c>
      <c r="I1059" s="26" t="s">
        <v>44</v>
      </c>
      <c r="J1059" s="15" t="s">
        <v>49</v>
      </c>
      <c r="K1059" s="15">
        <v>288</v>
      </c>
      <c r="L1059" s="16">
        <v>45361</v>
      </c>
      <c r="M1059" s="17">
        <v>3</v>
      </c>
      <c r="N1059" s="27">
        <v>91058</v>
      </c>
      <c r="O1059" s="27" t="s">
        <v>37</v>
      </c>
      <c r="P1059" s="28">
        <v>45352</v>
      </c>
      <c r="Q1059" s="29">
        <v>0.64178999999999997</v>
      </c>
      <c r="R1059" s="30">
        <v>71058</v>
      </c>
      <c r="S1059" s="27" t="s">
        <v>41</v>
      </c>
      <c r="T1059" s="29">
        <v>196469.78326</v>
      </c>
      <c r="U1059" s="27" t="s">
        <v>48</v>
      </c>
      <c r="V1059" s="28">
        <v>45422</v>
      </c>
      <c r="W1059" s="27" t="s">
        <v>38</v>
      </c>
      <c r="X1059" s="28">
        <v>45376</v>
      </c>
      <c r="Y1059" s="27" t="s">
        <v>33</v>
      </c>
      <c r="Z1059" s="43" t="e">
        <f>TEXT([1]!Table64[[#This Row],[Order date]],"mmm-yyyy")</f>
        <v>#REF!</v>
      </c>
    </row>
    <row r="1060" spans="1:26" x14ac:dyDescent="0.3">
      <c r="A1060" s="10">
        <v>11059</v>
      </c>
      <c r="B1060" s="11">
        <v>5685</v>
      </c>
      <c r="C1060" s="11" t="s">
        <v>34</v>
      </c>
      <c r="D1060" s="12">
        <v>21261.4</v>
      </c>
      <c r="E1060" s="11">
        <v>23</v>
      </c>
      <c r="F1060" s="11" t="s">
        <v>46</v>
      </c>
      <c r="G1060" s="13">
        <v>45383</v>
      </c>
      <c r="H1060" s="12">
        <v>64252.480000000003</v>
      </c>
      <c r="I1060" s="14" t="s">
        <v>47</v>
      </c>
      <c r="J1060" s="15" t="s">
        <v>28</v>
      </c>
      <c r="K1060" s="15">
        <v>1343</v>
      </c>
      <c r="L1060" s="16">
        <v>45332</v>
      </c>
      <c r="M1060" s="17">
        <v>8</v>
      </c>
      <c r="N1060" s="18">
        <v>91059</v>
      </c>
      <c r="O1060" s="18" t="s">
        <v>29</v>
      </c>
      <c r="P1060" s="19">
        <v>45430</v>
      </c>
      <c r="Q1060" s="20">
        <v>0.80706</v>
      </c>
      <c r="R1060" s="21">
        <v>71059</v>
      </c>
      <c r="S1060" s="18" t="s">
        <v>41</v>
      </c>
      <c r="T1060" s="20">
        <v>153430.9148</v>
      </c>
      <c r="U1060" s="18" t="s">
        <v>48</v>
      </c>
      <c r="V1060" s="19">
        <v>45392</v>
      </c>
      <c r="W1060" s="18" t="s">
        <v>38</v>
      </c>
      <c r="X1060" s="19">
        <v>45376</v>
      </c>
      <c r="Y1060" s="18" t="s">
        <v>33</v>
      </c>
      <c r="Z1060" s="43" t="e">
        <f>TEXT([1]!Table64[[#This Row],[Order date]],"mmm-yyyy")</f>
        <v>#REF!</v>
      </c>
    </row>
    <row r="1061" spans="1:26" x14ac:dyDescent="0.3">
      <c r="A1061" s="22">
        <v>11060</v>
      </c>
      <c r="B1061" s="23">
        <v>5717</v>
      </c>
      <c r="C1061" s="23" t="s">
        <v>34</v>
      </c>
      <c r="D1061" s="24">
        <v>69903.259999999995</v>
      </c>
      <c r="E1061" s="23">
        <v>85</v>
      </c>
      <c r="F1061" s="23" t="s">
        <v>26</v>
      </c>
      <c r="G1061" s="25">
        <v>45383</v>
      </c>
      <c r="H1061" s="24">
        <v>141908.76</v>
      </c>
      <c r="I1061" s="26" t="s">
        <v>47</v>
      </c>
      <c r="J1061" s="15" t="s">
        <v>49</v>
      </c>
      <c r="K1061" s="15">
        <v>467</v>
      </c>
      <c r="L1061" s="16">
        <v>45332</v>
      </c>
      <c r="M1061" s="17">
        <v>7</v>
      </c>
      <c r="N1061" s="27">
        <v>91060</v>
      </c>
      <c r="O1061" s="27" t="s">
        <v>50</v>
      </c>
      <c r="P1061" s="28">
        <v>45430</v>
      </c>
      <c r="Q1061" s="29">
        <v>0.75394000000000005</v>
      </c>
      <c r="R1061" s="30">
        <v>71060</v>
      </c>
      <c r="S1061" s="27" t="s">
        <v>41</v>
      </c>
      <c r="T1061" s="29">
        <v>163442.14783</v>
      </c>
      <c r="U1061" s="27" t="s">
        <v>31</v>
      </c>
      <c r="V1061" s="28">
        <v>45392</v>
      </c>
      <c r="W1061" s="27" t="s">
        <v>38</v>
      </c>
      <c r="X1061" s="28">
        <v>45384</v>
      </c>
      <c r="Y1061" s="27" t="s">
        <v>33</v>
      </c>
      <c r="Z1061" s="43" t="e">
        <f>TEXT([1]!Table64[[#This Row],[Order date]],"mmm-yyyy")</f>
        <v>#REF!</v>
      </c>
    </row>
    <row r="1062" spans="1:26" x14ac:dyDescent="0.3">
      <c r="A1062" s="10">
        <v>11061</v>
      </c>
      <c r="B1062" s="11">
        <v>6796</v>
      </c>
      <c r="C1062" s="11" t="s">
        <v>25</v>
      </c>
      <c r="D1062" s="12">
        <v>24708.48</v>
      </c>
      <c r="E1062" s="11">
        <v>21</v>
      </c>
      <c r="F1062" s="11" t="s">
        <v>26</v>
      </c>
      <c r="G1062" s="13">
        <v>45337</v>
      </c>
      <c r="H1062" s="12">
        <v>36958.959999999999</v>
      </c>
      <c r="I1062" s="14" t="s">
        <v>27</v>
      </c>
      <c r="J1062" s="15" t="s">
        <v>49</v>
      </c>
      <c r="K1062" s="15">
        <v>1383</v>
      </c>
      <c r="L1062" s="16">
        <v>45397</v>
      </c>
      <c r="M1062" s="17">
        <v>5</v>
      </c>
      <c r="N1062" s="18">
        <v>91061</v>
      </c>
      <c r="O1062" s="18" t="s">
        <v>50</v>
      </c>
      <c r="P1062" s="19">
        <v>45430</v>
      </c>
      <c r="Q1062" s="20">
        <v>0.73133999999999999</v>
      </c>
      <c r="R1062" s="21">
        <v>71061</v>
      </c>
      <c r="S1062" s="18" t="s">
        <v>30</v>
      </c>
      <c r="T1062" s="20">
        <v>188325.64968999999</v>
      </c>
      <c r="U1062" s="18" t="s">
        <v>31</v>
      </c>
      <c r="V1062" s="19">
        <v>45444</v>
      </c>
      <c r="W1062" s="18" t="s">
        <v>38</v>
      </c>
      <c r="X1062" s="19">
        <v>45376</v>
      </c>
      <c r="Y1062" s="18" t="s">
        <v>33</v>
      </c>
      <c r="Z1062" s="43" t="e">
        <f>TEXT([1]!Table64[[#This Row],[Order date]],"mmm-yyyy")</f>
        <v>#REF!</v>
      </c>
    </row>
    <row r="1063" spans="1:26" x14ac:dyDescent="0.3">
      <c r="A1063" s="22">
        <v>11062</v>
      </c>
      <c r="B1063" s="23">
        <v>6470</v>
      </c>
      <c r="C1063" s="23" t="s">
        <v>34</v>
      </c>
      <c r="D1063" s="24">
        <v>76118.070000000007</v>
      </c>
      <c r="E1063" s="23">
        <v>13</v>
      </c>
      <c r="F1063" s="23" t="s">
        <v>43</v>
      </c>
      <c r="G1063" s="25">
        <v>45337</v>
      </c>
      <c r="H1063" s="24">
        <v>16504.79</v>
      </c>
      <c r="I1063" s="26" t="s">
        <v>27</v>
      </c>
      <c r="J1063" s="15" t="s">
        <v>49</v>
      </c>
      <c r="K1063" s="15">
        <v>1104</v>
      </c>
      <c r="L1063" s="16">
        <v>45397</v>
      </c>
      <c r="M1063" s="17">
        <v>10</v>
      </c>
      <c r="N1063" s="27">
        <v>91062</v>
      </c>
      <c r="O1063" s="27" t="s">
        <v>40</v>
      </c>
      <c r="P1063" s="28">
        <v>45352</v>
      </c>
      <c r="Q1063" s="29">
        <v>0.74473</v>
      </c>
      <c r="R1063" s="30">
        <v>71062</v>
      </c>
      <c r="S1063" s="27" t="s">
        <v>45</v>
      </c>
      <c r="T1063" s="29">
        <v>115329.80435000001</v>
      </c>
      <c r="U1063" s="27" t="s">
        <v>48</v>
      </c>
      <c r="V1063" s="28">
        <v>45392</v>
      </c>
      <c r="W1063" s="27" t="s">
        <v>32</v>
      </c>
      <c r="X1063" s="28">
        <v>45384</v>
      </c>
      <c r="Y1063" s="27" t="s">
        <v>39</v>
      </c>
      <c r="Z1063" s="43" t="e">
        <f>TEXT([1]!Table64[[#This Row],[Order date]],"mmm-yyyy")</f>
        <v>#REF!</v>
      </c>
    </row>
    <row r="1064" spans="1:26" x14ac:dyDescent="0.3">
      <c r="A1064" s="10">
        <v>11063</v>
      </c>
      <c r="B1064" s="11">
        <v>5449</v>
      </c>
      <c r="C1064" s="11" t="s">
        <v>25</v>
      </c>
      <c r="D1064" s="12">
        <v>34524.620000000003</v>
      </c>
      <c r="E1064" s="11">
        <v>33</v>
      </c>
      <c r="F1064" s="11" t="s">
        <v>46</v>
      </c>
      <c r="G1064" s="13">
        <v>45383</v>
      </c>
      <c r="H1064" s="12">
        <v>77608.78</v>
      </c>
      <c r="I1064" s="14" t="s">
        <v>47</v>
      </c>
      <c r="J1064" s="15" t="s">
        <v>36</v>
      </c>
      <c r="K1064" s="15">
        <v>1177</v>
      </c>
      <c r="L1064" s="16">
        <v>45397</v>
      </c>
      <c r="M1064" s="17">
        <v>3</v>
      </c>
      <c r="N1064" s="18">
        <v>91063</v>
      </c>
      <c r="O1064" s="18" t="s">
        <v>29</v>
      </c>
      <c r="P1064" s="19">
        <v>45383</v>
      </c>
      <c r="Q1064" s="20">
        <v>0.50897000000000003</v>
      </c>
      <c r="R1064" s="21">
        <v>71063</v>
      </c>
      <c r="S1064" s="18" t="s">
        <v>41</v>
      </c>
      <c r="T1064" s="20">
        <v>177491.54873000001</v>
      </c>
      <c r="U1064" s="18" t="s">
        <v>31</v>
      </c>
      <c r="V1064" s="19">
        <v>45444</v>
      </c>
      <c r="W1064" s="18" t="s">
        <v>38</v>
      </c>
      <c r="X1064" s="19">
        <v>45376</v>
      </c>
      <c r="Y1064" s="18" t="s">
        <v>33</v>
      </c>
      <c r="Z1064" s="43" t="e">
        <f>TEXT([1]!Table64[[#This Row],[Order date]],"mmm-yyyy")</f>
        <v>#REF!</v>
      </c>
    </row>
    <row r="1065" spans="1:26" x14ac:dyDescent="0.3">
      <c r="A1065" s="22">
        <v>11064</v>
      </c>
      <c r="B1065" s="23">
        <v>5881</v>
      </c>
      <c r="C1065" s="23" t="s">
        <v>34</v>
      </c>
      <c r="D1065" s="24">
        <v>14532.88</v>
      </c>
      <c r="E1065" s="23">
        <v>24</v>
      </c>
      <c r="F1065" s="23" t="s">
        <v>46</v>
      </c>
      <c r="G1065" s="25">
        <v>45361</v>
      </c>
      <c r="H1065" s="24">
        <v>124231.09</v>
      </c>
      <c r="I1065" s="26" t="s">
        <v>27</v>
      </c>
      <c r="J1065" s="15" t="s">
        <v>28</v>
      </c>
      <c r="K1065" s="15">
        <v>235</v>
      </c>
      <c r="L1065" s="16">
        <v>45332</v>
      </c>
      <c r="M1065" s="17">
        <v>5</v>
      </c>
      <c r="N1065" s="27">
        <v>91064</v>
      </c>
      <c r="O1065" s="27" t="s">
        <v>50</v>
      </c>
      <c r="P1065" s="28">
        <v>45352</v>
      </c>
      <c r="Q1065" s="29">
        <v>0.52673999999999999</v>
      </c>
      <c r="R1065" s="30">
        <v>71064</v>
      </c>
      <c r="S1065" s="27" t="s">
        <v>41</v>
      </c>
      <c r="T1065" s="29">
        <v>169430.51983999999</v>
      </c>
      <c r="U1065" s="27" t="s">
        <v>31</v>
      </c>
      <c r="V1065" s="28">
        <v>45392</v>
      </c>
      <c r="W1065" s="27" t="s">
        <v>38</v>
      </c>
      <c r="X1065" s="28">
        <v>45384</v>
      </c>
      <c r="Y1065" s="27" t="s">
        <v>33</v>
      </c>
      <c r="Z1065" s="43" t="e">
        <f>TEXT([1]!Table64[[#This Row],[Order date]],"mmm-yyyy")</f>
        <v>#REF!</v>
      </c>
    </row>
    <row r="1066" spans="1:26" x14ac:dyDescent="0.3">
      <c r="A1066" s="10">
        <v>11065</v>
      </c>
      <c r="B1066" s="11">
        <v>5488</v>
      </c>
      <c r="C1066" s="11" t="s">
        <v>34</v>
      </c>
      <c r="D1066" s="12">
        <v>41314.480000000003</v>
      </c>
      <c r="E1066" s="11">
        <v>11</v>
      </c>
      <c r="F1066" s="11" t="s">
        <v>35</v>
      </c>
      <c r="G1066" s="13">
        <v>45337</v>
      </c>
      <c r="H1066" s="12">
        <v>114690.3</v>
      </c>
      <c r="I1066" s="14" t="s">
        <v>44</v>
      </c>
      <c r="J1066" s="15" t="s">
        <v>36</v>
      </c>
      <c r="K1066" s="15">
        <v>1201</v>
      </c>
      <c r="L1066" s="16">
        <v>45361</v>
      </c>
      <c r="M1066" s="17">
        <v>3</v>
      </c>
      <c r="N1066" s="18">
        <v>91065</v>
      </c>
      <c r="O1066" s="18" t="s">
        <v>50</v>
      </c>
      <c r="P1066" s="19">
        <v>45430</v>
      </c>
      <c r="Q1066" s="20">
        <v>0.52107999999999999</v>
      </c>
      <c r="R1066" s="21">
        <v>71065</v>
      </c>
      <c r="S1066" s="18" t="s">
        <v>30</v>
      </c>
      <c r="T1066" s="20">
        <v>111157.73555</v>
      </c>
      <c r="U1066" s="18" t="s">
        <v>42</v>
      </c>
      <c r="V1066" s="19">
        <v>45392</v>
      </c>
      <c r="W1066" s="18" t="s">
        <v>32</v>
      </c>
      <c r="X1066" s="19">
        <v>45376</v>
      </c>
      <c r="Y1066" s="18" t="s">
        <v>33</v>
      </c>
      <c r="Z1066" s="43" t="e">
        <f>TEXT([1]!Table64[[#This Row],[Order date]],"mmm-yyyy")</f>
        <v>#REF!</v>
      </c>
    </row>
    <row r="1067" spans="1:26" x14ac:dyDescent="0.3">
      <c r="A1067" s="22">
        <v>11066</v>
      </c>
      <c r="B1067" s="23">
        <v>6824</v>
      </c>
      <c r="C1067" s="23" t="s">
        <v>34</v>
      </c>
      <c r="D1067" s="24">
        <v>22671.71</v>
      </c>
      <c r="E1067" s="23">
        <v>17</v>
      </c>
      <c r="F1067" s="23" t="s">
        <v>43</v>
      </c>
      <c r="G1067" s="25">
        <v>45361</v>
      </c>
      <c r="H1067" s="24">
        <v>102810.93</v>
      </c>
      <c r="I1067" s="26" t="s">
        <v>44</v>
      </c>
      <c r="J1067" s="15" t="s">
        <v>28</v>
      </c>
      <c r="K1067" s="15">
        <v>1283</v>
      </c>
      <c r="L1067" s="16">
        <v>45397</v>
      </c>
      <c r="M1067" s="17">
        <v>10</v>
      </c>
      <c r="N1067" s="27">
        <v>91066</v>
      </c>
      <c r="O1067" s="27" t="s">
        <v>40</v>
      </c>
      <c r="P1067" s="28">
        <v>45352</v>
      </c>
      <c r="Q1067" s="29">
        <v>0.12992999999999999</v>
      </c>
      <c r="R1067" s="30">
        <v>71066</v>
      </c>
      <c r="S1067" s="27" t="s">
        <v>41</v>
      </c>
      <c r="T1067" s="29">
        <v>204847.96780000001</v>
      </c>
      <c r="U1067" s="27" t="s">
        <v>31</v>
      </c>
      <c r="V1067" s="28">
        <v>45422</v>
      </c>
      <c r="W1067" s="27" t="s">
        <v>38</v>
      </c>
      <c r="X1067" s="28">
        <v>45376</v>
      </c>
      <c r="Y1067" s="27" t="s">
        <v>33</v>
      </c>
      <c r="Z1067" s="43" t="e">
        <f>TEXT([1]!Table64[[#This Row],[Order date]],"mmm-yyyy")</f>
        <v>#REF!</v>
      </c>
    </row>
    <row r="1068" spans="1:26" x14ac:dyDescent="0.3">
      <c r="A1068" s="10">
        <v>11067</v>
      </c>
      <c r="B1068" s="11">
        <v>5034</v>
      </c>
      <c r="C1068" s="11" t="s">
        <v>34</v>
      </c>
      <c r="D1068" s="12">
        <v>52984.160000000003</v>
      </c>
      <c r="E1068" s="11">
        <v>68</v>
      </c>
      <c r="F1068" s="11" t="s">
        <v>35</v>
      </c>
      <c r="G1068" s="13">
        <v>45361</v>
      </c>
      <c r="H1068" s="12">
        <v>32414.51</v>
      </c>
      <c r="I1068" s="14" t="s">
        <v>27</v>
      </c>
      <c r="J1068" s="15" t="s">
        <v>28</v>
      </c>
      <c r="K1068" s="15">
        <v>1487</v>
      </c>
      <c r="L1068" s="16">
        <v>45397</v>
      </c>
      <c r="M1068" s="17">
        <v>5</v>
      </c>
      <c r="N1068" s="18">
        <v>91067</v>
      </c>
      <c r="O1068" s="18" t="s">
        <v>29</v>
      </c>
      <c r="P1068" s="19">
        <v>45352</v>
      </c>
      <c r="Q1068" s="20">
        <v>0.31696000000000002</v>
      </c>
      <c r="R1068" s="21">
        <v>71067</v>
      </c>
      <c r="S1068" s="18" t="s">
        <v>41</v>
      </c>
      <c r="T1068" s="20">
        <v>182168.20379999999</v>
      </c>
      <c r="U1068" s="18" t="s">
        <v>31</v>
      </c>
      <c r="V1068" s="19">
        <v>45422</v>
      </c>
      <c r="W1068" s="18" t="s">
        <v>38</v>
      </c>
      <c r="X1068" s="19">
        <v>45376</v>
      </c>
      <c r="Y1068" s="18" t="s">
        <v>33</v>
      </c>
      <c r="Z1068" s="43" t="e">
        <f>TEXT([1]!Table64[[#This Row],[Order date]],"mmm-yyyy")</f>
        <v>#REF!</v>
      </c>
    </row>
    <row r="1069" spans="1:26" x14ac:dyDescent="0.3">
      <c r="A1069" s="22">
        <v>11068</v>
      </c>
      <c r="B1069" s="23">
        <v>6372</v>
      </c>
      <c r="C1069" s="23" t="s">
        <v>34</v>
      </c>
      <c r="D1069" s="24">
        <v>56911.13</v>
      </c>
      <c r="E1069" s="23">
        <v>47</v>
      </c>
      <c r="F1069" s="23" t="s">
        <v>46</v>
      </c>
      <c r="G1069" s="25">
        <v>45306</v>
      </c>
      <c r="H1069" s="24">
        <v>176266.61</v>
      </c>
      <c r="I1069" s="26" t="s">
        <v>47</v>
      </c>
      <c r="J1069" s="15" t="s">
        <v>28</v>
      </c>
      <c r="K1069" s="15">
        <v>1354</v>
      </c>
      <c r="L1069" s="16">
        <v>45332</v>
      </c>
      <c r="M1069" s="17">
        <v>1</v>
      </c>
      <c r="N1069" s="27">
        <v>91068</v>
      </c>
      <c r="O1069" s="27" t="s">
        <v>50</v>
      </c>
      <c r="P1069" s="28">
        <v>45430</v>
      </c>
      <c r="Q1069" s="29">
        <v>0.23910999999999999</v>
      </c>
      <c r="R1069" s="30">
        <v>71068</v>
      </c>
      <c r="S1069" s="27" t="s">
        <v>30</v>
      </c>
      <c r="T1069" s="29">
        <v>206849.58059999999</v>
      </c>
      <c r="U1069" s="27" t="s">
        <v>42</v>
      </c>
      <c r="V1069" s="28">
        <v>45444</v>
      </c>
      <c r="W1069" s="27" t="s">
        <v>38</v>
      </c>
      <c r="X1069" s="28">
        <v>45376</v>
      </c>
      <c r="Y1069" s="27" t="s">
        <v>39</v>
      </c>
      <c r="Z1069" s="43" t="e">
        <f>TEXT([1]!Table64[[#This Row],[Order date]],"mmm-yyyy")</f>
        <v>#REF!</v>
      </c>
    </row>
    <row r="1070" spans="1:26" x14ac:dyDescent="0.3">
      <c r="A1070" s="10">
        <v>11069</v>
      </c>
      <c r="B1070" s="11">
        <v>5095</v>
      </c>
      <c r="C1070" s="11" t="s">
        <v>34</v>
      </c>
      <c r="D1070" s="12">
        <v>56427.75</v>
      </c>
      <c r="E1070" s="11">
        <v>25</v>
      </c>
      <c r="F1070" s="11" t="s">
        <v>35</v>
      </c>
      <c r="G1070" s="13">
        <v>45383</v>
      </c>
      <c r="H1070" s="12">
        <v>120049.75</v>
      </c>
      <c r="I1070" s="14" t="s">
        <v>27</v>
      </c>
      <c r="J1070" s="15" t="s">
        <v>36</v>
      </c>
      <c r="K1070" s="15">
        <v>302</v>
      </c>
      <c r="L1070" s="16">
        <v>45361</v>
      </c>
      <c r="M1070" s="17">
        <v>6</v>
      </c>
      <c r="N1070" s="18">
        <v>91069</v>
      </c>
      <c r="O1070" s="18" t="s">
        <v>37</v>
      </c>
      <c r="P1070" s="19">
        <v>45430</v>
      </c>
      <c r="Q1070" s="20">
        <v>0.89780000000000004</v>
      </c>
      <c r="R1070" s="21">
        <v>71069</v>
      </c>
      <c r="S1070" s="18" t="s">
        <v>45</v>
      </c>
      <c r="T1070" s="20">
        <v>157187.54926999999</v>
      </c>
      <c r="U1070" s="18" t="s">
        <v>42</v>
      </c>
      <c r="V1070" s="19">
        <v>45422</v>
      </c>
      <c r="W1070" s="18" t="s">
        <v>38</v>
      </c>
      <c r="X1070" s="19">
        <v>45376</v>
      </c>
      <c r="Y1070" s="18" t="s">
        <v>33</v>
      </c>
      <c r="Z1070" s="43" t="e">
        <f>TEXT([1]!Table64[[#This Row],[Order date]],"mmm-yyyy")</f>
        <v>#REF!</v>
      </c>
    </row>
    <row r="1071" spans="1:26" x14ac:dyDescent="0.3">
      <c r="A1071" s="22">
        <v>11070</v>
      </c>
      <c r="B1071" s="23">
        <v>6096</v>
      </c>
      <c r="C1071" s="23" t="s">
        <v>34</v>
      </c>
      <c r="D1071" s="24">
        <v>21050.959999999999</v>
      </c>
      <c r="E1071" s="23">
        <v>94</v>
      </c>
      <c r="F1071" s="23" t="s">
        <v>46</v>
      </c>
      <c r="G1071" s="25">
        <v>45306</v>
      </c>
      <c r="H1071" s="24">
        <v>19711.21</v>
      </c>
      <c r="I1071" s="26" t="s">
        <v>27</v>
      </c>
      <c r="J1071" s="15" t="s">
        <v>28</v>
      </c>
      <c r="K1071" s="15">
        <v>68</v>
      </c>
      <c r="L1071" s="16">
        <v>45332</v>
      </c>
      <c r="M1071" s="17">
        <v>10</v>
      </c>
      <c r="N1071" s="27">
        <v>91070</v>
      </c>
      <c r="O1071" s="27" t="s">
        <v>37</v>
      </c>
      <c r="P1071" s="28">
        <v>45352</v>
      </c>
      <c r="Q1071" s="29">
        <v>0.34747</v>
      </c>
      <c r="R1071" s="30">
        <v>71070</v>
      </c>
      <c r="S1071" s="27" t="s">
        <v>41</v>
      </c>
      <c r="T1071" s="29">
        <v>51729.650500000003</v>
      </c>
      <c r="U1071" s="27" t="s">
        <v>48</v>
      </c>
      <c r="V1071" s="28">
        <v>45392</v>
      </c>
      <c r="W1071" s="27" t="s">
        <v>38</v>
      </c>
      <c r="X1071" s="28">
        <v>45384</v>
      </c>
      <c r="Y1071" s="27" t="s">
        <v>33</v>
      </c>
      <c r="Z1071" s="43" t="e">
        <f>TEXT([1]!Table64[[#This Row],[Order date]],"mmm-yyyy")</f>
        <v>#REF!</v>
      </c>
    </row>
    <row r="1072" spans="1:26" x14ac:dyDescent="0.3">
      <c r="A1072" s="10">
        <v>11071</v>
      </c>
      <c r="B1072" s="11">
        <v>6575</v>
      </c>
      <c r="C1072" s="11" t="s">
        <v>34</v>
      </c>
      <c r="D1072" s="12">
        <v>12160.34</v>
      </c>
      <c r="E1072" s="11">
        <v>73</v>
      </c>
      <c r="F1072" s="11" t="s">
        <v>46</v>
      </c>
      <c r="G1072" s="13">
        <v>45383</v>
      </c>
      <c r="H1072" s="12">
        <v>101033.72</v>
      </c>
      <c r="I1072" s="14" t="s">
        <v>27</v>
      </c>
      <c r="J1072" s="15" t="s">
        <v>36</v>
      </c>
      <c r="K1072" s="15">
        <v>761</v>
      </c>
      <c r="L1072" s="16">
        <v>45397</v>
      </c>
      <c r="M1072" s="17">
        <v>4</v>
      </c>
      <c r="N1072" s="18">
        <v>91071</v>
      </c>
      <c r="O1072" s="18" t="s">
        <v>40</v>
      </c>
      <c r="P1072" s="19">
        <v>45352</v>
      </c>
      <c r="Q1072" s="20">
        <v>0.22459999999999999</v>
      </c>
      <c r="R1072" s="21">
        <v>71071</v>
      </c>
      <c r="S1072" s="18" t="s">
        <v>41</v>
      </c>
      <c r="T1072" s="20">
        <v>159846.5834</v>
      </c>
      <c r="U1072" s="18" t="s">
        <v>31</v>
      </c>
      <c r="V1072" s="19">
        <v>45444</v>
      </c>
      <c r="W1072" s="18" t="s">
        <v>38</v>
      </c>
      <c r="X1072" s="19">
        <v>45376</v>
      </c>
      <c r="Y1072" s="18" t="s">
        <v>39</v>
      </c>
      <c r="Z1072" s="43" t="e">
        <f>TEXT([1]!Table64[[#This Row],[Order date]],"mmm-yyyy")</f>
        <v>#REF!</v>
      </c>
    </row>
    <row r="1073" spans="1:26" x14ac:dyDescent="0.3">
      <c r="A1073" s="22">
        <v>11072</v>
      </c>
      <c r="B1073" s="23">
        <v>5154</v>
      </c>
      <c r="C1073" s="23" t="s">
        <v>25</v>
      </c>
      <c r="D1073" s="24">
        <v>74121.13</v>
      </c>
      <c r="E1073" s="23">
        <v>21</v>
      </c>
      <c r="F1073" s="23" t="s">
        <v>35</v>
      </c>
      <c r="G1073" s="25">
        <v>45383</v>
      </c>
      <c r="H1073" s="24">
        <v>145697.5</v>
      </c>
      <c r="I1073" s="26" t="s">
        <v>44</v>
      </c>
      <c r="J1073" s="15" t="s">
        <v>49</v>
      </c>
      <c r="K1073" s="15">
        <v>1209</v>
      </c>
      <c r="L1073" s="16">
        <v>45332</v>
      </c>
      <c r="M1073" s="17">
        <v>4</v>
      </c>
      <c r="N1073" s="27">
        <v>91072</v>
      </c>
      <c r="O1073" s="27" t="s">
        <v>40</v>
      </c>
      <c r="P1073" s="28">
        <v>45352</v>
      </c>
      <c r="Q1073" s="29">
        <v>0.20779</v>
      </c>
      <c r="R1073" s="30">
        <v>71072</v>
      </c>
      <c r="S1073" s="27" t="s">
        <v>45</v>
      </c>
      <c r="T1073" s="29">
        <v>152280.94149999999</v>
      </c>
      <c r="U1073" s="27" t="s">
        <v>42</v>
      </c>
      <c r="V1073" s="28">
        <v>45444</v>
      </c>
      <c r="W1073" s="27" t="s">
        <v>32</v>
      </c>
      <c r="X1073" s="28">
        <v>45376</v>
      </c>
      <c r="Y1073" s="27" t="s">
        <v>33</v>
      </c>
      <c r="Z1073" s="43" t="e">
        <f>TEXT([1]!Table64[[#This Row],[Order date]],"mmm-yyyy")</f>
        <v>#REF!</v>
      </c>
    </row>
    <row r="1074" spans="1:26" x14ac:dyDescent="0.3">
      <c r="A1074" s="10">
        <v>11073</v>
      </c>
      <c r="B1074" s="11">
        <v>5250</v>
      </c>
      <c r="C1074" s="11" t="s">
        <v>34</v>
      </c>
      <c r="D1074" s="12">
        <v>72309</v>
      </c>
      <c r="E1074" s="11">
        <v>84</v>
      </c>
      <c r="F1074" s="11" t="s">
        <v>35</v>
      </c>
      <c r="G1074" s="13">
        <v>45361</v>
      </c>
      <c r="H1074" s="12">
        <v>33410.18</v>
      </c>
      <c r="I1074" s="14" t="s">
        <v>44</v>
      </c>
      <c r="J1074" s="15" t="s">
        <v>28</v>
      </c>
      <c r="K1074" s="15">
        <v>272</v>
      </c>
      <c r="L1074" s="16">
        <v>45397</v>
      </c>
      <c r="M1074" s="17">
        <v>8</v>
      </c>
      <c r="N1074" s="18">
        <v>91073</v>
      </c>
      <c r="O1074" s="18" t="s">
        <v>40</v>
      </c>
      <c r="P1074" s="19">
        <v>45352</v>
      </c>
      <c r="Q1074" s="20">
        <v>0.72999000000000003</v>
      </c>
      <c r="R1074" s="21">
        <v>71073</v>
      </c>
      <c r="S1074" s="18" t="s">
        <v>45</v>
      </c>
      <c r="T1074" s="20">
        <v>174996.53409999999</v>
      </c>
      <c r="U1074" s="18" t="s">
        <v>31</v>
      </c>
      <c r="V1074" s="19">
        <v>45444</v>
      </c>
      <c r="W1074" s="18" t="s">
        <v>32</v>
      </c>
      <c r="X1074" s="19">
        <v>45376</v>
      </c>
      <c r="Y1074" s="18" t="s">
        <v>33</v>
      </c>
      <c r="Z1074" s="43" t="e">
        <f>TEXT([1]!Table64[[#This Row],[Order date]],"mmm-yyyy")</f>
        <v>#REF!</v>
      </c>
    </row>
    <row r="1075" spans="1:26" x14ac:dyDescent="0.3">
      <c r="A1075" s="22">
        <v>11074</v>
      </c>
      <c r="B1075" s="23">
        <v>5674</v>
      </c>
      <c r="C1075" s="23" t="s">
        <v>34</v>
      </c>
      <c r="D1075" s="24">
        <v>72376.009999999995</v>
      </c>
      <c r="E1075" s="23">
        <v>83</v>
      </c>
      <c r="F1075" s="23" t="s">
        <v>26</v>
      </c>
      <c r="G1075" s="25">
        <v>45383</v>
      </c>
      <c r="H1075" s="24">
        <v>100779.33</v>
      </c>
      <c r="I1075" s="26" t="s">
        <v>47</v>
      </c>
      <c r="J1075" s="15" t="s">
        <v>28</v>
      </c>
      <c r="K1075" s="15">
        <v>52</v>
      </c>
      <c r="L1075" s="16">
        <v>45361</v>
      </c>
      <c r="M1075" s="17">
        <v>2</v>
      </c>
      <c r="N1075" s="27">
        <v>91074</v>
      </c>
      <c r="O1075" s="27" t="s">
        <v>40</v>
      </c>
      <c r="P1075" s="28">
        <v>45383</v>
      </c>
      <c r="Q1075" s="29">
        <v>0.10546999999999999</v>
      </c>
      <c r="R1075" s="30">
        <v>71074</v>
      </c>
      <c r="S1075" s="27" t="s">
        <v>30</v>
      </c>
      <c r="T1075" s="29">
        <v>196736.223</v>
      </c>
      <c r="U1075" s="27" t="s">
        <v>48</v>
      </c>
      <c r="V1075" s="28">
        <v>45392</v>
      </c>
      <c r="W1075" s="27" t="s">
        <v>38</v>
      </c>
      <c r="X1075" s="28">
        <v>45376</v>
      </c>
      <c r="Y1075" s="27" t="s">
        <v>33</v>
      </c>
      <c r="Z1075" s="43" t="e">
        <f>TEXT([1]!Table64[[#This Row],[Order date]],"mmm-yyyy")</f>
        <v>#REF!</v>
      </c>
    </row>
    <row r="1076" spans="1:26" x14ac:dyDescent="0.3">
      <c r="A1076" s="10">
        <v>11075</v>
      </c>
      <c r="B1076" s="11">
        <v>5438</v>
      </c>
      <c r="C1076" s="11" t="s">
        <v>34</v>
      </c>
      <c r="D1076" s="12">
        <v>38911.160000000003</v>
      </c>
      <c r="E1076" s="11">
        <v>83</v>
      </c>
      <c r="F1076" s="11" t="s">
        <v>26</v>
      </c>
      <c r="G1076" s="13">
        <v>45361</v>
      </c>
      <c r="H1076" s="12">
        <v>25042.31</v>
      </c>
      <c r="I1076" s="14" t="s">
        <v>44</v>
      </c>
      <c r="J1076" s="15" t="s">
        <v>49</v>
      </c>
      <c r="K1076" s="15">
        <v>1309</v>
      </c>
      <c r="L1076" s="16">
        <v>45332</v>
      </c>
      <c r="M1076" s="17">
        <v>4</v>
      </c>
      <c r="N1076" s="18">
        <v>91075</v>
      </c>
      <c r="O1076" s="18" t="s">
        <v>50</v>
      </c>
      <c r="P1076" s="19">
        <v>45352</v>
      </c>
      <c r="Q1076" s="20">
        <v>0.52417000000000002</v>
      </c>
      <c r="R1076" s="21">
        <v>71075</v>
      </c>
      <c r="S1076" s="18" t="s">
        <v>30</v>
      </c>
      <c r="T1076" s="20">
        <v>177086.85237000001</v>
      </c>
      <c r="U1076" s="18" t="s">
        <v>31</v>
      </c>
      <c r="V1076" s="19">
        <v>45422</v>
      </c>
      <c r="W1076" s="18" t="s">
        <v>38</v>
      </c>
      <c r="X1076" s="19">
        <v>45376</v>
      </c>
      <c r="Y1076" s="18" t="s">
        <v>33</v>
      </c>
      <c r="Z1076" s="43" t="e">
        <f>TEXT([1]!Table64[[#This Row],[Order date]],"mmm-yyyy")</f>
        <v>#REF!</v>
      </c>
    </row>
    <row r="1077" spans="1:26" x14ac:dyDescent="0.3">
      <c r="A1077" s="22">
        <v>11076</v>
      </c>
      <c r="B1077" s="23">
        <v>5118</v>
      </c>
      <c r="C1077" s="23" t="s">
        <v>34</v>
      </c>
      <c r="D1077" s="24">
        <v>97667.44</v>
      </c>
      <c r="E1077" s="23">
        <v>12</v>
      </c>
      <c r="F1077" s="23" t="s">
        <v>26</v>
      </c>
      <c r="G1077" s="25">
        <v>45361</v>
      </c>
      <c r="H1077" s="24">
        <v>164400.51</v>
      </c>
      <c r="I1077" s="26" t="s">
        <v>47</v>
      </c>
      <c r="J1077" s="15" t="s">
        <v>49</v>
      </c>
      <c r="K1077" s="15">
        <v>903</v>
      </c>
      <c r="L1077" s="16">
        <v>45397</v>
      </c>
      <c r="M1077" s="17">
        <v>2</v>
      </c>
      <c r="N1077" s="27">
        <v>91076</v>
      </c>
      <c r="O1077" s="27" t="s">
        <v>29</v>
      </c>
      <c r="P1077" s="28">
        <v>45383</v>
      </c>
      <c r="Q1077" s="29">
        <v>0.20698</v>
      </c>
      <c r="R1077" s="30">
        <v>71076</v>
      </c>
      <c r="S1077" s="27" t="s">
        <v>30</v>
      </c>
      <c r="T1077" s="29">
        <v>152072.74987999999</v>
      </c>
      <c r="U1077" s="27" t="s">
        <v>31</v>
      </c>
      <c r="V1077" s="28">
        <v>45444</v>
      </c>
      <c r="W1077" s="27" t="s">
        <v>38</v>
      </c>
      <c r="X1077" s="28">
        <v>45376</v>
      </c>
      <c r="Y1077" s="27" t="s">
        <v>33</v>
      </c>
      <c r="Z1077" s="43" t="e">
        <f>TEXT([1]!Table64[[#This Row],[Order date]],"mmm-yyyy")</f>
        <v>#REF!</v>
      </c>
    </row>
    <row r="1078" spans="1:26" x14ac:dyDescent="0.3">
      <c r="A1078" s="10">
        <v>11077</v>
      </c>
      <c r="B1078" s="11">
        <v>5771</v>
      </c>
      <c r="C1078" s="11" t="s">
        <v>25</v>
      </c>
      <c r="D1078" s="12">
        <v>23859.57</v>
      </c>
      <c r="E1078" s="11">
        <v>37</v>
      </c>
      <c r="F1078" s="11" t="s">
        <v>46</v>
      </c>
      <c r="G1078" s="13">
        <v>45383</v>
      </c>
      <c r="H1078" s="12">
        <v>41947.47</v>
      </c>
      <c r="I1078" s="14" t="s">
        <v>47</v>
      </c>
      <c r="J1078" s="15" t="s">
        <v>28</v>
      </c>
      <c r="K1078" s="15">
        <v>277</v>
      </c>
      <c r="L1078" s="16">
        <v>45397</v>
      </c>
      <c r="M1078" s="17">
        <v>1</v>
      </c>
      <c r="N1078" s="18">
        <v>91077</v>
      </c>
      <c r="O1078" s="18" t="s">
        <v>40</v>
      </c>
      <c r="P1078" s="19">
        <v>45430</v>
      </c>
      <c r="Q1078" s="20">
        <v>0.86470000000000002</v>
      </c>
      <c r="R1078" s="21">
        <v>71077</v>
      </c>
      <c r="S1078" s="18" t="s">
        <v>41</v>
      </c>
      <c r="T1078" s="20">
        <v>59873.792379999999</v>
      </c>
      <c r="U1078" s="18" t="s">
        <v>31</v>
      </c>
      <c r="V1078" s="19">
        <v>45392</v>
      </c>
      <c r="W1078" s="18" t="s">
        <v>38</v>
      </c>
      <c r="X1078" s="19">
        <v>45376</v>
      </c>
      <c r="Y1078" s="18" t="s">
        <v>33</v>
      </c>
      <c r="Z1078" s="43" t="e">
        <f>TEXT([1]!Table64[[#This Row],[Order date]],"mmm-yyyy")</f>
        <v>#REF!</v>
      </c>
    </row>
    <row r="1079" spans="1:26" x14ac:dyDescent="0.3">
      <c r="A1079" s="22">
        <v>11078</v>
      </c>
      <c r="B1079" s="23">
        <v>6915</v>
      </c>
      <c r="C1079" s="23" t="s">
        <v>34</v>
      </c>
      <c r="D1079" s="24">
        <v>54552.89</v>
      </c>
      <c r="E1079" s="23">
        <v>42</v>
      </c>
      <c r="F1079" s="23" t="s">
        <v>35</v>
      </c>
      <c r="G1079" s="25">
        <v>45361</v>
      </c>
      <c r="H1079" s="24">
        <v>145105.4</v>
      </c>
      <c r="I1079" s="26" t="s">
        <v>47</v>
      </c>
      <c r="J1079" s="15" t="s">
        <v>49</v>
      </c>
      <c r="K1079" s="15">
        <v>962</v>
      </c>
      <c r="L1079" s="16">
        <v>45397</v>
      </c>
      <c r="M1079" s="17">
        <v>10</v>
      </c>
      <c r="N1079" s="27">
        <v>91078</v>
      </c>
      <c r="O1079" s="27" t="s">
        <v>40</v>
      </c>
      <c r="P1079" s="28">
        <v>45383</v>
      </c>
      <c r="Q1079" s="29">
        <v>0.96260999999999997</v>
      </c>
      <c r="R1079" s="30">
        <v>71078</v>
      </c>
      <c r="S1079" s="27" t="s">
        <v>30</v>
      </c>
      <c r="T1079" s="29">
        <v>62674.019350000002</v>
      </c>
      <c r="U1079" s="27" t="s">
        <v>42</v>
      </c>
      <c r="V1079" s="28">
        <v>45422</v>
      </c>
      <c r="W1079" s="27" t="s">
        <v>38</v>
      </c>
      <c r="X1079" s="28">
        <v>45376</v>
      </c>
      <c r="Y1079" s="27" t="s">
        <v>39</v>
      </c>
      <c r="Z1079" s="43" t="e">
        <f>TEXT([1]!Table64[[#This Row],[Order date]],"mmm-yyyy")</f>
        <v>#REF!</v>
      </c>
    </row>
    <row r="1080" spans="1:26" x14ac:dyDescent="0.3">
      <c r="A1080" s="10">
        <v>11079</v>
      </c>
      <c r="B1080" s="11">
        <v>6330</v>
      </c>
      <c r="C1080" s="11" t="s">
        <v>34</v>
      </c>
      <c r="D1080" s="12">
        <v>56380.44</v>
      </c>
      <c r="E1080" s="11">
        <v>17</v>
      </c>
      <c r="F1080" s="11" t="s">
        <v>43</v>
      </c>
      <c r="G1080" s="13">
        <v>45361</v>
      </c>
      <c r="H1080" s="12">
        <v>74937.279999999999</v>
      </c>
      <c r="I1080" s="14" t="s">
        <v>44</v>
      </c>
      <c r="J1080" s="15" t="s">
        <v>36</v>
      </c>
      <c r="K1080" s="15">
        <v>548</v>
      </c>
      <c r="L1080" s="16">
        <v>45397</v>
      </c>
      <c r="M1080" s="17">
        <v>13</v>
      </c>
      <c r="N1080" s="18">
        <v>91079</v>
      </c>
      <c r="O1080" s="18" t="s">
        <v>50</v>
      </c>
      <c r="P1080" s="19">
        <v>45430</v>
      </c>
      <c r="Q1080" s="20">
        <v>0.96287999999999996</v>
      </c>
      <c r="R1080" s="21">
        <v>71079</v>
      </c>
      <c r="S1080" s="18" t="s">
        <v>41</v>
      </c>
      <c r="T1080" s="20">
        <v>177952.16930000001</v>
      </c>
      <c r="U1080" s="18" t="s">
        <v>42</v>
      </c>
      <c r="V1080" s="19">
        <v>45422</v>
      </c>
      <c r="W1080" s="18" t="s">
        <v>32</v>
      </c>
      <c r="X1080" s="19">
        <v>45384</v>
      </c>
      <c r="Y1080" s="18" t="s">
        <v>33</v>
      </c>
      <c r="Z1080" s="43" t="e">
        <f>TEXT([1]!Table64[[#This Row],[Order date]],"mmm-yyyy")</f>
        <v>#REF!</v>
      </c>
    </row>
    <row r="1081" spans="1:26" x14ac:dyDescent="0.3">
      <c r="A1081" s="22">
        <v>11080</v>
      </c>
      <c r="B1081" s="23">
        <v>5268</v>
      </c>
      <c r="C1081" s="23" t="s">
        <v>25</v>
      </c>
      <c r="D1081" s="24">
        <v>24985.439999999999</v>
      </c>
      <c r="E1081" s="23">
        <v>48</v>
      </c>
      <c r="F1081" s="23" t="s">
        <v>46</v>
      </c>
      <c r="G1081" s="25">
        <v>45361</v>
      </c>
      <c r="H1081" s="24">
        <v>97323.76</v>
      </c>
      <c r="I1081" s="26" t="s">
        <v>44</v>
      </c>
      <c r="J1081" s="15" t="s">
        <v>36</v>
      </c>
      <c r="K1081" s="15">
        <v>570</v>
      </c>
      <c r="L1081" s="16">
        <v>45332</v>
      </c>
      <c r="M1081" s="17">
        <v>13</v>
      </c>
      <c r="N1081" s="27">
        <v>91080</v>
      </c>
      <c r="O1081" s="27" t="s">
        <v>40</v>
      </c>
      <c r="P1081" s="28">
        <v>45383</v>
      </c>
      <c r="Q1081" s="29">
        <v>0.49776999999999999</v>
      </c>
      <c r="R1081" s="30">
        <v>71080</v>
      </c>
      <c r="S1081" s="27" t="s">
        <v>41</v>
      </c>
      <c r="T1081" s="29">
        <v>92304.724400000006</v>
      </c>
      <c r="U1081" s="27" t="s">
        <v>48</v>
      </c>
      <c r="V1081" s="28">
        <v>45444</v>
      </c>
      <c r="W1081" s="27" t="s">
        <v>32</v>
      </c>
      <c r="X1081" s="28">
        <v>45376</v>
      </c>
      <c r="Y1081" s="27" t="s">
        <v>39</v>
      </c>
      <c r="Z1081" s="43" t="e">
        <f>TEXT([1]!Table64[[#This Row],[Order date]],"mmm-yyyy")</f>
        <v>#REF!</v>
      </c>
    </row>
    <row r="1082" spans="1:26" x14ac:dyDescent="0.3">
      <c r="A1082" s="10">
        <v>11081</v>
      </c>
      <c r="B1082" s="11">
        <v>6985</v>
      </c>
      <c r="C1082" s="11" t="s">
        <v>34</v>
      </c>
      <c r="D1082" s="12">
        <v>40793.85</v>
      </c>
      <c r="E1082" s="11">
        <v>28</v>
      </c>
      <c r="F1082" s="11" t="s">
        <v>43</v>
      </c>
      <c r="G1082" s="13">
        <v>45337</v>
      </c>
      <c r="H1082" s="12">
        <v>50823.040000000001</v>
      </c>
      <c r="I1082" s="14" t="s">
        <v>47</v>
      </c>
      <c r="J1082" s="15" t="s">
        <v>28</v>
      </c>
      <c r="K1082" s="15">
        <v>751</v>
      </c>
      <c r="L1082" s="16">
        <v>45397</v>
      </c>
      <c r="M1082" s="17">
        <v>3</v>
      </c>
      <c r="N1082" s="18">
        <v>91081</v>
      </c>
      <c r="O1082" s="18" t="s">
        <v>40</v>
      </c>
      <c r="P1082" s="19">
        <v>45430</v>
      </c>
      <c r="Q1082" s="20">
        <v>0.68006</v>
      </c>
      <c r="R1082" s="21">
        <v>71081</v>
      </c>
      <c r="S1082" s="18" t="s">
        <v>45</v>
      </c>
      <c r="T1082" s="20">
        <v>196837.34426000001</v>
      </c>
      <c r="U1082" s="18" t="s">
        <v>31</v>
      </c>
      <c r="V1082" s="19">
        <v>45392</v>
      </c>
      <c r="W1082" s="18" t="s">
        <v>38</v>
      </c>
      <c r="X1082" s="19">
        <v>45384</v>
      </c>
      <c r="Y1082" s="18" t="s">
        <v>33</v>
      </c>
      <c r="Z1082" s="43" t="e">
        <f>TEXT([1]!Table64[[#This Row],[Order date]],"mmm-yyyy")</f>
        <v>#REF!</v>
      </c>
    </row>
    <row r="1083" spans="1:26" x14ac:dyDescent="0.3">
      <c r="A1083" s="22">
        <v>11082</v>
      </c>
      <c r="B1083" s="23">
        <v>6078</v>
      </c>
      <c r="C1083" s="23" t="s">
        <v>34</v>
      </c>
      <c r="D1083" s="24">
        <v>49791.45</v>
      </c>
      <c r="E1083" s="23">
        <v>41</v>
      </c>
      <c r="F1083" s="23" t="s">
        <v>35</v>
      </c>
      <c r="G1083" s="25">
        <v>45361</v>
      </c>
      <c r="H1083" s="24">
        <v>40108.81</v>
      </c>
      <c r="I1083" s="26" t="s">
        <v>44</v>
      </c>
      <c r="J1083" s="15" t="s">
        <v>36</v>
      </c>
      <c r="K1083" s="15">
        <v>966</v>
      </c>
      <c r="L1083" s="16">
        <v>45332</v>
      </c>
      <c r="M1083" s="17">
        <v>12</v>
      </c>
      <c r="N1083" s="27">
        <v>91082</v>
      </c>
      <c r="O1083" s="27" t="s">
        <v>29</v>
      </c>
      <c r="P1083" s="28">
        <v>45352</v>
      </c>
      <c r="Q1083" s="29">
        <v>0.63973000000000002</v>
      </c>
      <c r="R1083" s="30">
        <v>71082</v>
      </c>
      <c r="S1083" s="27" t="s">
        <v>45</v>
      </c>
      <c r="T1083" s="29">
        <v>176251.34419999999</v>
      </c>
      <c r="U1083" s="27" t="s">
        <v>48</v>
      </c>
      <c r="V1083" s="28">
        <v>45422</v>
      </c>
      <c r="W1083" s="27" t="s">
        <v>38</v>
      </c>
      <c r="X1083" s="28">
        <v>45384</v>
      </c>
      <c r="Y1083" s="27" t="s">
        <v>33</v>
      </c>
      <c r="Z1083" s="43" t="e">
        <f>TEXT([1]!Table64[[#This Row],[Order date]],"mmm-yyyy")</f>
        <v>#REF!</v>
      </c>
    </row>
    <row r="1084" spans="1:26" x14ac:dyDescent="0.3">
      <c r="A1084" s="10">
        <v>11083</v>
      </c>
      <c r="B1084" s="11">
        <v>5236</v>
      </c>
      <c r="C1084" s="11" t="s">
        <v>34</v>
      </c>
      <c r="D1084" s="12">
        <v>18280.72</v>
      </c>
      <c r="E1084" s="11">
        <v>99</v>
      </c>
      <c r="F1084" s="11" t="s">
        <v>46</v>
      </c>
      <c r="G1084" s="13">
        <v>45337</v>
      </c>
      <c r="H1084" s="12">
        <v>147852.93</v>
      </c>
      <c r="I1084" s="14" t="s">
        <v>44</v>
      </c>
      <c r="J1084" s="15" t="s">
        <v>36</v>
      </c>
      <c r="K1084" s="15">
        <v>1212</v>
      </c>
      <c r="L1084" s="16">
        <v>45397</v>
      </c>
      <c r="M1084" s="17">
        <v>8</v>
      </c>
      <c r="N1084" s="18">
        <v>91083</v>
      </c>
      <c r="O1084" s="18" t="s">
        <v>37</v>
      </c>
      <c r="P1084" s="19">
        <v>45383</v>
      </c>
      <c r="Q1084" s="20">
        <v>0.41504000000000002</v>
      </c>
      <c r="R1084" s="21">
        <v>71083</v>
      </c>
      <c r="S1084" s="18" t="s">
        <v>41</v>
      </c>
      <c r="T1084" s="20">
        <v>168344.41248</v>
      </c>
      <c r="U1084" s="18" t="s">
        <v>48</v>
      </c>
      <c r="V1084" s="19">
        <v>45392</v>
      </c>
      <c r="W1084" s="18" t="s">
        <v>38</v>
      </c>
      <c r="X1084" s="19">
        <v>45384</v>
      </c>
      <c r="Y1084" s="18" t="s">
        <v>39</v>
      </c>
      <c r="Z1084" s="43" t="e">
        <f>TEXT([1]!Table64[[#This Row],[Order date]],"mmm-yyyy")</f>
        <v>#REF!</v>
      </c>
    </row>
    <row r="1085" spans="1:26" x14ac:dyDescent="0.3">
      <c r="A1085" s="22">
        <v>11084</v>
      </c>
      <c r="B1085" s="23">
        <v>5389</v>
      </c>
      <c r="C1085" s="23" t="s">
        <v>25</v>
      </c>
      <c r="D1085" s="24">
        <v>16018.43</v>
      </c>
      <c r="E1085" s="23">
        <v>47</v>
      </c>
      <c r="F1085" s="23" t="s">
        <v>43</v>
      </c>
      <c r="G1085" s="25">
        <v>45337</v>
      </c>
      <c r="H1085" s="24">
        <v>41928.71</v>
      </c>
      <c r="I1085" s="26" t="s">
        <v>27</v>
      </c>
      <c r="J1085" s="15" t="s">
        <v>28</v>
      </c>
      <c r="K1085" s="15">
        <v>1349</v>
      </c>
      <c r="L1085" s="16">
        <v>45332</v>
      </c>
      <c r="M1085" s="17">
        <v>6</v>
      </c>
      <c r="N1085" s="27">
        <v>91084</v>
      </c>
      <c r="O1085" s="27" t="s">
        <v>40</v>
      </c>
      <c r="P1085" s="28">
        <v>45383</v>
      </c>
      <c r="Q1085" s="29">
        <v>0.49965999999999999</v>
      </c>
      <c r="R1085" s="30">
        <v>71084</v>
      </c>
      <c r="S1085" s="27" t="s">
        <v>30</v>
      </c>
      <c r="T1085" s="29">
        <v>140609.1796</v>
      </c>
      <c r="U1085" s="27" t="s">
        <v>42</v>
      </c>
      <c r="V1085" s="28">
        <v>45422</v>
      </c>
      <c r="W1085" s="27" t="s">
        <v>32</v>
      </c>
      <c r="X1085" s="28">
        <v>45376</v>
      </c>
      <c r="Y1085" s="27" t="s">
        <v>33</v>
      </c>
      <c r="Z1085" s="43" t="e">
        <f>TEXT([1]!Table64[[#This Row],[Order date]],"mmm-yyyy")</f>
        <v>#REF!</v>
      </c>
    </row>
    <row r="1086" spans="1:26" x14ac:dyDescent="0.3">
      <c r="A1086" s="10">
        <v>11085</v>
      </c>
      <c r="B1086" s="11">
        <v>5990</v>
      </c>
      <c r="C1086" s="11" t="s">
        <v>34</v>
      </c>
      <c r="D1086" s="12">
        <v>65786.66</v>
      </c>
      <c r="E1086" s="11">
        <v>18</v>
      </c>
      <c r="F1086" s="11" t="s">
        <v>43</v>
      </c>
      <c r="G1086" s="13">
        <v>45361</v>
      </c>
      <c r="H1086" s="12">
        <v>131165.10999999999</v>
      </c>
      <c r="I1086" s="14" t="s">
        <v>44</v>
      </c>
      <c r="J1086" s="15" t="s">
        <v>49</v>
      </c>
      <c r="K1086" s="15">
        <v>340</v>
      </c>
      <c r="L1086" s="16">
        <v>45332</v>
      </c>
      <c r="M1086" s="17">
        <v>12</v>
      </c>
      <c r="N1086" s="18">
        <v>91085</v>
      </c>
      <c r="O1086" s="18" t="s">
        <v>50</v>
      </c>
      <c r="P1086" s="19">
        <v>45430</v>
      </c>
      <c r="Q1086" s="20">
        <v>0.15789</v>
      </c>
      <c r="R1086" s="21">
        <v>71085</v>
      </c>
      <c r="S1086" s="18" t="s">
        <v>41</v>
      </c>
      <c r="T1086" s="20">
        <v>170318.46419999999</v>
      </c>
      <c r="U1086" s="18" t="s">
        <v>31</v>
      </c>
      <c r="V1086" s="19">
        <v>45444</v>
      </c>
      <c r="W1086" s="18" t="s">
        <v>38</v>
      </c>
      <c r="X1086" s="19">
        <v>45376</v>
      </c>
      <c r="Y1086" s="18" t="s">
        <v>33</v>
      </c>
      <c r="Z1086" s="43" t="e">
        <f>TEXT([1]!Table64[[#This Row],[Order date]],"mmm-yyyy")</f>
        <v>#REF!</v>
      </c>
    </row>
    <row r="1087" spans="1:26" x14ac:dyDescent="0.3">
      <c r="A1087" s="22">
        <v>11086</v>
      </c>
      <c r="B1087" s="23">
        <v>6758</v>
      </c>
      <c r="C1087" s="23" t="s">
        <v>34</v>
      </c>
      <c r="D1087" s="24">
        <v>43309.1</v>
      </c>
      <c r="E1087" s="23">
        <v>78</v>
      </c>
      <c r="F1087" s="23" t="s">
        <v>26</v>
      </c>
      <c r="G1087" s="25">
        <v>45361</v>
      </c>
      <c r="H1087" s="24">
        <v>93530.83</v>
      </c>
      <c r="I1087" s="26" t="s">
        <v>44</v>
      </c>
      <c r="J1087" s="15" t="s">
        <v>28</v>
      </c>
      <c r="K1087" s="15">
        <v>1126</v>
      </c>
      <c r="L1087" s="16">
        <v>45397</v>
      </c>
      <c r="M1087" s="17">
        <v>7</v>
      </c>
      <c r="N1087" s="27">
        <v>91086</v>
      </c>
      <c r="O1087" s="27" t="s">
        <v>29</v>
      </c>
      <c r="P1087" s="28">
        <v>45430</v>
      </c>
      <c r="Q1087" s="29">
        <v>0.81613000000000002</v>
      </c>
      <c r="R1087" s="30">
        <v>71086</v>
      </c>
      <c r="S1087" s="27" t="s">
        <v>41</v>
      </c>
      <c r="T1087" s="29">
        <v>200488.6684</v>
      </c>
      <c r="U1087" s="27" t="s">
        <v>31</v>
      </c>
      <c r="V1087" s="28">
        <v>45444</v>
      </c>
      <c r="W1087" s="27" t="s">
        <v>38</v>
      </c>
      <c r="X1087" s="28">
        <v>45376</v>
      </c>
      <c r="Y1087" s="27" t="s">
        <v>33</v>
      </c>
      <c r="Z1087" s="43" t="e">
        <f>TEXT([1]!Table64[[#This Row],[Order date]],"mmm-yyyy")</f>
        <v>#REF!</v>
      </c>
    </row>
    <row r="1088" spans="1:26" x14ac:dyDescent="0.3">
      <c r="A1088" s="10">
        <v>11087</v>
      </c>
      <c r="B1088" s="11">
        <v>5763</v>
      </c>
      <c r="C1088" s="11" t="s">
        <v>34</v>
      </c>
      <c r="D1088" s="12">
        <v>24384.29</v>
      </c>
      <c r="E1088" s="11">
        <v>99</v>
      </c>
      <c r="F1088" s="11" t="s">
        <v>26</v>
      </c>
      <c r="G1088" s="13">
        <v>45337</v>
      </c>
      <c r="H1088" s="12">
        <v>57108.74</v>
      </c>
      <c r="I1088" s="14" t="s">
        <v>27</v>
      </c>
      <c r="J1088" s="15" t="s">
        <v>36</v>
      </c>
      <c r="K1088" s="15">
        <v>1183</v>
      </c>
      <c r="L1088" s="16">
        <v>45397</v>
      </c>
      <c r="M1088" s="17">
        <v>2</v>
      </c>
      <c r="N1088" s="18">
        <v>91087</v>
      </c>
      <c r="O1088" s="18" t="s">
        <v>50</v>
      </c>
      <c r="P1088" s="19">
        <v>45383</v>
      </c>
      <c r="Q1088" s="20">
        <v>0.31672</v>
      </c>
      <c r="R1088" s="21">
        <v>71087</v>
      </c>
      <c r="S1088" s="18" t="s">
        <v>41</v>
      </c>
      <c r="T1088" s="20">
        <v>98382.247300000003</v>
      </c>
      <c r="U1088" s="18" t="s">
        <v>48</v>
      </c>
      <c r="V1088" s="19">
        <v>45422</v>
      </c>
      <c r="W1088" s="18" t="s">
        <v>38</v>
      </c>
      <c r="X1088" s="19">
        <v>45384</v>
      </c>
      <c r="Y1088" s="18" t="s">
        <v>33</v>
      </c>
      <c r="Z1088" s="43" t="e">
        <f>TEXT([1]!Table64[[#This Row],[Order date]],"mmm-yyyy")</f>
        <v>#REF!</v>
      </c>
    </row>
    <row r="1089" spans="1:26" x14ac:dyDescent="0.3">
      <c r="A1089" s="22">
        <v>11088</v>
      </c>
      <c r="B1089" s="23">
        <v>6849</v>
      </c>
      <c r="C1089" s="23" t="s">
        <v>34</v>
      </c>
      <c r="D1089" s="24">
        <v>40084.449999999997</v>
      </c>
      <c r="E1089" s="23">
        <v>71</v>
      </c>
      <c r="F1089" s="23" t="s">
        <v>26</v>
      </c>
      <c r="G1089" s="25">
        <v>45337</v>
      </c>
      <c r="H1089" s="24">
        <v>11253.84</v>
      </c>
      <c r="I1089" s="26" t="s">
        <v>27</v>
      </c>
      <c r="J1089" s="15" t="s">
        <v>28</v>
      </c>
      <c r="K1089" s="15">
        <v>764</v>
      </c>
      <c r="L1089" s="16">
        <v>45397</v>
      </c>
      <c r="M1089" s="17">
        <v>6</v>
      </c>
      <c r="N1089" s="27">
        <v>91088</v>
      </c>
      <c r="O1089" s="27" t="s">
        <v>29</v>
      </c>
      <c r="P1089" s="28">
        <v>45430</v>
      </c>
      <c r="Q1089" s="29">
        <v>0.51446999999999998</v>
      </c>
      <c r="R1089" s="30">
        <v>71088</v>
      </c>
      <c r="S1089" s="27" t="s">
        <v>45</v>
      </c>
      <c r="T1089" s="29">
        <v>111969.93459999999</v>
      </c>
      <c r="U1089" s="27" t="s">
        <v>31</v>
      </c>
      <c r="V1089" s="28">
        <v>45392</v>
      </c>
      <c r="W1089" s="27" t="s">
        <v>38</v>
      </c>
      <c r="X1089" s="28">
        <v>45384</v>
      </c>
      <c r="Y1089" s="27" t="s">
        <v>39</v>
      </c>
      <c r="Z1089" s="43" t="e">
        <f>TEXT([1]!Table64[[#This Row],[Order date]],"mmm-yyyy")</f>
        <v>#REF!</v>
      </c>
    </row>
    <row r="1090" spans="1:26" x14ac:dyDescent="0.3">
      <c r="A1090" s="10">
        <v>11089</v>
      </c>
      <c r="B1090" s="11">
        <v>5401</v>
      </c>
      <c r="C1090" s="11" t="s">
        <v>34</v>
      </c>
      <c r="D1090" s="12">
        <v>49059.93</v>
      </c>
      <c r="E1090" s="11">
        <v>13</v>
      </c>
      <c r="F1090" s="11" t="s">
        <v>46</v>
      </c>
      <c r="G1090" s="13">
        <v>45361</v>
      </c>
      <c r="H1090" s="12">
        <v>26320.35</v>
      </c>
      <c r="I1090" s="14" t="s">
        <v>44</v>
      </c>
      <c r="J1090" s="15" t="s">
        <v>28</v>
      </c>
      <c r="K1090" s="15">
        <v>997</v>
      </c>
      <c r="L1090" s="16">
        <v>45397</v>
      </c>
      <c r="M1090" s="17">
        <v>14</v>
      </c>
      <c r="N1090" s="18">
        <v>91089</v>
      </c>
      <c r="O1090" s="18" t="s">
        <v>29</v>
      </c>
      <c r="P1090" s="19">
        <v>45352</v>
      </c>
      <c r="Q1090" s="20">
        <v>0.53256000000000003</v>
      </c>
      <c r="R1090" s="21">
        <v>71089</v>
      </c>
      <c r="S1090" s="18" t="s">
        <v>30</v>
      </c>
      <c r="T1090" s="20">
        <v>182021.54985000001</v>
      </c>
      <c r="U1090" s="18" t="s">
        <v>42</v>
      </c>
      <c r="V1090" s="19">
        <v>45422</v>
      </c>
      <c r="W1090" s="18" t="s">
        <v>38</v>
      </c>
      <c r="X1090" s="19">
        <v>45384</v>
      </c>
      <c r="Y1090" s="18" t="s">
        <v>39</v>
      </c>
      <c r="Z1090" s="43" t="e">
        <f>TEXT([1]!Table64[[#This Row],[Order date]],"mmm-yyyy")</f>
        <v>#REF!</v>
      </c>
    </row>
    <row r="1091" spans="1:26" x14ac:dyDescent="0.3">
      <c r="A1091" s="22">
        <v>11090</v>
      </c>
      <c r="B1091" s="23">
        <v>5624</v>
      </c>
      <c r="C1091" s="23" t="s">
        <v>34</v>
      </c>
      <c r="D1091" s="24">
        <v>45090.89</v>
      </c>
      <c r="E1091" s="23">
        <v>82</v>
      </c>
      <c r="F1091" s="23" t="s">
        <v>35</v>
      </c>
      <c r="G1091" s="25">
        <v>45361</v>
      </c>
      <c r="H1091" s="24">
        <v>112843.14</v>
      </c>
      <c r="I1091" s="26" t="s">
        <v>47</v>
      </c>
      <c r="J1091" s="15" t="s">
        <v>36</v>
      </c>
      <c r="K1091" s="15">
        <v>697</v>
      </c>
      <c r="L1091" s="16">
        <v>45361</v>
      </c>
      <c r="M1091" s="17">
        <v>8</v>
      </c>
      <c r="N1091" s="27">
        <v>91090</v>
      </c>
      <c r="O1091" s="27" t="s">
        <v>40</v>
      </c>
      <c r="P1091" s="28">
        <v>45383</v>
      </c>
      <c r="Q1091" s="29">
        <v>0.60463999999999996</v>
      </c>
      <c r="R1091" s="30">
        <v>71090</v>
      </c>
      <c r="S1091" s="27" t="s">
        <v>41</v>
      </c>
      <c r="T1091" s="29">
        <v>114600.20934</v>
      </c>
      <c r="U1091" s="27" t="s">
        <v>48</v>
      </c>
      <c r="V1091" s="28">
        <v>45392</v>
      </c>
      <c r="W1091" s="27" t="s">
        <v>32</v>
      </c>
      <c r="X1091" s="28">
        <v>45376</v>
      </c>
      <c r="Y1091" s="27" t="s">
        <v>33</v>
      </c>
      <c r="Z1091" s="43" t="e">
        <f>TEXT([1]!Table64[[#This Row],[Order date]],"mmm-yyyy")</f>
        <v>#REF!</v>
      </c>
    </row>
    <row r="1092" spans="1:26" x14ac:dyDescent="0.3">
      <c r="A1092" s="10">
        <v>11091</v>
      </c>
      <c r="B1092" s="11">
        <v>5767</v>
      </c>
      <c r="C1092" s="11" t="s">
        <v>34</v>
      </c>
      <c r="D1092" s="12">
        <v>19584</v>
      </c>
      <c r="E1092" s="11">
        <v>13</v>
      </c>
      <c r="F1092" s="11" t="s">
        <v>35</v>
      </c>
      <c r="G1092" s="13">
        <v>45383</v>
      </c>
      <c r="H1092" s="12">
        <v>102841.22</v>
      </c>
      <c r="I1092" s="14" t="s">
        <v>44</v>
      </c>
      <c r="J1092" s="15" t="s">
        <v>36</v>
      </c>
      <c r="K1092" s="15">
        <v>1077</v>
      </c>
      <c r="L1092" s="16">
        <v>45397</v>
      </c>
      <c r="M1092" s="17">
        <v>8</v>
      </c>
      <c r="N1092" s="18">
        <v>91091</v>
      </c>
      <c r="O1092" s="18" t="s">
        <v>40</v>
      </c>
      <c r="P1092" s="19">
        <v>45352</v>
      </c>
      <c r="Q1092" s="20">
        <v>0.83609</v>
      </c>
      <c r="R1092" s="21">
        <v>71091</v>
      </c>
      <c r="S1092" s="18" t="s">
        <v>41</v>
      </c>
      <c r="T1092" s="20">
        <v>82109.132800000007</v>
      </c>
      <c r="U1092" s="18" t="s">
        <v>48</v>
      </c>
      <c r="V1092" s="19">
        <v>45422</v>
      </c>
      <c r="W1092" s="18" t="s">
        <v>38</v>
      </c>
      <c r="X1092" s="19">
        <v>45384</v>
      </c>
      <c r="Y1092" s="18" t="s">
        <v>39</v>
      </c>
      <c r="Z1092" s="43" t="e">
        <f>TEXT([1]!Table64[[#This Row],[Order date]],"mmm-yyyy")</f>
        <v>#REF!</v>
      </c>
    </row>
    <row r="1093" spans="1:26" x14ac:dyDescent="0.3">
      <c r="A1093" s="22">
        <v>11092</v>
      </c>
      <c r="B1093" s="23">
        <v>6327</v>
      </c>
      <c r="C1093" s="23" t="s">
        <v>34</v>
      </c>
      <c r="D1093" s="24">
        <v>9261.7800000000007</v>
      </c>
      <c r="E1093" s="23">
        <v>31</v>
      </c>
      <c r="F1093" s="23" t="s">
        <v>26</v>
      </c>
      <c r="G1093" s="25">
        <v>45337</v>
      </c>
      <c r="H1093" s="24">
        <v>44334.96</v>
      </c>
      <c r="I1093" s="26" t="s">
        <v>47</v>
      </c>
      <c r="J1093" s="15" t="s">
        <v>28</v>
      </c>
      <c r="K1093" s="15">
        <v>733</v>
      </c>
      <c r="L1093" s="16">
        <v>45397</v>
      </c>
      <c r="M1093" s="17">
        <v>4</v>
      </c>
      <c r="N1093" s="27">
        <v>91092</v>
      </c>
      <c r="O1093" s="27" t="s">
        <v>40</v>
      </c>
      <c r="P1093" s="28">
        <v>45383</v>
      </c>
      <c r="Q1093" s="29">
        <v>0.72269000000000005</v>
      </c>
      <c r="R1093" s="30">
        <v>71092</v>
      </c>
      <c r="S1093" s="27" t="s">
        <v>41</v>
      </c>
      <c r="T1093" s="29">
        <v>84221.442800000004</v>
      </c>
      <c r="U1093" s="27" t="s">
        <v>42</v>
      </c>
      <c r="V1093" s="28">
        <v>45444</v>
      </c>
      <c r="W1093" s="27" t="s">
        <v>38</v>
      </c>
      <c r="X1093" s="28">
        <v>45376</v>
      </c>
      <c r="Y1093" s="27" t="s">
        <v>33</v>
      </c>
      <c r="Z1093" s="43" t="e">
        <f>TEXT([1]!Table64[[#This Row],[Order date]],"mmm-yyyy")</f>
        <v>#REF!</v>
      </c>
    </row>
    <row r="1094" spans="1:26" x14ac:dyDescent="0.3">
      <c r="A1094" s="10">
        <v>11093</v>
      </c>
      <c r="B1094" s="11">
        <v>5919</v>
      </c>
      <c r="C1094" s="11" t="s">
        <v>34</v>
      </c>
      <c r="D1094" s="12">
        <v>12008.27</v>
      </c>
      <c r="E1094" s="11">
        <v>2</v>
      </c>
      <c r="F1094" s="11" t="s">
        <v>26</v>
      </c>
      <c r="G1094" s="13">
        <v>45337</v>
      </c>
      <c r="H1094" s="12">
        <v>32232.45</v>
      </c>
      <c r="I1094" s="14" t="s">
        <v>47</v>
      </c>
      <c r="J1094" s="15" t="s">
        <v>36</v>
      </c>
      <c r="K1094" s="15">
        <v>919</v>
      </c>
      <c r="L1094" s="16">
        <v>45397</v>
      </c>
      <c r="M1094" s="17">
        <v>6</v>
      </c>
      <c r="N1094" s="18">
        <v>91093</v>
      </c>
      <c r="O1094" s="18" t="s">
        <v>37</v>
      </c>
      <c r="P1094" s="19">
        <v>45352</v>
      </c>
      <c r="Q1094" s="20">
        <v>0.69676000000000005</v>
      </c>
      <c r="R1094" s="21">
        <v>71093</v>
      </c>
      <c r="S1094" s="18" t="s">
        <v>41</v>
      </c>
      <c r="T1094" s="20">
        <v>172768.83631000001</v>
      </c>
      <c r="U1094" s="18" t="s">
        <v>42</v>
      </c>
      <c r="V1094" s="19">
        <v>45392</v>
      </c>
      <c r="W1094" s="18" t="s">
        <v>38</v>
      </c>
      <c r="X1094" s="19">
        <v>45376</v>
      </c>
      <c r="Y1094" s="18" t="s">
        <v>39</v>
      </c>
      <c r="Z1094" s="43" t="e">
        <f>TEXT([1]!Table64[[#This Row],[Order date]],"mmm-yyyy")</f>
        <v>#REF!</v>
      </c>
    </row>
    <row r="1095" spans="1:26" x14ac:dyDescent="0.3">
      <c r="A1095" s="22">
        <v>11094</v>
      </c>
      <c r="B1095" s="23">
        <v>6231</v>
      </c>
      <c r="C1095" s="23" t="s">
        <v>34</v>
      </c>
      <c r="D1095" s="24">
        <v>15561.24</v>
      </c>
      <c r="E1095" s="23">
        <v>16</v>
      </c>
      <c r="F1095" s="23" t="s">
        <v>26</v>
      </c>
      <c r="G1095" s="25">
        <v>45383</v>
      </c>
      <c r="H1095" s="24">
        <v>62657.64</v>
      </c>
      <c r="I1095" s="26" t="s">
        <v>27</v>
      </c>
      <c r="J1095" s="15" t="s">
        <v>36</v>
      </c>
      <c r="K1095" s="15">
        <v>1120</v>
      </c>
      <c r="L1095" s="16">
        <v>45332</v>
      </c>
      <c r="M1095" s="17">
        <v>14</v>
      </c>
      <c r="N1095" s="27">
        <v>91094</v>
      </c>
      <c r="O1095" s="27" t="s">
        <v>37</v>
      </c>
      <c r="P1095" s="28">
        <v>45383</v>
      </c>
      <c r="Q1095" s="29">
        <v>0.57406999999999997</v>
      </c>
      <c r="R1095" s="30">
        <v>71094</v>
      </c>
      <c r="S1095" s="27" t="s">
        <v>41</v>
      </c>
      <c r="T1095" s="29">
        <v>112478.67166000001</v>
      </c>
      <c r="U1095" s="27" t="s">
        <v>42</v>
      </c>
      <c r="V1095" s="28">
        <v>45444</v>
      </c>
      <c r="W1095" s="27" t="s">
        <v>38</v>
      </c>
      <c r="X1095" s="28">
        <v>45376</v>
      </c>
      <c r="Y1095" s="27" t="s">
        <v>39</v>
      </c>
      <c r="Z1095" s="43" t="e">
        <f>TEXT([1]!Table64[[#This Row],[Order date]],"mmm-yyyy")</f>
        <v>#REF!</v>
      </c>
    </row>
    <row r="1096" spans="1:26" x14ac:dyDescent="0.3">
      <c r="A1096" s="10">
        <v>11095</v>
      </c>
      <c r="B1096" s="11">
        <v>6253</v>
      </c>
      <c r="C1096" s="11" t="s">
        <v>34</v>
      </c>
      <c r="D1096" s="12">
        <v>28701.31</v>
      </c>
      <c r="E1096" s="11">
        <v>9</v>
      </c>
      <c r="F1096" s="11" t="s">
        <v>43</v>
      </c>
      <c r="G1096" s="13">
        <v>45337</v>
      </c>
      <c r="H1096" s="12">
        <v>118436.3</v>
      </c>
      <c r="I1096" s="14" t="s">
        <v>47</v>
      </c>
      <c r="J1096" s="15" t="s">
        <v>36</v>
      </c>
      <c r="K1096" s="15">
        <v>143</v>
      </c>
      <c r="L1096" s="16">
        <v>45397</v>
      </c>
      <c r="M1096" s="17">
        <v>5</v>
      </c>
      <c r="N1096" s="18">
        <v>91095</v>
      </c>
      <c r="O1096" s="18" t="s">
        <v>50</v>
      </c>
      <c r="P1096" s="19">
        <v>45430</v>
      </c>
      <c r="Q1096" s="20">
        <v>0.18636</v>
      </c>
      <c r="R1096" s="21">
        <v>71095</v>
      </c>
      <c r="S1096" s="18" t="s">
        <v>41</v>
      </c>
      <c r="T1096" s="20">
        <v>86920.045150000005</v>
      </c>
      <c r="U1096" s="18" t="s">
        <v>42</v>
      </c>
      <c r="V1096" s="19">
        <v>45392</v>
      </c>
      <c r="W1096" s="18" t="s">
        <v>32</v>
      </c>
      <c r="X1096" s="19">
        <v>45384</v>
      </c>
      <c r="Y1096" s="18" t="s">
        <v>33</v>
      </c>
      <c r="Z1096" s="43" t="e">
        <f>TEXT([1]!Table64[[#This Row],[Order date]],"mmm-yyyy")</f>
        <v>#REF!</v>
      </c>
    </row>
    <row r="1097" spans="1:26" x14ac:dyDescent="0.3">
      <c r="A1097" s="22">
        <v>11096</v>
      </c>
      <c r="B1097" s="23">
        <v>5853</v>
      </c>
      <c r="C1097" s="23" t="s">
        <v>34</v>
      </c>
      <c r="D1097" s="24">
        <v>19246.23</v>
      </c>
      <c r="E1097" s="23">
        <v>73</v>
      </c>
      <c r="F1097" s="23" t="s">
        <v>26</v>
      </c>
      <c r="G1097" s="25">
        <v>45306</v>
      </c>
      <c r="H1097" s="24">
        <v>32216.65</v>
      </c>
      <c r="I1097" s="26" t="s">
        <v>44</v>
      </c>
      <c r="J1097" s="15" t="s">
        <v>36</v>
      </c>
      <c r="K1097" s="15">
        <v>989</v>
      </c>
      <c r="L1097" s="16">
        <v>45332</v>
      </c>
      <c r="M1097" s="17">
        <v>9</v>
      </c>
      <c r="N1097" s="27">
        <v>91096</v>
      </c>
      <c r="O1097" s="27" t="s">
        <v>40</v>
      </c>
      <c r="P1097" s="28">
        <v>45383</v>
      </c>
      <c r="Q1097" s="29">
        <v>0.46181</v>
      </c>
      <c r="R1097" s="30">
        <v>71096</v>
      </c>
      <c r="S1097" s="27" t="s">
        <v>41</v>
      </c>
      <c r="T1097" s="29">
        <v>68577.248999999996</v>
      </c>
      <c r="U1097" s="27" t="s">
        <v>42</v>
      </c>
      <c r="V1097" s="28">
        <v>45422</v>
      </c>
      <c r="W1097" s="27" t="s">
        <v>38</v>
      </c>
      <c r="X1097" s="28">
        <v>45384</v>
      </c>
      <c r="Y1097" s="27" t="s">
        <v>33</v>
      </c>
      <c r="Z1097" s="43" t="e">
        <f>TEXT([1]!Table64[[#This Row],[Order date]],"mmm-yyyy")</f>
        <v>#REF!</v>
      </c>
    </row>
    <row r="1098" spans="1:26" x14ac:dyDescent="0.3">
      <c r="A1098" s="10">
        <v>11097</v>
      </c>
      <c r="B1098" s="11">
        <v>6934</v>
      </c>
      <c r="C1098" s="11" t="s">
        <v>25</v>
      </c>
      <c r="D1098" s="12">
        <v>10277.15</v>
      </c>
      <c r="E1098" s="11">
        <v>38</v>
      </c>
      <c r="F1098" s="11" t="s">
        <v>43</v>
      </c>
      <c r="G1098" s="13">
        <v>45337</v>
      </c>
      <c r="H1098" s="12">
        <v>103918.77</v>
      </c>
      <c r="I1098" s="14" t="s">
        <v>27</v>
      </c>
      <c r="J1098" s="15" t="s">
        <v>36</v>
      </c>
      <c r="K1098" s="15">
        <v>609</v>
      </c>
      <c r="L1098" s="16">
        <v>45332</v>
      </c>
      <c r="M1098" s="17">
        <v>8</v>
      </c>
      <c r="N1098" s="18">
        <v>91097</v>
      </c>
      <c r="O1098" s="18" t="s">
        <v>37</v>
      </c>
      <c r="P1098" s="19">
        <v>45352</v>
      </c>
      <c r="Q1098" s="20">
        <v>0.96158999999999994</v>
      </c>
      <c r="R1098" s="21">
        <v>71097</v>
      </c>
      <c r="S1098" s="18" t="s">
        <v>41</v>
      </c>
      <c r="T1098" s="20">
        <v>140594.07699999999</v>
      </c>
      <c r="U1098" s="18" t="s">
        <v>42</v>
      </c>
      <c r="V1098" s="19">
        <v>45444</v>
      </c>
      <c r="W1098" s="18" t="s">
        <v>38</v>
      </c>
      <c r="X1098" s="19">
        <v>45384</v>
      </c>
      <c r="Y1098" s="18" t="s">
        <v>33</v>
      </c>
      <c r="Z1098" s="43" t="e">
        <f>TEXT([1]!Table64[[#This Row],[Order date]],"mmm-yyyy")</f>
        <v>#REF!</v>
      </c>
    </row>
    <row r="1099" spans="1:26" x14ac:dyDescent="0.3">
      <c r="A1099" s="22">
        <v>11098</v>
      </c>
      <c r="B1099" s="23">
        <v>5578</v>
      </c>
      <c r="C1099" s="23" t="s">
        <v>25</v>
      </c>
      <c r="D1099" s="24">
        <v>46060.51</v>
      </c>
      <c r="E1099" s="23">
        <v>75</v>
      </c>
      <c r="F1099" s="23" t="s">
        <v>35</v>
      </c>
      <c r="G1099" s="25">
        <v>45383</v>
      </c>
      <c r="H1099" s="24">
        <v>14024.89</v>
      </c>
      <c r="I1099" s="26" t="s">
        <v>47</v>
      </c>
      <c r="J1099" s="15" t="s">
        <v>36</v>
      </c>
      <c r="K1099" s="15">
        <v>262</v>
      </c>
      <c r="L1099" s="16">
        <v>45332</v>
      </c>
      <c r="M1099" s="17">
        <v>2</v>
      </c>
      <c r="N1099" s="27">
        <v>91098</v>
      </c>
      <c r="O1099" s="27" t="s">
        <v>40</v>
      </c>
      <c r="P1099" s="28">
        <v>45383</v>
      </c>
      <c r="Q1099" s="29">
        <v>0.99599000000000004</v>
      </c>
      <c r="R1099" s="30">
        <v>71098</v>
      </c>
      <c r="S1099" s="27" t="s">
        <v>41</v>
      </c>
      <c r="T1099" s="29">
        <v>92766.613599999997</v>
      </c>
      <c r="U1099" s="27" t="s">
        <v>48</v>
      </c>
      <c r="V1099" s="28">
        <v>45444</v>
      </c>
      <c r="W1099" s="27" t="s">
        <v>32</v>
      </c>
      <c r="X1099" s="28">
        <v>45376</v>
      </c>
      <c r="Y1099" s="27" t="s">
        <v>33</v>
      </c>
      <c r="Z1099" s="43" t="e">
        <f>TEXT([1]!Table64[[#This Row],[Order date]],"mmm-yyyy")</f>
        <v>#REF!</v>
      </c>
    </row>
    <row r="1100" spans="1:26" x14ac:dyDescent="0.3">
      <c r="A1100" s="10">
        <v>11099</v>
      </c>
      <c r="B1100" s="11">
        <v>5075</v>
      </c>
      <c r="C1100" s="11" t="s">
        <v>25</v>
      </c>
      <c r="D1100" s="12">
        <v>84195.78</v>
      </c>
      <c r="E1100" s="11">
        <v>54</v>
      </c>
      <c r="F1100" s="11" t="s">
        <v>46</v>
      </c>
      <c r="G1100" s="13">
        <v>45306</v>
      </c>
      <c r="H1100" s="12">
        <v>149305.81</v>
      </c>
      <c r="I1100" s="14" t="s">
        <v>27</v>
      </c>
      <c r="J1100" s="15" t="s">
        <v>49</v>
      </c>
      <c r="K1100" s="15">
        <v>485</v>
      </c>
      <c r="L1100" s="16">
        <v>45332</v>
      </c>
      <c r="M1100" s="17">
        <v>12</v>
      </c>
      <c r="N1100" s="18">
        <v>91099</v>
      </c>
      <c r="O1100" s="18" t="s">
        <v>37</v>
      </c>
      <c r="P1100" s="19">
        <v>45352</v>
      </c>
      <c r="Q1100" s="20">
        <v>0.75744999999999996</v>
      </c>
      <c r="R1100" s="21">
        <v>71099</v>
      </c>
      <c r="S1100" s="18" t="s">
        <v>41</v>
      </c>
      <c r="T1100" s="20">
        <v>62661.490949999999</v>
      </c>
      <c r="U1100" s="18" t="s">
        <v>31</v>
      </c>
      <c r="V1100" s="19">
        <v>45392</v>
      </c>
      <c r="W1100" s="18" t="s">
        <v>38</v>
      </c>
      <c r="X1100" s="19">
        <v>45384</v>
      </c>
      <c r="Y1100" s="18" t="s">
        <v>33</v>
      </c>
      <c r="Z1100" s="43" t="e">
        <f>TEXT([1]!Table64[[#This Row],[Order date]],"mmm-yyyy")</f>
        <v>#REF!</v>
      </c>
    </row>
    <row r="1101" spans="1:26" x14ac:dyDescent="0.3">
      <c r="A1101" s="22">
        <v>11100</v>
      </c>
      <c r="B1101" s="23">
        <v>5435</v>
      </c>
      <c r="C1101" s="23" t="s">
        <v>34</v>
      </c>
      <c r="D1101" s="24">
        <v>20171.7</v>
      </c>
      <c r="E1101" s="23">
        <v>56</v>
      </c>
      <c r="F1101" s="23" t="s">
        <v>46</v>
      </c>
      <c r="G1101" s="25">
        <v>45361</v>
      </c>
      <c r="H1101" s="24">
        <v>159376.25</v>
      </c>
      <c r="I1101" s="26" t="s">
        <v>44</v>
      </c>
      <c r="J1101" s="15" t="s">
        <v>28</v>
      </c>
      <c r="K1101" s="15">
        <v>901</v>
      </c>
      <c r="L1101" s="16">
        <v>45361</v>
      </c>
      <c r="M1101" s="17">
        <v>13</v>
      </c>
      <c r="N1101" s="27">
        <v>91100</v>
      </c>
      <c r="O1101" s="27" t="s">
        <v>37</v>
      </c>
      <c r="P1101" s="28">
        <v>45352</v>
      </c>
      <c r="Q1101" s="29">
        <v>0.30475999999999998</v>
      </c>
      <c r="R1101" s="30">
        <v>71100</v>
      </c>
      <c r="S1101" s="27" t="s">
        <v>41</v>
      </c>
      <c r="T1101" s="29">
        <v>112849.58379999999</v>
      </c>
      <c r="U1101" s="27" t="s">
        <v>31</v>
      </c>
      <c r="V1101" s="28">
        <v>45392</v>
      </c>
      <c r="W1101" s="27" t="s">
        <v>38</v>
      </c>
      <c r="X1101" s="28">
        <v>45376</v>
      </c>
      <c r="Y1101" s="27" t="s">
        <v>33</v>
      </c>
      <c r="Z1101" s="43" t="e">
        <f>TEXT([1]!Table64[[#This Row],[Order date]],"mmm-yyyy")</f>
        <v>#REF!</v>
      </c>
    </row>
    <row r="1102" spans="1:26" x14ac:dyDescent="0.3">
      <c r="A1102" s="10">
        <v>11101</v>
      </c>
      <c r="B1102" s="11">
        <v>5103</v>
      </c>
      <c r="C1102" s="11" t="s">
        <v>34</v>
      </c>
      <c r="D1102" s="12">
        <v>70622.399999999994</v>
      </c>
      <c r="E1102" s="11">
        <v>86</v>
      </c>
      <c r="F1102" s="11" t="s">
        <v>46</v>
      </c>
      <c r="G1102" s="13">
        <v>45383</v>
      </c>
      <c r="H1102" s="12">
        <v>146605.35</v>
      </c>
      <c r="I1102" s="14" t="s">
        <v>44</v>
      </c>
      <c r="J1102" s="15" t="s">
        <v>36</v>
      </c>
      <c r="K1102" s="15">
        <v>557</v>
      </c>
      <c r="L1102" s="16">
        <v>45397</v>
      </c>
      <c r="M1102" s="17">
        <v>7</v>
      </c>
      <c r="N1102" s="18">
        <v>91101</v>
      </c>
      <c r="O1102" s="18" t="s">
        <v>29</v>
      </c>
      <c r="P1102" s="19">
        <v>45352</v>
      </c>
      <c r="Q1102" s="20">
        <v>0.19170000000000001</v>
      </c>
      <c r="R1102" s="21">
        <v>71101</v>
      </c>
      <c r="S1102" s="18" t="s">
        <v>30</v>
      </c>
      <c r="T1102" s="20">
        <v>126445.70496</v>
      </c>
      <c r="U1102" s="18" t="s">
        <v>48</v>
      </c>
      <c r="V1102" s="19">
        <v>45392</v>
      </c>
      <c r="W1102" s="18" t="s">
        <v>38</v>
      </c>
      <c r="X1102" s="19">
        <v>45384</v>
      </c>
      <c r="Y1102" s="18" t="s">
        <v>39</v>
      </c>
      <c r="Z1102" s="43" t="e">
        <f>TEXT([1]!Table64[[#This Row],[Order date]],"mmm-yyyy")</f>
        <v>#REF!</v>
      </c>
    </row>
    <row r="1103" spans="1:26" x14ac:dyDescent="0.3">
      <c r="A1103" s="22">
        <v>11102</v>
      </c>
      <c r="B1103" s="23">
        <v>6446</v>
      </c>
      <c r="C1103" s="23" t="s">
        <v>34</v>
      </c>
      <c r="D1103" s="24">
        <v>41676.18</v>
      </c>
      <c r="E1103" s="23">
        <v>97</v>
      </c>
      <c r="F1103" s="23" t="s">
        <v>46</v>
      </c>
      <c r="G1103" s="25">
        <v>45383</v>
      </c>
      <c r="H1103" s="24">
        <v>37616.43</v>
      </c>
      <c r="I1103" s="26" t="s">
        <v>47</v>
      </c>
      <c r="J1103" s="15" t="s">
        <v>28</v>
      </c>
      <c r="K1103" s="15">
        <v>885</v>
      </c>
      <c r="L1103" s="16">
        <v>45332</v>
      </c>
      <c r="M1103" s="17">
        <v>7</v>
      </c>
      <c r="N1103" s="27">
        <v>91102</v>
      </c>
      <c r="O1103" s="27" t="s">
        <v>40</v>
      </c>
      <c r="P1103" s="28">
        <v>45430</v>
      </c>
      <c r="Q1103" s="29">
        <v>0.47328999999999999</v>
      </c>
      <c r="R1103" s="30">
        <v>71102</v>
      </c>
      <c r="S1103" s="27" t="s">
        <v>41</v>
      </c>
      <c r="T1103" s="29">
        <v>159202.9883</v>
      </c>
      <c r="U1103" s="27" t="s">
        <v>31</v>
      </c>
      <c r="V1103" s="28">
        <v>45444</v>
      </c>
      <c r="W1103" s="27" t="s">
        <v>38</v>
      </c>
      <c r="X1103" s="28">
        <v>45376</v>
      </c>
      <c r="Y1103" s="27" t="s">
        <v>33</v>
      </c>
      <c r="Z1103" s="43" t="e">
        <f>TEXT([1]!Table64[[#This Row],[Order date]],"mmm-yyyy")</f>
        <v>#REF!</v>
      </c>
    </row>
    <row r="1104" spans="1:26" x14ac:dyDescent="0.3">
      <c r="A1104" s="10">
        <v>11103</v>
      </c>
      <c r="B1104" s="11">
        <v>6728</v>
      </c>
      <c r="C1104" s="11" t="s">
        <v>34</v>
      </c>
      <c r="D1104" s="12">
        <v>19394.39</v>
      </c>
      <c r="E1104" s="11">
        <v>87</v>
      </c>
      <c r="F1104" s="11" t="s">
        <v>43</v>
      </c>
      <c r="G1104" s="13">
        <v>45361</v>
      </c>
      <c r="H1104" s="12">
        <v>77001.78</v>
      </c>
      <c r="I1104" s="14" t="s">
        <v>27</v>
      </c>
      <c r="J1104" s="15" t="s">
        <v>49</v>
      </c>
      <c r="K1104" s="15">
        <v>700</v>
      </c>
      <c r="L1104" s="16">
        <v>45397</v>
      </c>
      <c r="M1104" s="17">
        <v>11</v>
      </c>
      <c r="N1104" s="18">
        <v>91103</v>
      </c>
      <c r="O1104" s="18" t="s">
        <v>40</v>
      </c>
      <c r="P1104" s="19">
        <v>45383</v>
      </c>
      <c r="Q1104" s="20">
        <v>0.87090999999999996</v>
      </c>
      <c r="R1104" s="21">
        <v>71103</v>
      </c>
      <c r="S1104" s="18" t="s">
        <v>41</v>
      </c>
      <c r="T1104" s="20">
        <v>162846.39019999999</v>
      </c>
      <c r="U1104" s="18" t="s">
        <v>31</v>
      </c>
      <c r="V1104" s="19">
        <v>45422</v>
      </c>
      <c r="W1104" s="18" t="s">
        <v>32</v>
      </c>
      <c r="X1104" s="19">
        <v>45376</v>
      </c>
      <c r="Y1104" s="18" t="s">
        <v>39</v>
      </c>
      <c r="Z1104" s="43" t="e">
        <f>TEXT([1]!Table64[[#This Row],[Order date]],"mmm-yyyy")</f>
        <v>#REF!</v>
      </c>
    </row>
    <row r="1105" spans="1:26" x14ac:dyDescent="0.3">
      <c r="A1105" s="22">
        <v>11104</v>
      </c>
      <c r="B1105" s="23">
        <v>5764</v>
      </c>
      <c r="C1105" s="23" t="s">
        <v>34</v>
      </c>
      <c r="D1105" s="24">
        <v>57409.120000000003</v>
      </c>
      <c r="E1105" s="23">
        <v>45</v>
      </c>
      <c r="F1105" s="23" t="s">
        <v>43</v>
      </c>
      <c r="G1105" s="25">
        <v>45383</v>
      </c>
      <c r="H1105" s="24">
        <v>81075.009999999995</v>
      </c>
      <c r="I1105" s="26" t="s">
        <v>47</v>
      </c>
      <c r="J1105" s="15" t="s">
        <v>36</v>
      </c>
      <c r="K1105" s="15">
        <v>254</v>
      </c>
      <c r="L1105" s="16">
        <v>45332</v>
      </c>
      <c r="M1105" s="17">
        <v>14</v>
      </c>
      <c r="N1105" s="27">
        <v>91104</v>
      </c>
      <c r="O1105" s="27" t="s">
        <v>37</v>
      </c>
      <c r="P1105" s="28">
        <v>45352</v>
      </c>
      <c r="Q1105" s="29">
        <v>0.74968000000000001</v>
      </c>
      <c r="R1105" s="30">
        <v>71104</v>
      </c>
      <c r="S1105" s="27" t="s">
        <v>41</v>
      </c>
      <c r="T1105" s="29">
        <v>83887.508300000001</v>
      </c>
      <c r="U1105" s="27" t="s">
        <v>48</v>
      </c>
      <c r="V1105" s="28">
        <v>45392</v>
      </c>
      <c r="W1105" s="27" t="s">
        <v>38</v>
      </c>
      <c r="X1105" s="28">
        <v>45376</v>
      </c>
      <c r="Y1105" s="27" t="s">
        <v>33</v>
      </c>
      <c r="Z1105" s="43" t="e">
        <f>TEXT([1]!Table64[[#This Row],[Order date]],"mmm-yyyy")</f>
        <v>#REF!</v>
      </c>
    </row>
    <row r="1106" spans="1:26" x14ac:dyDescent="0.3">
      <c r="A1106" s="10">
        <v>11105</v>
      </c>
      <c r="B1106" s="11">
        <v>5738</v>
      </c>
      <c r="C1106" s="11" t="s">
        <v>34</v>
      </c>
      <c r="D1106" s="12">
        <v>67959.789999999994</v>
      </c>
      <c r="E1106" s="11">
        <v>34</v>
      </c>
      <c r="F1106" s="11" t="s">
        <v>26</v>
      </c>
      <c r="G1106" s="13">
        <v>45337</v>
      </c>
      <c r="H1106" s="12">
        <v>119740.34</v>
      </c>
      <c r="I1106" s="14" t="s">
        <v>47</v>
      </c>
      <c r="J1106" s="15" t="s">
        <v>28</v>
      </c>
      <c r="K1106" s="15">
        <v>430</v>
      </c>
      <c r="L1106" s="16">
        <v>45361</v>
      </c>
      <c r="M1106" s="17">
        <v>14</v>
      </c>
      <c r="N1106" s="18">
        <v>91105</v>
      </c>
      <c r="O1106" s="18" t="s">
        <v>40</v>
      </c>
      <c r="P1106" s="19">
        <v>45430</v>
      </c>
      <c r="Q1106" s="20">
        <v>0.89549999999999996</v>
      </c>
      <c r="R1106" s="21">
        <v>71105</v>
      </c>
      <c r="S1106" s="18" t="s">
        <v>30</v>
      </c>
      <c r="T1106" s="20">
        <v>100680.8067</v>
      </c>
      <c r="U1106" s="18" t="s">
        <v>31</v>
      </c>
      <c r="V1106" s="19">
        <v>45422</v>
      </c>
      <c r="W1106" s="18" t="s">
        <v>38</v>
      </c>
      <c r="X1106" s="19">
        <v>45376</v>
      </c>
      <c r="Y1106" s="18" t="s">
        <v>33</v>
      </c>
      <c r="Z1106" s="43" t="e">
        <f>TEXT([1]!Table64[[#This Row],[Order date]],"mmm-yyyy")</f>
        <v>#REF!</v>
      </c>
    </row>
    <row r="1107" spans="1:26" x14ac:dyDescent="0.3">
      <c r="A1107" s="22">
        <v>11106</v>
      </c>
      <c r="B1107" s="23">
        <v>5806</v>
      </c>
      <c r="C1107" s="23" t="s">
        <v>34</v>
      </c>
      <c r="D1107" s="24">
        <v>79411.67</v>
      </c>
      <c r="E1107" s="23">
        <v>9</v>
      </c>
      <c r="F1107" s="23" t="s">
        <v>43</v>
      </c>
      <c r="G1107" s="25">
        <v>45361</v>
      </c>
      <c r="H1107" s="24">
        <v>30145.16</v>
      </c>
      <c r="I1107" s="26" t="s">
        <v>27</v>
      </c>
      <c r="J1107" s="15" t="s">
        <v>36</v>
      </c>
      <c r="K1107" s="15">
        <v>1146</v>
      </c>
      <c r="L1107" s="16">
        <v>45332</v>
      </c>
      <c r="M1107" s="17">
        <v>12</v>
      </c>
      <c r="N1107" s="27">
        <v>91106</v>
      </c>
      <c r="O1107" s="27" t="s">
        <v>37</v>
      </c>
      <c r="P1107" s="28">
        <v>45352</v>
      </c>
      <c r="Q1107" s="29">
        <v>0.6542</v>
      </c>
      <c r="R1107" s="30">
        <v>71106</v>
      </c>
      <c r="S1107" s="27" t="s">
        <v>45</v>
      </c>
      <c r="T1107" s="29">
        <v>146934.64589000001</v>
      </c>
      <c r="U1107" s="27" t="s">
        <v>31</v>
      </c>
      <c r="V1107" s="28">
        <v>45392</v>
      </c>
      <c r="W1107" s="27" t="s">
        <v>38</v>
      </c>
      <c r="X1107" s="28">
        <v>45384</v>
      </c>
      <c r="Y1107" s="27" t="s">
        <v>39</v>
      </c>
      <c r="Z1107" s="43" t="e">
        <f>TEXT([1]!Table64[[#This Row],[Order date]],"mmm-yyyy")</f>
        <v>#REF!</v>
      </c>
    </row>
    <row r="1108" spans="1:26" x14ac:dyDescent="0.3">
      <c r="A1108" s="10">
        <v>11107</v>
      </c>
      <c r="B1108" s="11">
        <v>6330</v>
      </c>
      <c r="C1108" s="11" t="s">
        <v>34</v>
      </c>
      <c r="D1108" s="12">
        <v>11423.93</v>
      </c>
      <c r="E1108" s="11">
        <v>88</v>
      </c>
      <c r="F1108" s="11" t="s">
        <v>26</v>
      </c>
      <c r="G1108" s="13">
        <v>45383</v>
      </c>
      <c r="H1108" s="12">
        <v>122046.61</v>
      </c>
      <c r="I1108" s="14" t="s">
        <v>47</v>
      </c>
      <c r="J1108" s="15" t="s">
        <v>36</v>
      </c>
      <c r="K1108" s="15">
        <v>1149</v>
      </c>
      <c r="L1108" s="16">
        <v>45397</v>
      </c>
      <c r="M1108" s="17">
        <v>1</v>
      </c>
      <c r="N1108" s="18">
        <v>91107</v>
      </c>
      <c r="O1108" s="18" t="s">
        <v>40</v>
      </c>
      <c r="P1108" s="19">
        <v>45383</v>
      </c>
      <c r="Q1108" s="20">
        <v>0.21729999999999999</v>
      </c>
      <c r="R1108" s="21">
        <v>71107</v>
      </c>
      <c r="S1108" s="18" t="s">
        <v>30</v>
      </c>
      <c r="T1108" s="20">
        <v>190694.84187999999</v>
      </c>
      <c r="U1108" s="18" t="s">
        <v>48</v>
      </c>
      <c r="V1108" s="19">
        <v>45422</v>
      </c>
      <c r="W1108" s="18" t="s">
        <v>32</v>
      </c>
      <c r="X1108" s="19">
        <v>45376</v>
      </c>
      <c r="Y1108" s="18" t="s">
        <v>39</v>
      </c>
      <c r="Z1108" s="43" t="e">
        <f>TEXT([1]!Table64[[#This Row],[Order date]],"mmm-yyyy")</f>
        <v>#REF!</v>
      </c>
    </row>
    <row r="1109" spans="1:26" x14ac:dyDescent="0.3">
      <c r="A1109" s="22">
        <v>11108</v>
      </c>
      <c r="B1109" s="23">
        <v>5098</v>
      </c>
      <c r="C1109" s="23" t="s">
        <v>25</v>
      </c>
      <c r="D1109" s="24">
        <v>70489.67</v>
      </c>
      <c r="E1109" s="23">
        <v>8</v>
      </c>
      <c r="F1109" s="23" t="s">
        <v>26</v>
      </c>
      <c r="G1109" s="25">
        <v>45361</v>
      </c>
      <c r="H1109" s="24">
        <v>59817.05</v>
      </c>
      <c r="I1109" s="26" t="s">
        <v>44</v>
      </c>
      <c r="J1109" s="15" t="s">
        <v>36</v>
      </c>
      <c r="K1109" s="15">
        <v>126</v>
      </c>
      <c r="L1109" s="16">
        <v>45397</v>
      </c>
      <c r="M1109" s="17">
        <v>1</v>
      </c>
      <c r="N1109" s="27">
        <v>91108</v>
      </c>
      <c r="O1109" s="27" t="s">
        <v>29</v>
      </c>
      <c r="P1109" s="28">
        <v>45430</v>
      </c>
      <c r="Q1109" s="29">
        <v>0.20332</v>
      </c>
      <c r="R1109" s="30">
        <v>71108</v>
      </c>
      <c r="S1109" s="27" t="s">
        <v>30</v>
      </c>
      <c r="T1109" s="29">
        <v>180085.17997</v>
      </c>
      <c r="U1109" s="27" t="s">
        <v>31</v>
      </c>
      <c r="V1109" s="28">
        <v>45392</v>
      </c>
      <c r="W1109" s="27" t="s">
        <v>38</v>
      </c>
      <c r="X1109" s="28">
        <v>45376</v>
      </c>
      <c r="Y1109" s="27" t="s">
        <v>39</v>
      </c>
      <c r="Z1109" s="43" t="e">
        <f>TEXT([1]!Table64[[#This Row],[Order date]],"mmm-yyyy")</f>
        <v>#REF!</v>
      </c>
    </row>
    <row r="1110" spans="1:26" x14ac:dyDescent="0.3">
      <c r="A1110" s="10">
        <v>11109</v>
      </c>
      <c r="B1110" s="11">
        <v>6874</v>
      </c>
      <c r="C1110" s="11" t="s">
        <v>34</v>
      </c>
      <c r="D1110" s="12">
        <v>72771.520000000004</v>
      </c>
      <c r="E1110" s="11">
        <v>7</v>
      </c>
      <c r="F1110" s="11" t="s">
        <v>46</v>
      </c>
      <c r="G1110" s="13">
        <v>45361</v>
      </c>
      <c r="H1110" s="12">
        <v>42179.1</v>
      </c>
      <c r="I1110" s="14" t="s">
        <v>27</v>
      </c>
      <c r="J1110" s="15" t="s">
        <v>36</v>
      </c>
      <c r="K1110" s="15">
        <v>865</v>
      </c>
      <c r="L1110" s="16">
        <v>45361</v>
      </c>
      <c r="M1110" s="17">
        <v>12</v>
      </c>
      <c r="N1110" s="18">
        <v>91109</v>
      </c>
      <c r="O1110" s="18" t="s">
        <v>40</v>
      </c>
      <c r="P1110" s="19">
        <v>45352</v>
      </c>
      <c r="Q1110" s="20">
        <v>0.14319999999999999</v>
      </c>
      <c r="R1110" s="21">
        <v>71109</v>
      </c>
      <c r="S1110" s="18" t="s">
        <v>41</v>
      </c>
      <c r="T1110" s="20">
        <v>132269.85939999999</v>
      </c>
      <c r="U1110" s="18" t="s">
        <v>42</v>
      </c>
      <c r="V1110" s="19">
        <v>45422</v>
      </c>
      <c r="W1110" s="18" t="s">
        <v>38</v>
      </c>
      <c r="X1110" s="19">
        <v>45376</v>
      </c>
      <c r="Y1110" s="18" t="s">
        <v>33</v>
      </c>
      <c r="Z1110" s="43" t="e">
        <f>TEXT([1]!Table64[[#This Row],[Order date]],"mmm-yyyy")</f>
        <v>#REF!</v>
      </c>
    </row>
    <row r="1111" spans="1:26" x14ac:dyDescent="0.3">
      <c r="A1111" s="22">
        <v>11110</v>
      </c>
      <c r="B1111" s="23">
        <v>5798</v>
      </c>
      <c r="C1111" s="23" t="s">
        <v>34</v>
      </c>
      <c r="D1111" s="24">
        <v>59045.98</v>
      </c>
      <c r="E1111" s="23">
        <v>36</v>
      </c>
      <c r="F1111" s="23" t="s">
        <v>43</v>
      </c>
      <c r="G1111" s="25">
        <v>45361</v>
      </c>
      <c r="H1111" s="24">
        <v>30833.93</v>
      </c>
      <c r="I1111" s="26" t="s">
        <v>27</v>
      </c>
      <c r="J1111" s="15" t="s">
        <v>36</v>
      </c>
      <c r="K1111" s="15">
        <v>817</v>
      </c>
      <c r="L1111" s="16">
        <v>45397</v>
      </c>
      <c r="M1111" s="17">
        <v>4</v>
      </c>
      <c r="N1111" s="27">
        <v>91110</v>
      </c>
      <c r="O1111" s="27" t="s">
        <v>29</v>
      </c>
      <c r="P1111" s="28">
        <v>45352</v>
      </c>
      <c r="Q1111" s="29">
        <v>0.61036999999999997</v>
      </c>
      <c r="R1111" s="30">
        <v>71110</v>
      </c>
      <c r="S1111" s="27" t="s">
        <v>41</v>
      </c>
      <c r="T1111" s="29">
        <v>217071.79519999999</v>
      </c>
      <c r="U1111" s="27" t="s">
        <v>48</v>
      </c>
      <c r="V1111" s="28">
        <v>45444</v>
      </c>
      <c r="W1111" s="27" t="s">
        <v>32</v>
      </c>
      <c r="X1111" s="28">
        <v>45384</v>
      </c>
      <c r="Y1111" s="27" t="s">
        <v>39</v>
      </c>
      <c r="Z1111" s="43" t="e">
        <f>TEXT([1]!Table64[[#This Row],[Order date]],"mmm-yyyy")</f>
        <v>#REF!</v>
      </c>
    </row>
    <row r="1112" spans="1:26" x14ac:dyDescent="0.3">
      <c r="A1112" s="10">
        <v>11111</v>
      </c>
      <c r="B1112" s="11">
        <v>6359</v>
      </c>
      <c r="C1112" s="11" t="s">
        <v>25</v>
      </c>
      <c r="D1112" s="12">
        <v>26543.73</v>
      </c>
      <c r="E1112" s="11">
        <v>18</v>
      </c>
      <c r="F1112" s="11" t="s">
        <v>43</v>
      </c>
      <c r="G1112" s="13">
        <v>45306</v>
      </c>
      <c r="H1112" s="12">
        <v>14516.25</v>
      </c>
      <c r="I1112" s="14" t="s">
        <v>27</v>
      </c>
      <c r="J1112" s="15" t="s">
        <v>36</v>
      </c>
      <c r="K1112" s="15">
        <v>459</v>
      </c>
      <c r="L1112" s="16">
        <v>45397</v>
      </c>
      <c r="M1112" s="17">
        <v>5</v>
      </c>
      <c r="N1112" s="18">
        <v>91111</v>
      </c>
      <c r="O1112" s="18" t="s">
        <v>50</v>
      </c>
      <c r="P1112" s="19">
        <v>45352</v>
      </c>
      <c r="Q1112" s="20">
        <v>0.31859999999999999</v>
      </c>
      <c r="R1112" s="21">
        <v>71111</v>
      </c>
      <c r="S1112" s="18" t="s">
        <v>41</v>
      </c>
      <c r="T1112" s="20">
        <v>177683.92480000001</v>
      </c>
      <c r="U1112" s="18" t="s">
        <v>31</v>
      </c>
      <c r="V1112" s="19">
        <v>45392</v>
      </c>
      <c r="W1112" s="18" t="s">
        <v>32</v>
      </c>
      <c r="X1112" s="19">
        <v>45376</v>
      </c>
      <c r="Y1112" s="18" t="s">
        <v>39</v>
      </c>
      <c r="Z1112" s="43" t="e">
        <f>TEXT([1]!Table64[[#This Row],[Order date]],"mmm-yyyy")</f>
        <v>#REF!</v>
      </c>
    </row>
    <row r="1113" spans="1:26" x14ac:dyDescent="0.3">
      <c r="A1113" s="22">
        <v>11112</v>
      </c>
      <c r="B1113" s="23">
        <v>5859</v>
      </c>
      <c r="C1113" s="23" t="s">
        <v>34</v>
      </c>
      <c r="D1113" s="24">
        <v>69082.64</v>
      </c>
      <c r="E1113" s="23">
        <v>3</v>
      </c>
      <c r="F1113" s="23" t="s">
        <v>26</v>
      </c>
      <c r="G1113" s="25">
        <v>45383</v>
      </c>
      <c r="H1113" s="24">
        <v>21018.76</v>
      </c>
      <c r="I1113" s="26" t="s">
        <v>27</v>
      </c>
      <c r="J1113" s="15" t="s">
        <v>36</v>
      </c>
      <c r="K1113" s="15">
        <v>155</v>
      </c>
      <c r="L1113" s="16">
        <v>45332</v>
      </c>
      <c r="M1113" s="17">
        <v>4</v>
      </c>
      <c r="N1113" s="27">
        <v>91112</v>
      </c>
      <c r="O1113" s="27" t="s">
        <v>40</v>
      </c>
      <c r="P1113" s="28">
        <v>45383</v>
      </c>
      <c r="Q1113" s="29">
        <v>0.76095000000000002</v>
      </c>
      <c r="R1113" s="30">
        <v>71112</v>
      </c>
      <c r="S1113" s="27" t="s">
        <v>45</v>
      </c>
      <c r="T1113" s="29">
        <v>171924.94951999999</v>
      </c>
      <c r="U1113" s="27" t="s">
        <v>31</v>
      </c>
      <c r="V1113" s="28">
        <v>45392</v>
      </c>
      <c r="W1113" s="27" t="s">
        <v>38</v>
      </c>
      <c r="X1113" s="28">
        <v>45384</v>
      </c>
      <c r="Y1113" s="27" t="s">
        <v>39</v>
      </c>
      <c r="Z1113" s="43" t="e">
        <f>TEXT([1]!Table64[[#This Row],[Order date]],"mmm-yyyy")</f>
        <v>#REF!</v>
      </c>
    </row>
    <row r="1114" spans="1:26" x14ac:dyDescent="0.3">
      <c r="A1114" s="10">
        <v>11113</v>
      </c>
      <c r="B1114" s="11">
        <v>5435</v>
      </c>
      <c r="C1114" s="11" t="s">
        <v>34</v>
      </c>
      <c r="D1114" s="12">
        <v>68570.289999999994</v>
      </c>
      <c r="E1114" s="11">
        <v>28</v>
      </c>
      <c r="F1114" s="11" t="s">
        <v>26</v>
      </c>
      <c r="G1114" s="13">
        <v>45306</v>
      </c>
      <c r="H1114" s="12">
        <v>62093.85</v>
      </c>
      <c r="I1114" s="14" t="s">
        <v>47</v>
      </c>
      <c r="J1114" s="15" t="s">
        <v>49</v>
      </c>
      <c r="K1114" s="15">
        <v>600</v>
      </c>
      <c r="L1114" s="16">
        <v>45397</v>
      </c>
      <c r="M1114" s="17">
        <v>7</v>
      </c>
      <c r="N1114" s="18">
        <v>91113</v>
      </c>
      <c r="O1114" s="18" t="s">
        <v>40</v>
      </c>
      <c r="P1114" s="19">
        <v>45430</v>
      </c>
      <c r="Q1114" s="20">
        <v>0.71762000000000004</v>
      </c>
      <c r="R1114" s="21">
        <v>71113</v>
      </c>
      <c r="S1114" s="18" t="s">
        <v>45</v>
      </c>
      <c r="T1114" s="20">
        <v>171550.32759999999</v>
      </c>
      <c r="U1114" s="18" t="s">
        <v>42</v>
      </c>
      <c r="V1114" s="19">
        <v>45444</v>
      </c>
      <c r="W1114" s="18" t="s">
        <v>38</v>
      </c>
      <c r="X1114" s="19">
        <v>45376</v>
      </c>
      <c r="Y1114" s="18" t="s">
        <v>33</v>
      </c>
      <c r="Z1114" s="43" t="e">
        <f>TEXT([1]!Table64[[#This Row],[Order date]],"mmm-yyyy")</f>
        <v>#REF!</v>
      </c>
    </row>
    <row r="1115" spans="1:26" x14ac:dyDescent="0.3">
      <c r="A1115" s="22">
        <v>11114</v>
      </c>
      <c r="B1115" s="23">
        <v>5447</v>
      </c>
      <c r="C1115" s="23" t="s">
        <v>34</v>
      </c>
      <c r="D1115" s="24">
        <v>73828.19</v>
      </c>
      <c r="E1115" s="23">
        <v>70</v>
      </c>
      <c r="F1115" s="23" t="s">
        <v>35</v>
      </c>
      <c r="G1115" s="25">
        <v>45383</v>
      </c>
      <c r="H1115" s="24">
        <v>28168.57</v>
      </c>
      <c r="I1115" s="26" t="s">
        <v>47</v>
      </c>
      <c r="J1115" s="15" t="s">
        <v>49</v>
      </c>
      <c r="K1115" s="15">
        <v>875</v>
      </c>
      <c r="L1115" s="16">
        <v>45332</v>
      </c>
      <c r="M1115" s="17">
        <v>3</v>
      </c>
      <c r="N1115" s="27">
        <v>91114</v>
      </c>
      <c r="O1115" s="27" t="s">
        <v>40</v>
      </c>
      <c r="P1115" s="28">
        <v>45430</v>
      </c>
      <c r="Q1115" s="29">
        <v>0.38629999999999998</v>
      </c>
      <c r="R1115" s="30">
        <v>71114</v>
      </c>
      <c r="S1115" s="27" t="s">
        <v>45</v>
      </c>
      <c r="T1115" s="29">
        <v>198650.88380000001</v>
      </c>
      <c r="U1115" s="27" t="s">
        <v>48</v>
      </c>
      <c r="V1115" s="28">
        <v>45392</v>
      </c>
      <c r="W1115" s="27" t="s">
        <v>38</v>
      </c>
      <c r="X1115" s="28">
        <v>45376</v>
      </c>
      <c r="Y1115" s="27" t="s">
        <v>39</v>
      </c>
      <c r="Z1115" s="43" t="e">
        <f>TEXT([1]!Table64[[#This Row],[Order date]],"mmm-yyyy")</f>
        <v>#REF!</v>
      </c>
    </row>
    <row r="1116" spans="1:26" x14ac:dyDescent="0.3">
      <c r="A1116" s="10">
        <v>11115</v>
      </c>
      <c r="B1116" s="11">
        <v>6332</v>
      </c>
      <c r="C1116" s="11" t="s">
        <v>34</v>
      </c>
      <c r="D1116" s="12">
        <v>11994.43</v>
      </c>
      <c r="E1116" s="11">
        <v>44</v>
      </c>
      <c r="F1116" s="11" t="s">
        <v>35</v>
      </c>
      <c r="G1116" s="13">
        <v>45337</v>
      </c>
      <c r="H1116" s="12">
        <v>78519</v>
      </c>
      <c r="I1116" s="14" t="s">
        <v>44</v>
      </c>
      <c r="J1116" s="15" t="s">
        <v>36</v>
      </c>
      <c r="K1116" s="15">
        <v>1348</v>
      </c>
      <c r="L1116" s="16">
        <v>45361</v>
      </c>
      <c r="M1116" s="17">
        <v>7</v>
      </c>
      <c r="N1116" s="18">
        <v>91115</v>
      </c>
      <c r="O1116" s="18" t="s">
        <v>29</v>
      </c>
      <c r="P1116" s="19">
        <v>45430</v>
      </c>
      <c r="Q1116" s="20">
        <v>0.25912000000000002</v>
      </c>
      <c r="R1116" s="21">
        <v>71115</v>
      </c>
      <c r="S1116" s="18" t="s">
        <v>45</v>
      </c>
      <c r="T1116" s="20">
        <v>63649.097520000003</v>
      </c>
      <c r="U1116" s="18" t="s">
        <v>48</v>
      </c>
      <c r="V1116" s="19">
        <v>45392</v>
      </c>
      <c r="W1116" s="18" t="s">
        <v>38</v>
      </c>
      <c r="X1116" s="19">
        <v>45376</v>
      </c>
      <c r="Y1116" s="18" t="s">
        <v>39</v>
      </c>
      <c r="Z1116" s="43" t="e">
        <f>TEXT([1]!Table64[[#This Row],[Order date]],"mmm-yyyy")</f>
        <v>#REF!</v>
      </c>
    </row>
    <row r="1117" spans="1:26" x14ac:dyDescent="0.3">
      <c r="A1117" s="22">
        <v>11116</v>
      </c>
      <c r="B1117" s="23">
        <v>5249</v>
      </c>
      <c r="C1117" s="23" t="s">
        <v>25</v>
      </c>
      <c r="D1117" s="24">
        <v>56360.66</v>
      </c>
      <c r="E1117" s="23">
        <v>21</v>
      </c>
      <c r="F1117" s="23" t="s">
        <v>26</v>
      </c>
      <c r="G1117" s="25">
        <v>45337</v>
      </c>
      <c r="H1117" s="24">
        <v>30890.97</v>
      </c>
      <c r="I1117" s="26" t="s">
        <v>44</v>
      </c>
      <c r="J1117" s="15" t="s">
        <v>36</v>
      </c>
      <c r="K1117" s="15">
        <v>137</v>
      </c>
      <c r="L1117" s="16">
        <v>45397</v>
      </c>
      <c r="M1117" s="17">
        <v>13</v>
      </c>
      <c r="N1117" s="27">
        <v>91116</v>
      </c>
      <c r="O1117" s="27" t="s">
        <v>40</v>
      </c>
      <c r="P1117" s="28">
        <v>45352</v>
      </c>
      <c r="Q1117" s="29">
        <v>0.19216</v>
      </c>
      <c r="R1117" s="30">
        <v>71116</v>
      </c>
      <c r="S1117" s="27" t="s">
        <v>30</v>
      </c>
      <c r="T1117" s="29">
        <v>84309.150389999995</v>
      </c>
      <c r="U1117" s="27" t="s">
        <v>31</v>
      </c>
      <c r="V1117" s="28">
        <v>45444</v>
      </c>
      <c r="W1117" s="27" t="s">
        <v>38</v>
      </c>
      <c r="X1117" s="28">
        <v>45376</v>
      </c>
      <c r="Y1117" s="27" t="s">
        <v>39</v>
      </c>
      <c r="Z1117" s="43" t="e">
        <f>TEXT([1]!Table64[[#This Row],[Order date]],"mmm-yyyy")</f>
        <v>#REF!</v>
      </c>
    </row>
    <row r="1118" spans="1:26" x14ac:dyDescent="0.3">
      <c r="A1118" s="10">
        <v>11117</v>
      </c>
      <c r="B1118" s="11">
        <v>5166</v>
      </c>
      <c r="C1118" s="11" t="s">
        <v>34</v>
      </c>
      <c r="D1118" s="12">
        <v>17929.54</v>
      </c>
      <c r="E1118" s="11">
        <v>28</v>
      </c>
      <c r="F1118" s="11" t="s">
        <v>35</v>
      </c>
      <c r="G1118" s="13">
        <v>45337</v>
      </c>
      <c r="H1118" s="12">
        <v>29905.84</v>
      </c>
      <c r="I1118" s="14" t="s">
        <v>44</v>
      </c>
      <c r="J1118" s="15" t="s">
        <v>49</v>
      </c>
      <c r="K1118" s="15">
        <v>930</v>
      </c>
      <c r="L1118" s="16">
        <v>45332</v>
      </c>
      <c r="M1118" s="17">
        <v>8</v>
      </c>
      <c r="N1118" s="18">
        <v>91117</v>
      </c>
      <c r="O1118" s="18" t="s">
        <v>40</v>
      </c>
      <c r="P1118" s="19">
        <v>45430</v>
      </c>
      <c r="Q1118" s="20">
        <v>0.76358000000000004</v>
      </c>
      <c r="R1118" s="21">
        <v>71117</v>
      </c>
      <c r="S1118" s="18" t="s">
        <v>30</v>
      </c>
      <c r="T1118" s="20">
        <v>66002.879249999998</v>
      </c>
      <c r="U1118" s="18" t="s">
        <v>42</v>
      </c>
      <c r="V1118" s="19">
        <v>45444</v>
      </c>
      <c r="W1118" s="18" t="s">
        <v>38</v>
      </c>
      <c r="X1118" s="19">
        <v>45376</v>
      </c>
      <c r="Y1118" s="18" t="s">
        <v>33</v>
      </c>
      <c r="Z1118" s="43" t="e">
        <f>TEXT([1]!Table64[[#This Row],[Order date]],"mmm-yyyy")</f>
        <v>#REF!</v>
      </c>
    </row>
    <row r="1119" spans="1:26" x14ac:dyDescent="0.3">
      <c r="A1119" s="22">
        <v>11118</v>
      </c>
      <c r="B1119" s="23">
        <v>6505</v>
      </c>
      <c r="C1119" s="23" t="s">
        <v>34</v>
      </c>
      <c r="D1119" s="24">
        <v>16899.990000000002</v>
      </c>
      <c r="E1119" s="23">
        <v>54</v>
      </c>
      <c r="F1119" s="23" t="s">
        <v>35</v>
      </c>
      <c r="G1119" s="25">
        <v>45383</v>
      </c>
      <c r="H1119" s="24">
        <v>100502.74</v>
      </c>
      <c r="I1119" s="26" t="s">
        <v>44</v>
      </c>
      <c r="J1119" s="15" t="s">
        <v>49</v>
      </c>
      <c r="K1119" s="15">
        <v>1150</v>
      </c>
      <c r="L1119" s="16">
        <v>45397</v>
      </c>
      <c r="M1119" s="17">
        <v>6</v>
      </c>
      <c r="N1119" s="27">
        <v>91118</v>
      </c>
      <c r="O1119" s="27" t="s">
        <v>37</v>
      </c>
      <c r="P1119" s="28">
        <v>45352</v>
      </c>
      <c r="Q1119" s="29">
        <v>0.50539999999999996</v>
      </c>
      <c r="R1119" s="30">
        <v>71118</v>
      </c>
      <c r="S1119" s="27" t="s">
        <v>41</v>
      </c>
      <c r="T1119" s="29">
        <v>139756.74742999999</v>
      </c>
      <c r="U1119" s="27" t="s">
        <v>42</v>
      </c>
      <c r="V1119" s="28">
        <v>45422</v>
      </c>
      <c r="W1119" s="27" t="s">
        <v>32</v>
      </c>
      <c r="X1119" s="28">
        <v>45384</v>
      </c>
      <c r="Y1119" s="27" t="s">
        <v>33</v>
      </c>
      <c r="Z1119" s="43" t="e">
        <f>TEXT([1]!Table64[[#This Row],[Order date]],"mmm-yyyy")</f>
        <v>#REF!</v>
      </c>
    </row>
    <row r="1120" spans="1:26" x14ac:dyDescent="0.3">
      <c r="A1120" s="10">
        <v>11119</v>
      </c>
      <c r="B1120" s="11">
        <v>5984</v>
      </c>
      <c r="C1120" s="11" t="s">
        <v>34</v>
      </c>
      <c r="D1120" s="12">
        <v>90154.34</v>
      </c>
      <c r="E1120" s="11">
        <v>54</v>
      </c>
      <c r="F1120" s="11" t="s">
        <v>26</v>
      </c>
      <c r="G1120" s="13">
        <v>45361</v>
      </c>
      <c r="H1120" s="12">
        <v>30549.88</v>
      </c>
      <c r="I1120" s="14" t="s">
        <v>44</v>
      </c>
      <c r="J1120" s="15" t="s">
        <v>49</v>
      </c>
      <c r="K1120" s="15">
        <v>1150</v>
      </c>
      <c r="L1120" s="16">
        <v>45332</v>
      </c>
      <c r="M1120" s="17">
        <v>6</v>
      </c>
      <c r="N1120" s="18">
        <v>91119</v>
      </c>
      <c r="O1120" s="18" t="s">
        <v>50</v>
      </c>
      <c r="P1120" s="19">
        <v>45383</v>
      </c>
      <c r="Q1120" s="20">
        <v>0.39118000000000003</v>
      </c>
      <c r="R1120" s="21">
        <v>71119</v>
      </c>
      <c r="S1120" s="18" t="s">
        <v>30</v>
      </c>
      <c r="T1120" s="20">
        <v>128046.74227</v>
      </c>
      <c r="U1120" s="18" t="s">
        <v>42</v>
      </c>
      <c r="V1120" s="19">
        <v>45444</v>
      </c>
      <c r="W1120" s="18" t="s">
        <v>32</v>
      </c>
      <c r="X1120" s="19">
        <v>45376</v>
      </c>
      <c r="Y1120" s="18" t="s">
        <v>39</v>
      </c>
      <c r="Z1120" s="43" t="e">
        <f>TEXT([1]!Table64[[#This Row],[Order date]],"mmm-yyyy")</f>
        <v>#REF!</v>
      </c>
    </row>
    <row r="1121" spans="1:26" x14ac:dyDescent="0.3">
      <c r="A1121" s="22">
        <v>11120</v>
      </c>
      <c r="B1121" s="23">
        <v>6359</v>
      </c>
      <c r="C1121" s="23" t="s">
        <v>25</v>
      </c>
      <c r="D1121" s="24">
        <v>26229.37</v>
      </c>
      <c r="E1121" s="23">
        <v>65</v>
      </c>
      <c r="F1121" s="23" t="s">
        <v>26</v>
      </c>
      <c r="G1121" s="25">
        <v>45361</v>
      </c>
      <c r="H1121" s="24">
        <v>49948.77</v>
      </c>
      <c r="I1121" s="26" t="s">
        <v>44</v>
      </c>
      <c r="J1121" s="15" t="s">
        <v>36</v>
      </c>
      <c r="K1121" s="15">
        <v>589</v>
      </c>
      <c r="L1121" s="16">
        <v>45361</v>
      </c>
      <c r="M1121" s="17">
        <v>8</v>
      </c>
      <c r="N1121" s="27">
        <v>91120</v>
      </c>
      <c r="O1121" s="27" t="s">
        <v>29</v>
      </c>
      <c r="P1121" s="28">
        <v>45430</v>
      </c>
      <c r="Q1121" s="29">
        <v>0.87099000000000004</v>
      </c>
      <c r="R1121" s="30">
        <v>71120</v>
      </c>
      <c r="S1121" s="27" t="s">
        <v>41</v>
      </c>
      <c r="T1121" s="29">
        <v>172585.57581000001</v>
      </c>
      <c r="U1121" s="27" t="s">
        <v>42</v>
      </c>
      <c r="V1121" s="28">
        <v>45444</v>
      </c>
      <c r="W1121" s="27" t="s">
        <v>32</v>
      </c>
      <c r="X1121" s="28">
        <v>45384</v>
      </c>
      <c r="Y1121" s="27" t="s">
        <v>39</v>
      </c>
      <c r="Z1121" s="43" t="e">
        <f>TEXT([1]!Table64[[#This Row],[Order date]],"mmm-yyyy")</f>
        <v>#REF!</v>
      </c>
    </row>
    <row r="1122" spans="1:26" x14ac:dyDescent="0.3">
      <c r="A1122" s="10">
        <v>11121</v>
      </c>
      <c r="B1122" s="11">
        <v>6020</v>
      </c>
      <c r="C1122" s="11" t="s">
        <v>34</v>
      </c>
      <c r="D1122" s="12">
        <v>12091.63</v>
      </c>
      <c r="E1122" s="11">
        <v>21</v>
      </c>
      <c r="F1122" s="11" t="s">
        <v>43</v>
      </c>
      <c r="G1122" s="13">
        <v>45306</v>
      </c>
      <c r="H1122" s="12">
        <v>38446.74</v>
      </c>
      <c r="I1122" s="14" t="s">
        <v>47</v>
      </c>
      <c r="J1122" s="15" t="s">
        <v>28</v>
      </c>
      <c r="K1122" s="15">
        <v>294</v>
      </c>
      <c r="L1122" s="16">
        <v>45332</v>
      </c>
      <c r="M1122" s="17">
        <v>8</v>
      </c>
      <c r="N1122" s="18">
        <v>91121</v>
      </c>
      <c r="O1122" s="18" t="s">
        <v>37</v>
      </c>
      <c r="P1122" s="19">
        <v>45352</v>
      </c>
      <c r="Q1122" s="20">
        <v>0.63424999999999998</v>
      </c>
      <c r="R1122" s="21">
        <v>71121</v>
      </c>
      <c r="S1122" s="18" t="s">
        <v>41</v>
      </c>
      <c r="T1122" s="20">
        <v>167048.44860999999</v>
      </c>
      <c r="U1122" s="18" t="s">
        <v>42</v>
      </c>
      <c r="V1122" s="19">
        <v>45392</v>
      </c>
      <c r="W1122" s="18" t="s">
        <v>32</v>
      </c>
      <c r="X1122" s="19">
        <v>45384</v>
      </c>
      <c r="Y1122" s="18" t="s">
        <v>39</v>
      </c>
      <c r="Z1122" s="43" t="e">
        <f>TEXT([1]!Table64[[#This Row],[Order date]],"mmm-yyyy")</f>
        <v>#REF!</v>
      </c>
    </row>
    <row r="1123" spans="1:26" x14ac:dyDescent="0.3">
      <c r="A1123" s="22">
        <v>11122</v>
      </c>
      <c r="B1123" s="23">
        <v>5542</v>
      </c>
      <c r="C1123" s="23" t="s">
        <v>34</v>
      </c>
      <c r="D1123" s="24">
        <v>55303.49</v>
      </c>
      <c r="E1123" s="23">
        <v>99</v>
      </c>
      <c r="F1123" s="23" t="s">
        <v>26</v>
      </c>
      <c r="G1123" s="25">
        <v>45306</v>
      </c>
      <c r="H1123" s="24">
        <v>106174.71</v>
      </c>
      <c r="I1123" s="26" t="s">
        <v>27</v>
      </c>
      <c r="J1123" s="15" t="s">
        <v>28</v>
      </c>
      <c r="K1123" s="15">
        <v>627</v>
      </c>
      <c r="L1123" s="16">
        <v>45397</v>
      </c>
      <c r="M1123" s="17">
        <v>7</v>
      </c>
      <c r="N1123" s="27">
        <v>91122</v>
      </c>
      <c r="O1123" s="27" t="s">
        <v>29</v>
      </c>
      <c r="P1123" s="28">
        <v>45430</v>
      </c>
      <c r="Q1123" s="29">
        <v>0.56620000000000004</v>
      </c>
      <c r="R1123" s="30">
        <v>71122</v>
      </c>
      <c r="S1123" s="27" t="s">
        <v>41</v>
      </c>
      <c r="T1123" s="29">
        <v>91121.882500000007</v>
      </c>
      <c r="U1123" s="27" t="s">
        <v>42</v>
      </c>
      <c r="V1123" s="28">
        <v>45444</v>
      </c>
      <c r="W1123" s="27" t="s">
        <v>38</v>
      </c>
      <c r="X1123" s="28">
        <v>45376</v>
      </c>
      <c r="Y1123" s="27" t="s">
        <v>39</v>
      </c>
      <c r="Z1123" s="43" t="e">
        <f>TEXT([1]!Table64[[#This Row],[Order date]],"mmm-yyyy")</f>
        <v>#REF!</v>
      </c>
    </row>
    <row r="1124" spans="1:26" x14ac:dyDescent="0.3">
      <c r="A1124" s="10">
        <v>11123</v>
      </c>
      <c r="B1124" s="11">
        <v>5759</v>
      </c>
      <c r="C1124" s="11" t="s">
        <v>34</v>
      </c>
      <c r="D1124" s="12">
        <v>69390.38</v>
      </c>
      <c r="E1124" s="11">
        <v>13</v>
      </c>
      <c r="F1124" s="11" t="s">
        <v>26</v>
      </c>
      <c r="G1124" s="13">
        <v>45337</v>
      </c>
      <c r="H1124" s="12">
        <v>75922.05</v>
      </c>
      <c r="I1124" s="14" t="s">
        <v>27</v>
      </c>
      <c r="J1124" s="15" t="s">
        <v>28</v>
      </c>
      <c r="K1124" s="15">
        <v>1455</v>
      </c>
      <c r="L1124" s="16">
        <v>45332</v>
      </c>
      <c r="M1124" s="17">
        <v>6</v>
      </c>
      <c r="N1124" s="18">
        <v>91123</v>
      </c>
      <c r="O1124" s="18" t="s">
        <v>37</v>
      </c>
      <c r="P1124" s="19">
        <v>45430</v>
      </c>
      <c r="Q1124" s="20">
        <v>0.76903999999999995</v>
      </c>
      <c r="R1124" s="21">
        <v>71123</v>
      </c>
      <c r="S1124" s="18" t="s">
        <v>41</v>
      </c>
      <c r="T1124" s="20">
        <v>175645.01396000001</v>
      </c>
      <c r="U1124" s="18" t="s">
        <v>48</v>
      </c>
      <c r="V1124" s="19">
        <v>45392</v>
      </c>
      <c r="W1124" s="18" t="s">
        <v>32</v>
      </c>
      <c r="X1124" s="19">
        <v>45376</v>
      </c>
      <c r="Y1124" s="18" t="s">
        <v>33</v>
      </c>
      <c r="Z1124" s="43" t="e">
        <f>TEXT([1]!Table64[[#This Row],[Order date]],"mmm-yyyy")</f>
        <v>#REF!</v>
      </c>
    </row>
    <row r="1125" spans="1:26" x14ac:dyDescent="0.3">
      <c r="A1125" s="22">
        <v>11124</v>
      </c>
      <c r="B1125" s="23">
        <v>6130</v>
      </c>
      <c r="C1125" s="23" t="s">
        <v>25</v>
      </c>
      <c r="D1125" s="24">
        <v>82533.25</v>
      </c>
      <c r="E1125" s="23">
        <v>57</v>
      </c>
      <c r="F1125" s="23" t="s">
        <v>46</v>
      </c>
      <c r="G1125" s="25">
        <v>45306</v>
      </c>
      <c r="H1125" s="24">
        <v>20244.7</v>
      </c>
      <c r="I1125" s="26" t="s">
        <v>47</v>
      </c>
      <c r="J1125" s="15" t="s">
        <v>28</v>
      </c>
      <c r="K1125" s="15">
        <v>1031</v>
      </c>
      <c r="L1125" s="16">
        <v>45397</v>
      </c>
      <c r="M1125" s="17">
        <v>6</v>
      </c>
      <c r="N1125" s="27">
        <v>91124</v>
      </c>
      <c r="O1125" s="27" t="s">
        <v>50</v>
      </c>
      <c r="P1125" s="28">
        <v>45383</v>
      </c>
      <c r="Q1125" s="29">
        <v>0.83401999999999998</v>
      </c>
      <c r="R1125" s="30">
        <v>71124</v>
      </c>
      <c r="S1125" s="27" t="s">
        <v>41</v>
      </c>
      <c r="T1125" s="29">
        <v>159687.6764</v>
      </c>
      <c r="U1125" s="27" t="s">
        <v>31</v>
      </c>
      <c r="V1125" s="28">
        <v>45444</v>
      </c>
      <c r="W1125" s="27" t="s">
        <v>38</v>
      </c>
      <c r="X1125" s="28">
        <v>45376</v>
      </c>
      <c r="Y1125" s="27" t="s">
        <v>39</v>
      </c>
      <c r="Z1125" s="43" t="e">
        <f>TEXT([1]!Table64[[#This Row],[Order date]],"mmm-yyyy")</f>
        <v>#REF!</v>
      </c>
    </row>
    <row r="1126" spans="1:26" x14ac:dyDescent="0.3">
      <c r="A1126" s="10">
        <v>11125</v>
      </c>
      <c r="B1126" s="11">
        <v>6587</v>
      </c>
      <c r="C1126" s="11" t="s">
        <v>34</v>
      </c>
      <c r="D1126" s="12">
        <v>64553.21</v>
      </c>
      <c r="E1126" s="11">
        <v>49</v>
      </c>
      <c r="F1126" s="11" t="s">
        <v>43</v>
      </c>
      <c r="G1126" s="13">
        <v>45383</v>
      </c>
      <c r="H1126" s="12">
        <v>177610.65</v>
      </c>
      <c r="I1126" s="14" t="s">
        <v>27</v>
      </c>
      <c r="J1126" s="15" t="s">
        <v>36</v>
      </c>
      <c r="K1126" s="15">
        <v>766</v>
      </c>
      <c r="L1126" s="16">
        <v>45361</v>
      </c>
      <c r="M1126" s="17">
        <v>10</v>
      </c>
      <c r="N1126" s="18">
        <v>91125</v>
      </c>
      <c r="O1126" s="18" t="s">
        <v>37</v>
      </c>
      <c r="P1126" s="19">
        <v>45430</v>
      </c>
      <c r="Q1126" s="20">
        <v>0.71747000000000005</v>
      </c>
      <c r="R1126" s="21">
        <v>71125</v>
      </c>
      <c r="S1126" s="18" t="s">
        <v>41</v>
      </c>
      <c r="T1126" s="20">
        <v>146287.33348999999</v>
      </c>
      <c r="U1126" s="18" t="s">
        <v>31</v>
      </c>
      <c r="V1126" s="19">
        <v>45444</v>
      </c>
      <c r="W1126" s="18" t="s">
        <v>38</v>
      </c>
      <c r="X1126" s="19">
        <v>45376</v>
      </c>
      <c r="Y1126" s="18" t="s">
        <v>33</v>
      </c>
      <c r="Z1126" s="43" t="e">
        <f>TEXT([1]!Table64[[#This Row],[Order date]],"mmm-yyyy")</f>
        <v>#REF!</v>
      </c>
    </row>
    <row r="1127" spans="1:26" x14ac:dyDescent="0.3">
      <c r="A1127" s="22">
        <v>11126</v>
      </c>
      <c r="B1127" s="23">
        <v>5081</v>
      </c>
      <c r="C1127" s="23" t="s">
        <v>34</v>
      </c>
      <c r="D1127" s="24">
        <v>57830.3</v>
      </c>
      <c r="E1127" s="23">
        <v>54</v>
      </c>
      <c r="F1127" s="23" t="s">
        <v>43</v>
      </c>
      <c r="G1127" s="25">
        <v>45383</v>
      </c>
      <c r="H1127" s="24">
        <v>161027.63</v>
      </c>
      <c r="I1127" s="26" t="s">
        <v>27</v>
      </c>
      <c r="J1127" s="15" t="s">
        <v>28</v>
      </c>
      <c r="K1127" s="15">
        <v>191</v>
      </c>
      <c r="L1127" s="16">
        <v>45332</v>
      </c>
      <c r="M1127" s="17">
        <v>11</v>
      </c>
      <c r="N1127" s="27">
        <v>91126</v>
      </c>
      <c r="O1127" s="27" t="s">
        <v>29</v>
      </c>
      <c r="P1127" s="28">
        <v>45383</v>
      </c>
      <c r="Q1127" s="29">
        <v>0.49601000000000001</v>
      </c>
      <c r="R1127" s="30">
        <v>71126</v>
      </c>
      <c r="S1127" s="27" t="s">
        <v>30</v>
      </c>
      <c r="T1127" s="29">
        <v>98495.719500000007</v>
      </c>
      <c r="U1127" s="27" t="s">
        <v>42</v>
      </c>
      <c r="V1127" s="28">
        <v>45422</v>
      </c>
      <c r="W1127" s="27" t="s">
        <v>38</v>
      </c>
      <c r="X1127" s="28">
        <v>45376</v>
      </c>
      <c r="Y1127" s="27" t="s">
        <v>33</v>
      </c>
      <c r="Z1127" s="43" t="e">
        <f>TEXT([1]!Table64[[#This Row],[Order date]],"mmm-yyyy")</f>
        <v>#REF!</v>
      </c>
    </row>
    <row r="1128" spans="1:26" x14ac:dyDescent="0.3">
      <c r="A1128" s="10">
        <v>11127</v>
      </c>
      <c r="B1128" s="11">
        <v>5133</v>
      </c>
      <c r="C1128" s="11" t="s">
        <v>34</v>
      </c>
      <c r="D1128" s="12">
        <v>91604.36</v>
      </c>
      <c r="E1128" s="11">
        <v>10</v>
      </c>
      <c r="F1128" s="11" t="s">
        <v>43</v>
      </c>
      <c r="G1128" s="13">
        <v>45306</v>
      </c>
      <c r="H1128" s="12">
        <v>89737.26</v>
      </c>
      <c r="I1128" s="14" t="s">
        <v>44</v>
      </c>
      <c r="J1128" s="15" t="s">
        <v>49</v>
      </c>
      <c r="K1128" s="15">
        <v>942</v>
      </c>
      <c r="L1128" s="16">
        <v>45397</v>
      </c>
      <c r="M1128" s="17">
        <v>13</v>
      </c>
      <c r="N1128" s="18">
        <v>91127</v>
      </c>
      <c r="O1128" s="18" t="s">
        <v>40</v>
      </c>
      <c r="P1128" s="19">
        <v>45430</v>
      </c>
      <c r="Q1128" s="20">
        <v>0.44136999999999998</v>
      </c>
      <c r="R1128" s="21">
        <v>71127</v>
      </c>
      <c r="S1128" s="18" t="s">
        <v>30</v>
      </c>
      <c r="T1128" s="20">
        <v>95045.164499999999</v>
      </c>
      <c r="U1128" s="18" t="s">
        <v>48</v>
      </c>
      <c r="V1128" s="19">
        <v>45444</v>
      </c>
      <c r="W1128" s="18" t="s">
        <v>38</v>
      </c>
      <c r="X1128" s="19">
        <v>45384</v>
      </c>
      <c r="Y1128" s="18" t="s">
        <v>33</v>
      </c>
      <c r="Z1128" s="43" t="e">
        <f>TEXT([1]!Table64[[#This Row],[Order date]],"mmm-yyyy")</f>
        <v>#REF!</v>
      </c>
    </row>
    <row r="1129" spans="1:26" x14ac:dyDescent="0.3">
      <c r="A1129" s="22">
        <v>11128</v>
      </c>
      <c r="B1129" s="23">
        <v>5797</v>
      </c>
      <c r="C1129" s="23" t="s">
        <v>25</v>
      </c>
      <c r="D1129" s="24">
        <v>15654.95</v>
      </c>
      <c r="E1129" s="23">
        <v>53</v>
      </c>
      <c r="F1129" s="23" t="s">
        <v>46</v>
      </c>
      <c r="G1129" s="25">
        <v>45306</v>
      </c>
      <c r="H1129" s="24">
        <v>65979.91</v>
      </c>
      <c r="I1129" s="26" t="s">
        <v>47</v>
      </c>
      <c r="J1129" s="15" t="s">
        <v>49</v>
      </c>
      <c r="K1129" s="15">
        <v>1441</v>
      </c>
      <c r="L1129" s="16">
        <v>45397</v>
      </c>
      <c r="M1129" s="17">
        <v>13</v>
      </c>
      <c r="N1129" s="27">
        <v>91128</v>
      </c>
      <c r="O1129" s="27" t="s">
        <v>40</v>
      </c>
      <c r="P1129" s="28">
        <v>45430</v>
      </c>
      <c r="Q1129" s="29">
        <v>0.79449999999999998</v>
      </c>
      <c r="R1129" s="30">
        <v>71128</v>
      </c>
      <c r="S1129" s="27" t="s">
        <v>30</v>
      </c>
      <c r="T1129" s="29">
        <v>172375.2591</v>
      </c>
      <c r="U1129" s="27" t="s">
        <v>48</v>
      </c>
      <c r="V1129" s="28">
        <v>45444</v>
      </c>
      <c r="W1129" s="27" t="s">
        <v>38</v>
      </c>
      <c r="X1129" s="28">
        <v>45376</v>
      </c>
      <c r="Y1129" s="27" t="s">
        <v>33</v>
      </c>
      <c r="Z1129" s="43" t="e">
        <f>TEXT([1]!Table64[[#This Row],[Order date]],"mmm-yyyy")</f>
        <v>#REF!</v>
      </c>
    </row>
    <row r="1130" spans="1:26" x14ac:dyDescent="0.3">
      <c r="A1130" s="10">
        <v>11129</v>
      </c>
      <c r="B1130" s="11">
        <v>5900</v>
      </c>
      <c r="C1130" s="11" t="s">
        <v>34</v>
      </c>
      <c r="D1130" s="12">
        <v>68777.210000000006</v>
      </c>
      <c r="E1130" s="11">
        <v>44</v>
      </c>
      <c r="F1130" s="11" t="s">
        <v>26</v>
      </c>
      <c r="G1130" s="13">
        <v>45306</v>
      </c>
      <c r="H1130" s="12">
        <v>161429.74</v>
      </c>
      <c r="I1130" s="14" t="s">
        <v>44</v>
      </c>
      <c r="J1130" s="15" t="s">
        <v>28</v>
      </c>
      <c r="K1130" s="15">
        <v>1157</v>
      </c>
      <c r="L1130" s="16">
        <v>45397</v>
      </c>
      <c r="M1130" s="17">
        <v>6</v>
      </c>
      <c r="N1130" s="18">
        <v>91129</v>
      </c>
      <c r="O1130" s="18" t="s">
        <v>50</v>
      </c>
      <c r="P1130" s="19">
        <v>45430</v>
      </c>
      <c r="Q1130" s="20">
        <v>0.56611999999999996</v>
      </c>
      <c r="R1130" s="21">
        <v>71129</v>
      </c>
      <c r="S1130" s="18" t="s">
        <v>30</v>
      </c>
      <c r="T1130" s="20">
        <v>161740.82819</v>
      </c>
      <c r="U1130" s="18" t="s">
        <v>42</v>
      </c>
      <c r="V1130" s="19">
        <v>45392</v>
      </c>
      <c r="W1130" s="18" t="s">
        <v>38</v>
      </c>
      <c r="X1130" s="19">
        <v>45376</v>
      </c>
      <c r="Y1130" s="18" t="s">
        <v>33</v>
      </c>
      <c r="Z1130" s="43" t="e">
        <f>TEXT([1]!Table64[[#This Row],[Order date]],"mmm-yyyy")</f>
        <v>#REF!</v>
      </c>
    </row>
    <row r="1131" spans="1:26" x14ac:dyDescent="0.3">
      <c r="A1131" s="22">
        <v>11130</v>
      </c>
      <c r="B1131" s="23">
        <v>5138</v>
      </c>
      <c r="C1131" s="23" t="s">
        <v>34</v>
      </c>
      <c r="D1131" s="24">
        <v>80773.539999999994</v>
      </c>
      <c r="E1131" s="23">
        <v>47</v>
      </c>
      <c r="F1131" s="23" t="s">
        <v>43</v>
      </c>
      <c r="G1131" s="25">
        <v>45306</v>
      </c>
      <c r="H1131" s="24">
        <v>173374.8</v>
      </c>
      <c r="I1131" s="26" t="s">
        <v>44</v>
      </c>
      <c r="J1131" s="15" t="s">
        <v>49</v>
      </c>
      <c r="K1131" s="15">
        <v>1216</v>
      </c>
      <c r="L1131" s="16">
        <v>45332</v>
      </c>
      <c r="M1131" s="17">
        <v>8</v>
      </c>
      <c r="N1131" s="27">
        <v>91130</v>
      </c>
      <c r="O1131" s="27" t="s">
        <v>29</v>
      </c>
      <c r="P1131" s="28">
        <v>45430</v>
      </c>
      <c r="Q1131" s="29">
        <v>0.73394999999999999</v>
      </c>
      <c r="R1131" s="30">
        <v>71130</v>
      </c>
      <c r="S1131" s="27" t="s">
        <v>41</v>
      </c>
      <c r="T1131" s="29">
        <v>136357.2255</v>
      </c>
      <c r="U1131" s="27" t="s">
        <v>31</v>
      </c>
      <c r="V1131" s="28">
        <v>45392</v>
      </c>
      <c r="W1131" s="27" t="s">
        <v>38</v>
      </c>
      <c r="X1131" s="28">
        <v>45376</v>
      </c>
      <c r="Y1131" s="27" t="s">
        <v>33</v>
      </c>
      <c r="Z1131" s="43" t="e">
        <f>TEXT([1]!Table64[[#This Row],[Order date]],"mmm-yyyy")</f>
        <v>#REF!</v>
      </c>
    </row>
    <row r="1132" spans="1:26" x14ac:dyDescent="0.3">
      <c r="A1132" s="10">
        <v>11131</v>
      </c>
      <c r="B1132" s="11">
        <v>5184</v>
      </c>
      <c r="C1132" s="11" t="s">
        <v>25</v>
      </c>
      <c r="D1132" s="12">
        <v>50885.34</v>
      </c>
      <c r="E1132" s="11">
        <v>53</v>
      </c>
      <c r="F1132" s="11" t="s">
        <v>43</v>
      </c>
      <c r="G1132" s="13">
        <v>45337</v>
      </c>
      <c r="H1132" s="12">
        <v>43444.62</v>
      </c>
      <c r="I1132" s="14" t="s">
        <v>27</v>
      </c>
      <c r="J1132" s="15" t="s">
        <v>36</v>
      </c>
      <c r="K1132" s="15">
        <v>401</v>
      </c>
      <c r="L1132" s="16">
        <v>45332</v>
      </c>
      <c r="M1132" s="17">
        <v>1</v>
      </c>
      <c r="N1132" s="18">
        <v>91131</v>
      </c>
      <c r="O1132" s="18" t="s">
        <v>29</v>
      </c>
      <c r="P1132" s="19">
        <v>45430</v>
      </c>
      <c r="Q1132" s="20">
        <v>0.90136000000000005</v>
      </c>
      <c r="R1132" s="21">
        <v>71131</v>
      </c>
      <c r="S1132" s="18" t="s">
        <v>45</v>
      </c>
      <c r="T1132" s="20">
        <v>65992.811799999996</v>
      </c>
      <c r="U1132" s="18" t="s">
        <v>42</v>
      </c>
      <c r="V1132" s="19">
        <v>45422</v>
      </c>
      <c r="W1132" s="18" t="s">
        <v>38</v>
      </c>
      <c r="X1132" s="19">
        <v>45376</v>
      </c>
      <c r="Y1132" s="18" t="s">
        <v>33</v>
      </c>
      <c r="Z1132" s="43" t="e">
        <f>TEXT([1]!Table64[[#This Row],[Order date]],"mmm-yyyy")</f>
        <v>#REF!</v>
      </c>
    </row>
    <row r="1133" spans="1:26" x14ac:dyDescent="0.3">
      <c r="A1133" s="22">
        <v>11132</v>
      </c>
      <c r="B1133" s="23">
        <v>6425</v>
      </c>
      <c r="C1133" s="23" t="s">
        <v>34</v>
      </c>
      <c r="D1133" s="24">
        <v>66853.73</v>
      </c>
      <c r="E1133" s="23">
        <v>74</v>
      </c>
      <c r="F1133" s="23" t="s">
        <v>35</v>
      </c>
      <c r="G1133" s="25">
        <v>45337</v>
      </c>
      <c r="H1133" s="24">
        <v>43363.59</v>
      </c>
      <c r="I1133" s="26" t="s">
        <v>27</v>
      </c>
      <c r="J1133" s="15" t="s">
        <v>28</v>
      </c>
      <c r="K1133" s="15">
        <v>594</v>
      </c>
      <c r="L1133" s="16">
        <v>45332</v>
      </c>
      <c r="M1133" s="17">
        <v>5</v>
      </c>
      <c r="N1133" s="27">
        <v>91132</v>
      </c>
      <c r="O1133" s="27" t="s">
        <v>29</v>
      </c>
      <c r="P1133" s="28">
        <v>45430</v>
      </c>
      <c r="Q1133" s="29">
        <v>0.92430000000000001</v>
      </c>
      <c r="R1133" s="30">
        <v>71132</v>
      </c>
      <c r="S1133" s="27" t="s">
        <v>45</v>
      </c>
      <c r="T1133" s="29">
        <v>61541.729019999999</v>
      </c>
      <c r="U1133" s="27" t="s">
        <v>48</v>
      </c>
      <c r="V1133" s="28">
        <v>45444</v>
      </c>
      <c r="W1133" s="27" t="s">
        <v>38</v>
      </c>
      <c r="X1133" s="28">
        <v>45376</v>
      </c>
      <c r="Y1133" s="27" t="s">
        <v>39</v>
      </c>
      <c r="Z1133" s="43" t="e">
        <f>TEXT([1]!Table64[[#This Row],[Order date]],"mmm-yyyy")</f>
        <v>#REF!</v>
      </c>
    </row>
    <row r="1134" spans="1:26" x14ac:dyDescent="0.3">
      <c r="A1134" s="10">
        <v>11133</v>
      </c>
      <c r="B1134" s="11">
        <v>6354</v>
      </c>
      <c r="C1134" s="11" t="s">
        <v>34</v>
      </c>
      <c r="D1134" s="12">
        <v>61855.57</v>
      </c>
      <c r="E1134" s="11">
        <v>46</v>
      </c>
      <c r="F1134" s="11" t="s">
        <v>43</v>
      </c>
      <c r="G1134" s="13">
        <v>45306</v>
      </c>
      <c r="H1134" s="12">
        <v>42541.96</v>
      </c>
      <c r="I1134" s="14" t="s">
        <v>47</v>
      </c>
      <c r="J1134" s="15" t="s">
        <v>28</v>
      </c>
      <c r="K1134" s="15">
        <v>962</v>
      </c>
      <c r="L1134" s="16">
        <v>45361</v>
      </c>
      <c r="M1134" s="17">
        <v>3</v>
      </c>
      <c r="N1134" s="18">
        <v>91133</v>
      </c>
      <c r="O1134" s="18" t="s">
        <v>50</v>
      </c>
      <c r="P1134" s="19">
        <v>45383</v>
      </c>
      <c r="Q1134" s="20">
        <v>0.34993999999999997</v>
      </c>
      <c r="R1134" s="21">
        <v>71133</v>
      </c>
      <c r="S1134" s="18" t="s">
        <v>41</v>
      </c>
      <c r="T1134" s="20">
        <v>97473.962899999999</v>
      </c>
      <c r="U1134" s="18" t="s">
        <v>42</v>
      </c>
      <c r="V1134" s="19">
        <v>45392</v>
      </c>
      <c r="W1134" s="18" t="s">
        <v>32</v>
      </c>
      <c r="X1134" s="19">
        <v>45376</v>
      </c>
      <c r="Y1134" s="18" t="s">
        <v>33</v>
      </c>
      <c r="Z1134" s="43" t="e">
        <f>TEXT([1]!Table64[[#This Row],[Order date]],"mmm-yyyy")</f>
        <v>#REF!</v>
      </c>
    </row>
    <row r="1135" spans="1:26" x14ac:dyDescent="0.3">
      <c r="A1135" s="22">
        <v>11134</v>
      </c>
      <c r="B1135" s="23">
        <v>5785</v>
      </c>
      <c r="C1135" s="23" t="s">
        <v>34</v>
      </c>
      <c r="D1135" s="24">
        <v>32378.58</v>
      </c>
      <c r="E1135" s="23">
        <v>13</v>
      </c>
      <c r="F1135" s="23" t="s">
        <v>26</v>
      </c>
      <c r="G1135" s="25">
        <v>45383</v>
      </c>
      <c r="H1135" s="24">
        <v>148461.04</v>
      </c>
      <c r="I1135" s="26" t="s">
        <v>27</v>
      </c>
      <c r="J1135" s="15" t="s">
        <v>36</v>
      </c>
      <c r="K1135" s="15">
        <v>201</v>
      </c>
      <c r="L1135" s="16">
        <v>45397</v>
      </c>
      <c r="M1135" s="17">
        <v>12</v>
      </c>
      <c r="N1135" s="27">
        <v>91134</v>
      </c>
      <c r="O1135" s="27" t="s">
        <v>40</v>
      </c>
      <c r="P1135" s="28">
        <v>45383</v>
      </c>
      <c r="Q1135" s="29">
        <v>0.26910000000000001</v>
      </c>
      <c r="R1135" s="30">
        <v>71134</v>
      </c>
      <c r="S1135" s="27" t="s">
        <v>41</v>
      </c>
      <c r="T1135" s="29">
        <v>126025.6079</v>
      </c>
      <c r="U1135" s="27" t="s">
        <v>31</v>
      </c>
      <c r="V1135" s="28">
        <v>45444</v>
      </c>
      <c r="W1135" s="27" t="s">
        <v>38</v>
      </c>
      <c r="X1135" s="28">
        <v>45384</v>
      </c>
      <c r="Y1135" s="27" t="s">
        <v>39</v>
      </c>
      <c r="Z1135" s="43" t="e">
        <f>TEXT([1]!Table64[[#This Row],[Order date]],"mmm-yyyy")</f>
        <v>#REF!</v>
      </c>
    </row>
    <row r="1136" spans="1:26" x14ac:dyDescent="0.3">
      <c r="A1136" s="10">
        <v>11135</v>
      </c>
      <c r="B1136" s="11">
        <v>6532</v>
      </c>
      <c r="C1136" s="11" t="s">
        <v>34</v>
      </c>
      <c r="D1136" s="12">
        <v>73511.990000000005</v>
      </c>
      <c r="E1136" s="11">
        <v>37</v>
      </c>
      <c r="F1136" s="11" t="s">
        <v>26</v>
      </c>
      <c r="G1136" s="13">
        <v>45337</v>
      </c>
      <c r="H1136" s="12">
        <v>35360.54</v>
      </c>
      <c r="I1136" s="14" t="s">
        <v>27</v>
      </c>
      <c r="J1136" s="15" t="s">
        <v>49</v>
      </c>
      <c r="K1136" s="15">
        <v>1231</v>
      </c>
      <c r="L1136" s="16">
        <v>45397</v>
      </c>
      <c r="M1136" s="17">
        <v>8</v>
      </c>
      <c r="N1136" s="18">
        <v>91135</v>
      </c>
      <c r="O1136" s="18" t="s">
        <v>37</v>
      </c>
      <c r="P1136" s="19">
        <v>45352</v>
      </c>
      <c r="Q1136" s="20">
        <v>0.33516000000000001</v>
      </c>
      <c r="R1136" s="21">
        <v>71135</v>
      </c>
      <c r="S1136" s="18" t="s">
        <v>30</v>
      </c>
      <c r="T1136" s="20">
        <v>87020.816290000002</v>
      </c>
      <c r="U1136" s="18" t="s">
        <v>31</v>
      </c>
      <c r="V1136" s="19">
        <v>45422</v>
      </c>
      <c r="W1136" s="18" t="s">
        <v>38</v>
      </c>
      <c r="X1136" s="19">
        <v>45384</v>
      </c>
      <c r="Y1136" s="18" t="s">
        <v>33</v>
      </c>
      <c r="Z1136" s="43" t="e">
        <f>TEXT([1]!Table64[[#This Row],[Order date]],"mmm-yyyy")</f>
        <v>#REF!</v>
      </c>
    </row>
    <row r="1137" spans="1:26" x14ac:dyDescent="0.3">
      <c r="A1137" s="22">
        <v>11136</v>
      </c>
      <c r="B1137" s="23">
        <v>6876</v>
      </c>
      <c r="C1137" s="23" t="s">
        <v>34</v>
      </c>
      <c r="D1137" s="24">
        <v>81204.67</v>
      </c>
      <c r="E1137" s="23">
        <v>24</v>
      </c>
      <c r="F1137" s="23" t="s">
        <v>35</v>
      </c>
      <c r="G1137" s="25">
        <v>45383</v>
      </c>
      <c r="H1137" s="24">
        <v>57327.91</v>
      </c>
      <c r="I1137" s="26" t="s">
        <v>47</v>
      </c>
      <c r="J1137" s="15" t="s">
        <v>36</v>
      </c>
      <c r="K1137" s="15">
        <v>702</v>
      </c>
      <c r="L1137" s="16">
        <v>45361</v>
      </c>
      <c r="M1137" s="17">
        <v>11</v>
      </c>
      <c r="N1137" s="27">
        <v>91136</v>
      </c>
      <c r="O1137" s="27" t="s">
        <v>50</v>
      </c>
      <c r="P1137" s="28">
        <v>45430</v>
      </c>
      <c r="Q1137" s="29">
        <v>0.77622999999999998</v>
      </c>
      <c r="R1137" s="30">
        <v>71136</v>
      </c>
      <c r="S1137" s="27" t="s">
        <v>30</v>
      </c>
      <c r="T1137" s="29">
        <v>219971.15659999999</v>
      </c>
      <c r="U1137" s="27" t="s">
        <v>48</v>
      </c>
      <c r="V1137" s="28">
        <v>45392</v>
      </c>
      <c r="W1137" s="27" t="s">
        <v>32</v>
      </c>
      <c r="X1137" s="28">
        <v>45376</v>
      </c>
      <c r="Y1137" s="27" t="s">
        <v>33</v>
      </c>
      <c r="Z1137" s="43" t="e">
        <f>TEXT([1]!Table64[[#This Row],[Order date]],"mmm-yyyy")</f>
        <v>#REF!</v>
      </c>
    </row>
    <row r="1138" spans="1:26" x14ac:dyDescent="0.3">
      <c r="A1138" s="10">
        <v>11137</v>
      </c>
      <c r="B1138" s="11">
        <v>5984</v>
      </c>
      <c r="C1138" s="11" t="s">
        <v>34</v>
      </c>
      <c r="D1138" s="12">
        <v>29496.41</v>
      </c>
      <c r="E1138" s="11">
        <v>2</v>
      </c>
      <c r="F1138" s="11" t="s">
        <v>43</v>
      </c>
      <c r="G1138" s="13">
        <v>45361</v>
      </c>
      <c r="H1138" s="12">
        <v>15892.6</v>
      </c>
      <c r="I1138" s="14" t="s">
        <v>27</v>
      </c>
      <c r="J1138" s="15" t="s">
        <v>36</v>
      </c>
      <c r="K1138" s="15">
        <v>1007</v>
      </c>
      <c r="L1138" s="16">
        <v>45361</v>
      </c>
      <c r="M1138" s="17">
        <v>6</v>
      </c>
      <c r="N1138" s="18">
        <v>91137</v>
      </c>
      <c r="O1138" s="18" t="s">
        <v>37</v>
      </c>
      <c r="P1138" s="19">
        <v>45383</v>
      </c>
      <c r="Q1138" s="20">
        <v>0.43304999999999999</v>
      </c>
      <c r="R1138" s="21">
        <v>71137</v>
      </c>
      <c r="S1138" s="18" t="s">
        <v>45</v>
      </c>
      <c r="T1138" s="20">
        <v>149003.85694</v>
      </c>
      <c r="U1138" s="18" t="s">
        <v>42</v>
      </c>
      <c r="V1138" s="19">
        <v>45392</v>
      </c>
      <c r="W1138" s="18" t="s">
        <v>38</v>
      </c>
      <c r="X1138" s="19">
        <v>45376</v>
      </c>
      <c r="Y1138" s="18" t="s">
        <v>33</v>
      </c>
      <c r="Z1138" s="43" t="e">
        <f>TEXT([1]!Table64[[#This Row],[Order date]],"mmm-yyyy")</f>
        <v>#REF!</v>
      </c>
    </row>
    <row r="1139" spans="1:26" x14ac:dyDescent="0.3">
      <c r="A1139" s="22">
        <v>11138</v>
      </c>
      <c r="B1139" s="23">
        <v>5069</v>
      </c>
      <c r="C1139" s="23" t="s">
        <v>34</v>
      </c>
      <c r="D1139" s="24">
        <v>14139.2</v>
      </c>
      <c r="E1139" s="23">
        <v>86</v>
      </c>
      <c r="F1139" s="23" t="s">
        <v>43</v>
      </c>
      <c r="G1139" s="25">
        <v>45383</v>
      </c>
      <c r="H1139" s="24">
        <v>17514.77</v>
      </c>
      <c r="I1139" s="26" t="s">
        <v>44</v>
      </c>
      <c r="J1139" s="15" t="s">
        <v>49</v>
      </c>
      <c r="K1139" s="15">
        <v>812</v>
      </c>
      <c r="L1139" s="16">
        <v>45332</v>
      </c>
      <c r="M1139" s="17">
        <v>14</v>
      </c>
      <c r="N1139" s="27">
        <v>91138</v>
      </c>
      <c r="O1139" s="27" t="s">
        <v>40</v>
      </c>
      <c r="P1139" s="28">
        <v>45430</v>
      </c>
      <c r="Q1139" s="29">
        <v>0.25605</v>
      </c>
      <c r="R1139" s="30">
        <v>71138</v>
      </c>
      <c r="S1139" s="27" t="s">
        <v>45</v>
      </c>
      <c r="T1139" s="29">
        <v>166585.44922000001</v>
      </c>
      <c r="U1139" s="27" t="s">
        <v>42</v>
      </c>
      <c r="V1139" s="28">
        <v>45422</v>
      </c>
      <c r="W1139" s="27" t="s">
        <v>32</v>
      </c>
      <c r="X1139" s="28">
        <v>45384</v>
      </c>
      <c r="Y1139" s="27" t="s">
        <v>33</v>
      </c>
      <c r="Z1139" s="43" t="e">
        <f>TEXT([1]!Table64[[#This Row],[Order date]],"mmm-yyyy")</f>
        <v>#REF!</v>
      </c>
    </row>
    <row r="1140" spans="1:26" x14ac:dyDescent="0.3">
      <c r="A1140" s="10">
        <v>11139</v>
      </c>
      <c r="B1140" s="11">
        <v>5546</v>
      </c>
      <c r="C1140" s="11" t="s">
        <v>34</v>
      </c>
      <c r="D1140" s="12">
        <v>23474.15</v>
      </c>
      <c r="E1140" s="11">
        <v>81</v>
      </c>
      <c r="F1140" s="11" t="s">
        <v>43</v>
      </c>
      <c r="G1140" s="13">
        <v>45306</v>
      </c>
      <c r="H1140" s="12">
        <v>141098.64000000001</v>
      </c>
      <c r="I1140" s="14" t="s">
        <v>47</v>
      </c>
      <c r="J1140" s="15" t="s">
        <v>36</v>
      </c>
      <c r="K1140" s="15">
        <v>1376</v>
      </c>
      <c r="L1140" s="16">
        <v>45332</v>
      </c>
      <c r="M1140" s="17">
        <v>2</v>
      </c>
      <c r="N1140" s="18">
        <v>91139</v>
      </c>
      <c r="O1140" s="18" t="s">
        <v>50</v>
      </c>
      <c r="P1140" s="19">
        <v>45430</v>
      </c>
      <c r="Q1140" s="20">
        <v>0.18855</v>
      </c>
      <c r="R1140" s="21">
        <v>71139</v>
      </c>
      <c r="S1140" s="18" t="s">
        <v>30</v>
      </c>
      <c r="T1140" s="20">
        <v>193519.17835999999</v>
      </c>
      <c r="U1140" s="18" t="s">
        <v>48</v>
      </c>
      <c r="V1140" s="19">
        <v>45444</v>
      </c>
      <c r="W1140" s="18" t="s">
        <v>38</v>
      </c>
      <c r="X1140" s="19">
        <v>45376</v>
      </c>
      <c r="Y1140" s="18" t="s">
        <v>39</v>
      </c>
      <c r="Z1140" s="43" t="e">
        <f>TEXT([1]!Table64[[#This Row],[Order date]],"mmm-yyyy")</f>
        <v>#REF!</v>
      </c>
    </row>
    <row r="1141" spans="1:26" x14ac:dyDescent="0.3">
      <c r="A1141" s="22">
        <v>11140</v>
      </c>
      <c r="B1141" s="23">
        <v>6798</v>
      </c>
      <c r="C1141" s="23" t="s">
        <v>34</v>
      </c>
      <c r="D1141" s="24">
        <v>9190.1299999999992</v>
      </c>
      <c r="E1141" s="23">
        <v>14</v>
      </c>
      <c r="F1141" s="23" t="s">
        <v>46</v>
      </c>
      <c r="G1141" s="25">
        <v>45361</v>
      </c>
      <c r="H1141" s="24">
        <v>147613.67000000001</v>
      </c>
      <c r="I1141" s="26" t="s">
        <v>27</v>
      </c>
      <c r="J1141" s="15" t="s">
        <v>49</v>
      </c>
      <c r="K1141" s="15">
        <v>673</v>
      </c>
      <c r="L1141" s="16">
        <v>45332</v>
      </c>
      <c r="M1141" s="17">
        <v>13</v>
      </c>
      <c r="N1141" s="27">
        <v>91140</v>
      </c>
      <c r="O1141" s="27" t="s">
        <v>40</v>
      </c>
      <c r="P1141" s="28">
        <v>45383</v>
      </c>
      <c r="Q1141" s="29">
        <v>0.39457999999999999</v>
      </c>
      <c r="R1141" s="30">
        <v>71140</v>
      </c>
      <c r="S1141" s="27" t="s">
        <v>41</v>
      </c>
      <c r="T1141" s="29">
        <v>78521.8174</v>
      </c>
      <c r="U1141" s="27" t="s">
        <v>42</v>
      </c>
      <c r="V1141" s="28">
        <v>45392</v>
      </c>
      <c r="W1141" s="27" t="s">
        <v>32</v>
      </c>
      <c r="X1141" s="28">
        <v>45376</v>
      </c>
      <c r="Y1141" s="27" t="s">
        <v>33</v>
      </c>
      <c r="Z1141" s="43" t="e">
        <f>TEXT([1]!Table64[[#This Row],[Order date]],"mmm-yyyy")</f>
        <v>#REF!</v>
      </c>
    </row>
    <row r="1142" spans="1:26" x14ac:dyDescent="0.3">
      <c r="A1142" s="10">
        <v>11141</v>
      </c>
      <c r="B1142" s="11">
        <v>5053</v>
      </c>
      <c r="C1142" s="11" t="s">
        <v>34</v>
      </c>
      <c r="D1142" s="12">
        <v>54361.79</v>
      </c>
      <c r="E1142" s="11">
        <v>10</v>
      </c>
      <c r="F1142" s="11" t="s">
        <v>43</v>
      </c>
      <c r="G1142" s="13">
        <v>45337</v>
      </c>
      <c r="H1142" s="12">
        <v>107785.27</v>
      </c>
      <c r="I1142" s="14" t="s">
        <v>44</v>
      </c>
      <c r="J1142" s="15" t="s">
        <v>49</v>
      </c>
      <c r="K1142" s="15">
        <v>705</v>
      </c>
      <c r="L1142" s="16">
        <v>45332</v>
      </c>
      <c r="M1142" s="17">
        <v>7</v>
      </c>
      <c r="N1142" s="18">
        <v>91141</v>
      </c>
      <c r="O1142" s="18" t="s">
        <v>37</v>
      </c>
      <c r="P1142" s="19">
        <v>45430</v>
      </c>
      <c r="Q1142" s="20">
        <v>0.22252</v>
      </c>
      <c r="R1142" s="21">
        <v>71141</v>
      </c>
      <c r="S1142" s="18" t="s">
        <v>41</v>
      </c>
      <c r="T1142" s="20">
        <v>153382.1728</v>
      </c>
      <c r="U1142" s="18" t="s">
        <v>48</v>
      </c>
      <c r="V1142" s="19">
        <v>45392</v>
      </c>
      <c r="W1142" s="18" t="s">
        <v>32</v>
      </c>
      <c r="X1142" s="19">
        <v>45376</v>
      </c>
      <c r="Y1142" s="18" t="s">
        <v>33</v>
      </c>
      <c r="Z1142" s="43" t="e">
        <f>TEXT([1]!Table64[[#This Row],[Order date]],"mmm-yyyy")</f>
        <v>#REF!</v>
      </c>
    </row>
    <row r="1143" spans="1:26" x14ac:dyDescent="0.3">
      <c r="A1143" s="22">
        <v>11142</v>
      </c>
      <c r="B1143" s="23">
        <v>6474</v>
      </c>
      <c r="C1143" s="23" t="s">
        <v>34</v>
      </c>
      <c r="D1143" s="24">
        <v>50413.7</v>
      </c>
      <c r="E1143" s="23">
        <v>35</v>
      </c>
      <c r="F1143" s="23" t="s">
        <v>26</v>
      </c>
      <c r="G1143" s="25">
        <v>45337</v>
      </c>
      <c r="H1143" s="24">
        <v>123923.2</v>
      </c>
      <c r="I1143" s="26" t="s">
        <v>47</v>
      </c>
      <c r="J1143" s="15" t="s">
        <v>36</v>
      </c>
      <c r="K1143" s="15">
        <v>499</v>
      </c>
      <c r="L1143" s="16">
        <v>45332</v>
      </c>
      <c r="M1143" s="17">
        <v>7</v>
      </c>
      <c r="N1143" s="27">
        <v>91142</v>
      </c>
      <c r="O1143" s="27" t="s">
        <v>29</v>
      </c>
      <c r="P1143" s="28">
        <v>45383</v>
      </c>
      <c r="Q1143" s="29">
        <v>0.24074000000000001</v>
      </c>
      <c r="R1143" s="30">
        <v>71142</v>
      </c>
      <c r="S1143" s="27" t="s">
        <v>41</v>
      </c>
      <c r="T1143" s="29">
        <v>74661.733800000002</v>
      </c>
      <c r="U1143" s="27" t="s">
        <v>42</v>
      </c>
      <c r="V1143" s="28">
        <v>45422</v>
      </c>
      <c r="W1143" s="27" t="s">
        <v>38</v>
      </c>
      <c r="X1143" s="28">
        <v>45376</v>
      </c>
      <c r="Y1143" s="27" t="s">
        <v>33</v>
      </c>
      <c r="Z1143" s="43" t="e">
        <f>TEXT([1]!Table64[[#This Row],[Order date]],"mmm-yyyy")</f>
        <v>#REF!</v>
      </c>
    </row>
    <row r="1144" spans="1:26" x14ac:dyDescent="0.3">
      <c r="A1144" s="10">
        <v>11143</v>
      </c>
      <c r="B1144" s="11">
        <v>5205</v>
      </c>
      <c r="C1144" s="11" t="s">
        <v>34</v>
      </c>
      <c r="D1144" s="12">
        <v>33017.589999999997</v>
      </c>
      <c r="E1144" s="11">
        <v>25</v>
      </c>
      <c r="F1144" s="11" t="s">
        <v>26</v>
      </c>
      <c r="G1144" s="13">
        <v>45361</v>
      </c>
      <c r="H1144" s="12">
        <v>61761.41</v>
      </c>
      <c r="I1144" s="14" t="s">
        <v>47</v>
      </c>
      <c r="J1144" s="15" t="s">
        <v>49</v>
      </c>
      <c r="K1144" s="15">
        <v>770</v>
      </c>
      <c r="L1144" s="16">
        <v>45332</v>
      </c>
      <c r="M1144" s="17">
        <v>13</v>
      </c>
      <c r="N1144" s="18">
        <v>91143</v>
      </c>
      <c r="O1144" s="18" t="s">
        <v>29</v>
      </c>
      <c r="P1144" s="19">
        <v>45383</v>
      </c>
      <c r="Q1144" s="20">
        <v>0.71550000000000002</v>
      </c>
      <c r="R1144" s="21">
        <v>71143</v>
      </c>
      <c r="S1144" s="18" t="s">
        <v>45</v>
      </c>
      <c r="T1144" s="20">
        <v>158707.00769999999</v>
      </c>
      <c r="U1144" s="18" t="s">
        <v>31</v>
      </c>
      <c r="V1144" s="19">
        <v>45422</v>
      </c>
      <c r="W1144" s="18" t="s">
        <v>38</v>
      </c>
      <c r="X1144" s="19">
        <v>45376</v>
      </c>
      <c r="Y1144" s="18" t="s">
        <v>33</v>
      </c>
      <c r="Z1144" s="43" t="e">
        <f>TEXT([1]!Table64[[#This Row],[Order date]],"mmm-yyyy")</f>
        <v>#REF!</v>
      </c>
    </row>
    <row r="1145" spans="1:26" x14ac:dyDescent="0.3">
      <c r="A1145" s="22">
        <v>11144</v>
      </c>
      <c r="B1145" s="23">
        <v>5126</v>
      </c>
      <c r="C1145" s="23" t="s">
        <v>34</v>
      </c>
      <c r="D1145" s="24">
        <v>44479.77</v>
      </c>
      <c r="E1145" s="23">
        <v>3</v>
      </c>
      <c r="F1145" s="23" t="s">
        <v>46</v>
      </c>
      <c r="G1145" s="25">
        <v>45383</v>
      </c>
      <c r="H1145" s="24">
        <v>102014.93</v>
      </c>
      <c r="I1145" s="26" t="s">
        <v>44</v>
      </c>
      <c r="J1145" s="15" t="s">
        <v>36</v>
      </c>
      <c r="K1145" s="15">
        <v>1297</v>
      </c>
      <c r="L1145" s="16">
        <v>45361</v>
      </c>
      <c r="M1145" s="17">
        <v>5</v>
      </c>
      <c r="N1145" s="27">
        <v>91144</v>
      </c>
      <c r="O1145" s="27" t="s">
        <v>37</v>
      </c>
      <c r="P1145" s="28">
        <v>45352</v>
      </c>
      <c r="Q1145" s="29">
        <v>0.11776</v>
      </c>
      <c r="R1145" s="30">
        <v>71144</v>
      </c>
      <c r="S1145" s="27" t="s">
        <v>45</v>
      </c>
      <c r="T1145" s="29">
        <v>97232.297479999994</v>
      </c>
      <c r="U1145" s="27" t="s">
        <v>48</v>
      </c>
      <c r="V1145" s="28">
        <v>45422</v>
      </c>
      <c r="W1145" s="27" t="s">
        <v>38</v>
      </c>
      <c r="X1145" s="28">
        <v>45376</v>
      </c>
      <c r="Y1145" s="27" t="s">
        <v>33</v>
      </c>
      <c r="Z1145" s="43" t="e">
        <f>TEXT([1]!Table64[[#This Row],[Order date]],"mmm-yyyy")</f>
        <v>#REF!</v>
      </c>
    </row>
    <row r="1146" spans="1:26" x14ac:dyDescent="0.3">
      <c r="A1146" s="10">
        <v>11145</v>
      </c>
      <c r="B1146" s="11">
        <v>6771</v>
      </c>
      <c r="C1146" s="11" t="s">
        <v>34</v>
      </c>
      <c r="D1146" s="12">
        <v>9354.32</v>
      </c>
      <c r="E1146" s="11">
        <v>17</v>
      </c>
      <c r="F1146" s="11" t="s">
        <v>46</v>
      </c>
      <c r="G1146" s="13">
        <v>45337</v>
      </c>
      <c r="H1146" s="12">
        <v>99837.29</v>
      </c>
      <c r="I1146" s="14" t="s">
        <v>27</v>
      </c>
      <c r="J1146" s="15" t="s">
        <v>49</v>
      </c>
      <c r="K1146" s="15">
        <v>92</v>
      </c>
      <c r="L1146" s="16">
        <v>45361</v>
      </c>
      <c r="M1146" s="17">
        <v>8</v>
      </c>
      <c r="N1146" s="18">
        <v>91145</v>
      </c>
      <c r="O1146" s="18" t="s">
        <v>29</v>
      </c>
      <c r="P1146" s="19">
        <v>45352</v>
      </c>
      <c r="Q1146" s="20">
        <v>0.20580000000000001</v>
      </c>
      <c r="R1146" s="21">
        <v>71145</v>
      </c>
      <c r="S1146" s="18" t="s">
        <v>45</v>
      </c>
      <c r="T1146" s="20">
        <v>146579.7887</v>
      </c>
      <c r="U1146" s="18" t="s">
        <v>42</v>
      </c>
      <c r="V1146" s="19">
        <v>45444</v>
      </c>
      <c r="W1146" s="18" t="s">
        <v>38</v>
      </c>
      <c r="X1146" s="19">
        <v>45376</v>
      </c>
      <c r="Y1146" s="18" t="s">
        <v>39</v>
      </c>
      <c r="Z1146" s="43" t="e">
        <f>TEXT([1]!Table64[[#This Row],[Order date]],"mmm-yyyy")</f>
        <v>#REF!</v>
      </c>
    </row>
    <row r="1147" spans="1:26" x14ac:dyDescent="0.3">
      <c r="A1147" s="22">
        <v>11146</v>
      </c>
      <c r="B1147" s="23">
        <v>5043</v>
      </c>
      <c r="C1147" s="23" t="s">
        <v>25</v>
      </c>
      <c r="D1147" s="24">
        <v>11681.38</v>
      </c>
      <c r="E1147" s="23">
        <v>12</v>
      </c>
      <c r="F1147" s="23" t="s">
        <v>43</v>
      </c>
      <c r="G1147" s="25">
        <v>45306</v>
      </c>
      <c r="H1147" s="24">
        <v>37523.410000000003</v>
      </c>
      <c r="I1147" s="26" t="s">
        <v>27</v>
      </c>
      <c r="J1147" s="15" t="s">
        <v>28</v>
      </c>
      <c r="K1147" s="15">
        <v>313</v>
      </c>
      <c r="L1147" s="16">
        <v>45361</v>
      </c>
      <c r="M1147" s="17">
        <v>14</v>
      </c>
      <c r="N1147" s="27">
        <v>91146</v>
      </c>
      <c r="O1147" s="27" t="s">
        <v>37</v>
      </c>
      <c r="P1147" s="28">
        <v>45352</v>
      </c>
      <c r="Q1147" s="29">
        <v>0.85992999999999997</v>
      </c>
      <c r="R1147" s="30">
        <v>71146</v>
      </c>
      <c r="S1147" s="27" t="s">
        <v>41</v>
      </c>
      <c r="T1147" s="29">
        <v>71604.530979999996</v>
      </c>
      <c r="U1147" s="27" t="s">
        <v>42</v>
      </c>
      <c r="V1147" s="28">
        <v>45444</v>
      </c>
      <c r="W1147" s="27" t="s">
        <v>32</v>
      </c>
      <c r="X1147" s="28">
        <v>45376</v>
      </c>
      <c r="Y1147" s="27" t="s">
        <v>33</v>
      </c>
      <c r="Z1147" s="43" t="e">
        <f>TEXT([1]!Table64[[#This Row],[Order date]],"mmm-yyyy")</f>
        <v>#REF!</v>
      </c>
    </row>
    <row r="1148" spans="1:26" x14ac:dyDescent="0.3">
      <c r="A1148" s="10">
        <v>11147</v>
      </c>
      <c r="B1148" s="11">
        <v>6776</v>
      </c>
      <c r="C1148" s="11" t="s">
        <v>34</v>
      </c>
      <c r="D1148" s="12">
        <v>47144.35</v>
      </c>
      <c r="E1148" s="11">
        <v>54</v>
      </c>
      <c r="F1148" s="11" t="s">
        <v>35</v>
      </c>
      <c r="G1148" s="13">
        <v>45361</v>
      </c>
      <c r="H1148" s="12">
        <v>51218.99</v>
      </c>
      <c r="I1148" s="14" t="s">
        <v>47</v>
      </c>
      <c r="J1148" s="15" t="s">
        <v>49</v>
      </c>
      <c r="K1148" s="15">
        <v>1076</v>
      </c>
      <c r="L1148" s="16">
        <v>45397</v>
      </c>
      <c r="M1148" s="17">
        <v>5</v>
      </c>
      <c r="N1148" s="18">
        <v>91147</v>
      </c>
      <c r="O1148" s="18" t="s">
        <v>50</v>
      </c>
      <c r="P1148" s="19">
        <v>45352</v>
      </c>
      <c r="Q1148" s="20">
        <v>0.86041999999999996</v>
      </c>
      <c r="R1148" s="21">
        <v>71147</v>
      </c>
      <c r="S1148" s="18" t="s">
        <v>41</v>
      </c>
      <c r="T1148" s="20">
        <v>65053.290200000003</v>
      </c>
      <c r="U1148" s="18" t="s">
        <v>42</v>
      </c>
      <c r="V1148" s="19">
        <v>45444</v>
      </c>
      <c r="W1148" s="18" t="s">
        <v>38</v>
      </c>
      <c r="X1148" s="19">
        <v>45384</v>
      </c>
      <c r="Y1148" s="18" t="s">
        <v>33</v>
      </c>
      <c r="Z1148" s="43" t="e">
        <f>TEXT([1]!Table64[[#This Row],[Order date]],"mmm-yyyy")</f>
        <v>#REF!</v>
      </c>
    </row>
    <row r="1149" spans="1:26" x14ac:dyDescent="0.3">
      <c r="A1149" s="22">
        <v>11148</v>
      </c>
      <c r="B1149" s="23">
        <v>6995</v>
      </c>
      <c r="C1149" s="23" t="s">
        <v>34</v>
      </c>
      <c r="D1149" s="24">
        <v>83915.12</v>
      </c>
      <c r="E1149" s="23">
        <v>24</v>
      </c>
      <c r="F1149" s="23" t="s">
        <v>46</v>
      </c>
      <c r="G1149" s="25">
        <v>45306</v>
      </c>
      <c r="H1149" s="24">
        <v>114429.15</v>
      </c>
      <c r="I1149" s="26" t="s">
        <v>47</v>
      </c>
      <c r="J1149" s="15" t="s">
        <v>49</v>
      </c>
      <c r="K1149" s="15">
        <v>1341</v>
      </c>
      <c r="L1149" s="16">
        <v>45397</v>
      </c>
      <c r="M1149" s="17">
        <v>1</v>
      </c>
      <c r="N1149" s="27">
        <v>91148</v>
      </c>
      <c r="O1149" s="27" t="s">
        <v>50</v>
      </c>
      <c r="P1149" s="28">
        <v>45430</v>
      </c>
      <c r="Q1149" s="29">
        <v>0.39632000000000001</v>
      </c>
      <c r="R1149" s="30">
        <v>71148</v>
      </c>
      <c r="S1149" s="27" t="s">
        <v>30</v>
      </c>
      <c r="T1149" s="29">
        <v>98934.830849999998</v>
      </c>
      <c r="U1149" s="27" t="s">
        <v>48</v>
      </c>
      <c r="V1149" s="28">
        <v>45422</v>
      </c>
      <c r="W1149" s="27" t="s">
        <v>38</v>
      </c>
      <c r="X1149" s="28">
        <v>45376</v>
      </c>
      <c r="Y1149" s="27" t="s">
        <v>39</v>
      </c>
      <c r="Z1149" s="43" t="e">
        <f>TEXT([1]!Table64[[#This Row],[Order date]],"mmm-yyyy")</f>
        <v>#REF!</v>
      </c>
    </row>
    <row r="1150" spans="1:26" x14ac:dyDescent="0.3">
      <c r="A1150" s="10">
        <v>11149</v>
      </c>
      <c r="B1150" s="11">
        <v>6907</v>
      </c>
      <c r="C1150" s="11" t="s">
        <v>34</v>
      </c>
      <c r="D1150" s="12">
        <v>48928.57</v>
      </c>
      <c r="E1150" s="11">
        <v>29</v>
      </c>
      <c r="F1150" s="11" t="s">
        <v>46</v>
      </c>
      <c r="G1150" s="13">
        <v>45361</v>
      </c>
      <c r="H1150" s="12">
        <v>95554.48</v>
      </c>
      <c r="I1150" s="14" t="s">
        <v>27</v>
      </c>
      <c r="J1150" s="15" t="s">
        <v>36</v>
      </c>
      <c r="K1150" s="15">
        <v>645</v>
      </c>
      <c r="L1150" s="16">
        <v>45332</v>
      </c>
      <c r="M1150" s="17">
        <v>9</v>
      </c>
      <c r="N1150" s="18">
        <v>91149</v>
      </c>
      <c r="O1150" s="18" t="s">
        <v>50</v>
      </c>
      <c r="P1150" s="19">
        <v>45430</v>
      </c>
      <c r="Q1150" s="20">
        <v>0.17916000000000001</v>
      </c>
      <c r="R1150" s="21">
        <v>71149</v>
      </c>
      <c r="S1150" s="18" t="s">
        <v>41</v>
      </c>
      <c r="T1150" s="20">
        <v>96592.19</v>
      </c>
      <c r="U1150" s="18" t="s">
        <v>31</v>
      </c>
      <c r="V1150" s="19">
        <v>45392</v>
      </c>
      <c r="W1150" s="18" t="s">
        <v>38</v>
      </c>
      <c r="X1150" s="19">
        <v>45376</v>
      </c>
      <c r="Y1150" s="18" t="s">
        <v>33</v>
      </c>
      <c r="Z1150" s="43" t="e">
        <f>TEXT([1]!Table64[[#This Row],[Order date]],"mmm-yyyy")</f>
        <v>#REF!</v>
      </c>
    </row>
    <row r="1151" spans="1:26" x14ac:dyDescent="0.3">
      <c r="A1151" s="22">
        <v>11150</v>
      </c>
      <c r="B1151" s="23">
        <v>5111</v>
      </c>
      <c r="C1151" s="23" t="s">
        <v>34</v>
      </c>
      <c r="D1151" s="24">
        <v>58232.2</v>
      </c>
      <c r="E1151" s="23">
        <v>43</v>
      </c>
      <c r="F1151" s="23" t="s">
        <v>43</v>
      </c>
      <c r="G1151" s="25">
        <v>45337</v>
      </c>
      <c r="H1151" s="24">
        <v>69868.52</v>
      </c>
      <c r="I1151" s="26" t="s">
        <v>27</v>
      </c>
      <c r="J1151" s="15" t="s">
        <v>49</v>
      </c>
      <c r="K1151" s="15">
        <v>1089</v>
      </c>
      <c r="L1151" s="16">
        <v>45361</v>
      </c>
      <c r="M1151" s="17">
        <v>4</v>
      </c>
      <c r="N1151" s="27">
        <v>91150</v>
      </c>
      <c r="O1151" s="27" t="s">
        <v>29</v>
      </c>
      <c r="P1151" s="28">
        <v>45352</v>
      </c>
      <c r="Q1151" s="29">
        <v>0.73446999999999996</v>
      </c>
      <c r="R1151" s="30">
        <v>71150</v>
      </c>
      <c r="S1151" s="27" t="s">
        <v>45</v>
      </c>
      <c r="T1151" s="29">
        <v>183125.38556</v>
      </c>
      <c r="U1151" s="27" t="s">
        <v>42</v>
      </c>
      <c r="V1151" s="28">
        <v>45444</v>
      </c>
      <c r="W1151" s="27" t="s">
        <v>38</v>
      </c>
      <c r="X1151" s="28">
        <v>45384</v>
      </c>
      <c r="Y1151" s="27" t="s">
        <v>33</v>
      </c>
      <c r="Z1151" s="43" t="e">
        <f>TEXT([1]!Table64[[#This Row],[Order date]],"mmm-yyyy")</f>
        <v>#REF!</v>
      </c>
    </row>
    <row r="1152" spans="1:26" x14ac:dyDescent="0.3">
      <c r="A1152" s="10">
        <v>11151</v>
      </c>
      <c r="B1152" s="11">
        <v>5761</v>
      </c>
      <c r="C1152" s="11" t="s">
        <v>34</v>
      </c>
      <c r="D1152" s="12">
        <v>60638.89</v>
      </c>
      <c r="E1152" s="11">
        <v>25</v>
      </c>
      <c r="F1152" s="11" t="s">
        <v>43</v>
      </c>
      <c r="G1152" s="13">
        <v>45383</v>
      </c>
      <c r="H1152" s="12">
        <v>52038.91</v>
      </c>
      <c r="I1152" s="14" t="s">
        <v>44</v>
      </c>
      <c r="J1152" s="15" t="s">
        <v>28</v>
      </c>
      <c r="K1152" s="15">
        <v>1407</v>
      </c>
      <c r="L1152" s="16">
        <v>45397</v>
      </c>
      <c r="M1152" s="17">
        <v>13</v>
      </c>
      <c r="N1152" s="18">
        <v>91151</v>
      </c>
      <c r="O1152" s="18" t="s">
        <v>40</v>
      </c>
      <c r="P1152" s="19">
        <v>45383</v>
      </c>
      <c r="Q1152" s="20">
        <v>0.42412</v>
      </c>
      <c r="R1152" s="21">
        <v>71151</v>
      </c>
      <c r="S1152" s="18" t="s">
        <v>30</v>
      </c>
      <c r="T1152" s="20">
        <v>115447.90375</v>
      </c>
      <c r="U1152" s="18" t="s">
        <v>48</v>
      </c>
      <c r="V1152" s="19">
        <v>45422</v>
      </c>
      <c r="W1152" s="18" t="s">
        <v>32</v>
      </c>
      <c r="X1152" s="19">
        <v>45376</v>
      </c>
      <c r="Y1152" s="18" t="s">
        <v>33</v>
      </c>
      <c r="Z1152" s="43" t="e">
        <f>TEXT([1]!Table64[[#This Row],[Order date]],"mmm-yyyy")</f>
        <v>#REF!</v>
      </c>
    </row>
    <row r="1153" spans="1:26" x14ac:dyDescent="0.3">
      <c r="A1153" s="22">
        <v>11152</v>
      </c>
      <c r="B1153" s="23">
        <v>6687</v>
      </c>
      <c r="C1153" s="23" t="s">
        <v>34</v>
      </c>
      <c r="D1153" s="24">
        <v>88619.89</v>
      </c>
      <c r="E1153" s="23">
        <v>60</v>
      </c>
      <c r="F1153" s="23" t="s">
        <v>46</v>
      </c>
      <c r="G1153" s="25">
        <v>45361</v>
      </c>
      <c r="H1153" s="24">
        <v>157936.07999999999</v>
      </c>
      <c r="I1153" s="26" t="s">
        <v>47</v>
      </c>
      <c r="J1153" s="15" t="s">
        <v>28</v>
      </c>
      <c r="K1153" s="15">
        <v>1132</v>
      </c>
      <c r="L1153" s="16">
        <v>45397</v>
      </c>
      <c r="M1153" s="17">
        <v>2</v>
      </c>
      <c r="N1153" s="27">
        <v>91152</v>
      </c>
      <c r="O1153" s="27" t="s">
        <v>29</v>
      </c>
      <c r="P1153" s="28">
        <v>45383</v>
      </c>
      <c r="Q1153" s="29">
        <v>0.14091999999999999</v>
      </c>
      <c r="R1153" s="30">
        <v>71152</v>
      </c>
      <c r="S1153" s="27" t="s">
        <v>41</v>
      </c>
      <c r="T1153" s="29">
        <v>141105.81633999999</v>
      </c>
      <c r="U1153" s="27" t="s">
        <v>42</v>
      </c>
      <c r="V1153" s="28">
        <v>45444</v>
      </c>
      <c r="W1153" s="27" t="s">
        <v>38</v>
      </c>
      <c r="X1153" s="28">
        <v>45376</v>
      </c>
      <c r="Y1153" s="27" t="s">
        <v>33</v>
      </c>
      <c r="Z1153" s="43" t="e">
        <f>TEXT([1]!Table64[[#This Row],[Order date]],"mmm-yyyy")</f>
        <v>#REF!</v>
      </c>
    </row>
    <row r="1154" spans="1:26" x14ac:dyDescent="0.3">
      <c r="A1154" s="10">
        <v>11153</v>
      </c>
      <c r="B1154" s="11">
        <v>6207</v>
      </c>
      <c r="C1154" s="11" t="s">
        <v>25</v>
      </c>
      <c r="D1154" s="12">
        <v>21531.71</v>
      </c>
      <c r="E1154" s="11">
        <v>90</v>
      </c>
      <c r="F1154" s="11" t="s">
        <v>35</v>
      </c>
      <c r="G1154" s="13">
        <v>45361</v>
      </c>
      <c r="H1154" s="12">
        <v>55211.77</v>
      </c>
      <c r="I1154" s="14" t="s">
        <v>47</v>
      </c>
      <c r="J1154" s="15" t="s">
        <v>49</v>
      </c>
      <c r="K1154" s="15">
        <v>1062</v>
      </c>
      <c r="L1154" s="16">
        <v>45361</v>
      </c>
      <c r="M1154" s="17">
        <v>4</v>
      </c>
      <c r="N1154" s="18">
        <v>91153</v>
      </c>
      <c r="O1154" s="18" t="s">
        <v>29</v>
      </c>
      <c r="P1154" s="19">
        <v>45383</v>
      </c>
      <c r="Q1154" s="20">
        <v>0.24204000000000001</v>
      </c>
      <c r="R1154" s="21">
        <v>71153</v>
      </c>
      <c r="S1154" s="18" t="s">
        <v>30</v>
      </c>
      <c r="T1154" s="20">
        <v>80975.673290000006</v>
      </c>
      <c r="U1154" s="18" t="s">
        <v>31</v>
      </c>
      <c r="V1154" s="19">
        <v>45392</v>
      </c>
      <c r="W1154" s="18" t="s">
        <v>38</v>
      </c>
      <c r="X1154" s="19">
        <v>45376</v>
      </c>
      <c r="Y1154" s="18" t="s">
        <v>39</v>
      </c>
      <c r="Z1154" s="43" t="e">
        <f>TEXT([1]!Table64[[#This Row],[Order date]],"mmm-yyyy")</f>
        <v>#REF!</v>
      </c>
    </row>
    <row r="1155" spans="1:26" x14ac:dyDescent="0.3">
      <c r="A1155" s="22">
        <v>11154</v>
      </c>
      <c r="B1155" s="23">
        <v>5848</v>
      </c>
      <c r="C1155" s="23" t="s">
        <v>34</v>
      </c>
      <c r="D1155" s="24">
        <v>45278.33</v>
      </c>
      <c r="E1155" s="23">
        <v>65</v>
      </c>
      <c r="F1155" s="23" t="s">
        <v>46</v>
      </c>
      <c r="G1155" s="25">
        <v>45306</v>
      </c>
      <c r="H1155" s="24">
        <v>81306.45</v>
      </c>
      <c r="I1155" s="26" t="s">
        <v>44</v>
      </c>
      <c r="J1155" s="15" t="s">
        <v>49</v>
      </c>
      <c r="K1155" s="15">
        <v>226</v>
      </c>
      <c r="L1155" s="16">
        <v>45397</v>
      </c>
      <c r="M1155" s="17">
        <v>14</v>
      </c>
      <c r="N1155" s="27">
        <v>91154</v>
      </c>
      <c r="O1155" s="27" t="s">
        <v>40</v>
      </c>
      <c r="P1155" s="28">
        <v>45383</v>
      </c>
      <c r="Q1155" s="29">
        <v>0.22348999999999999</v>
      </c>
      <c r="R1155" s="30">
        <v>71154</v>
      </c>
      <c r="S1155" s="27" t="s">
        <v>41</v>
      </c>
      <c r="T1155" s="29">
        <v>136354.12271</v>
      </c>
      <c r="U1155" s="27" t="s">
        <v>31</v>
      </c>
      <c r="V1155" s="28">
        <v>45392</v>
      </c>
      <c r="W1155" s="27" t="s">
        <v>38</v>
      </c>
      <c r="X1155" s="28">
        <v>45376</v>
      </c>
      <c r="Y1155" s="27" t="s">
        <v>39</v>
      </c>
      <c r="Z1155" s="43" t="e">
        <f>TEXT([1]!Table64[[#This Row],[Order date]],"mmm-yyyy")</f>
        <v>#REF!</v>
      </c>
    </row>
    <row r="1156" spans="1:26" x14ac:dyDescent="0.3">
      <c r="A1156" s="10">
        <v>11155</v>
      </c>
      <c r="B1156" s="11">
        <v>5095</v>
      </c>
      <c r="C1156" s="11" t="s">
        <v>34</v>
      </c>
      <c r="D1156" s="12">
        <v>41070.089999999997</v>
      </c>
      <c r="E1156" s="11">
        <v>84</v>
      </c>
      <c r="F1156" s="11" t="s">
        <v>43</v>
      </c>
      <c r="G1156" s="13">
        <v>45337</v>
      </c>
      <c r="H1156" s="12">
        <v>103666.68</v>
      </c>
      <c r="I1156" s="14" t="s">
        <v>44</v>
      </c>
      <c r="J1156" s="15" t="s">
        <v>28</v>
      </c>
      <c r="K1156" s="15">
        <v>112</v>
      </c>
      <c r="L1156" s="16">
        <v>45397</v>
      </c>
      <c r="M1156" s="17">
        <v>13</v>
      </c>
      <c r="N1156" s="18">
        <v>91155</v>
      </c>
      <c r="O1156" s="18" t="s">
        <v>40</v>
      </c>
      <c r="P1156" s="19">
        <v>45430</v>
      </c>
      <c r="Q1156" s="20">
        <v>0.63019999999999998</v>
      </c>
      <c r="R1156" s="21">
        <v>71155</v>
      </c>
      <c r="S1156" s="18" t="s">
        <v>41</v>
      </c>
      <c r="T1156" s="20">
        <v>162550.97260000001</v>
      </c>
      <c r="U1156" s="18" t="s">
        <v>31</v>
      </c>
      <c r="V1156" s="19">
        <v>45422</v>
      </c>
      <c r="W1156" s="18" t="s">
        <v>38</v>
      </c>
      <c r="X1156" s="19">
        <v>45376</v>
      </c>
      <c r="Y1156" s="18" t="s">
        <v>33</v>
      </c>
      <c r="Z1156" s="43" t="e">
        <f>TEXT([1]!Table64[[#This Row],[Order date]],"mmm-yyyy")</f>
        <v>#REF!</v>
      </c>
    </row>
    <row r="1157" spans="1:26" x14ac:dyDescent="0.3">
      <c r="A1157" s="22">
        <v>11156</v>
      </c>
      <c r="B1157" s="23">
        <v>6995</v>
      </c>
      <c r="C1157" s="23" t="s">
        <v>34</v>
      </c>
      <c r="D1157" s="24">
        <v>83302.97</v>
      </c>
      <c r="E1157" s="23">
        <v>28</v>
      </c>
      <c r="F1157" s="23" t="s">
        <v>43</v>
      </c>
      <c r="G1157" s="25">
        <v>45306</v>
      </c>
      <c r="H1157" s="24">
        <v>27814.47</v>
      </c>
      <c r="I1157" s="26" t="s">
        <v>27</v>
      </c>
      <c r="J1157" s="15" t="s">
        <v>36</v>
      </c>
      <c r="K1157" s="15">
        <v>1007</v>
      </c>
      <c r="L1157" s="16">
        <v>45361</v>
      </c>
      <c r="M1157" s="17">
        <v>9</v>
      </c>
      <c r="N1157" s="27">
        <v>91156</v>
      </c>
      <c r="O1157" s="27" t="s">
        <v>40</v>
      </c>
      <c r="P1157" s="28">
        <v>45383</v>
      </c>
      <c r="Q1157" s="29">
        <v>0.90830999999999995</v>
      </c>
      <c r="R1157" s="30">
        <v>71156</v>
      </c>
      <c r="S1157" s="27" t="s">
        <v>41</v>
      </c>
      <c r="T1157" s="29">
        <v>147728.09169999999</v>
      </c>
      <c r="U1157" s="27" t="s">
        <v>48</v>
      </c>
      <c r="V1157" s="28">
        <v>45392</v>
      </c>
      <c r="W1157" s="27" t="s">
        <v>32</v>
      </c>
      <c r="X1157" s="28">
        <v>45376</v>
      </c>
      <c r="Y1157" s="27" t="s">
        <v>39</v>
      </c>
      <c r="Z1157" s="43" t="e">
        <f>TEXT([1]!Table64[[#This Row],[Order date]],"mmm-yyyy")</f>
        <v>#REF!</v>
      </c>
    </row>
    <row r="1158" spans="1:26" x14ac:dyDescent="0.3">
      <c r="A1158" s="10">
        <v>11157</v>
      </c>
      <c r="B1158" s="11">
        <v>6398</v>
      </c>
      <c r="C1158" s="11" t="s">
        <v>34</v>
      </c>
      <c r="D1158" s="12">
        <v>70184.850000000006</v>
      </c>
      <c r="E1158" s="11">
        <v>16</v>
      </c>
      <c r="F1158" s="11" t="s">
        <v>46</v>
      </c>
      <c r="G1158" s="13">
        <v>45337</v>
      </c>
      <c r="H1158" s="12">
        <v>66619.070000000007</v>
      </c>
      <c r="I1158" s="14" t="s">
        <v>44</v>
      </c>
      <c r="J1158" s="15" t="s">
        <v>28</v>
      </c>
      <c r="K1158" s="15">
        <v>1052</v>
      </c>
      <c r="L1158" s="16">
        <v>45397</v>
      </c>
      <c r="M1158" s="17">
        <v>2</v>
      </c>
      <c r="N1158" s="18">
        <v>91157</v>
      </c>
      <c r="O1158" s="18" t="s">
        <v>40</v>
      </c>
      <c r="P1158" s="19">
        <v>45383</v>
      </c>
      <c r="Q1158" s="20">
        <v>0.81376000000000004</v>
      </c>
      <c r="R1158" s="21">
        <v>71157</v>
      </c>
      <c r="S1158" s="18" t="s">
        <v>30</v>
      </c>
      <c r="T1158" s="20">
        <v>149825.66527</v>
      </c>
      <c r="U1158" s="18" t="s">
        <v>42</v>
      </c>
      <c r="V1158" s="19">
        <v>45422</v>
      </c>
      <c r="W1158" s="18" t="s">
        <v>38</v>
      </c>
      <c r="X1158" s="19">
        <v>45376</v>
      </c>
      <c r="Y1158" s="18" t="s">
        <v>33</v>
      </c>
      <c r="Z1158" s="43" t="e">
        <f>TEXT([1]!Table64[[#This Row],[Order date]],"mmm-yyyy")</f>
        <v>#REF!</v>
      </c>
    </row>
    <row r="1159" spans="1:26" x14ac:dyDescent="0.3">
      <c r="A1159" s="22">
        <v>11158</v>
      </c>
      <c r="B1159" s="23">
        <v>6936</v>
      </c>
      <c r="C1159" s="23" t="s">
        <v>34</v>
      </c>
      <c r="D1159" s="24">
        <v>22179.83</v>
      </c>
      <c r="E1159" s="23">
        <v>47</v>
      </c>
      <c r="F1159" s="23" t="s">
        <v>35</v>
      </c>
      <c r="G1159" s="25">
        <v>45306</v>
      </c>
      <c r="H1159" s="24">
        <v>55981.63</v>
      </c>
      <c r="I1159" s="26" t="s">
        <v>27</v>
      </c>
      <c r="J1159" s="15" t="s">
        <v>28</v>
      </c>
      <c r="K1159" s="15">
        <v>610</v>
      </c>
      <c r="L1159" s="16">
        <v>45361</v>
      </c>
      <c r="M1159" s="17">
        <v>4</v>
      </c>
      <c r="N1159" s="27">
        <v>91158</v>
      </c>
      <c r="O1159" s="27" t="s">
        <v>29</v>
      </c>
      <c r="P1159" s="28">
        <v>45352</v>
      </c>
      <c r="Q1159" s="29">
        <v>0.59186000000000005</v>
      </c>
      <c r="R1159" s="30">
        <v>71158</v>
      </c>
      <c r="S1159" s="27" t="s">
        <v>41</v>
      </c>
      <c r="T1159" s="29">
        <v>163652.32250000001</v>
      </c>
      <c r="U1159" s="27" t="s">
        <v>48</v>
      </c>
      <c r="V1159" s="28">
        <v>45422</v>
      </c>
      <c r="W1159" s="27" t="s">
        <v>38</v>
      </c>
      <c r="X1159" s="28">
        <v>45376</v>
      </c>
      <c r="Y1159" s="27" t="s">
        <v>33</v>
      </c>
      <c r="Z1159" s="43" t="e">
        <f>TEXT([1]!Table64[[#This Row],[Order date]],"mmm-yyyy")</f>
        <v>#REF!</v>
      </c>
    </row>
    <row r="1160" spans="1:26" x14ac:dyDescent="0.3">
      <c r="A1160" s="10">
        <v>11159</v>
      </c>
      <c r="B1160" s="11">
        <v>6544</v>
      </c>
      <c r="C1160" s="11" t="s">
        <v>25</v>
      </c>
      <c r="D1160" s="12">
        <v>70517.41</v>
      </c>
      <c r="E1160" s="11">
        <v>81</v>
      </c>
      <c r="F1160" s="11" t="s">
        <v>46</v>
      </c>
      <c r="G1160" s="13">
        <v>45361</v>
      </c>
      <c r="H1160" s="12">
        <v>128925.83</v>
      </c>
      <c r="I1160" s="14" t="s">
        <v>27</v>
      </c>
      <c r="J1160" s="15" t="s">
        <v>49</v>
      </c>
      <c r="K1160" s="15">
        <v>1380</v>
      </c>
      <c r="L1160" s="16">
        <v>45397</v>
      </c>
      <c r="M1160" s="17">
        <v>2</v>
      </c>
      <c r="N1160" s="18">
        <v>91159</v>
      </c>
      <c r="O1160" s="18" t="s">
        <v>37</v>
      </c>
      <c r="P1160" s="19">
        <v>45383</v>
      </c>
      <c r="Q1160" s="20">
        <v>0.47993999999999998</v>
      </c>
      <c r="R1160" s="21">
        <v>71159</v>
      </c>
      <c r="S1160" s="18" t="s">
        <v>41</v>
      </c>
      <c r="T1160" s="20">
        <v>58587.715660000002</v>
      </c>
      <c r="U1160" s="18" t="s">
        <v>42</v>
      </c>
      <c r="V1160" s="19">
        <v>45422</v>
      </c>
      <c r="W1160" s="18" t="s">
        <v>32</v>
      </c>
      <c r="X1160" s="19">
        <v>45384</v>
      </c>
      <c r="Y1160" s="18" t="s">
        <v>39</v>
      </c>
      <c r="Z1160" s="43" t="e">
        <f>TEXT([1]!Table64[[#This Row],[Order date]],"mmm-yyyy")</f>
        <v>#REF!</v>
      </c>
    </row>
    <row r="1161" spans="1:26" x14ac:dyDescent="0.3">
      <c r="A1161" s="22">
        <v>11160</v>
      </c>
      <c r="B1161" s="23">
        <v>5900</v>
      </c>
      <c r="C1161" s="23" t="s">
        <v>34</v>
      </c>
      <c r="D1161" s="24">
        <v>24123.7</v>
      </c>
      <c r="E1161" s="23">
        <v>92</v>
      </c>
      <c r="F1161" s="23" t="s">
        <v>46</v>
      </c>
      <c r="G1161" s="25">
        <v>45306</v>
      </c>
      <c r="H1161" s="24">
        <v>152059.12</v>
      </c>
      <c r="I1161" s="26" t="s">
        <v>44</v>
      </c>
      <c r="J1161" s="15" t="s">
        <v>49</v>
      </c>
      <c r="K1161" s="15">
        <v>1319</v>
      </c>
      <c r="L1161" s="16">
        <v>45361</v>
      </c>
      <c r="M1161" s="17">
        <v>5</v>
      </c>
      <c r="N1161" s="27">
        <v>91160</v>
      </c>
      <c r="O1161" s="27" t="s">
        <v>50</v>
      </c>
      <c r="P1161" s="28">
        <v>45430</v>
      </c>
      <c r="Q1161" s="29">
        <v>0.65681</v>
      </c>
      <c r="R1161" s="30">
        <v>71160</v>
      </c>
      <c r="S1161" s="27" t="s">
        <v>45</v>
      </c>
      <c r="T1161" s="29">
        <v>197017.6679</v>
      </c>
      <c r="U1161" s="27" t="s">
        <v>48</v>
      </c>
      <c r="V1161" s="28">
        <v>45422</v>
      </c>
      <c r="W1161" s="27" t="s">
        <v>38</v>
      </c>
      <c r="X1161" s="28">
        <v>45376</v>
      </c>
      <c r="Y1161" s="27" t="s">
        <v>33</v>
      </c>
      <c r="Z1161" s="43" t="e">
        <f>TEXT([1]!Table64[[#This Row],[Order date]],"mmm-yyyy")</f>
        <v>#REF!</v>
      </c>
    </row>
    <row r="1162" spans="1:26" x14ac:dyDescent="0.3">
      <c r="A1162" s="10">
        <v>11161</v>
      </c>
      <c r="B1162" s="11">
        <v>5360</v>
      </c>
      <c r="C1162" s="11" t="s">
        <v>34</v>
      </c>
      <c r="D1162" s="12">
        <v>82904.179999999993</v>
      </c>
      <c r="E1162" s="11">
        <v>58</v>
      </c>
      <c r="F1162" s="11" t="s">
        <v>43</v>
      </c>
      <c r="G1162" s="13">
        <v>45383</v>
      </c>
      <c r="H1162" s="12">
        <v>86219.1</v>
      </c>
      <c r="I1162" s="14" t="s">
        <v>47</v>
      </c>
      <c r="J1162" s="15" t="s">
        <v>28</v>
      </c>
      <c r="K1162" s="15">
        <v>1362</v>
      </c>
      <c r="L1162" s="16">
        <v>45397</v>
      </c>
      <c r="M1162" s="17">
        <v>3</v>
      </c>
      <c r="N1162" s="18">
        <v>91161</v>
      </c>
      <c r="O1162" s="18" t="s">
        <v>37</v>
      </c>
      <c r="P1162" s="19">
        <v>45383</v>
      </c>
      <c r="Q1162" s="20">
        <v>0.49942999999999999</v>
      </c>
      <c r="R1162" s="21">
        <v>71161</v>
      </c>
      <c r="S1162" s="18" t="s">
        <v>41</v>
      </c>
      <c r="T1162" s="20">
        <v>162513.08358999999</v>
      </c>
      <c r="U1162" s="18" t="s">
        <v>42</v>
      </c>
      <c r="V1162" s="19">
        <v>45392</v>
      </c>
      <c r="W1162" s="18" t="s">
        <v>38</v>
      </c>
      <c r="X1162" s="19">
        <v>45384</v>
      </c>
      <c r="Y1162" s="18" t="s">
        <v>33</v>
      </c>
      <c r="Z1162" s="43" t="e">
        <f>TEXT([1]!Table64[[#This Row],[Order date]],"mmm-yyyy")</f>
        <v>#REF!</v>
      </c>
    </row>
    <row r="1163" spans="1:26" x14ac:dyDescent="0.3">
      <c r="A1163" s="22">
        <v>11162</v>
      </c>
      <c r="B1163" s="23">
        <v>5900</v>
      </c>
      <c r="C1163" s="23" t="s">
        <v>34</v>
      </c>
      <c r="D1163" s="24">
        <v>72892.87</v>
      </c>
      <c r="E1163" s="23">
        <v>76</v>
      </c>
      <c r="F1163" s="23" t="s">
        <v>35</v>
      </c>
      <c r="G1163" s="25">
        <v>45337</v>
      </c>
      <c r="H1163" s="24">
        <v>83154.67</v>
      </c>
      <c r="I1163" s="26" t="s">
        <v>27</v>
      </c>
      <c r="J1163" s="15" t="s">
        <v>36</v>
      </c>
      <c r="K1163" s="15">
        <v>1004</v>
      </c>
      <c r="L1163" s="16">
        <v>45397</v>
      </c>
      <c r="M1163" s="17">
        <v>10</v>
      </c>
      <c r="N1163" s="27">
        <v>91162</v>
      </c>
      <c r="O1163" s="27" t="s">
        <v>29</v>
      </c>
      <c r="P1163" s="28">
        <v>45383</v>
      </c>
      <c r="Q1163" s="29">
        <v>0.32149</v>
      </c>
      <c r="R1163" s="30">
        <v>71162</v>
      </c>
      <c r="S1163" s="27" t="s">
        <v>41</v>
      </c>
      <c r="T1163" s="29">
        <v>174268.80746000001</v>
      </c>
      <c r="U1163" s="27" t="s">
        <v>48</v>
      </c>
      <c r="V1163" s="28">
        <v>45392</v>
      </c>
      <c r="W1163" s="27" t="s">
        <v>32</v>
      </c>
      <c r="X1163" s="28">
        <v>45384</v>
      </c>
      <c r="Y1163" s="27" t="s">
        <v>33</v>
      </c>
      <c r="Z1163" s="43" t="e">
        <f>TEXT([1]!Table64[[#This Row],[Order date]],"mmm-yyyy")</f>
        <v>#REF!</v>
      </c>
    </row>
    <row r="1164" spans="1:26" x14ac:dyDescent="0.3">
      <c r="A1164" s="10">
        <v>11163</v>
      </c>
      <c r="B1164" s="11">
        <v>6720</v>
      </c>
      <c r="C1164" s="11" t="s">
        <v>34</v>
      </c>
      <c r="D1164" s="12">
        <v>56655.57</v>
      </c>
      <c r="E1164" s="11">
        <v>27</v>
      </c>
      <c r="F1164" s="11" t="s">
        <v>26</v>
      </c>
      <c r="G1164" s="13">
        <v>45337</v>
      </c>
      <c r="H1164" s="12">
        <v>80696.02</v>
      </c>
      <c r="I1164" s="14" t="s">
        <v>44</v>
      </c>
      <c r="J1164" s="15" t="s">
        <v>28</v>
      </c>
      <c r="K1164" s="15">
        <v>1405</v>
      </c>
      <c r="L1164" s="16">
        <v>45361</v>
      </c>
      <c r="M1164" s="17">
        <v>2</v>
      </c>
      <c r="N1164" s="18">
        <v>91163</v>
      </c>
      <c r="O1164" s="18" t="s">
        <v>40</v>
      </c>
      <c r="P1164" s="19">
        <v>45430</v>
      </c>
      <c r="Q1164" s="20">
        <v>0.71128000000000002</v>
      </c>
      <c r="R1164" s="21">
        <v>71163</v>
      </c>
      <c r="S1164" s="18" t="s">
        <v>30</v>
      </c>
      <c r="T1164" s="20">
        <v>152663.9197</v>
      </c>
      <c r="U1164" s="18" t="s">
        <v>42</v>
      </c>
      <c r="V1164" s="19">
        <v>45392</v>
      </c>
      <c r="W1164" s="18" t="s">
        <v>32</v>
      </c>
      <c r="X1164" s="19">
        <v>45376</v>
      </c>
      <c r="Y1164" s="18" t="s">
        <v>39</v>
      </c>
      <c r="Z1164" s="43" t="e">
        <f>TEXT([1]!Table64[[#This Row],[Order date]],"mmm-yyyy")</f>
        <v>#REF!</v>
      </c>
    </row>
    <row r="1165" spans="1:26" x14ac:dyDescent="0.3">
      <c r="A1165" s="22">
        <v>11164</v>
      </c>
      <c r="B1165" s="23">
        <v>5281</v>
      </c>
      <c r="C1165" s="23" t="s">
        <v>34</v>
      </c>
      <c r="D1165" s="24">
        <v>87070.720000000001</v>
      </c>
      <c r="E1165" s="23">
        <v>53</v>
      </c>
      <c r="F1165" s="23" t="s">
        <v>35</v>
      </c>
      <c r="G1165" s="25">
        <v>45361</v>
      </c>
      <c r="H1165" s="24">
        <v>170687.51</v>
      </c>
      <c r="I1165" s="26" t="s">
        <v>44</v>
      </c>
      <c r="J1165" s="15" t="s">
        <v>28</v>
      </c>
      <c r="K1165" s="15">
        <v>899</v>
      </c>
      <c r="L1165" s="16">
        <v>45397</v>
      </c>
      <c r="M1165" s="17">
        <v>14</v>
      </c>
      <c r="N1165" s="27">
        <v>91164</v>
      </c>
      <c r="O1165" s="27" t="s">
        <v>50</v>
      </c>
      <c r="P1165" s="28">
        <v>45352</v>
      </c>
      <c r="Q1165" s="29">
        <v>0.88592000000000004</v>
      </c>
      <c r="R1165" s="30">
        <v>71164</v>
      </c>
      <c r="S1165" s="27" t="s">
        <v>41</v>
      </c>
      <c r="T1165" s="29">
        <v>126614.1219</v>
      </c>
      <c r="U1165" s="27" t="s">
        <v>48</v>
      </c>
      <c r="V1165" s="28">
        <v>45392</v>
      </c>
      <c r="W1165" s="27" t="s">
        <v>38</v>
      </c>
      <c r="X1165" s="28">
        <v>45384</v>
      </c>
      <c r="Y1165" s="27" t="s">
        <v>33</v>
      </c>
      <c r="Z1165" s="43" t="e">
        <f>TEXT([1]!Table64[[#This Row],[Order date]],"mmm-yyyy")</f>
        <v>#REF!</v>
      </c>
    </row>
    <row r="1166" spans="1:26" x14ac:dyDescent="0.3">
      <c r="A1166" s="10">
        <v>11165</v>
      </c>
      <c r="B1166" s="11">
        <v>6219</v>
      </c>
      <c r="C1166" s="11" t="s">
        <v>34</v>
      </c>
      <c r="D1166" s="12">
        <v>66291.399999999994</v>
      </c>
      <c r="E1166" s="11">
        <v>42</v>
      </c>
      <c r="F1166" s="11" t="s">
        <v>46</v>
      </c>
      <c r="G1166" s="13">
        <v>45337</v>
      </c>
      <c r="H1166" s="12">
        <v>26412.92</v>
      </c>
      <c r="I1166" s="14" t="s">
        <v>44</v>
      </c>
      <c r="J1166" s="15" t="s">
        <v>36</v>
      </c>
      <c r="K1166" s="15">
        <v>1328</v>
      </c>
      <c r="L1166" s="16">
        <v>45361</v>
      </c>
      <c r="M1166" s="17">
        <v>9</v>
      </c>
      <c r="N1166" s="18">
        <v>91165</v>
      </c>
      <c r="O1166" s="18" t="s">
        <v>50</v>
      </c>
      <c r="P1166" s="19">
        <v>45430</v>
      </c>
      <c r="Q1166" s="20">
        <v>0.43558000000000002</v>
      </c>
      <c r="R1166" s="21">
        <v>71165</v>
      </c>
      <c r="S1166" s="18" t="s">
        <v>30</v>
      </c>
      <c r="T1166" s="20">
        <v>212036.7934</v>
      </c>
      <c r="U1166" s="18" t="s">
        <v>31</v>
      </c>
      <c r="V1166" s="19">
        <v>45422</v>
      </c>
      <c r="W1166" s="18" t="s">
        <v>32</v>
      </c>
      <c r="X1166" s="19">
        <v>45384</v>
      </c>
      <c r="Y1166" s="18" t="s">
        <v>39</v>
      </c>
      <c r="Z1166" s="43" t="e">
        <f>TEXT([1]!Table64[[#This Row],[Order date]],"mmm-yyyy")</f>
        <v>#REF!</v>
      </c>
    </row>
    <row r="1167" spans="1:26" x14ac:dyDescent="0.3">
      <c r="A1167" s="22">
        <v>11166</v>
      </c>
      <c r="B1167" s="23">
        <v>6888</v>
      </c>
      <c r="C1167" s="23" t="s">
        <v>34</v>
      </c>
      <c r="D1167" s="24">
        <v>34498.76</v>
      </c>
      <c r="E1167" s="23">
        <v>59</v>
      </c>
      <c r="F1167" s="23" t="s">
        <v>46</v>
      </c>
      <c r="G1167" s="25">
        <v>45383</v>
      </c>
      <c r="H1167" s="24">
        <v>150937.29</v>
      </c>
      <c r="I1167" s="26" t="s">
        <v>44</v>
      </c>
      <c r="J1167" s="15" t="s">
        <v>28</v>
      </c>
      <c r="K1167" s="15">
        <v>653</v>
      </c>
      <c r="L1167" s="16">
        <v>45361</v>
      </c>
      <c r="M1167" s="17">
        <v>5</v>
      </c>
      <c r="N1167" s="27">
        <v>91166</v>
      </c>
      <c r="O1167" s="27" t="s">
        <v>37</v>
      </c>
      <c r="P1167" s="28">
        <v>45352</v>
      </c>
      <c r="Q1167" s="29">
        <v>0.85738000000000003</v>
      </c>
      <c r="R1167" s="30">
        <v>71166</v>
      </c>
      <c r="S1167" s="27" t="s">
        <v>41</v>
      </c>
      <c r="T1167" s="29">
        <v>170365.97068</v>
      </c>
      <c r="U1167" s="27" t="s">
        <v>48</v>
      </c>
      <c r="V1167" s="28">
        <v>45422</v>
      </c>
      <c r="W1167" s="27" t="s">
        <v>32</v>
      </c>
      <c r="X1167" s="28">
        <v>45376</v>
      </c>
      <c r="Y1167" s="27" t="s">
        <v>39</v>
      </c>
      <c r="Z1167" s="43" t="e">
        <f>TEXT([1]!Table64[[#This Row],[Order date]],"mmm-yyyy")</f>
        <v>#REF!</v>
      </c>
    </row>
    <row r="1168" spans="1:26" x14ac:dyDescent="0.3">
      <c r="A1168" s="10">
        <v>11167</v>
      </c>
      <c r="B1168" s="11">
        <v>6219</v>
      </c>
      <c r="C1168" s="11" t="s">
        <v>34</v>
      </c>
      <c r="D1168" s="12">
        <v>50334.25</v>
      </c>
      <c r="E1168" s="11">
        <v>47</v>
      </c>
      <c r="F1168" s="11" t="s">
        <v>46</v>
      </c>
      <c r="G1168" s="13">
        <v>45306</v>
      </c>
      <c r="H1168" s="12">
        <v>20410.259999999998</v>
      </c>
      <c r="I1168" s="14" t="s">
        <v>27</v>
      </c>
      <c r="J1168" s="15" t="s">
        <v>28</v>
      </c>
      <c r="K1168" s="15">
        <v>655</v>
      </c>
      <c r="L1168" s="16">
        <v>45397</v>
      </c>
      <c r="M1168" s="17">
        <v>10</v>
      </c>
      <c r="N1168" s="18">
        <v>91167</v>
      </c>
      <c r="O1168" s="18" t="s">
        <v>29</v>
      </c>
      <c r="P1168" s="19">
        <v>45383</v>
      </c>
      <c r="Q1168" s="20">
        <v>0.48797000000000001</v>
      </c>
      <c r="R1168" s="21">
        <v>71167</v>
      </c>
      <c r="S1168" s="18" t="s">
        <v>41</v>
      </c>
      <c r="T1168" s="20">
        <v>72038.778510000004</v>
      </c>
      <c r="U1168" s="18" t="s">
        <v>31</v>
      </c>
      <c r="V1168" s="19">
        <v>45392</v>
      </c>
      <c r="W1168" s="18" t="s">
        <v>38</v>
      </c>
      <c r="X1168" s="19">
        <v>45376</v>
      </c>
      <c r="Y1168" s="18" t="s">
        <v>39</v>
      </c>
      <c r="Z1168" s="43" t="e">
        <f>TEXT([1]!Table64[[#This Row],[Order date]],"mmm-yyyy")</f>
        <v>#REF!</v>
      </c>
    </row>
    <row r="1169" spans="1:26" x14ac:dyDescent="0.3">
      <c r="A1169" s="22">
        <v>11168</v>
      </c>
      <c r="B1169" s="23">
        <v>5667</v>
      </c>
      <c r="C1169" s="23" t="s">
        <v>34</v>
      </c>
      <c r="D1169" s="24">
        <v>40448.61</v>
      </c>
      <c r="E1169" s="23">
        <v>94</v>
      </c>
      <c r="F1169" s="23" t="s">
        <v>35</v>
      </c>
      <c r="G1169" s="25">
        <v>45361</v>
      </c>
      <c r="H1169" s="24">
        <v>119216.48</v>
      </c>
      <c r="I1169" s="26" t="s">
        <v>44</v>
      </c>
      <c r="J1169" s="15" t="s">
        <v>49</v>
      </c>
      <c r="K1169" s="15">
        <v>879</v>
      </c>
      <c r="L1169" s="16">
        <v>45332</v>
      </c>
      <c r="M1169" s="17">
        <v>5</v>
      </c>
      <c r="N1169" s="27">
        <v>91168</v>
      </c>
      <c r="O1169" s="27" t="s">
        <v>29</v>
      </c>
      <c r="P1169" s="28">
        <v>45352</v>
      </c>
      <c r="Q1169" s="29">
        <v>0.4612</v>
      </c>
      <c r="R1169" s="30">
        <v>71168</v>
      </c>
      <c r="S1169" s="27" t="s">
        <v>41</v>
      </c>
      <c r="T1169" s="29">
        <v>82202.126000000004</v>
      </c>
      <c r="U1169" s="27" t="s">
        <v>31</v>
      </c>
      <c r="V1169" s="28">
        <v>45444</v>
      </c>
      <c r="W1169" s="27" t="s">
        <v>32</v>
      </c>
      <c r="X1169" s="28">
        <v>45376</v>
      </c>
      <c r="Y1169" s="27" t="s">
        <v>39</v>
      </c>
      <c r="Z1169" s="43" t="e">
        <f>TEXT([1]!Table64[[#This Row],[Order date]],"mmm-yyyy")</f>
        <v>#REF!</v>
      </c>
    </row>
    <row r="1170" spans="1:26" x14ac:dyDescent="0.3">
      <c r="A1170" s="10">
        <v>11169</v>
      </c>
      <c r="B1170" s="11">
        <v>5093</v>
      </c>
      <c r="C1170" s="11" t="s">
        <v>34</v>
      </c>
      <c r="D1170" s="12">
        <v>17141.41</v>
      </c>
      <c r="E1170" s="11">
        <v>34</v>
      </c>
      <c r="F1170" s="11" t="s">
        <v>43</v>
      </c>
      <c r="G1170" s="13">
        <v>45383</v>
      </c>
      <c r="H1170" s="12">
        <v>76458.14</v>
      </c>
      <c r="I1170" s="14" t="s">
        <v>44</v>
      </c>
      <c r="J1170" s="15" t="s">
        <v>36</v>
      </c>
      <c r="K1170" s="15">
        <v>1272</v>
      </c>
      <c r="L1170" s="16">
        <v>45397</v>
      </c>
      <c r="M1170" s="17">
        <v>1</v>
      </c>
      <c r="N1170" s="18">
        <v>91169</v>
      </c>
      <c r="O1170" s="18" t="s">
        <v>29</v>
      </c>
      <c r="P1170" s="19">
        <v>45352</v>
      </c>
      <c r="Q1170" s="20">
        <v>0.12548999999999999</v>
      </c>
      <c r="R1170" s="21">
        <v>71169</v>
      </c>
      <c r="S1170" s="18" t="s">
        <v>45</v>
      </c>
      <c r="T1170" s="20">
        <v>140176.37409999999</v>
      </c>
      <c r="U1170" s="18" t="s">
        <v>42</v>
      </c>
      <c r="V1170" s="19">
        <v>45444</v>
      </c>
      <c r="W1170" s="18" t="s">
        <v>38</v>
      </c>
      <c r="X1170" s="19">
        <v>45384</v>
      </c>
      <c r="Y1170" s="18" t="s">
        <v>39</v>
      </c>
      <c r="Z1170" s="43" t="e">
        <f>TEXT([1]!Table64[[#This Row],[Order date]],"mmm-yyyy")</f>
        <v>#REF!</v>
      </c>
    </row>
    <row r="1171" spans="1:26" x14ac:dyDescent="0.3">
      <c r="A1171" s="22">
        <v>11170</v>
      </c>
      <c r="B1171" s="23">
        <v>5672</v>
      </c>
      <c r="C1171" s="23" t="s">
        <v>34</v>
      </c>
      <c r="D1171" s="24">
        <v>45737.04</v>
      </c>
      <c r="E1171" s="23">
        <v>37</v>
      </c>
      <c r="F1171" s="23" t="s">
        <v>46</v>
      </c>
      <c r="G1171" s="25">
        <v>45337</v>
      </c>
      <c r="H1171" s="24">
        <v>125210.46</v>
      </c>
      <c r="I1171" s="26" t="s">
        <v>44</v>
      </c>
      <c r="J1171" s="15" t="s">
        <v>49</v>
      </c>
      <c r="K1171" s="15">
        <v>1344</v>
      </c>
      <c r="L1171" s="16">
        <v>45332</v>
      </c>
      <c r="M1171" s="17">
        <v>6</v>
      </c>
      <c r="N1171" s="27">
        <v>91170</v>
      </c>
      <c r="O1171" s="27" t="s">
        <v>50</v>
      </c>
      <c r="P1171" s="28">
        <v>45352</v>
      </c>
      <c r="Q1171" s="29">
        <v>0.72575000000000001</v>
      </c>
      <c r="R1171" s="30">
        <v>71170</v>
      </c>
      <c r="S1171" s="27" t="s">
        <v>41</v>
      </c>
      <c r="T1171" s="29">
        <v>217424.69959999999</v>
      </c>
      <c r="U1171" s="27" t="s">
        <v>31</v>
      </c>
      <c r="V1171" s="28">
        <v>45444</v>
      </c>
      <c r="W1171" s="27" t="s">
        <v>38</v>
      </c>
      <c r="X1171" s="28">
        <v>45384</v>
      </c>
      <c r="Y1171" s="27" t="s">
        <v>33</v>
      </c>
      <c r="Z1171" s="43" t="e">
        <f>TEXT([1]!Table64[[#This Row],[Order date]],"mmm-yyyy")</f>
        <v>#REF!</v>
      </c>
    </row>
    <row r="1172" spans="1:26" x14ac:dyDescent="0.3">
      <c r="A1172" s="10">
        <v>11171</v>
      </c>
      <c r="B1172" s="11">
        <v>6970</v>
      </c>
      <c r="C1172" s="11" t="s">
        <v>34</v>
      </c>
      <c r="D1172" s="12">
        <v>24043.360000000001</v>
      </c>
      <c r="E1172" s="11">
        <v>6</v>
      </c>
      <c r="F1172" s="11" t="s">
        <v>46</v>
      </c>
      <c r="G1172" s="13">
        <v>45337</v>
      </c>
      <c r="H1172" s="12">
        <v>17547.82</v>
      </c>
      <c r="I1172" s="14" t="s">
        <v>44</v>
      </c>
      <c r="J1172" s="15" t="s">
        <v>49</v>
      </c>
      <c r="K1172" s="15">
        <v>795</v>
      </c>
      <c r="L1172" s="16">
        <v>45332</v>
      </c>
      <c r="M1172" s="17">
        <v>13</v>
      </c>
      <c r="N1172" s="18">
        <v>91171</v>
      </c>
      <c r="O1172" s="18" t="s">
        <v>37</v>
      </c>
      <c r="P1172" s="19">
        <v>45383</v>
      </c>
      <c r="Q1172" s="20">
        <v>0.82674999999999998</v>
      </c>
      <c r="R1172" s="21">
        <v>71171</v>
      </c>
      <c r="S1172" s="18" t="s">
        <v>45</v>
      </c>
      <c r="T1172" s="20">
        <v>199034.64081000001</v>
      </c>
      <c r="U1172" s="18" t="s">
        <v>31</v>
      </c>
      <c r="V1172" s="19">
        <v>45392</v>
      </c>
      <c r="W1172" s="18" t="s">
        <v>38</v>
      </c>
      <c r="X1172" s="19">
        <v>45376</v>
      </c>
      <c r="Y1172" s="18" t="s">
        <v>33</v>
      </c>
      <c r="Z1172" s="43" t="e">
        <f>TEXT([1]!Table64[[#This Row],[Order date]],"mmm-yyyy")</f>
        <v>#REF!</v>
      </c>
    </row>
    <row r="1173" spans="1:26" x14ac:dyDescent="0.3">
      <c r="A1173" s="22">
        <v>11172</v>
      </c>
      <c r="B1173" s="23">
        <v>5061</v>
      </c>
      <c r="C1173" s="23" t="s">
        <v>25</v>
      </c>
      <c r="D1173" s="24">
        <v>68711.89</v>
      </c>
      <c r="E1173" s="23">
        <v>7</v>
      </c>
      <c r="F1173" s="23" t="s">
        <v>35</v>
      </c>
      <c r="G1173" s="25">
        <v>45383</v>
      </c>
      <c r="H1173" s="24">
        <v>159662.65</v>
      </c>
      <c r="I1173" s="26" t="s">
        <v>44</v>
      </c>
      <c r="J1173" s="15" t="s">
        <v>36</v>
      </c>
      <c r="K1173" s="15">
        <v>607</v>
      </c>
      <c r="L1173" s="16">
        <v>45397</v>
      </c>
      <c r="M1173" s="17">
        <v>7</v>
      </c>
      <c r="N1173" s="27">
        <v>91172</v>
      </c>
      <c r="O1173" s="27" t="s">
        <v>50</v>
      </c>
      <c r="P1173" s="28">
        <v>45352</v>
      </c>
      <c r="Q1173" s="29">
        <v>0.69720000000000004</v>
      </c>
      <c r="R1173" s="30">
        <v>71172</v>
      </c>
      <c r="S1173" s="27" t="s">
        <v>45</v>
      </c>
      <c r="T1173" s="29">
        <v>115051.35305999999</v>
      </c>
      <c r="U1173" s="27" t="s">
        <v>42</v>
      </c>
      <c r="V1173" s="28">
        <v>45422</v>
      </c>
      <c r="W1173" s="27" t="s">
        <v>38</v>
      </c>
      <c r="X1173" s="28">
        <v>45384</v>
      </c>
      <c r="Y1173" s="27" t="s">
        <v>33</v>
      </c>
      <c r="Z1173" s="43" t="e">
        <f>TEXT([1]!Table64[[#This Row],[Order date]],"mmm-yyyy")</f>
        <v>#REF!</v>
      </c>
    </row>
    <row r="1174" spans="1:26" x14ac:dyDescent="0.3">
      <c r="A1174" s="10">
        <v>11173</v>
      </c>
      <c r="B1174" s="11">
        <v>5634</v>
      </c>
      <c r="C1174" s="11" t="s">
        <v>34</v>
      </c>
      <c r="D1174" s="12">
        <v>41970.52</v>
      </c>
      <c r="E1174" s="11">
        <v>96</v>
      </c>
      <c r="F1174" s="11" t="s">
        <v>26</v>
      </c>
      <c r="G1174" s="13">
        <v>45306</v>
      </c>
      <c r="H1174" s="12">
        <v>98881.600000000006</v>
      </c>
      <c r="I1174" s="14" t="s">
        <v>27</v>
      </c>
      <c r="J1174" s="15" t="s">
        <v>36</v>
      </c>
      <c r="K1174" s="15">
        <v>113</v>
      </c>
      <c r="L1174" s="16">
        <v>45332</v>
      </c>
      <c r="M1174" s="17">
        <v>1</v>
      </c>
      <c r="N1174" s="18">
        <v>91173</v>
      </c>
      <c r="O1174" s="18" t="s">
        <v>50</v>
      </c>
      <c r="P1174" s="19">
        <v>45352</v>
      </c>
      <c r="Q1174" s="20">
        <v>0.23622000000000001</v>
      </c>
      <c r="R1174" s="21">
        <v>71173</v>
      </c>
      <c r="S1174" s="18" t="s">
        <v>41</v>
      </c>
      <c r="T1174" s="20">
        <v>142228.1826</v>
      </c>
      <c r="U1174" s="18" t="s">
        <v>48</v>
      </c>
      <c r="V1174" s="19">
        <v>45422</v>
      </c>
      <c r="W1174" s="18" t="s">
        <v>32</v>
      </c>
      <c r="X1174" s="19">
        <v>45376</v>
      </c>
      <c r="Y1174" s="18" t="s">
        <v>33</v>
      </c>
      <c r="Z1174" s="43" t="e">
        <f>TEXT([1]!Table64[[#This Row],[Order date]],"mmm-yyyy")</f>
        <v>#REF!</v>
      </c>
    </row>
    <row r="1175" spans="1:26" x14ac:dyDescent="0.3">
      <c r="A1175" s="22">
        <v>11174</v>
      </c>
      <c r="B1175" s="23">
        <v>6075</v>
      </c>
      <c r="C1175" s="23" t="s">
        <v>34</v>
      </c>
      <c r="D1175" s="24">
        <v>22629.54</v>
      </c>
      <c r="E1175" s="23">
        <v>96</v>
      </c>
      <c r="F1175" s="23" t="s">
        <v>26</v>
      </c>
      <c r="G1175" s="25">
        <v>45306</v>
      </c>
      <c r="H1175" s="24">
        <v>78828.350000000006</v>
      </c>
      <c r="I1175" s="26" t="s">
        <v>44</v>
      </c>
      <c r="J1175" s="15" t="s">
        <v>28</v>
      </c>
      <c r="K1175" s="15">
        <v>1303</v>
      </c>
      <c r="L1175" s="16">
        <v>45361</v>
      </c>
      <c r="M1175" s="17">
        <v>9</v>
      </c>
      <c r="N1175" s="27">
        <v>91174</v>
      </c>
      <c r="O1175" s="27" t="s">
        <v>40</v>
      </c>
      <c r="P1175" s="28">
        <v>45383</v>
      </c>
      <c r="Q1175" s="29">
        <v>0.19295999999999999</v>
      </c>
      <c r="R1175" s="30">
        <v>71174</v>
      </c>
      <c r="S1175" s="27" t="s">
        <v>41</v>
      </c>
      <c r="T1175" s="29">
        <v>113046.1491</v>
      </c>
      <c r="U1175" s="27" t="s">
        <v>48</v>
      </c>
      <c r="V1175" s="28">
        <v>45444</v>
      </c>
      <c r="W1175" s="27" t="s">
        <v>32</v>
      </c>
      <c r="X1175" s="28">
        <v>45376</v>
      </c>
      <c r="Y1175" s="27" t="s">
        <v>33</v>
      </c>
      <c r="Z1175" s="43" t="e">
        <f>TEXT([1]!Table64[[#This Row],[Order date]],"mmm-yyyy")</f>
        <v>#REF!</v>
      </c>
    </row>
    <row r="1176" spans="1:26" x14ac:dyDescent="0.3">
      <c r="A1176" s="10">
        <v>11175</v>
      </c>
      <c r="B1176" s="11">
        <v>6427</v>
      </c>
      <c r="C1176" s="11" t="s">
        <v>34</v>
      </c>
      <c r="D1176" s="12">
        <v>33592.33</v>
      </c>
      <c r="E1176" s="11">
        <v>25</v>
      </c>
      <c r="F1176" s="11" t="s">
        <v>43</v>
      </c>
      <c r="G1176" s="13">
        <v>45361</v>
      </c>
      <c r="H1176" s="12">
        <v>117640.24</v>
      </c>
      <c r="I1176" s="14" t="s">
        <v>47</v>
      </c>
      <c r="J1176" s="15" t="s">
        <v>49</v>
      </c>
      <c r="K1176" s="15">
        <v>991</v>
      </c>
      <c r="L1176" s="16">
        <v>45361</v>
      </c>
      <c r="M1176" s="17">
        <v>8</v>
      </c>
      <c r="N1176" s="18">
        <v>91175</v>
      </c>
      <c r="O1176" s="18" t="s">
        <v>37</v>
      </c>
      <c r="P1176" s="19">
        <v>45430</v>
      </c>
      <c r="Q1176" s="20">
        <v>0.61556999999999995</v>
      </c>
      <c r="R1176" s="21">
        <v>71175</v>
      </c>
      <c r="S1176" s="18" t="s">
        <v>45</v>
      </c>
      <c r="T1176" s="20">
        <v>129151.2059</v>
      </c>
      <c r="U1176" s="18" t="s">
        <v>31</v>
      </c>
      <c r="V1176" s="19">
        <v>45444</v>
      </c>
      <c r="W1176" s="18" t="s">
        <v>38</v>
      </c>
      <c r="X1176" s="19">
        <v>45384</v>
      </c>
      <c r="Y1176" s="18" t="s">
        <v>33</v>
      </c>
      <c r="Z1176" s="43" t="e">
        <f>TEXT([1]!Table64[[#This Row],[Order date]],"mmm-yyyy")</f>
        <v>#REF!</v>
      </c>
    </row>
    <row r="1177" spans="1:26" x14ac:dyDescent="0.3">
      <c r="A1177" s="22">
        <v>11176</v>
      </c>
      <c r="B1177" s="23">
        <v>6813</v>
      </c>
      <c r="C1177" s="23" t="s">
        <v>25</v>
      </c>
      <c r="D1177" s="24">
        <v>65675.14</v>
      </c>
      <c r="E1177" s="23">
        <v>33</v>
      </c>
      <c r="F1177" s="23" t="s">
        <v>43</v>
      </c>
      <c r="G1177" s="25">
        <v>45337</v>
      </c>
      <c r="H1177" s="24">
        <v>47531.18</v>
      </c>
      <c r="I1177" s="26" t="s">
        <v>44</v>
      </c>
      <c r="J1177" s="15" t="s">
        <v>36</v>
      </c>
      <c r="K1177" s="15">
        <v>298</v>
      </c>
      <c r="L1177" s="16">
        <v>45332</v>
      </c>
      <c r="M1177" s="17">
        <v>12</v>
      </c>
      <c r="N1177" s="27">
        <v>91176</v>
      </c>
      <c r="O1177" s="27" t="s">
        <v>40</v>
      </c>
      <c r="P1177" s="28">
        <v>45430</v>
      </c>
      <c r="Q1177" s="29">
        <v>0.46135999999999999</v>
      </c>
      <c r="R1177" s="30">
        <v>71176</v>
      </c>
      <c r="S1177" s="27" t="s">
        <v>41</v>
      </c>
      <c r="T1177" s="29">
        <v>173357.06813</v>
      </c>
      <c r="U1177" s="27" t="s">
        <v>48</v>
      </c>
      <c r="V1177" s="28">
        <v>45422</v>
      </c>
      <c r="W1177" s="27" t="s">
        <v>32</v>
      </c>
      <c r="X1177" s="28">
        <v>45376</v>
      </c>
      <c r="Y1177" s="27" t="s">
        <v>33</v>
      </c>
      <c r="Z1177" s="43" t="e">
        <f>TEXT([1]!Table64[[#This Row],[Order date]],"mmm-yyyy")</f>
        <v>#REF!</v>
      </c>
    </row>
    <row r="1178" spans="1:26" x14ac:dyDescent="0.3">
      <c r="A1178" s="10">
        <v>11177</v>
      </c>
      <c r="B1178" s="11">
        <v>6029</v>
      </c>
      <c r="C1178" s="11" t="s">
        <v>34</v>
      </c>
      <c r="D1178" s="12">
        <v>87839.54</v>
      </c>
      <c r="E1178" s="11">
        <v>55</v>
      </c>
      <c r="F1178" s="11" t="s">
        <v>46</v>
      </c>
      <c r="G1178" s="13">
        <v>45383</v>
      </c>
      <c r="H1178" s="12">
        <v>11808.93</v>
      </c>
      <c r="I1178" s="14" t="s">
        <v>44</v>
      </c>
      <c r="J1178" s="15" t="s">
        <v>49</v>
      </c>
      <c r="K1178" s="15">
        <v>1319</v>
      </c>
      <c r="L1178" s="16">
        <v>45361</v>
      </c>
      <c r="M1178" s="17">
        <v>14</v>
      </c>
      <c r="N1178" s="18">
        <v>91177</v>
      </c>
      <c r="O1178" s="18" t="s">
        <v>29</v>
      </c>
      <c r="P1178" s="19">
        <v>45430</v>
      </c>
      <c r="Q1178" s="20">
        <v>0.48619000000000001</v>
      </c>
      <c r="R1178" s="21">
        <v>71177</v>
      </c>
      <c r="S1178" s="18" t="s">
        <v>30</v>
      </c>
      <c r="T1178" s="20">
        <v>178095.64170000001</v>
      </c>
      <c r="U1178" s="18" t="s">
        <v>31</v>
      </c>
      <c r="V1178" s="19">
        <v>45444</v>
      </c>
      <c r="W1178" s="18" t="s">
        <v>38</v>
      </c>
      <c r="X1178" s="19">
        <v>45376</v>
      </c>
      <c r="Y1178" s="18" t="s">
        <v>39</v>
      </c>
      <c r="Z1178" s="43" t="e">
        <f>TEXT([1]!Table64[[#This Row],[Order date]],"mmm-yyyy")</f>
        <v>#REF!</v>
      </c>
    </row>
    <row r="1179" spans="1:26" x14ac:dyDescent="0.3">
      <c r="A1179" s="22">
        <v>11178</v>
      </c>
      <c r="B1179" s="23">
        <v>6490</v>
      </c>
      <c r="C1179" s="23" t="s">
        <v>34</v>
      </c>
      <c r="D1179" s="24">
        <v>29861.81</v>
      </c>
      <c r="E1179" s="23">
        <v>58</v>
      </c>
      <c r="F1179" s="23" t="s">
        <v>35</v>
      </c>
      <c r="G1179" s="25">
        <v>45306</v>
      </c>
      <c r="H1179" s="24">
        <v>46596.800000000003</v>
      </c>
      <c r="I1179" s="26" t="s">
        <v>44</v>
      </c>
      <c r="J1179" s="15" t="s">
        <v>49</v>
      </c>
      <c r="K1179" s="15">
        <v>989</v>
      </c>
      <c r="L1179" s="16">
        <v>45397</v>
      </c>
      <c r="M1179" s="17">
        <v>14</v>
      </c>
      <c r="N1179" s="27">
        <v>91178</v>
      </c>
      <c r="O1179" s="27" t="s">
        <v>50</v>
      </c>
      <c r="P1179" s="28">
        <v>45383</v>
      </c>
      <c r="Q1179" s="29">
        <v>0.97101999999999999</v>
      </c>
      <c r="R1179" s="30">
        <v>71178</v>
      </c>
      <c r="S1179" s="27" t="s">
        <v>45</v>
      </c>
      <c r="T1179" s="29">
        <v>57056.525860000002</v>
      </c>
      <c r="U1179" s="27" t="s">
        <v>48</v>
      </c>
      <c r="V1179" s="28">
        <v>45444</v>
      </c>
      <c r="W1179" s="27" t="s">
        <v>38</v>
      </c>
      <c r="X1179" s="28">
        <v>45376</v>
      </c>
      <c r="Y1179" s="27" t="s">
        <v>39</v>
      </c>
      <c r="Z1179" s="43" t="e">
        <f>TEXT([1]!Table64[[#This Row],[Order date]],"mmm-yyyy")</f>
        <v>#REF!</v>
      </c>
    </row>
    <row r="1180" spans="1:26" x14ac:dyDescent="0.3">
      <c r="A1180" s="10">
        <v>11179</v>
      </c>
      <c r="B1180" s="11">
        <v>5604</v>
      </c>
      <c r="C1180" s="11" t="s">
        <v>34</v>
      </c>
      <c r="D1180" s="12">
        <v>78202.48</v>
      </c>
      <c r="E1180" s="11">
        <v>7</v>
      </c>
      <c r="F1180" s="11" t="s">
        <v>46</v>
      </c>
      <c r="G1180" s="13">
        <v>45361</v>
      </c>
      <c r="H1180" s="12">
        <v>103171.75</v>
      </c>
      <c r="I1180" s="14" t="s">
        <v>44</v>
      </c>
      <c r="J1180" s="15" t="s">
        <v>36</v>
      </c>
      <c r="K1180" s="15">
        <v>206</v>
      </c>
      <c r="L1180" s="16">
        <v>45361</v>
      </c>
      <c r="M1180" s="17">
        <v>8</v>
      </c>
      <c r="N1180" s="18">
        <v>91179</v>
      </c>
      <c r="O1180" s="18" t="s">
        <v>37</v>
      </c>
      <c r="P1180" s="19">
        <v>45383</v>
      </c>
      <c r="Q1180" s="20">
        <v>0.75153000000000003</v>
      </c>
      <c r="R1180" s="21">
        <v>71179</v>
      </c>
      <c r="S1180" s="18" t="s">
        <v>41</v>
      </c>
      <c r="T1180" s="20">
        <v>87492.399879999997</v>
      </c>
      <c r="U1180" s="18" t="s">
        <v>48</v>
      </c>
      <c r="V1180" s="19">
        <v>45422</v>
      </c>
      <c r="W1180" s="18" t="s">
        <v>38</v>
      </c>
      <c r="X1180" s="19">
        <v>45376</v>
      </c>
      <c r="Y1180" s="18" t="s">
        <v>33</v>
      </c>
      <c r="Z1180" s="43" t="e">
        <f>TEXT([1]!Table64[[#This Row],[Order date]],"mmm-yyyy")</f>
        <v>#REF!</v>
      </c>
    </row>
    <row r="1181" spans="1:26" x14ac:dyDescent="0.3">
      <c r="A1181" s="22">
        <v>11180</v>
      </c>
      <c r="B1181" s="23">
        <v>5682</v>
      </c>
      <c r="C1181" s="23" t="s">
        <v>34</v>
      </c>
      <c r="D1181" s="24">
        <v>73957.679999999993</v>
      </c>
      <c r="E1181" s="23">
        <v>57</v>
      </c>
      <c r="F1181" s="23" t="s">
        <v>43</v>
      </c>
      <c r="G1181" s="25">
        <v>45337</v>
      </c>
      <c r="H1181" s="24">
        <v>92360.93</v>
      </c>
      <c r="I1181" s="26" t="s">
        <v>44</v>
      </c>
      <c r="J1181" s="15" t="s">
        <v>28</v>
      </c>
      <c r="K1181" s="15">
        <v>784</v>
      </c>
      <c r="L1181" s="16">
        <v>45332</v>
      </c>
      <c r="M1181" s="17">
        <v>7</v>
      </c>
      <c r="N1181" s="27">
        <v>91180</v>
      </c>
      <c r="O1181" s="27" t="s">
        <v>29</v>
      </c>
      <c r="P1181" s="28">
        <v>45430</v>
      </c>
      <c r="Q1181" s="29">
        <v>0.47060999999999997</v>
      </c>
      <c r="R1181" s="30">
        <v>71180</v>
      </c>
      <c r="S1181" s="27" t="s">
        <v>41</v>
      </c>
      <c r="T1181" s="29">
        <v>119371.9662</v>
      </c>
      <c r="U1181" s="27" t="s">
        <v>48</v>
      </c>
      <c r="V1181" s="28">
        <v>45444</v>
      </c>
      <c r="W1181" s="27" t="s">
        <v>38</v>
      </c>
      <c r="X1181" s="28">
        <v>45384</v>
      </c>
      <c r="Y1181" s="27" t="s">
        <v>39</v>
      </c>
      <c r="Z1181" s="43" t="e">
        <f>TEXT([1]!Table64[[#This Row],[Order date]],"mmm-yyyy")</f>
        <v>#REF!</v>
      </c>
    </row>
    <row r="1182" spans="1:26" x14ac:dyDescent="0.3">
      <c r="A1182" s="10">
        <v>11181</v>
      </c>
      <c r="B1182" s="11">
        <v>6853</v>
      </c>
      <c r="C1182" s="11" t="s">
        <v>34</v>
      </c>
      <c r="D1182" s="12">
        <v>78179.63</v>
      </c>
      <c r="E1182" s="11">
        <v>12</v>
      </c>
      <c r="F1182" s="11" t="s">
        <v>35</v>
      </c>
      <c r="G1182" s="13">
        <v>45337</v>
      </c>
      <c r="H1182" s="12">
        <v>118912.11</v>
      </c>
      <c r="I1182" s="14" t="s">
        <v>44</v>
      </c>
      <c r="J1182" s="15" t="s">
        <v>49</v>
      </c>
      <c r="K1182" s="15">
        <v>1034</v>
      </c>
      <c r="L1182" s="16">
        <v>45397</v>
      </c>
      <c r="M1182" s="17">
        <v>5</v>
      </c>
      <c r="N1182" s="18">
        <v>91181</v>
      </c>
      <c r="O1182" s="18" t="s">
        <v>37</v>
      </c>
      <c r="P1182" s="19">
        <v>45352</v>
      </c>
      <c r="Q1182" s="20">
        <v>0.11719</v>
      </c>
      <c r="R1182" s="21">
        <v>71181</v>
      </c>
      <c r="S1182" s="18" t="s">
        <v>45</v>
      </c>
      <c r="T1182" s="20">
        <v>104566.1142</v>
      </c>
      <c r="U1182" s="18" t="s">
        <v>31</v>
      </c>
      <c r="V1182" s="19">
        <v>45444</v>
      </c>
      <c r="W1182" s="18" t="s">
        <v>32</v>
      </c>
      <c r="X1182" s="19">
        <v>45376</v>
      </c>
      <c r="Y1182" s="18" t="s">
        <v>33</v>
      </c>
      <c r="Z1182" s="43" t="e">
        <f>TEXT([1]!Table64[[#This Row],[Order date]],"mmm-yyyy")</f>
        <v>#REF!</v>
      </c>
    </row>
    <row r="1183" spans="1:26" x14ac:dyDescent="0.3">
      <c r="A1183" s="22">
        <v>11182</v>
      </c>
      <c r="B1183" s="23">
        <v>5534</v>
      </c>
      <c r="C1183" s="23" t="s">
        <v>25</v>
      </c>
      <c r="D1183" s="24">
        <v>80885.8</v>
      </c>
      <c r="E1183" s="23">
        <v>16</v>
      </c>
      <c r="F1183" s="23" t="s">
        <v>35</v>
      </c>
      <c r="G1183" s="25">
        <v>45361</v>
      </c>
      <c r="H1183" s="24">
        <v>28625.15</v>
      </c>
      <c r="I1183" s="26" t="s">
        <v>44</v>
      </c>
      <c r="J1183" s="15" t="s">
        <v>36</v>
      </c>
      <c r="K1183" s="15">
        <v>1161</v>
      </c>
      <c r="L1183" s="16">
        <v>45361</v>
      </c>
      <c r="M1183" s="17">
        <v>3</v>
      </c>
      <c r="N1183" s="27">
        <v>91182</v>
      </c>
      <c r="O1183" s="27" t="s">
        <v>50</v>
      </c>
      <c r="P1183" s="28">
        <v>45430</v>
      </c>
      <c r="Q1183" s="29">
        <v>0.13069</v>
      </c>
      <c r="R1183" s="30">
        <v>71182</v>
      </c>
      <c r="S1183" s="27" t="s">
        <v>41</v>
      </c>
      <c r="T1183" s="29">
        <v>109286.0128</v>
      </c>
      <c r="U1183" s="27" t="s">
        <v>42</v>
      </c>
      <c r="V1183" s="28">
        <v>45392</v>
      </c>
      <c r="W1183" s="27" t="s">
        <v>32</v>
      </c>
      <c r="X1183" s="28">
        <v>45376</v>
      </c>
      <c r="Y1183" s="27" t="s">
        <v>39</v>
      </c>
      <c r="Z1183" s="43" t="e">
        <f>TEXT([1]!Table64[[#This Row],[Order date]],"mmm-yyyy")</f>
        <v>#REF!</v>
      </c>
    </row>
    <row r="1184" spans="1:26" x14ac:dyDescent="0.3">
      <c r="A1184" s="10">
        <v>11183</v>
      </c>
      <c r="B1184" s="11">
        <v>6429</v>
      </c>
      <c r="C1184" s="11" t="s">
        <v>25</v>
      </c>
      <c r="D1184" s="12">
        <v>81112.33</v>
      </c>
      <c r="E1184" s="11">
        <v>80</v>
      </c>
      <c r="F1184" s="11" t="s">
        <v>43</v>
      </c>
      <c r="G1184" s="13">
        <v>45361</v>
      </c>
      <c r="H1184" s="12">
        <v>61442.09</v>
      </c>
      <c r="I1184" s="14" t="s">
        <v>44</v>
      </c>
      <c r="J1184" s="15" t="s">
        <v>28</v>
      </c>
      <c r="K1184" s="15">
        <v>1386</v>
      </c>
      <c r="L1184" s="16">
        <v>45397</v>
      </c>
      <c r="M1184" s="17">
        <v>12</v>
      </c>
      <c r="N1184" s="18">
        <v>91183</v>
      </c>
      <c r="O1184" s="18" t="s">
        <v>37</v>
      </c>
      <c r="P1184" s="19">
        <v>45383</v>
      </c>
      <c r="Q1184" s="20">
        <v>0.71631999999999996</v>
      </c>
      <c r="R1184" s="21">
        <v>71183</v>
      </c>
      <c r="S1184" s="18" t="s">
        <v>30</v>
      </c>
      <c r="T1184" s="20">
        <v>205492.35370000001</v>
      </c>
      <c r="U1184" s="18" t="s">
        <v>48</v>
      </c>
      <c r="V1184" s="19">
        <v>45444</v>
      </c>
      <c r="W1184" s="18" t="s">
        <v>38</v>
      </c>
      <c r="X1184" s="19">
        <v>45384</v>
      </c>
      <c r="Y1184" s="18" t="s">
        <v>39</v>
      </c>
      <c r="Z1184" s="43" t="e">
        <f>TEXT([1]!Table64[[#This Row],[Order date]],"mmm-yyyy")</f>
        <v>#REF!</v>
      </c>
    </row>
    <row r="1185" spans="1:26" x14ac:dyDescent="0.3">
      <c r="A1185" s="22">
        <v>11184</v>
      </c>
      <c r="B1185" s="23">
        <v>5838</v>
      </c>
      <c r="C1185" s="23" t="s">
        <v>34</v>
      </c>
      <c r="D1185" s="24">
        <v>71938.98</v>
      </c>
      <c r="E1185" s="23">
        <v>43</v>
      </c>
      <c r="F1185" s="23" t="s">
        <v>26</v>
      </c>
      <c r="G1185" s="25">
        <v>45306</v>
      </c>
      <c r="H1185" s="24">
        <v>56367.82</v>
      </c>
      <c r="I1185" s="26" t="s">
        <v>47</v>
      </c>
      <c r="J1185" s="15" t="s">
        <v>49</v>
      </c>
      <c r="K1185" s="15">
        <v>1139</v>
      </c>
      <c r="L1185" s="16">
        <v>45332</v>
      </c>
      <c r="M1185" s="17">
        <v>14</v>
      </c>
      <c r="N1185" s="27">
        <v>91184</v>
      </c>
      <c r="O1185" s="27" t="s">
        <v>29</v>
      </c>
      <c r="P1185" s="28">
        <v>45352</v>
      </c>
      <c r="Q1185" s="29">
        <v>0.85396000000000005</v>
      </c>
      <c r="R1185" s="30">
        <v>71184</v>
      </c>
      <c r="S1185" s="27" t="s">
        <v>30</v>
      </c>
      <c r="T1185" s="29">
        <v>76696.120800000004</v>
      </c>
      <c r="U1185" s="27" t="s">
        <v>48</v>
      </c>
      <c r="V1185" s="28">
        <v>45392</v>
      </c>
      <c r="W1185" s="27" t="s">
        <v>32</v>
      </c>
      <c r="X1185" s="28">
        <v>45376</v>
      </c>
      <c r="Y1185" s="27" t="s">
        <v>39</v>
      </c>
      <c r="Z1185" s="43" t="e">
        <f>TEXT([1]!Table64[[#This Row],[Order date]],"mmm-yyyy")</f>
        <v>#REF!</v>
      </c>
    </row>
    <row r="1186" spans="1:26" x14ac:dyDescent="0.3">
      <c r="A1186" s="10">
        <v>11185</v>
      </c>
      <c r="B1186" s="11">
        <v>6537</v>
      </c>
      <c r="C1186" s="11" t="s">
        <v>25</v>
      </c>
      <c r="D1186" s="12">
        <v>36711.39</v>
      </c>
      <c r="E1186" s="11">
        <v>77</v>
      </c>
      <c r="F1186" s="11" t="s">
        <v>26</v>
      </c>
      <c r="G1186" s="13">
        <v>45383</v>
      </c>
      <c r="H1186" s="12">
        <v>33540.19</v>
      </c>
      <c r="I1186" s="14" t="s">
        <v>44</v>
      </c>
      <c r="J1186" s="15" t="s">
        <v>36</v>
      </c>
      <c r="K1186" s="15">
        <v>711</v>
      </c>
      <c r="L1186" s="16">
        <v>45361</v>
      </c>
      <c r="M1186" s="17">
        <v>9</v>
      </c>
      <c r="N1186" s="18">
        <v>91185</v>
      </c>
      <c r="O1186" s="18" t="s">
        <v>40</v>
      </c>
      <c r="P1186" s="19">
        <v>45352</v>
      </c>
      <c r="Q1186" s="20">
        <v>0.73692999999999997</v>
      </c>
      <c r="R1186" s="21">
        <v>71185</v>
      </c>
      <c r="S1186" s="18" t="s">
        <v>41</v>
      </c>
      <c r="T1186" s="20">
        <v>188083.04430000001</v>
      </c>
      <c r="U1186" s="18" t="s">
        <v>48</v>
      </c>
      <c r="V1186" s="19">
        <v>45422</v>
      </c>
      <c r="W1186" s="18" t="s">
        <v>38</v>
      </c>
      <c r="X1186" s="19">
        <v>45376</v>
      </c>
      <c r="Y1186" s="18" t="s">
        <v>33</v>
      </c>
      <c r="Z1186" s="43" t="e">
        <f>TEXT([1]!Table64[[#This Row],[Order date]],"mmm-yyyy")</f>
        <v>#REF!</v>
      </c>
    </row>
    <row r="1187" spans="1:26" x14ac:dyDescent="0.3">
      <c r="A1187" s="22">
        <v>11186</v>
      </c>
      <c r="B1187" s="23">
        <v>5645</v>
      </c>
      <c r="C1187" s="23" t="s">
        <v>34</v>
      </c>
      <c r="D1187" s="24">
        <v>69124.649999999994</v>
      </c>
      <c r="E1187" s="23">
        <v>7</v>
      </c>
      <c r="F1187" s="23" t="s">
        <v>35</v>
      </c>
      <c r="G1187" s="25">
        <v>45337</v>
      </c>
      <c r="H1187" s="24">
        <v>148294.42000000001</v>
      </c>
      <c r="I1187" s="26" t="s">
        <v>47</v>
      </c>
      <c r="J1187" s="15" t="s">
        <v>49</v>
      </c>
      <c r="K1187" s="15">
        <v>1093</v>
      </c>
      <c r="L1187" s="16">
        <v>45397</v>
      </c>
      <c r="M1187" s="17">
        <v>14</v>
      </c>
      <c r="N1187" s="27">
        <v>91186</v>
      </c>
      <c r="O1187" s="27" t="s">
        <v>50</v>
      </c>
      <c r="P1187" s="28">
        <v>45383</v>
      </c>
      <c r="Q1187" s="29">
        <v>0.46529999999999999</v>
      </c>
      <c r="R1187" s="30">
        <v>71186</v>
      </c>
      <c r="S1187" s="27" t="s">
        <v>41</v>
      </c>
      <c r="T1187" s="29">
        <v>187808.3757</v>
      </c>
      <c r="U1187" s="27" t="s">
        <v>31</v>
      </c>
      <c r="V1187" s="28">
        <v>45392</v>
      </c>
      <c r="W1187" s="27" t="s">
        <v>32</v>
      </c>
      <c r="X1187" s="28">
        <v>45376</v>
      </c>
      <c r="Y1187" s="27" t="s">
        <v>39</v>
      </c>
      <c r="Z1187" s="43" t="e">
        <f>TEXT([1]!Table64[[#This Row],[Order date]],"mmm-yyyy")</f>
        <v>#REF!</v>
      </c>
    </row>
    <row r="1188" spans="1:26" x14ac:dyDescent="0.3">
      <c r="A1188" s="10">
        <v>11187</v>
      </c>
      <c r="B1188" s="11">
        <v>5233</v>
      </c>
      <c r="C1188" s="11" t="s">
        <v>34</v>
      </c>
      <c r="D1188" s="12">
        <v>9091.14</v>
      </c>
      <c r="E1188" s="11">
        <v>51</v>
      </c>
      <c r="F1188" s="11" t="s">
        <v>46</v>
      </c>
      <c r="G1188" s="13">
        <v>45383</v>
      </c>
      <c r="H1188" s="12">
        <v>109650.82</v>
      </c>
      <c r="I1188" s="14" t="s">
        <v>44</v>
      </c>
      <c r="J1188" s="15" t="s">
        <v>36</v>
      </c>
      <c r="K1188" s="15">
        <v>82</v>
      </c>
      <c r="L1188" s="16">
        <v>45397</v>
      </c>
      <c r="M1188" s="17">
        <v>7</v>
      </c>
      <c r="N1188" s="18">
        <v>91187</v>
      </c>
      <c r="O1188" s="18" t="s">
        <v>40</v>
      </c>
      <c r="P1188" s="19">
        <v>45352</v>
      </c>
      <c r="Q1188" s="20">
        <v>0.12801999999999999</v>
      </c>
      <c r="R1188" s="21">
        <v>71187</v>
      </c>
      <c r="S1188" s="18" t="s">
        <v>41</v>
      </c>
      <c r="T1188" s="20">
        <v>120527.88920000001</v>
      </c>
      <c r="U1188" s="18" t="s">
        <v>42</v>
      </c>
      <c r="V1188" s="19">
        <v>45422</v>
      </c>
      <c r="W1188" s="18" t="s">
        <v>38</v>
      </c>
      <c r="X1188" s="19">
        <v>45376</v>
      </c>
      <c r="Y1188" s="18" t="s">
        <v>39</v>
      </c>
      <c r="Z1188" s="43" t="e">
        <f>TEXT([1]!Table64[[#This Row],[Order date]],"mmm-yyyy")</f>
        <v>#REF!</v>
      </c>
    </row>
    <row r="1189" spans="1:26" x14ac:dyDescent="0.3">
      <c r="A1189" s="22">
        <v>11188</v>
      </c>
      <c r="B1189" s="23">
        <v>5524</v>
      </c>
      <c r="C1189" s="23" t="s">
        <v>34</v>
      </c>
      <c r="D1189" s="24">
        <v>62825.72</v>
      </c>
      <c r="E1189" s="23">
        <v>73</v>
      </c>
      <c r="F1189" s="23" t="s">
        <v>26</v>
      </c>
      <c r="G1189" s="25">
        <v>45337</v>
      </c>
      <c r="H1189" s="24">
        <v>55928.95</v>
      </c>
      <c r="I1189" s="26" t="s">
        <v>27</v>
      </c>
      <c r="J1189" s="15" t="s">
        <v>36</v>
      </c>
      <c r="K1189" s="15">
        <v>607</v>
      </c>
      <c r="L1189" s="16">
        <v>45361</v>
      </c>
      <c r="M1189" s="17">
        <v>11</v>
      </c>
      <c r="N1189" s="27">
        <v>91188</v>
      </c>
      <c r="O1189" s="27" t="s">
        <v>50</v>
      </c>
      <c r="P1189" s="28">
        <v>45430</v>
      </c>
      <c r="Q1189" s="29">
        <v>0.97065999999999997</v>
      </c>
      <c r="R1189" s="30">
        <v>71188</v>
      </c>
      <c r="S1189" s="27" t="s">
        <v>41</v>
      </c>
      <c r="T1189" s="29">
        <v>67430.343389999995</v>
      </c>
      <c r="U1189" s="27" t="s">
        <v>31</v>
      </c>
      <c r="V1189" s="28">
        <v>45392</v>
      </c>
      <c r="W1189" s="27" t="s">
        <v>38</v>
      </c>
      <c r="X1189" s="28">
        <v>45376</v>
      </c>
      <c r="Y1189" s="27" t="s">
        <v>39</v>
      </c>
      <c r="Z1189" s="43" t="e">
        <f>TEXT([1]!Table64[[#This Row],[Order date]],"mmm-yyyy")</f>
        <v>#REF!</v>
      </c>
    </row>
    <row r="1190" spans="1:26" x14ac:dyDescent="0.3">
      <c r="A1190" s="10">
        <v>11189</v>
      </c>
      <c r="B1190" s="11">
        <v>5346</v>
      </c>
      <c r="C1190" s="11" t="s">
        <v>34</v>
      </c>
      <c r="D1190" s="12">
        <v>77168.31</v>
      </c>
      <c r="E1190" s="11">
        <v>32</v>
      </c>
      <c r="F1190" s="11" t="s">
        <v>46</v>
      </c>
      <c r="G1190" s="13">
        <v>45337</v>
      </c>
      <c r="H1190" s="12">
        <v>113176.65</v>
      </c>
      <c r="I1190" s="14" t="s">
        <v>44</v>
      </c>
      <c r="J1190" s="15" t="s">
        <v>49</v>
      </c>
      <c r="K1190" s="15">
        <v>122</v>
      </c>
      <c r="L1190" s="16">
        <v>45397</v>
      </c>
      <c r="M1190" s="17">
        <v>10</v>
      </c>
      <c r="N1190" s="18">
        <v>91189</v>
      </c>
      <c r="O1190" s="18" t="s">
        <v>29</v>
      </c>
      <c r="P1190" s="19">
        <v>45383</v>
      </c>
      <c r="Q1190" s="20">
        <v>0.98770000000000002</v>
      </c>
      <c r="R1190" s="21">
        <v>71189</v>
      </c>
      <c r="S1190" s="18" t="s">
        <v>41</v>
      </c>
      <c r="T1190" s="20">
        <v>61641.452649999999</v>
      </c>
      <c r="U1190" s="18" t="s">
        <v>48</v>
      </c>
      <c r="V1190" s="19">
        <v>45392</v>
      </c>
      <c r="W1190" s="18" t="s">
        <v>38</v>
      </c>
      <c r="X1190" s="19">
        <v>45376</v>
      </c>
      <c r="Y1190" s="18" t="s">
        <v>33</v>
      </c>
      <c r="Z1190" s="43" t="e">
        <f>TEXT([1]!Table64[[#This Row],[Order date]],"mmm-yyyy")</f>
        <v>#REF!</v>
      </c>
    </row>
    <row r="1191" spans="1:26" x14ac:dyDescent="0.3">
      <c r="A1191" s="22">
        <v>11190</v>
      </c>
      <c r="B1191" s="23">
        <v>6070</v>
      </c>
      <c r="C1191" s="23" t="s">
        <v>25</v>
      </c>
      <c r="D1191" s="24">
        <v>38692.94</v>
      </c>
      <c r="E1191" s="23">
        <v>75</v>
      </c>
      <c r="F1191" s="23" t="s">
        <v>26</v>
      </c>
      <c r="G1191" s="25">
        <v>45383</v>
      </c>
      <c r="H1191" s="24">
        <v>113168.79</v>
      </c>
      <c r="I1191" s="26" t="s">
        <v>44</v>
      </c>
      <c r="J1191" s="15" t="s">
        <v>49</v>
      </c>
      <c r="K1191" s="15">
        <v>874</v>
      </c>
      <c r="L1191" s="16">
        <v>45397</v>
      </c>
      <c r="M1191" s="17">
        <v>10</v>
      </c>
      <c r="N1191" s="27">
        <v>91190</v>
      </c>
      <c r="O1191" s="27" t="s">
        <v>50</v>
      </c>
      <c r="P1191" s="28">
        <v>45383</v>
      </c>
      <c r="Q1191" s="29">
        <v>0.59443000000000001</v>
      </c>
      <c r="R1191" s="30">
        <v>71190</v>
      </c>
      <c r="S1191" s="27" t="s">
        <v>45</v>
      </c>
      <c r="T1191" s="29">
        <v>168347.78964999999</v>
      </c>
      <c r="U1191" s="27" t="s">
        <v>31</v>
      </c>
      <c r="V1191" s="28">
        <v>45392</v>
      </c>
      <c r="W1191" s="27" t="s">
        <v>38</v>
      </c>
      <c r="X1191" s="28">
        <v>45384</v>
      </c>
      <c r="Y1191" s="27" t="s">
        <v>33</v>
      </c>
      <c r="Z1191" s="43" t="e">
        <f>TEXT([1]!Table64[[#This Row],[Order date]],"mmm-yyyy")</f>
        <v>#REF!</v>
      </c>
    </row>
    <row r="1192" spans="1:26" x14ac:dyDescent="0.3">
      <c r="A1192" s="10">
        <v>11191</v>
      </c>
      <c r="B1192" s="11">
        <v>5546</v>
      </c>
      <c r="C1192" s="11" t="s">
        <v>34</v>
      </c>
      <c r="D1192" s="12">
        <v>58454.53</v>
      </c>
      <c r="E1192" s="11">
        <v>8</v>
      </c>
      <c r="F1192" s="11" t="s">
        <v>26</v>
      </c>
      <c r="G1192" s="13">
        <v>45361</v>
      </c>
      <c r="H1192" s="12">
        <v>59604.800000000003</v>
      </c>
      <c r="I1192" s="14" t="s">
        <v>44</v>
      </c>
      <c r="J1192" s="15" t="s">
        <v>36</v>
      </c>
      <c r="K1192" s="15">
        <v>1416</v>
      </c>
      <c r="L1192" s="16">
        <v>45332</v>
      </c>
      <c r="M1192" s="17">
        <v>8</v>
      </c>
      <c r="N1192" s="18">
        <v>91191</v>
      </c>
      <c r="O1192" s="18" t="s">
        <v>40</v>
      </c>
      <c r="P1192" s="19">
        <v>45383</v>
      </c>
      <c r="Q1192" s="20">
        <v>0.1636</v>
      </c>
      <c r="R1192" s="21">
        <v>71191</v>
      </c>
      <c r="S1192" s="18" t="s">
        <v>30</v>
      </c>
      <c r="T1192" s="20">
        <v>141162.44320000001</v>
      </c>
      <c r="U1192" s="18" t="s">
        <v>48</v>
      </c>
      <c r="V1192" s="19">
        <v>45444</v>
      </c>
      <c r="W1192" s="18" t="s">
        <v>38</v>
      </c>
      <c r="X1192" s="19">
        <v>45376</v>
      </c>
      <c r="Y1192" s="18" t="s">
        <v>39</v>
      </c>
      <c r="Z1192" s="43" t="e">
        <f>TEXT([1]!Table64[[#This Row],[Order date]],"mmm-yyyy")</f>
        <v>#REF!</v>
      </c>
    </row>
    <row r="1193" spans="1:26" x14ac:dyDescent="0.3">
      <c r="A1193" s="22">
        <v>11192</v>
      </c>
      <c r="B1193" s="23">
        <v>6969</v>
      </c>
      <c r="C1193" s="23" t="s">
        <v>34</v>
      </c>
      <c r="D1193" s="24">
        <v>44418.67</v>
      </c>
      <c r="E1193" s="23">
        <v>97</v>
      </c>
      <c r="F1193" s="23" t="s">
        <v>46</v>
      </c>
      <c r="G1193" s="25">
        <v>45306</v>
      </c>
      <c r="H1193" s="24">
        <v>44880.959999999999</v>
      </c>
      <c r="I1193" s="26" t="s">
        <v>47</v>
      </c>
      <c r="J1193" s="15" t="s">
        <v>28</v>
      </c>
      <c r="K1193" s="15">
        <v>1206</v>
      </c>
      <c r="L1193" s="16">
        <v>45332</v>
      </c>
      <c r="M1193" s="17">
        <v>14</v>
      </c>
      <c r="N1193" s="27">
        <v>91192</v>
      </c>
      <c r="O1193" s="27" t="s">
        <v>50</v>
      </c>
      <c r="P1193" s="28">
        <v>45383</v>
      </c>
      <c r="Q1193" s="29">
        <v>0.58687999999999996</v>
      </c>
      <c r="R1193" s="30">
        <v>71192</v>
      </c>
      <c r="S1193" s="27" t="s">
        <v>45</v>
      </c>
      <c r="T1193" s="29">
        <v>195841.63370000001</v>
      </c>
      <c r="U1193" s="27" t="s">
        <v>48</v>
      </c>
      <c r="V1193" s="28">
        <v>45444</v>
      </c>
      <c r="W1193" s="27" t="s">
        <v>32</v>
      </c>
      <c r="X1193" s="28">
        <v>45376</v>
      </c>
      <c r="Y1193" s="27" t="s">
        <v>33</v>
      </c>
      <c r="Z1193" s="43" t="e">
        <f>TEXT([1]!Table64[[#This Row],[Order date]],"mmm-yyyy")</f>
        <v>#REF!</v>
      </c>
    </row>
    <row r="1194" spans="1:26" x14ac:dyDescent="0.3">
      <c r="A1194" s="10">
        <v>11193</v>
      </c>
      <c r="B1194" s="11">
        <v>6102</v>
      </c>
      <c r="C1194" s="11" t="s">
        <v>34</v>
      </c>
      <c r="D1194" s="12">
        <v>88116.08</v>
      </c>
      <c r="E1194" s="11">
        <v>87</v>
      </c>
      <c r="F1194" s="11" t="s">
        <v>43</v>
      </c>
      <c r="G1194" s="13">
        <v>45337</v>
      </c>
      <c r="H1194" s="12">
        <v>127971.32</v>
      </c>
      <c r="I1194" s="14" t="s">
        <v>27</v>
      </c>
      <c r="J1194" s="15" t="s">
        <v>49</v>
      </c>
      <c r="K1194" s="15">
        <v>1128</v>
      </c>
      <c r="L1194" s="16">
        <v>45332</v>
      </c>
      <c r="M1194" s="17">
        <v>6</v>
      </c>
      <c r="N1194" s="18">
        <v>91193</v>
      </c>
      <c r="O1194" s="18" t="s">
        <v>29</v>
      </c>
      <c r="P1194" s="19">
        <v>45352</v>
      </c>
      <c r="Q1194" s="20">
        <v>0.90310000000000001</v>
      </c>
      <c r="R1194" s="21">
        <v>71193</v>
      </c>
      <c r="S1194" s="18" t="s">
        <v>41</v>
      </c>
      <c r="T1194" s="20">
        <v>55079.308080000003</v>
      </c>
      <c r="U1194" s="18" t="s">
        <v>31</v>
      </c>
      <c r="V1194" s="19">
        <v>45444</v>
      </c>
      <c r="W1194" s="18" t="s">
        <v>32</v>
      </c>
      <c r="X1194" s="19">
        <v>45376</v>
      </c>
      <c r="Y1194" s="18" t="s">
        <v>33</v>
      </c>
      <c r="Z1194" s="43" t="e">
        <f>TEXT([1]!Table64[[#This Row],[Order date]],"mmm-yyyy")</f>
        <v>#REF!</v>
      </c>
    </row>
    <row r="1195" spans="1:26" x14ac:dyDescent="0.3">
      <c r="A1195" s="22">
        <v>11194</v>
      </c>
      <c r="B1195" s="23">
        <v>6754</v>
      </c>
      <c r="C1195" s="23" t="s">
        <v>25</v>
      </c>
      <c r="D1195" s="24">
        <v>66729.13</v>
      </c>
      <c r="E1195" s="23">
        <v>89</v>
      </c>
      <c r="F1195" s="23" t="s">
        <v>26</v>
      </c>
      <c r="G1195" s="25">
        <v>45361</v>
      </c>
      <c r="H1195" s="24">
        <v>178711.76</v>
      </c>
      <c r="I1195" s="26" t="s">
        <v>47</v>
      </c>
      <c r="J1195" s="15" t="s">
        <v>36</v>
      </c>
      <c r="K1195" s="15">
        <v>110</v>
      </c>
      <c r="L1195" s="16">
        <v>45332</v>
      </c>
      <c r="M1195" s="17">
        <v>12</v>
      </c>
      <c r="N1195" s="27">
        <v>91194</v>
      </c>
      <c r="O1195" s="27" t="s">
        <v>50</v>
      </c>
      <c r="P1195" s="28">
        <v>45383</v>
      </c>
      <c r="Q1195" s="29">
        <v>0.71199000000000001</v>
      </c>
      <c r="R1195" s="30">
        <v>71194</v>
      </c>
      <c r="S1195" s="27" t="s">
        <v>30</v>
      </c>
      <c r="T1195" s="29">
        <v>151324.25617000001</v>
      </c>
      <c r="U1195" s="27" t="s">
        <v>48</v>
      </c>
      <c r="V1195" s="28">
        <v>45444</v>
      </c>
      <c r="W1195" s="27" t="s">
        <v>38</v>
      </c>
      <c r="X1195" s="28">
        <v>45376</v>
      </c>
      <c r="Y1195" s="27" t="s">
        <v>33</v>
      </c>
      <c r="Z1195" s="43" t="e">
        <f>TEXT([1]!Table64[[#This Row],[Order date]],"mmm-yyyy")</f>
        <v>#REF!</v>
      </c>
    </row>
    <row r="1196" spans="1:26" x14ac:dyDescent="0.3">
      <c r="A1196" s="10">
        <v>11195</v>
      </c>
      <c r="B1196" s="11">
        <v>6837</v>
      </c>
      <c r="C1196" s="11" t="s">
        <v>34</v>
      </c>
      <c r="D1196" s="12">
        <v>12040.58</v>
      </c>
      <c r="E1196" s="11">
        <v>72</v>
      </c>
      <c r="F1196" s="11" t="s">
        <v>26</v>
      </c>
      <c r="G1196" s="13">
        <v>45337</v>
      </c>
      <c r="H1196" s="12">
        <v>71194.66</v>
      </c>
      <c r="I1196" s="14" t="s">
        <v>27</v>
      </c>
      <c r="J1196" s="15" t="s">
        <v>36</v>
      </c>
      <c r="K1196" s="15">
        <v>321</v>
      </c>
      <c r="L1196" s="16">
        <v>45332</v>
      </c>
      <c r="M1196" s="17">
        <v>14</v>
      </c>
      <c r="N1196" s="18">
        <v>91195</v>
      </c>
      <c r="O1196" s="18" t="s">
        <v>40</v>
      </c>
      <c r="P1196" s="19">
        <v>45383</v>
      </c>
      <c r="Q1196" s="20">
        <v>0.74799000000000004</v>
      </c>
      <c r="R1196" s="21">
        <v>71195</v>
      </c>
      <c r="S1196" s="18" t="s">
        <v>30</v>
      </c>
      <c r="T1196" s="20">
        <v>108224.9806</v>
      </c>
      <c r="U1196" s="18" t="s">
        <v>48</v>
      </c>
      <c r="V1196" s="19">
        <v>45444</v>
      </c>
      <c r="W1196" s="18" t="s">
        <v>32</v>
      </c>
      <c r="X1196" s="19">
        <v>45376</v>
      </c>
      <c r="Y1196" s="18" t="s">
        <v>33</v>
      </c>
      <c r="Z1196" s="43" t="e">
        <f>TEXT([1]!Table64[[#This Row],[Order date]],"mmm-yyyy")</f>
        <v>#REF!</v>
      </c>
    </row>
    <row r="1197" spans="1:26" x14ac:dyDescent="0.3">
      <c r="A1197" s="22">
        <v>11196</v>
      </c>
      <c r="B1197" s="23">
        <v>6947</v>
      </c>
      <c r="C1197" s="23" t="s">
        <v>34</v>
      </c>
      <c r="D1197" s="24">
        <v>51703.73</v>
      </c>
      <c r="E1197" s="23">
        <v>45</v>
      </c>
      <c r="F1197" s="23" t="s">
        <v>46</v>
      </c>
      <c r="G1197" s="25">
        <v>45306</v>
      </c>
      <c r="H1197" s="24">
        <v>173109.2</v>
      </c>
      <c r="I1197" s="26" t="s">
        <v>44</v>
      </c>
      <c r="J1197" s="15" t="s">
        <v>28</v>
      </c>
      <c r="K1197" s="15">
        <v>295</v>
      </c>
      <c r="L1197" s="16">
        <v>45332</v>
      </c>
      <c r="M1197" s="17">
        <v>11</v>
      </c>
      <c r="N1197" s="27">
        <v>91196</v>
      </c>
      <c r="O1197" s="27" t="s">
        <v>29</v>
      </c>
      <c r="P1197" s="28">
        <v>45352</v>
      </c>
      <c r="Q1197" s="29">
        <v>0.17646999999999999</v>
      </c>
      <c r="R1197" s="30">
        <v>71196</v>
      </c>
      <c r="S1197" s="27" t="s">
        <v>45</v>
      </c>
      <c r="T1197" s="29">
        <v>210241.79639999999</v>
      </c>
      <c r="U1197" s="27" t="s">
        <v>42</v>
      </c>
      <c r="V1197" s="28">
        <v>45392</v>
      </c>
      <c r="W1197" s="27" t="s">
        <v>38</v>
      </c>
      <c r="X1197" s="28">
        <v>45376</v>
      </c>
      <c r="Y1197" s="27" t="s">
        <v>33</v>
      </c>
      <c r="Z1197" s="43" t="e">
        <f>TEXT([1]!Table64[[#This Row],[Order date]],"mmm-yyyy")</f>
        <v>#REF!</v>
      </c>
    </row>
    <row r="1198" spans="1:26" x14ac:dyDescent="0.3">
      <c r="A1198" s="10">
        <v>11197</v>
      </c>
      <c r="B1198" s="11">
        <v>6097</v>
      </c>
      <c r="C1198" s="11" t="s">
        <v>25</v>
      </c>
      <c r="D1198" s="12">
        <v>74545.5</v>
      </c>
      <c r="E1198" s="11">
        <v>86</v>
      </c>
      <c r="F1198" s="11" t="s">
        <v>43</v>
      </c>
      <c r="G1198" s="13">
        <v>45337</v>
      </c>
      <c r="H1198" s="12">
        <v>39828.31</v>
      </c>
      <c r="I1198" s="14" t="s">
        <v>44</v>
      </c>
      <c r="J1198" s="15" t="s">
        <v>28</v>
      </c>
      <c r="K1198" s="15">
        <v>1249</v>
      </c>
      <c r="L1198" s="16">
        <v>45361</v>
      </c>
      <c r="M1198" s="17">
        <v>14</v>
      </c>
      <c r="N1198" s="18">
        <v>91197</v>
      </c>
      <c r="O1198" s="18" t="s">
        <v>40</v>
      </c>
      <c r="P1198" s="19">
        <v>45383</v>
      </c>
      <c r="Q1198" s="20">
        <v>0.19586000000000001</v>
      </c>
      <c r="R1198" s="21">
        <v>71197</v>
      </c>
      <c r="S1198" s="18" t="s">
        <v>41</v>
      </c>
      <c r="T1198" s="20">
        <v>211796.9405</v>
      </c>
      <c r="U1198" s="18" t="s">
        <v>31</v>
      </c>
      <c r="V1198" s="19">
        <v>45444</v>
      </c>
      <c r="W1198" s="18" t="s">
        <v>32</v>
      </c>
      <c r="X1198" s="19">
        <v>45376</v>
      </c>
      <c r="Y1198" s="18" t="s">
        <v>39</v>
      </c>
      <c r="Z1198" s="43" t="e">
        <f>TEXT([1]!Table64[[#This Row],[Order date]],"mmm-yyyy")</f>
        <v>#REF!</v>
      </c>
    </row>
    <row r="1199" spans="1:26" x14ac:dyDescent="0.3">
      <c r="A1199" s="22">
        <v>11198</v>
      </c>
      <c r="B1199" s="23">
        <v>5794</v>
      </c>
      <c r="C1199" s="23" t="s">
        <v>34</v>
      </c>
      <c r="D1199" s="24">
        <v>11304.9</v>
      </c>
      <c r="E1199" s="23">
        <v>59</v>
      </c>
      <c r="F1199" s="23" t="s">
        <v>26</v>
      </c>
      <c r="G1199" s="25">
        <v>45306</v>
      </c>
      <c r="H1199" s="24">
        <v>132058.63</v>
      </c>
      <c r="I1199" s="26" t="s">
        <v>44</v>
      </c>
      <c r="J1199" s="15" t="s">
        <v>28</v>
      </c>
      <c r="K1199" s="15">
        <v>677</v>
      </c>
      <c r="L1199" s="16">
        <v>45332</v>
      </c>
      <c r="M1199" s="17">
        <v>5</v>
      </c>
      <c r="N1199" s="27">
        <v>91198</v>
      </c>
      <c r="O1199" s="27" t="s">
        <v>50</v>
      </c>
      <c r="P1199" s="28">
        <v>45352</v>
      </c>
      <c r="Q1199" s="29">
        <v>0.21461</v>
      </c>
      <c r="R1199" s="30">
        <v>71198</v>
      </c>
      <c r="S1199" s="27" t="s">
        <v>30</v>
      </c>
      <c r="T1199" s="29">
        <v>79511.068700000003</v>
      </c>
      <c r="U1199" s="27" t="s">
        <v>31</v>
      </c>
      <c r="V1199" s="28">
        <v>45422</v>
      </c>
      <c r="W1199" s="27" t="s">
        <v>38</v>
      </c>
      <c r="X1199" s="28">
        <v>45376</v>
      </c>
      <c r="Y1199" s="27" t="s">
        <v>33</v>
      </c>
      <c r="Z1199" s="43" t="e">
        <f>TEXT([1]!Table64[[#This Row],[Order date]],"mmm-yyyy")</f>
        <v>#REF!</v>
      </c>
    </row>
    <row r="1200" spans="1:26" x14ac:dyDescent="0.3">
      <c r="A1200" s="10">
        <v>11199</v>
      </c>
      <c r="B1200" s="11">
        <v>5249</v>
      </c>
      <c r="C1200" s="11" t="s">
        <v>25</v>
      </c>
      <c r="D1200" s="12">
        <v>39667.61</v>
      </c>
      <c r="E1200" s="11">
        <v>4</v>
      </c>
      <c r="F1200" s="11" t="s">
        <v>26</v>
      </c>
      <c r="G1200" s="13">
        <v>45306</v>
      </c>
      <c r="H1200" s="12">
        <v>151723.96</v>
      </c>
      <c r="I1200" s="14" t="s">
        <v>47</v>
      </c>
      <c r="J1200" s="15" t="s">
        <v>49</v>
      </c>
      <c r="K1200" s="15">
        <v>1390</v>
      </c>
      <c r="L1200" s="16">
        <v>45397</v>
      </c>
      <c r="M1200" s="17">
        <v>8</v>
      </c>
      <c r="N1200" s="18">
        <v>91199</v>
      </c>
      <c r="O1200" s="18" t="s">
        <v>37</v>
      </c>
      <c r="P1200" s="19">
        <v>45352</v>
      </c>
      <c r="Q1200" s="20">
        <v>0.91393999999999997</v>
      </c>
      <c r="R1200" s="21">
        <v>71199</v>
      </c>
      <c r="S1200" s="18" t="s">
        <v>41</v>
      </c>
      <c r="T1200" s="20">
        <v>125001.9442</v>
      </c>
      <c r="U1200" s="18" t="s">
        <v>48</v>
      </c>
      <c r="V1200" s="19">
        <v>45392</v>
      </c>
      <c r="W1200" s="18" t="s">
        <v>38</v>
      </c>
      <c r="X1200" s="19">
        <v>45384</v>
      </c>
      <c r="Y1200" s="18" t="s">
        <v>33</v>
      </c>
      <c r="Z1200" s="43" t="e">
        <f>TEXT([1]!Table64[[#This Row],[Order date]],"mmm-yyyy")</f>
        <v>#REF!</v>
      </c>
    </row>
    <row r="1201" spans="1:26" x14ac:dyDescent="0.3">
      <c r="A1201" s="22">
        <v>11200</v>
      </c>
      <c r="B1201" s="23">
        <v>5047</v>
      </c>
      <c r="C1201" s="23" t="s">
        <v>34</v>
      </c>
      <c r="D1201" s="24">
        <v>61808.57</v>
      </c>
      <c r="E1201" s="23">
        <v>67</v>
      </c>
      <c r="F1201" s="23" t="s">
        <v>43</v>
      </c>
      <c r="G1201" s="25">
        <v>45337</v>
      </c>
      <c r="H1201" s="24">
        <v>170234</v>
      </c>
      <c r="I1201" s="26" t="s">
        <v>44</v>
      </c>
      <c r="J1201" s="15" t="s">
        <v>36</v>
      </c>
      <c r="K1201" s="15">
        <v>754</v>
      </c>
      <c r="L1201" s="16">
        <v>45361</v>
      </c>
      <c r="M1201" s="17">
        <v>3</v>
      </c>
      <c r="N1201" s="27">
        <v>91200</v>
      </c>
      <c r="O1201" s="27" t="s">
        <v>40</v>
      </c>
      <c r="P1201" s="28">
        <v>45383</v>
      </c>
      <c r="Q1201" s="29">
        <v>0.57325999999999999</v>
      </c>
      <c r="R1201" s="30">
        <v>71200</v>
      </c>
      <c r="S1201" s="27" t="s">
        <v>45</v>
      </c>
      <c r="T1201" s="29">
        <v>122103.08727</v>
      </c>
      <c r="U1201" s="27" t="s">
        <v>48</v>
      </c>
      <c r="V1201" s="28">
        <v>45392</v>
      </c>
      <c r="W1201" s="27" t="s">
        <v>38</v>
      </c>
      <c r="X1201" s="28">
        <v>45376</v>
      </c>
      <c r="Y1201" s="27" t="s">
        <v>33</v>
      </c>
      <c r="Z1201" s="43" t="e">
        <f>TEXT([1]!Table64[[#This Row],[Order date]],"mmm-yyyy")</f>
        <v>#REF!</v>
      </c>
    </row>
    <row r="1202" spans="1:26" x14ac:dyDescent="0.3">
      <c r="A1202" s="10">
        <v>11201</v>
      </c>
      <c r="B1202" s="11">
        <v>6145</v>
      </c>
      <c r="C1202" s="11" t="s">
        <v>34</v>
      </c>
      <c r="D1202" s="12">
        <v>19327.73</v>
      </c>
      <c r="E1202" s="11">
        <v>29</v>
      </c>
      <c r="F1202" s="11" t="s">
        <v>26</v>
      </c>
      <c r="G1202" s="13">
        <v>45337</v>
      </c>
      <c r="H1202" s="12">
        <v>112264.11</v>
      </c>
      <c r="I1202" s="14" t="s">
        <v>47</v>
      </c>
      <c r="J1202" s="15" t="s">
        <v>36</v>
      </c>
      <c r="K1202" s="15">
        <v>711</v>
      </c>
      <c r="L1202" s="16">
        <v>45397</v>
      </c>
      <c r="M1202" s="17">
        <v>12</v>
      </c>
      <c r="N1202" s="18">
        <v>91201</v>
      </c>
      <c r="O1202" s="18" t="s">
        <v>50</v>
      </c>
      <c r="P1202" s="19">
        <v>45430</v>
      </c>
      <c r="Q1202" s="20">
        <v>0.81242000000000003</v>
      </c>
      <c r="R1202" s="21">
        <v>71201</v>
      </c>
      <c r="S1202" s="18" t="s">
        <v>45</v>
      </c>
      <c r="T1202" s="20">
        <v>162027.64653999999</v>
      </c>
      <c r="U1202" s="18" t="s">
        <v>31</v>
      </c>
      <c r="V1202" s="19">
        <v>45422</v>
      </c>
      <c r="W1202" s="18" t="s">
        <v>32</v>
      </c>
      <c r="X1202" s="19">
        <v>45384</v>
      </c>
      <c r="Y1202" s="18" t="s">
        <v>33</v>
      </c>
      <c r="Z1202" s="43" t="e">
        <f>TEXT([1]!Table64[[#This Row],[Order date]],"mmm-yyyy")</f>
        <v>#REF!</v>
      </c>
    </row>
    <row r="1203" spans="1:26" x14ac:dyDescent="0.3">
      <c r="A1203" s="22">
        <v>11202</v>
      </c>
      <c r="B1203" s="23">
        <v>5214</v>
      </c>
      <c r="C1203" s="23" t="s">
        <v>34</v>
      </c>
      <c r="D1203" s="24">
        <v>70950</v>
      </c>
      <c r="E1203" s="23">
        <v>29</v>
      </c>
      <c r="F1203" s="23" t="s">
        <v>43</v>
      </c>
      <c r="G1203" s="25">
        <v>45306</v>
      </c>
      <c r="H1203" s="24">
        <v>169427.04</v>
      </c>
      <c r="I1203" s="26" t="s">
        <v>47</v>
      </c>
      <c r="J1203" s="15" t="s">
        <v>36</v>
      </c>
      <c r="K1203" s="15">
        <v>1204</v>
      </c>
      <c r="L1203" s="16">
        <v>45332</v>
      </c>
      <c r="M1203" s="17">
        <v>13</v>
      </c>
      <c r="N1203" s="27">
        <v>91202</v>
      </c>
      <c r="O1203" s="27" t="s">
        <v>37</v>
      </c>
      <c r="P1203" s="28">
        <v>45383</v>
      </c>
      <c r="Q1203" s="29">
        <v>0.20376</v>
      </c>
      <c r="R1203" s="30">
        <v>71202</v>
      </c>
      <c r="S1203" s="27" t="s">
        <v>41</v>
      </c>
      <c r="T1203" s="29">
        <v>63262.880870000001</v>
      </c>
      <c r="U1203" s="27" t="s">
        <v>31</v>
      </c>
      <c r="V1203" s="28">
        <v>45444</v>
      </c>
      <c r="W1203" s="27" t="s">
        <v>38</v>
      </c>
      <c r="X1203" s="28">
        <v>45376</v>
      </c>
      <c r="Y1203" s="27" t="s">
        <v>39</v>
      </c>
      <c r="Z1203" s="43" t="e">
        <f>TEXT([1]!Table64[[#This Row],[Order date]],"mmm-yyyy")</f>
        <v>#REF!</v>
      </c>
    </row>
    <row r="1204" spans="1:26" x14ac:dyDescent="0.3">
      <c r="A1204" s="10">
        <v>11203</v>
      </c>
      <c r="B1204" s="11">
        <v>5239</v>
      </c>
      <c r="C1204" s="11" t="s">
        <v>34</v>
      </c>
      <c r="D1204" s="12">
        <v>87953.16</v>
      </c>
      <c r="E1204" s="11">
        <v>98</v>
      </c>
      <c r="F1204" s="11" t="s">
        <v>43</v>
      </c>
      <c r="G1204" s="13">
        <v>45361</v>
      </c>
      <c r="H1204" s="12">
        <v>120320.48</v>
      </c>
      <c r="I1204" s="14" t="s">
        <v>27</v>
      </c>
      <c r="J1204" s="15" t="s">
        <v>28</v>
      </c>
      <c r="K1204" s="15">
        <v>1175</v>
      </c>
      <c r="L1204" s="16">
        <v>45332</v>
      </c>
      <c r="M1204" s="17">
        <v>13</v>
      </c>
      <c r="N1204" s="18">
        <v>91203</v>
      </c>
      <c r="O1204" s="18" t="s">
        <v>37</v>
      </c>
      <c r="P1204" s="19">
        <v>45430</v>
      </c>
      <c r="Q1204" s="20">
        <v>0.93488000000000004</v>
      </c>
      <c r="R1204" s="21">
        <v>71203</v>
      </c>
      <c r="S1204" s="18" t="s">
        <v>45</v>
      </c>
      <c r="T1204" s="20">
        <v>151796.125</v>
      </c>
      <c r="U1204" s="18" t="s">
        <v>31</v>
      </c>
      <c r="V1204" s="19">
        <v>45422</v>
      </c>
      <c r="W1204" s="18" t="s">
        <v>38</v>
      </c>
      <c r="X1204" s="19">
        <v>45376</v>
      </c>
      <c r="Y1204" s="18" t="s">
        <v>33</v>
      </c>
      <c r="Z1204" s="43" t="e">
        <f>TEXT([1]!Table64[[#This Row],[Order date]],"mmm-yyyy")</f>
        <v>#REF!</v>
      </c>
    </row>
    <row r="1205" spans="1:26" x14ac:dyDescent="0.3">
      <c r="A1205" s="22">
        <v>11204</v>
      </c>
      <c r="B1205" s="23">
        <v>6080</v>
      </c>
      <c r="C1205" s="23" t="s">
        <v>34</v>
      </c>
      <c r="D1205" s="24">
        <v>65647.47</v>
      </c>
      <c r="E1205" s="23">
        <v>98</v>
      </c>
      <c r="F1205" s="23" t="s">
        <v>46</v>
      </c>
      <c r="G1205" s="25">
        <v>45383</v>
      </c>
      <c r="H1205" s="24">
        <v>107337.24</v>
      </c>
      <c r="I1205" s="26" t="s">
        <v>47</v>
      </c>
      <c r="J1205" s="15" t="s">
        <v>36</v>
      </c>
      <c r="K1205" s="15">
        <v>359</v>
      </c>
      <c r="L1205" s="16">
        <v>45397</v>
      </c>
      <c r="M1205" s="17">
        <v>7</v>
      </c>
      <c r="N1205" s="27">
        <v>91204</v>
      </c>
      <c r="O1205" s="27" t="s">
        <v>29</v>
      </c>
      <c r="P1205" s="28">
        <v>45352</v>
      </c>
      <c r="Q1205" s="29">
        <v>0.83903000000000005</v>
      </c>
      <c r="R1205" s="30">
        <v>71204</v>
      </c>
      <c r="S1205" s="27" t="s">
        <v>30</v>
      </c>
      <c r="T1205" s="29">
        <v>189655.17720000001</v>
      </c>
      <c r="U1205" s="27" t="s">
        <v>48</v>
      </c>
      <c r="V1205" s="28">
        <v>45392</v>
      </c>
      <c r="W1205" s="27" t="s">
        <v>38</v>
      </c>
      <c r="X1205" s="28">
        <v>45384</v>
      </c>
      <c r="Y1205" s="27" t="s">
        <v>33</v>
      </c>
      <c r="Z1205" s="43" t="e">
        <f>TEXT([1]!Table64[[#This Row],[Order date]],"mmm-yyyy")</f>
        <v>#REF!</v>
      </c>
    </row>
    <row r="1206" spans="1:26" x14ac:dyDescent="0.3">
      <c r="A1206" s="10">
        <v>11205</v>
      </c>
      <c r="B1206" s="11">
        <v>5350</v>
      </c>
      <c r="C1206" s="11" t="s">
        <v>25</v>
      </c>
      <c r="D1206" s="12">
        <v>69201.009999999995</v>
      </c>
      <c r="E1206" s="11">
        <v>28</v>
      </c>
      <c r="F1206" s="11" t="s">
        <v>35</v>
      </c>
      <c r="G1206" s="13">
        <v>45306</v>
      </c>
      <c r="H1206" s="12">
        <v>125380.06</v>
      </c>
      <c r="I1206" s="14" t="s">
        <v>27</v>
      </c>
      <c r="J1206" s="15" t="s">
        <v>49</v>
      </c>
      <c r="K1206" s="15">
        <v>1365</v>
      </c>
      <c r="L1206" s="16">
        <v>45397</v>
      </c>
      <c r="M1206" s="17">
        <v>2</v>
      </c>
      <c r="N1206" s="18">
        <v>91205</v>
      </c>
      <c r="O1206" s="18" t="s">
        <v>37</v>
      </c>
      <c r="P1206" s="19">
        <v>45430</v>
      </c>
      <c r="Q1206" s="20">
        <v>0.30229</v>
      </c>
      <c r="R1206" s="21">
        <v>71205</v>
      </c>
      <c r="S1206" s="18" t="s">
        <v>45</v>
      </c>
      <c r="T1206" s="20">
        <v>209281.291</v>
      </c>
      <c r="U1206" s="18" t="s">
        <v>42</v>
      </c>
      <c r="V1206" s="19">
        <v>45392</v>
      </c>
      <c r="W1206" s="18" t="s">
        <v>38</v>
      </c>
      <c r="X1206" s="19">
        <v>45384</v>
      </c>
      <c r="Y1206" s="18" t="s">
        <v>33</v>
      </c>
      <c r="Z1206" s="43" t="e">
        <f>TEXT([1]!Table64[[#This Row],[Order date]],"mmm-yyyy")</f>
        <v>#REF!</v>
      </c>
    </row>
    <row r="1207" spans="1:26" x14ac:dyDescent="0.3">
      <c r="A1207" s="22">
        <v>11206</v>
      </c>
      <c r="B1207" s="23">
        <v>5107</v>
      </c>
      <c r="C1207" s="23" t="s">
        <v>34</v>
      </c>
      <c r="D1207" s="24">
        <v>28235.17</v>
      </c>
      <c r="E1207" s="23">
        <v>77</v>
      </c>
      <c r="F1207" s="23" t="s">
        <v>43</v>
      </c>
      <c r="G1207" s="25">
        <v>45337</v>
      </c>
      <c r="H1207" s="24">
        <v>36279.5</v>
      </c>
      <c r="I1207" s="26" t="s">
        <v>44</v>
      </c>
      <c r="J1207" s="15" t="s">
        <v>28</v>
      </c>
      <c r="K1207" s="15">
        <v>544</v>
      </c>
      <c r="L1207" s="16">
        <v>45397</v>
      </c>
      <c r="M1207" s="17">
        <v>3</v>
      </c>
      <c r="N1207" s="27">
        <v>91206</v>
      </c>
      <c r="O1207" s="27" t="s">
        <v>40</v>
      </c>
      <c r="P1207" s="28">
        <v>45383</v>
      </c>
      <c r="Q1207" s="29">
        <v>0.88675999999999999</v>
      </c>
      <c r="R1207" s="30">
        <v>71206</v>
      </c>
      <c r="S1207" s="27" t="s">
        <v>45</v>
      </c>
      <c r="T1207" s="29">
        <v>103289.7481</v>
      </c>
      <c r="U1207" s="27" t="s">
        <v>42</v>
      </c>
      <c r="V1207" s="28">
        <v>45392</v>
      </c>
      <c r="W1207" s="27" t="s">
        <v>32</v>
      </c>
      <c r="X1207" s="28">
        <v>45376</v>
      </c>
      <c r="Y1207" s="27" t="s">
        <v>33</v>
      </c>
      <c r="Z1207" s="43" t="e">
        <f>TEXT([1]!Table64[[#This Row],[Order date]],"mmm-yyyy")</f>
        <v>#REF!</v>
      </c>
    </row>
    <row r="1208" spans="1:26" x14ac:dyDescent="0.3">
      <c r="A1208" s="10">
        <v>11207</v>
      </c>
      <c r="B1208" s="11">
        <v>5831</v>
      </c>
      <c r="C1208" s="11" t="s">
        <v>34</v>
      </c>
      <c r="D1208" s="12">
        <v>9643.32</v>
      </c>
      <c r="E1208" s="11">
        <v>79</v>
      </c>
      <c r="F1208" s="11" t="s">
        <v>46</v>
      </c>
      <c r="G1208" s="13">
        <v>45337</v>
      </c>
      <c r="H1208" s="12">
        <v>65689.22</v>
      </c>
      <c r="I1208" s="14" t="s">
        <v>47</v>
      </c>
      <c r="J1208" s="15" t="s">
        <v>28</v>
      </c>
      <c r="K1208" s="15">
        <v>1434</v>
      </c>
      <c r="L1208" s="16">
        <v>45361</v>
      </c>
      <c r="M1208" s="17">
        <v>13</v>
      </c>
      <c r="N1208" s="18">
        <v>91207</v>
      </c>
      <c r="O1208" s="18" t="s">
        <v>40</v>
      </c>
      <c r="P1208" s="19">
        <v>45383</v>
      </c>
      <c r="Q1208" s="20">
        <v>0.33710000000000001</v>
      </c>
      <c r="R1208" s="21">
        <v>71207</v>
      </c>
      <c r="S1208" s="18" t="s">
        <v>30</v>
      </c>
      <c r="T1208" s="20">
        <v>64436.906600000002</v>
      </c>
      <c r="U1208" s="18" t="s">
        <v>48</v>
      </c>
      <c r="V1208" s="19">
        <v>45422</v>
      </c>
      <c r="W1208" s="18" t="s">
        <v>32</v>
      </c>
      <c r="X1208" s="19">
        <v>45376</v>
      </c>
      <c r="Y1208" s="18" t="s">
        <v>39</v>
      </c>
      <c r="Z1208" s="43" t="e">
        <f>TEXT([1]!Table64[[#This Row],[Order date]],"mmm-yyyy")</f>
        <v>#REF!</v>
      </c>
    </row>
    <row r="1209" spans="1:26" x14ac:dyDescent="0.3">
      <c r="A1209" s="22">
        <v>11208</v>
      </c>
      <c r="B1209" s="23">
        <v>5048</v>
      </c>
      <c r="C1209" s="23" t="s">
        <v>34</v>
      </c>
      <c r="D1209" s="24">
        <v>85873.02</v>
      </c>
      <c r="E1209" s="23">
        <v>87</v>
      </c>
      <c r="F1209" s="23" t="s">
        <v>35</v>
      </c>
      <c r="G1209" s="25">
        <v>45361</v>
      </c>
      <c r="H1209" s="24">
        <v>121122.38</v>
      </c>
      <c r="I1209" s="26" t="s">
        <v>47</v>
      </c>
      <c r="J1209" s="15" t="s">
        <v>28</v>
      </c>
      <c r="K1209" s="15">
        <v>387</v>
      </c>
      <c r="L1209" s="16">
        <v>45332</v>
      </c>
      <c r="M1209" s="17">
        <v>12</v>
      </c>
      <c r="N1209" s="27">
        <v>91208</v>
      </c>
      <c r="O1209" s="27" t="s">
        <v>37</v>
      </c>
      <c r="P1209" s="28">
        <v>45430</v>
      </c>
      <c r="Q1209" s="29">
        <v>0.28481000000000001</v>
      </c>
      <c r="R1209" s="30">
        <v>71208</v>
      </c>
      <c r="S1209" s="27" t="s">
        <v>41</v>
      </c>
      <c r="T1209" s="29">
        <v>97884.908030000006</v>
      </c>
      <c r="U1209" s="27" t="s">
        <v>48</v>
      </c>
      <c r="V1209" s="28">
        <v>45444</v>
      </c>
      <c r="W1209" s="27" t="s">
        <v>32</v>
      </c>
      <c r="X1209" s="28">
        <v>45384</v>
      </c>
      <c r="Y1209" s="27" t="s">
        <v>33</v>
      </c>
      <c r="Z1209" s="43" t="e">
        <f>TEXT([1]!Table64[[#This Row],[Order date]],"mmm-yyyy")</f>
        <v>#REF!</v>
      </c>
    </row>
    <row r="1210" spans="1:26" x14ac:dyDescent="0.3">
      <c r="A1210" s="10">
        <v>11209</v>
      </c>
      <c r="B1210" s="11">
        <v>6597</v>
      </c>
      <c r="C1210" s="11" t="s">
        <v>34</v>
      </c>
      <c r="D1210" s="12">
        <v>9989.74</v>
      </c>
      <c r="E1210" s="11">
        <v>44</v>
      </c>
      <c r="F1210" s="11" t="s">
        <v>26</v>
      </c>
      <c r="G1210" s="13">
        <v>45383</v>
      </c>
      <c r="H1210" s="12">
        <v>114963.88</v>
      </c>
      <c r="I1210" s="14" t="s">
        <v>44</v>
      </c>
      <c r="J1210" s="15" t="s">
        <v>28</v>
      </c>
      <c r="K1210" s="15">
        <v>628</v>
      </c>
      <c r="L1210" s="16">
        <v>45397</v>
      </c>
      <c r="M1210" s="17">
        <v>2</v>
      </c>
      <c r="N1210" s="18">
        <v>91209</v>
      </c>
      <c r="O1210" s="18" t="s">
        <v>50</v>
      </c>
      <c r="P1210" s="19">
        <v>45383</v>
      </c>
      <c r="Q1210" s="20">
        <v>0.33782000000000001</v>
      </c>
      <c r="R1210" s="21">
        <v>71209</v>
      </c>
      <c r="S1210" s="18" t="s">
        <v>45</v>
      </c>
      <c r="T1210" s="20">
        <v>199642.70456000001</v>
      </c>
      <c r="U1210" s="18" t="s">
        <v>48</v>
      </c>
      <c r="V1210" s="19">
        <v>45392</v>
      </c>
      <c r="W1210" s="18" t="s">
        <v>38</v>
      </c>
      <c r="X1210" s="19">
        <v>45376</v>
      </c>
      <c r="Y1210" s="18" t="s">
        <v>39</v>
      </c>
      <c r="Z1210" s="43" t="e">
        <f>TEXT([1]!Table64[[#This Row],[Order date]],"mmm-yyyy")</f>
        <v>#REF!</v>
      </c>
    </row>
    <row r="1211" spans="1:26" x14ac:dyDescent="0.3">
      <c r="A1211" s="22">
        <v>11210</v>
      </c>
      <c r="B1211" s="23">
        <v>5337</v>
      </c>
      <c r="C1211" s="23" t="s">
        <v>34</v>
      </c>
      <c r="D1211" s="24">
        <v>73032.539999999994</v>
      </c>
      <c r="E1211" s="23">
        <v>90</v>
      </c>
      <c r="F1211" s="23" t="s">
        <v>35</v>
      </c>
      <c r="G1211" s="25">
        <v>45306</v>
      </c>
      <c r="H1211" s="24">
        <v>32732.6</v>
      </c>
      <c r="I1211" s="26" t="s">
        <v>47</v>
      </c>
      <c r="J1211" s="15" t="s">
        <v>49</v>
      </c>
      <c r="K1211" s="15">
        <v>59</v>
      </c>
      <c r="L1211" s="16">
        <v>45332</v>
      </c>
      <c r="M1211" s="17">
        <v>5</v>
      </c>
      <c r="N1211" s="27">
        <v>91210</v>
      </c>
      <c r="O1211" s="27" t="s">
        <v>40</v>
      </c>
      <c r="P1211" s="28">
        <v>45430</v>
      </c>
      <c r="Q1211" s="29">
        <v>0.91896</v>
      </c>
      <c r="R1211" s="30">
        <v>71210</v>
      </c>
      <c r="S1211" s="27" t="s">
        <v>41</v>
      </c>
      <c r="T1211" s="29">
        <v>175233.28408000001</v>
      </c>
      <c r="U1211" s="27" t="s">
        <v>31</v>
      </c>
      <c r="V1211" s="28">
        <v>45444</v>
      </c>
      <c r="W1211" s="27" t="s">
        <v>38</v>
      </c>
      <c r="X1211" s="28">
        <v>45376</v>
      </c>
      <c r="Y1211" s="27" t="s">
        <v>39</v>
      </c>
      <c r="Z1211" s="43" t="e">
        <f>TEXT([1]!Table64[[#This Row],[Order date]],"mmm-yyyy")</f>
        <v>#REF!</v>
      </c>
    </row>
    <row r="1212" spans="1:26" x14ac:dyDescent="0.3">
      <c r="A1212" s="10">
        <v>11211</v>
      </c>
      <c r="B1212" s="11">
        <v>6050</v>
      </c>
      <c r="C1212" s="11" t="s">
        <v>34</v>
      </c>
      <c r="D1212" s="12">
        <v>37354.65</v>
      </c>
      <c r="E1212" s="11">
        <v>4</v>
      </c>
      <c r="F1212" s="11" t="s">
        <v>43</v>
      </c>
      <c r="G1212" s="13">
        <v>45306</v>
      </c>
      <c r="H1212" s="12">
        <v>64221.83</v>
      </c>
      <c r="I1212" s="14" t="s">
        <v>47</v>
      </c>
      <c r="J1212" s="15" t="s">
        <v>36</v>
      </c>
      <c r="K1212" s="15">
        <v>98</v>
      </c>
      <c r="L1212" s="16">
        <v>45397</v>
      </c>
      <c r="M1212" s="17">
        <v>7</v>
      </c>
      <c r="N1212" s="18">
        <v>91211</v>
      </c>
      <c r="O1212" s="18" t="s">
        <v>40</v>
      </c>
      <c r="P1212" s="19">
        <v>45352</v>
      </c>
      <c r="Q1212" s="20">
        <v>0.92403000000000002</v>
      </c>
      <c r="R1212" s="21">
        <v>71211</v>
      </c>
      <c r="S1212" s="18" t="s">
        <v>30</v>
      </c>
      <c r="T1212" s="20">
        <v>148001.16630000001</v>
      </c>
      <c r="U1212" s="18" t="s">
        <v>48</v>
      </c>
      <c r="V1212" s="19">
        <v>45392</v>
      </c>
      <c r="W1212" s="18" t="s">
        <v>32</v>
      </c>
      <c r="X1212" s="19">
        <v>45376</v>
      </c>
      <c r="Y1212" s="18" t="s">
        <v>39</v>
      </c>
      <c r="Z1212" s="43" t="e">
        <f>TEXT([1]!Table64[[#This Row],[Order date]],"mmm-yyyy")</f>
        <v>#REF!</v>
      </c>
    </row>
    <row r="1213" spans="1:26" x14ac:dyDescent="0.3">
      <c r="A1213" s="22">
        <v>11212</v>
      </c>
      <c r="B1213" s="23">
        <v>5804</v>
      </c>
      <c r="C1213" s="23" t="s">
        <v>34</v>
      </c>
      <c r="D1213" s="24">
        <v>61268.11</v>
      </c>
      <c r="E1213" s="23">
        <v>90</v>
      </c>
      <c r="F1213" s="23" t="s">
        <v>43</v>
      </c>
      <c r="G1213" s="25">
        <v>45383</v>
      </c>
      <c r="H1213" s="24">
        <v>113402.58</v>
      </c>
      <c r="I1213" s="26" t="s">
        <v>44</v>
      </c>
      <c r="J1213" s="15" t="s">
        <v>49</v>
      </c>
      <c r="K1213" s="15">
        <v>672</v>
      </c>
      <c r="L1213" s="16">
        <v>45332</v>
      </c>
      <c r="M1213" s="17">
        <v>11</v>
      </c>
      <c r="N1213" s="27">
        <v>91212</v>
      </c>
      <c r="O1213" s="27" t="s">
        <v>29</v>
      </c>
      <c r="P1213" s="28">
        <v>45430</v>
      </c>
      <c r="Q1213" s="29">
        <v>0.39610000000000001</v>
      </c>
      <c r="R1213" s="30">
        <v>71212</v>
      </c>
      <c r="S1213" s="27" t="s">
        <v>41</v>
      </c>
      <c r="T1213" s="29">
        <v>86283.019079999998</v>
      </c>
      <c r="U1213" s="27" t="s">
        <v>31</v>
      </c>
      <c r="V1213" s="28">
        <v>45444</v>
      </c>
      <c r="W1213" s="27" t="s">
        <v>38</v>
      </c>
      <c r="X1213" s="28">
        <v>45376</v>
      </c>
      <c r="Y1213" s="27" t="s">
        <v>33</v>
      </c>
      <c r="Z1213" s="43" t="e">
        <f>TEXT([1]!Table64[[#This Row],[Order date]],"mmm-yyyy")</f>
        <v>#REF!</v>
      </c>
    </row>
    <row r="1214" spans="1:26" x14ac:dyDescent="0.3">
      <c r="A1214" s="10">
        <v>11213</v>
      </c>
      <c r="B1214" s="11">
        <v>6281</v>
      </c>
      <c r="C1214" s="11" t="s">
        <v>25</v>
      </c>
      <c r="D1214" s="12">
        <v>29804.57</v>
      </c>
      <c r="E1214" s="11">
        <v>9</v>
      </c>
      <c r="F1214" s="11" t="s">
        <v>43</v>
      </c>
      <c r="G1214" s="13">
        <v>45306</v>
      </c>
      <c r="H1214" s="12">
        <v>15912.51</v>
      </c>
      <c r="I1214" s="14" t="s">
        <v>44</v>
      </c>
      <c r="J1214" s="15" t="s">
        <v>36</v>
      </c>
      <c r="K1214" s="15">
        <v>1394</v>
      </c>
      <c r="L1214" s="16">
        <v>45361</v>
      </c>
      <c r="M1214" s="17">
        <v>10</v>
      </c>
      <c r="N1214" s="18">
        <v>91213</v>
      </c>
      <c r="O1214" s="18" t="s">
        <v>50</v>
      </c>
      <c r="P1214" s="19">
        <v>45430</v>
      </c>
      <c r="Q1214" s="20">
        <v>0.73489000000000004</v>
      </c>
      <c r="R1214" s="21">
        <v>71213</v>
      </c>
      <c r="S1214" s="18" t="s">
        <v>41</v>
      </c>
      <c r="T1214" s="20">
        <v>152201.73139999999</v>
      </c>
      <c r="U1214" s="18" t="s">
        <v>42</v>
      </c>
      <c r="V1214" s="19">
        <v>45422</v>
      </c>
      <c r="W1214" s="18" t="s">
        <v>38</v>
      </c>
      <c r="X1214" s="19">
        <v>45376</v>
      </c>
      <c r="Y1214" s="18" t="s">
        <v>33</v>
      </c>
      <c r="Z1214" s="43" t="e">
        <f>TEXT([1]!Table64[[#This Row],[Order date]],"mmm-yyyy")</f>
        <v>#REF!</v>
      </c>
    </row>
    <row r="1215" spans="1:26" x14ac:dyDescent="0.3">
      <c r="A1215" s="22">
        <v>11214</v>
      </c>
      <c r="B1215" s="23">
        <v>5008</v>
      </c>
      <c r="C1215" s="23" t="s">
        <v>34</v>
      </c>
      <c r="D1215" s="24">
        <v>19304.830000000002</v>
      </c>
      <c r="E1215" s="23">
        <v>5</v>
      </c>
      <c r="F1215" s="23" t="s">
        <v>43</v>
      </c>
      <c r="G1215" s="25">
        <v>45383</v>
      </c>
      <c r="H1215" s="24">
        <v>101010.94</v>
      </c>
      <c r="I1215" s="26" t="s">
        <v>44</v>
      </c>
      <c r="J1215" s="15" t="s">
        <v>49</v>
      </c>
      <c r="K1215" s="15">
        <v>780</v>
      </c>
      <c r="L1215" s="16">
        <v>45332</v>
      </c>
      <c r="M1215" s="17">
        <v>11</v>
      </c>
      <c r="N1215" s="27">
        <v>91214</v>
      </c>
      <c r="O1215" s="27" t="s">
        <v>37</v>
      </c>
      <c r="P1215" s="28">
        <v>45430</v>
      </c>
      <c r="Q1215" s="29">
        <v>0.70816999999999997</v>
      </c>
      <c r="R1215" s="30">
        <v>71214</v>
      </c>
      <c r="S1215" s="27" t="s">
        <v>41</v>
      </c>
      <c r="T1215" s="29">
        <v>152247.1655</v>
      </c>
      <c r="U1215" s="27" t="s">
        <v>48</v>
      </c>
      <c r="V1215" s="28">
        <v>45392</v>
      </c>
      <c r="W1215" s="27" t="s">
        <v>38</v>
      </c>
      <c r="X1215" s="28">
        <v>45376</v>
      </c>
      <c r="Y1215" s="27" t="s">
        <v>39</v>
      </c>
      <c r="Z1215" s="43" t="e">
        <f>TEXT([1]!Table64[[#This Row],[Order date]],"mmm-yyyy")</f>
        <v>#REF!</v>
      </c>
    </row>
    <row r="1216" spans="1:26" x14ac:dyDescent="0.3">
      <c r="A1216" s="10">
        <v>11215</v>
      </c>
      <c r="B1216" s="11">
        <v>5625</v>
      </c>
      <c r="C1216" s="11" t="s">
        <v>34</v>
      </c>
      <c r="D1216" s="12">
        <v>16900.32</v>
      </c>
      <c r="E1216" s="11">
        <v>56</v>
      </c>
      <c r="F1216" s="11" t="s">
        <v>43</v>
      </c>
      <c r="G1216" s="13">
        <v>45337</v>
      </c>
      <c r="H1216" s="12">
        <v>11345.95</v>
      </c>
      <c r="I1216" s="14" t="s">
        <v>47</v>
      </c>
      <c r="J1216" s="15" t="s">
        <v>28</v>
      </c>
      <c r="K1216" s="15">
        <v>844</v>
      </c>
      <c r="L1216" s="16">
        <v>45397</v>
      </c>
      <c r="M1216" s="17">
        <v>11</v>
      </c>
      <c r="N1216" s="18">
        <v>91215</v>
      </c>
      <c r="O1216" s="18" t="s">
        <v>50</v>
      </c>
      <c r="P1216" s="19">
        <v>45430</v>
      </c>
      <c r="Q1216" s="20">
        <v>0.82591000000000003</v>
      </c>
      <c r="R1216" s="21">
        <v>71215</v>
      </c>
      <c r="S1216" s="18" t="s">
        <v>41</v>
      </c>
      <c r="T1216" s="20">
        <v>204768.03219999999</v>
      </c>
      <c r="U1216" s="18" t="s">
        <v>48</v>
      </c>
      <c r="V1216" s="19">
        <v>45392</v>
      </c>
      <c r="W1216" s="18" t="s">
        <v>38</v>
      </c>
      <c r="X1216" s="19">
        <v>45384</v>
      </c>
      <c r="Y1216" s="18" t="s">
        <v>39</v>
      </c>
      <c r="Z1216" s="43" t="e">
        <f>TEXT([1]!Table64[[#This Row],[Order date]],"mmm-yyyy")</f>
        <v>#REF!</v>
      </c>
    </row>
    <row r="1217" spans="1:26" x14ac:dyDescent="0.3">
      <c r="A1217" s="22">
        <v>11216</v>
      </c>
      <c r="B1217" s="23">
        <v>6891</v>
      </c>
      <c r="C1217" s="23" t="s">
        <v>34</v>
      </c>
      <c r="D1217" s="24">
        <v>89250.19</v>
      </c>
      <c r="E1217" s="23">
        <v>96</v>
      </c>
      <c r="F1217" s="23" t="s">
        <v>46</v>
      </c>
      <c r="G1217" s="25">
        <v>45383</v>
      </c>
      <c r="H1217" s="24">
        <v>110484.82</v>
      </c>
      <c r="I1217" s="26" t="s">
        <v>44</v>
      </c>
      <c r="J1217" s="15" t="s">
        <v>28</v>
      </c>
      <c r="K1217" s="15">
        <v>1020</v>
      </c>
      <c r="L1217" s="16">
        <v>45332</v>
      </c>
      <c r="M1217" s="17">
        <v>11</v>
      </c>
      <c r="N1217" s="27">
        <v>91216</v>
      </c>
      <c r="O1217" s="27" t="s">
        <v>29</v>
      </c>
      <c r="P1217" s="28">
        <v>45352</v>
      </c>
      <c r="Q1217" s="29">
        <v>0.36686000000000002</v>
      </c>
      <c r="R1217" s="30">
        <v>71216</v>
      </c>
      <c r="S1217" s="27" t="s">
        <v>45</v>
      </c>
      <c r="T1217" s="29">
        <v>175299.6096</v>
      </c>
      <c r="U1217" s="27" t="s">
        <v>31</v>
      </c>
      <c r="V1217" s="28">
        <v>45392</v>
      </c>
      <c r="W1217" s="27" t="s">
        <v>32</v>
      </c>
      <c r="X1217" s="28">
        <v>45376</v>
      </c>
      <c r="Y1217" s="27" t="s">
        <v>33</v>
      </c>
      <c r="Z1217" s="43" t="e">
        <f>TEXT([1]!Table64[[#This Row],[Order date]],"mmm-yyyy")</f>
        <v>#REF!</v>
      </c>
    </row>
    <row r="1218" spans="1:26" x14ac:dyDescent="0.3">
      <c r="A1218" s="10">
        <v>11217</v>
      </c>
      <c r="B1218" s="11">
        <v>6277</v>
      </c>
      <c r="C1218" s="11" t="s">
        <v>34</v>
      </c>
      <c r="D1218" s="12">
        <v>75150.48</v>
      </c>
      <c r="E1218" s="11">
        <v>84</v>
      </c>
      <c r="F1218" s="11" t="s">
        <v>43</v>
      </c>
      <c r="G1218" s="13">
        <v>45306</v>
      </c>
      <c r="H1218" s="12">
        <v>72726.850000000006</v>
      </c>
      <c r="I1218" s="14" t="s">
        <v>44</v>
      </c>
      <c r="J1218" s="15" t="s">
        <v>49</v>
      </c>
      <c r="K1218" s="15">
        <v>182</v>
      </c>
      <c r="L1218" s="16">
        <v>45361</v>
      </c>
      <c r="M1218" s="17">
        <v>10</v>
      </c>
      <c r="N1218" s="18">
        <v>91217</v>
      </c>
      <c r="O1218" s="18" t="s">
        <v>29</v>
      </c>
      <c r="P1218" s="19">
        <v>45352</v>
      </c>
      <c r="Q1218" s="20">
        <v>0.55911999999999995</v>
      </c>
      <c r="R1218" s="21">
        <v>71217</v>
      </c>
      <c r="S1218" s="18" t="s">
        <v>41</v>
      </c>
      <c r="T1218" s="20">
        <v>162833.95980000001</v>
      </c>
      <c r="U1218" s="18" t="s">
        <v>31</v>
      </c>
      <c r="V1218" s="19">
        <v>45422</v>
      </c>
      <c r="W1218" s="18" t="s">
        <v>38</v>
      </c>
      <c r="X1218" s="19">
        <v>45384</v>
      </c>
      <c r="Y1218" s="18" t="s">
        <v>33</v>
      </c>
      <c r="Z1218" s="43" t="e">
        <f>TEXT([1]!Table64[[#This Row],[Order date]],"mmm-yyyy")</f>
        <v>#REF!</v>
      </c>
    </row>
    <row r="1219" spans="1:26" x14ac:dyDescent="0.3">
      <c r="A1219" s="22">
        <v>11218</v>
      </c>
      <c r="B1219" s="23">
        <v>6716</v>
      </c>
      <c r="C1219" s="23" t="s">
        <v>25</v>
      </c>
      <c r="D1219" s="24">
        <v>26284.43</v>
      </c>
      <c r="E1219" s="23">
        <v>50</v>
      </c>
      <c r="F1219" s="23" t="s">
        <v>46</v>
      </c>
      <c r="G1219" s="25">
        <v>45383</v>
      </c>
      <c r="H1219" s="24">
        <v>53985.440000000002</v>
      </c>
      <c r="I1219" s="26" t="s">
        <v>44</v>
      </c>
      <c r="J1219" s="15" t="s">
        <v>49</v>
      </c>
      <c r="K1219" s="15">
        <v>132</v>
      </c>
      <c r="L1219" s="16">
        <v>45361</v>
      </c>
      <c r="M1219" s="17">
        <v>13</v>
      </c>
      <c r="N1219" s="27">
        <v>91218</v>
      </c>
      <c r="O1219" s="27" t="s">
        <v>50</v>
      </c>
      <c r="P1219" s="28">
        <v>45352</v>
      </c>
      <c r="Q1219" s="29">
        <v>0.70091000000000003</v>
      </c>
      <c r="R1219" s="30">
        <v>71218</v>
      </c>
      <c r="S1219" s="27" t="s">
        <v>41</v>
      </c>
      <c r="T1219" s="29">
        <v>196785.71220000001</v>
      </c>
      <c r="U1219" s="27" t="s">
        <v>31</v>
      </c>
      <c r="V1219" s="28">
        <v>45422</v>
      </c>
      <c r="W1219" s="27" t="s">
        <v>38</v>
      </c>
      <c r="X1219" s="28">
        <v>45376</v>
      </c>
      <c r="Y1219" s="27" t="s">
        <v>33</v>
      </c>
      <c r="Z1219" s="43" t="e">
        <f>TEXT([1]!Table64[[#This Row],[Order date]],"mmm-yyyy")</f>
        <v>#REF!</v>
      </c>
    </row>
    <row r="1220" spans="1:26" x14ac:dyDescent="0.3">
      <c r="A1220" s="10">
        <v>11219</v>
      </c>
      <c r="B1220" s="11">
        <v>5719</v>
      </c>
      <c r="C1220" s="11" t="s">
        <v>34</v>
      </c>
      <c r="D1220" s="12">
        <v>47367.7</v>
      </c>
      <c r="E1220" s="11">
        <v>75</v>
      </c>
      <c r="F1220" s="11" t="s">
        <v>26</v>
      </c>
      <c r="G1220" s="13">
        <v>45361</v>
      </c>
      <c r="H1220" s="12">
        <v>140871.37</v>
      </c>
      <c r="I1220" s="14" t="s">
        <v>27</v>
      </c>
      <c r="J1220" s="15" t="s">
        <v>36</v>
      </c>
      <c r="K1220" s="15">
        <v>106</v>
      </c>
      <c r="L1220" s="16">
        <v>45332</v>
      </c>
      <c r="M1220" s="17">
        <v>14</v>
      </c>
      <c r="N1220" s="18">
        <v>91219</v>
      </c>
      <c r="O1220" s="18" t="s">
        <v>29</v>
      </c>
      <c r="P1220" s="19">
        <v>45430</v>
      </c>
      <c r="Q1220" s="20">
        <v>0.12363</v>
      </c>
      <c r="R1220" s="21">
        <v>71219</v>
      </c>
      <c r="S1220" s="18" t="s">
        <v>41</v>
      </c>
      <c r="T1220" s="20">
        <v>117882.898</v>
      </c>
      <c r="U1220" s="18" t="s">
        <v>42</v>
      </c>
      <c r="V1220" s="19">
        <v>45444</v>
      </c>
      <c r="W1220" s="18" t="s">
        <v>38</v>
      </c>
      <c r="X1220" s="19">
        <v>45384</v>
      </c>
      <c r="Y1220" s="18" t="s">
        <v>33</v>
      </c>
      <c r="Z1220" s="43" t="e">
        <f>TEXT([1]!Table64[[#This Row],[Order date]],"mmm-yyyy")</f>
        <v>#REF!</v>
      </c>
    </row>
    <row r="1221" spans="1:26" x14ac:dyDescent="0.3">
      <c r="A1221" s="22">
        <v>11220</v>
      </c>
      <c r="B1221" s="23">
        <v>5303</v>
      </c>
      <c r="C1221" s="23" t="s">
        <v>34</v>
      </c>
      <c r="D1221" s="24">
        <v>57163.6</v>
      </c>
      <c r="E1221" s="23">
        <v>15</v>
      </c>
      <c r="F1221" s="23" t="s">
        <v>43</v>
      </c>
      <c r="G1221" s="25">
        <v>45337</v>
      </c>
      <c r="H1221" s="24">
        <v>38787.29</v>
      </c>
      <c r="I1221" s="26" t="s">
        <v>44</v>
      </c>
      <c r="J1221" s="15" t="s">
        <v>49</v>
      </c>
      <c r="K1221" s="15">
        <v>425</v>
      </c>
      <c r="L1221" s="16">
        <v>45397</v>
      </c>
      <c r="M1221" s="17">
        <v>1</v>
      </c>
      <c r="N1221" s="27">
        <v>91220</v>
      </c>
      <c r="O1221" s="27" t="s">
        <v>29</v>
      </c>
      <c r="P1221" s="28">
        <v>45352</v>
      </c>
      <c r="Q1221" s="29">
        <v>0.43906000000000001</v>
      </c>
      <c r="R1221" s="30">
        <v>71220</v>
      </c>
      <c r="S1221" s="27" t="s">
        <v>41</v>
      </c>
      <c r="T1221" s="29">
        <v>97009.641879999996</v>
      </c>
      <c r="U1221" s="27" t="s">
        <v>42</v>
      </c>
      <c r="V1221" s="28">
        <v>45422</v>
      </c>
      <c r="W1221" s="27" t="s">
        <v>32</v>
      </c>
      <c r="X1221" s="28">
        <v>45384</v>
      </c>
      <c r="Y1221" s="27" t="s">
        <v>33</v>
      </c>
      <c r="Z1221" s="43" t="e">
        <f>TEXT([1]!Table64[[#This Row],[Order date]],"mmm-yyyy")</f>
        <v>#REF!</v>
      </c>
    </row>
    <row r="1222" spans="1:26" x14ac:dyDescent="0.3">
      <c r="A1222" s="10">
        <v>11221</v>
      </c>
      <c r="B1222" s="11">
        <v>5639</v>
      </c>
      <c r="C1222" s="11" t="s">
        <v>34</v>
      </c>
      <c r="D1222" s="12">
        <v>59897.64</v>
      </c>
      <c r="E1222" s="11">
        <v>32</v>
      </c>
      <c r="F1222" s="11" t="s">
        <v>43</v>
      </c>
      <c r="G1222" s="13">
        <v>45337</v>
      </c>
      <c r="H1222" s="12">
        <v>127768.66</v>
      </c>
      <c r="I1222" s="14" t="s">
        <v>27</v>
      </c>
      <c r="J1222" s="15" t="s">
        <v>49</v>
      </c>
      <c r="K1222" s="15">
        <v>398</v>
      </c>
      <c r="L1222" s="16">
        <v>45361</v>
      </c>
      <c r="M1222" s="17">
        <v>13</v>
      </c>
      <c r="N1222" s="18">
        <v>91221</v>
      </c>
      <c r="O1222" s="18" t="s">
        <v>29</v>
      </c>
      <c r="P1222" s="19">
        <v>45383</v>
      </c>
      <c r="Q1222" s="20">
        <v>0.72629999999999995</v>
      </c>
      <c r="R1222" s="21">
        <v>71221</v>
      </c>
      <c r="S1222" s="18" t="s">
        <v>41</v>
      </c>
      <c r="T1222" s="20">
        <v>106184.93550000001</v>
      </c>
      <c r="U1222" s="18" t="s">
        <v>48</v>
      </c>
      <c r="V1222" s="19">
        <v>45392</v>
      </c>
      <c r="W1222" s="18" t="s">
        <v>38</v>
      </c>
      <c r="X1222" s="19">
        <v>45384</v>
      </c>
      <c r="Y1222" s="18" t="s">
        <v>39</v>
      </c>
      <c r="Z1222" s="43" t="e">
        <f>TEXT([1]!Table64[[#This Row],[Order date]],"mmm-yyyy")</f>
        <v>#REF!</v>
      </c>
    </row>
    <row r="1223" spans="1:26" x14ac:dyDescent="0.3">
      <c r="A1223" s="22">
        <v>11222</v>
      </c>
      <c r="B1223" s="23">
        <v>5056</v>
      </c>
      <c r="C1223" s="23" t="s">
        <v>34</v>
      </c>
      <c r="D1223" s="24">
        <v>19042.86</v>
      </c>
      <c r="E1223" s="23">
        <v>28</v>
      </c>
      <c r="F1223" s="23" t="s">
        <v>35</v>
      </c>
      <c r="G1223" s="25">
        <v>45383</v>
      </c>
      <c r="H1223" s="24">
        <v>44168.9</v>
      </c>
      <c r="I1223" s="26" t="s">
        <v>47</v>
      </c>
      <c r="J1223" s="15" t="s">
        <v>36</v>
      </c>
      <c r="K1223" s="15">
        <v>320</v>
      </c>
      <c r="L1223" s="16">
        <v>45361</v>
      </c>
      <c r="M1223" s="17">
        <v>10</v>
      </c>
      <c r="N1223" s="27">
        <v>91222</v>
      </c>
      <c r="O1223" s="27" t="s">
        <v>50</v>
      </c>
      <c r="P1223" s="28">
        <v>45352</v>
      </c>
      <c r="Q1223" s="29">
        <v>0.32734000000000002</v>
      </c>
      <c r="R1223" s="30">
        <v>71222</v>
      </c>
      <c r="S1223" s="27" t="s">
        <v>41</v>
      </c>
      <c r="T1223" s="29">
        <v>117523.02095999999</v>
      </c>
      <c r="U1223" s="27" t="s">
        <v>48</v>
      </c>
      <c r="V1223" s="28">
        <v>45444</v>
      </c>
      <c r="W1223" s="27" t="s">
        <v>38</v>
      </c>
      <c r="X1223" s="28">
        <v>45376</v>
      </c>
      <c r="Y1223" s="27" t="s">
        <v>39</v>
      </c>
      <c r="Z1223" s="43" t="e">
        <f>TEXT([1]!Table64[[#This Row],[Order date]],"mmm-yyyy")</f>
        <v>#REF!</v>
      </c>
    </row>
    <row r="1224" spans="1:26" x14ac:dyDescent="0.3">
      <c r="A1224" s="10">
        <v>11223</v>
      </c>
      <c r="B1224" s="11">
        <v>5726</v>
      </c>
      <c r="C1224" s="11" t="s">
        <v>34</v>
      </c>
      <c r="D1224" s="12">
        <v>70376.17</v>
      </c>
      <c r="E1224" s="11">
        <v>22</v>
      </c>
      <c r="F1224" s="11" t="s">
        <v>26</v>
      </c>
      <c r="G1224" s="13">
        <v>45306</v>
      </c>
      <c r="H1224" s="12">
        <v>16541.259999999998</v>
      </c>
      <c r="I1224" s="14" t="s">
        <v>44</v>
      </c>
      <c r="J1224" s="15" t="s">
        <v>36</v>
      </c>
      <c r="K1224" s="15">
        <v>160</v>
      </c>
      <c r="L1224" s="16">
        <v>45332</v>
      </c>
      <c r="M1224" s="17">
        <v>9</v>
      </c>
      <c r="N1224" s="18">
        <v>91223</v>
      </c>
      <c r="O1224" s="18" t="s">
        <v>29</v>
      </c>
      <c r="P1224" s="19">
        <v>45430</v>
      </c>
      <c r="Q1224" s="20">
        <v>0.96192999999999995</v>
      </c>
      <c r="R1224" s="21">
        <v>71223</v>
      </c>
      <c r="S1224" s="18" t="s">
        <v>30</v>
      </c>
      <c r="T1224" s="20">
        <v>80809.046100000007</v>
      </c>
      <c r="U1224" s="18" t="s">
        <v>31</v>
      </c>
      <c r="V1224" s="19">
        <v>45422</v>
      </c>
      <c r="W1224" s="18" t="s">
        <v>38</v>
      </c>
      <c r="X1224" s="19">
        <v>45384</v>
      </c>
      <c r="Y1224" s="18" t="s">
        <v>33</v>
      </c>
      <c r="Z1224" s="43" t="e">
        <f>TEXT([1]!Table64[[#This Row],[Order date]],"mmm-yyyy")</f>
        <v>#REF!</v>
      </c>
    </row>
    <row r="1225" spans="1:26" x14ac:dyDescent="0.3">
      <c r="A1225" s="22">
        <v>11224</v>
      </c>
      <c r="B1225" s="23">
        <v>5526</v>
      </c>
      <c r="C1225" s="23" t="s">
        <v>34</v>
      </c>
      <c r="D1225" s="24">
        <v>60229.23</v>
      </c>
      <c r="E1225" s="23">
        <v>17</v>
      </c>
      <c r="F1225" s="23" t="s">
        <v>43</v>
      </c>
      <c r="G1225" s="25">
        <v>45361</v>
      </c>
      <c r="H1225" s="24">
        <v>160080.04999999999</v>
      </c>
      <c r="I1225" s="26" t="s">
        <v>47</v>
      </c>
      <c r="J1225" s="15" t="s">
        <v>36</v>
      </c>
      <c r="K1225" s="15">
        <v>918</v>
      </c>
      <c r="L1225" s="16">
        <v>45361</v>
      </c>
      <c r="M1225" s="17">
        <v>1</v>
      </c>
      <c r="N1225" s="27">
        <v>91224</v>
      </c>
      <c r="O1225" s="27" t="s">
        <v>37</v>
      </c>
      <c r="P1225" s="28">
        <v>45383</v>
      </c>
      <c r="Q1225" s="29">
        <v>0.12715000000000001</v>
      </c>
      <c r="R1225" s="30">
        <v>71224</v>
      </c>
      <c r="S1225" s="27" t="s">
        <v>41</v>
      </c>
      <c r="T1225" s="29">
        <v>116743.73869</v>
      </c>
      <c r="U1225" s="27" t="s">
        <v>42</v>
      </c>
      <c r="V1225" s="28">
        <v>45444</v>
      </c>
      <c r="W1225" s="27" t="s">
        <v>38</v>
      </c>
      <c r="X1225" s="28">
        <v>45384</v>
      </c>
      <c r="Y1225" s="27" t="s">
        <v>33</v>
      </c>
      <c r="Z1225" s="43" t="e">
        <f>TEXT([1]!Table64[[#This Row],[Order date]],"mmm-yyyy")</f>
        <v>#REF!</v>
      </c>
    </row>
    <row r="1226" spans="1:26" x14ac:dyDescent="0.3">
      <c r="A1226" s="10">
        <v>11225</v>
      </c>
      <c r="B1226" s="11">
        <v>5474</v>
      </c>
      <c r="C1226" s="11" t="s">
        <v>34</v>
      </c>
      <c r="D1226" s="12">
        <v>22230.99</v>
      </c>
      <c r="E1226" s="11">
        <v>59</v>
      </c>
      <c r="F1226" s="11" t="s">
        <v>43</v>
      </c>
      <c r="G1226" s="13">
        <v>45337</v>
      </c>
      <c r="H1226" s="12">
        <v>138317.88</v>
      </c>
      <c r="I1226" s="14" t="s">
        <v>47</v>
      </c>
      <c r="J1226" s="15" t="s">
        <v>49</v>
      </c>
      <c r="K1226" s="15">
        <v>936</v>
      </c>
      <c r="L1226" s="16">
        <v>45361</v>
      </c>
      <c r="M1226" s="17">
        <v>1</v>
      </c>
      <c r="N1226" s="18">
        <v>91225</v>
      </c>
      <c r="O1226" s="18" t="s">
        <v>37</v>
      </c>
      <c r="P1226" s="19">
        <v>45430</v>
      </c>
      <c r="Q1226" s="20">
        <v>0.96228000000000002</v>
      </c>
      <c r="R1226" s="21">
        <v>71225</v>
      </c>
      <c r="S1226" s="18" t="s">
        <v>30</v>
      </c>
      <c r="T1226" s="20">
        <v>157439.80132999999</v>
      </c>
      <c r="U1226" s="18" t="s">
        <v>48</v>
      </c>
      <c r="V1226" s="19">
        <v>45444</v>
      </c>
      <c r="W1226" s="18" t="s">
        <v>38</v>
      </c>
      <c r="X1226" s="19">
        <v>45384</v>
      </c>
      <c r="Y1226" s="18" t="s">
        <v>33</v>
      </c>
      <c r="Z1226" s="43" t="e">
        <f>TEXT([1]!Table64[[#This Row],[Order date]],"mmm-yyyy")</f>
        <v>#REF!</v>
      </c>
    </row>
    <row r="1227" spans="1:26" x14ac:dyDescent="0.3">
      <c r="A1227" s="22">
        <v>11226</v>
      </c>
      <c r="B1227" s="23">
        <v>5028</v>
      </c>
      <c r="C1227" s="23" t="s">
        <v>34</v>
      </c>
      <c r="D1227" s="24">
        <v>48438.39</v>
      </c>
      <c r="E1227" s="23">
        <v>90</v>
      </c>
      <c r="F1227" s="23" t="s">
        <v>26</v>
      </c>
      <c r="G1227" s="25">
        <v>45337</v>
      </c>
      <c r="H1227" s="24">
        <v>139950.88</v>
      </c>
      <c r="I1227" s="26" t="s">
        <v>44</v>
      </c>
      <c r="J1227" s="15" t="s">
        <v>36</v>
      </c>
      <c r="K1227" s="15">
        <v>125</v>
      </c>
      <c r="L1227" s="16">
        <v>45397</v>
      </c>
      <c r="M1227" s="17">
        <v>14</v>
      </c>
      <c r="N1227" s="27">
        <v>91226</v>
      </c>
      <c r="O1227" s="27" t="s">
        <v>40</v>
      </c>
      <c r="P1227" s="28">
        <v>45383</v>
      </c>
      <c r="Q1227" s="29">
        <v>0.29509000000000002</v>
      </c>
      <c r="R1227" s="30">
        <v>71226</v>
      </c>
      <c r="S1227" s="27" t="s">
        <v>41</v>
      </c>
      <c r="T1227" s="29">
        <v>199934.3309</v>
      </c>
      <c r="U1227" s="27" t="s">
        <v>31</v>
      </c>
      <c r="V1227" s="28">
        <v>45444</v>
      </c>
      <c r="W1227" s="27" t="s">
        <v>38</v>
      </c>
      <c r="X1227" s="28">
        <v>45384</v>
      </c>
      <c r="Y1227" s="27" t="s">
        <v>33</v>
      </c>
      <c r="Z1227" s="43" t="e">
        <f>TEXT([1]!Table64[[#This Row],[Order date]],"mmm-yyyy")</f>
        <v>#REF!</v>
      </c>
    </row>
    <row r="1228" spans="1:26" x14ac:dyDescent="0.3">
      <c r="A1228" s="10">
        <v>11227</v>
      </c>
      <c r="B1228" s="11">
        <v>5078</v>
      </c>
      <c r="C1228" s="11" t="s">
        <v>25</v>
      </c>
      <c r="D1228" s="12">
        <v>77794.009999999995</v>
      </c>
      <c r="E1228" s="11">
        <v>71</v>
      </c>
      <c r="F1228" s="11" t="s">
        <v>46</v>
      </c>
      <c r="G1228" s="13">
        <v>45306</v>
      </c>
      <c r="H1228" s="12">
        <v>148831.72</v>
      </c>
      <c r="I1228" s="14" t="s">
        <v>47</v>
      </c>
      <c r="J1228" s="15" t="s">
        <v>28</v>
      </c>
      <c r="K1228" s="15">
        <v>1231</v>
      </c>
      <c r="L1228" s="16">
        <v>45397</v>
      </c>
      <c r="M1228" s="17">
        <v>12</v>
      </c>
      <c r="N1228" s="18">
        <v>91227</v>
      </c>
      <c r="O1228" s="18" t="s">
        <v>37</v>
      </c>
      <c r="P1228" s="19">
        <v>45430</v>
      </c>
      <c r="Q1228" s="20">
        <v>0.14394000000000001</v>
      </c>
      <c r="R1228" s="21">
        <v>71227</v>
      </c>
      <c r="S1228" s="18" t="s">
        <v>30</v>
      </c>
      <c r="T1228" s="20">
        <v>172392.2139</v>
      </c>
      <c r="U1228" s="18" t="s">
        <v>31</v>
      </c>
      <c r="V1228" s="19">
        <v>45392</v>
      </c>
      <c r="W1228" s="18" t="s">
        <v>38</v>
      </c>
      <c r="X1228" s="19">
        <v>45384</v>
      </c>
      <c r="Y1228" s="18" t="s">
        <v>39</v>
      </c>
      <c r="Z1228" s="43" t="e">
        <f>TEXT([1]!Table64[[#This Row],[Order date]],"mmm-yyyy")</f>
        <v>#REF!</v>
      </c>
    </row>
    <row r="1229" spans="1:26" x14ac:dyDescent="0.3">
      <c r="A1229" s="22">
        <v>11228</v>
      </c>
      <c r="B1229" s="23">
        <v>6240</v>
      </c>
      <c r="C1229" s="23" t="s">
        <v>34</v>
      </c>
      <c r="D1229" s="24">
        <v>58899.91</v>
      </c>
      <c r="E1229" s="23">
        <v>57</v>
      </c>
      <c r="F1229" s="23" t="s">
        <v>43</v>
      </c>
      <c r="G1229" s="25">
        <v>45306</v>
      </c>
      <c r="H1229" s="24">
        <v>51195.42</v>
      </c>
      <c r="I1229" s="26" t="s">
        <v>44</v>
      </c>
      <c r="J1229" s="15" t="s">
        <v>28</v>
      </c>
      <c r="K1229" s="15">
        <v>378</v>
      </c>
      <c r="L1229" s="16">
        <v>45397</v>
      </c>
      <c r="M1229" s="17">
        <v>10</v>
      </c>
      <c r="N1229" s="27">
        <v>91228</v>
      </c>
      <c r="O1229" s="27" t="s">
        <v>40</v>
      </c>
      <c r="P1229" s="28">
        <v>45430</v>
      </c>
      <c r="Q1229" s="29">
        <v>0.36323</v>
      </c>
      <c r="R1229" s="30">
        <v>71228</v>
      </c>
      <c r="S1229" s="27" t="s">
        <v>41</v>
      </c>
      <c r="T1229" s="29">
        <v>189388.98564999999</v>
      </c>
      <c r="U1229" s="27" t="s">
        <v>42</v>
      </c>
      <c r="V1229" s="28">
        <v>45392</v>
      </c>
      <c r="W1229" s="27" t="s">
        <v>38</v>
      </c>
      <c r="X1229" s="28">
        <v>45384</v>
      </c>
      <c r="Y1229" s="27" t="s">
        <v>39</v>
      </c>
      <c r="Z1229" s="43" t="e">
        <f>TEXT([1]!Table64[[#This Row],[Order date]],"mmm-yyyy")</f>
        <v>#REF!</v>
      </c>
    </row>
    <row r="1230" spans="1:26" x14ac:dyDescent="0.3">
      <c r="A1230" s="10">
        <v>11229</v>
      </c>
      <c r="B1230" s="11">
        <v>6410</v>
      </c>
      <c r="C1230" s="11" t="s">
        <v>34</v>
      </c>
      <c r="D1230" s="12">
        <v>80990.850000000006</v>
      </c>
      <c r="E1230" s="11">
        <v>26</v>
      </c>
      <c r="F1230" s="11" t="s">
        <v>35</v>
      </c>
      <c r="G1230" s="13">
        <v>45361</v>
      </c>
      <c r="H1230" s="12">
        <v>106426.03</v>
      </c>
      <c r="I1230" s="14" t="s">
        <v>27</v>
      </c>
      <c r="J1230" s="15" t="s">
        <v>28</v>
      </c>
      <c r="K1230" s="15">
        <v>171</v>
      </c>
      <c r="L1230" s="16">
        <v>45332</v>
      </c>
      <c r="M1230" s="17">
        <v>8</v>
      </c>
      <c r="N1230" s="18">
        <v>91229</v>
      </c>
      <c r="O1230" s="18" t="s">
        <v>50</v>
      </c>
      <c r="P1230" s="19">
        <v>45383</v>
      </c>
      <c r="Q1230" s="20">
        <v>0.80764999999999998</v>
      </c>
      <c r="R1230" s="21">
        <v>71229</v>
      </c>
      <c r="S1230" s="18" t="s">
        <v>30</v>
      </c>
      <c r="T1230" s="20">
        <v>201056.51250000001</v>
      </c>
      <c r="U1230" s="18" t="s">
        <v>42</v>
      </c>
      <c r="V1230" s="19">
        <v>45422</v>
      </c>
      <c r="W1230" s="18" t="s">
        <v>38</v>
      </c>
      <c r="X1230" s="19">
        <v>45384</v>
      </c>
      <c r="Y1230" s="18" t="s">
        <v>33</v>
      </c>
      <c r="Z1230" s="43" t="e">
        <f>TEXT([1]!Table64[[#This Row],[Order date]],"mmm-yyyy")</f>
        <v>#REF!</v>
      </c>
    </row>
    <row r="1231" spans="1:26" x14ac:dyDescent="0.3">
      <c r="A1231" s="22">
        <v>11230</v>
      </c>
      <c r="B1231" s="23">
        <v>5365</v>
      </c>
      <c r="C1231" s="23" t="s">
        <v>25</v>
      </c>
      <c r="D1231" s="24">
        <v>57450.7</v>
      </c>
      <c r="E1231" s="23">
        <v>25</v>
      </c>
      <c r="F1231" s="23" t="s">
        <v>43</v>
      </c>
      <c r="G1231" s="25">
        <v>45383</v>
      </c>
      <c r="H1231" s="24">
        <v>118563.06</v>
      </c>
      <c r="I1231" s="26" t="s">
        <v>47</v>
      </c>
      <c r="J1231" s="15" t="s">
        <v>49</v>
      </c>
      <c r="K1231" s="15">
        <v>90</v>
      </c>
      <c r="L1231" s="16">
        <v>45361</v>
      </c>
      <c r="M1231" s="17">
        <v>6</v>
      </c>
      <c r="N1231" s="27">
        <v>91230</v>
      </c>
      <c r="O1231" s="27" t="s">
        <v>29</v>
      </c>
      <c r="P1231" s="28">
        <v>45352</v>
      </c>
      <c r="Q1231" s="29">
        <v>0.7772</v>
      </c>
      <c r="R1231" s="30">
        <v>71230</v>
      </c>
      <c r="S1231" s="27" t="s">
        <v>41</v>
      </c>
      <c r="T1231" s="29">
        <v>133476.37810999999</v>
      </c>
      <c r="U1231" s="27" t="s">
        <v>48</v>
      </c>
      <c r="V1231" s="28">
        <v>45392</v>
      </c>
      <c r="W1231" s="27" t="s">
        <v>38</v>
      </c>
      <c r="X1231" s="28">
        <v>45376</v>
      </c>
      <c r="Y1231" s="27" t="s">
        <v>39</v>
      </c>
      <c r="Z1231" s="43" t="e">
        <f>TEXT([1]!Table64[[#This Row],[Order date]],"mmm-yyyy")</f>
        <v>#REF!</v>
      </c>
    </row>
    <row r="1232" spans="1:26" x14ac:dyDescent="0.3">
      <c r="A1232" s="10">
        <v>11231</v>
      </c>
      <c r="B1232" s="11">
        <v>5666</v>
      </c>
      <c r="C1232" s="11" t="s">
        <v>34</v>
      </c>
      <c r="D1232" s="12">
        <v>34274.14</v>
      </c>
      <c r="E1232" s="11">
        <v>10</v>
      </c>
      <c r="F1232" s="11" t="s">
        <v>35</v>
      </c>
      <c r="G1232" s="13">
        <v>45306</v>
      </c>
      <c r="H1232" s="12">
        <v>143216.97</v>
      </c>
      <c r="I1232" s="14" t="s">
        <v>44</v>
      </c>
      <c r="J1232" s="15" t="s">
        <v>28</v>
      </c>
      <c r="K1232" s="15">
        <v>1240</v>
      </c>
      <c r="L1232" s="16">
        <v>45332</v>
      </c>
      <c r="M1232" s="17">
        <v>6</v>
      </c>
      <c r="N1232" s="18">
        <v>91231</v>
      </c>
      <c r="O1232" s="18" t="s">
        <v>37</v>
      </c>
      <c r="P1232" s="19">
        <v>45383</v>
      </c>
      <c r="Q1232" s="20">
        <v>0.28795999999999999</v>
      </c>
      <c r="R1232" s="21">
        <v>71231</v>
      </c>
      <c r="S1232" s="18" t="s">
        <v>41</v>
      </c>
      <c r="T1232" s="20">
        <v>161734.14859999999</v>
      </c>
      <c r="U1232" s="18" t="s">
        <v>48</v>
      </c>
      <c r="V1232" s="19">
        <v>45444</v>
      </c>
      <c r="W1232" s="18" t="s">
        <v>38</v>
      </c>
      <c r="X1232" s="19">
        <v>45384</v>
      </c>
      <c r="Y1232" s="18" t="s">
        <v>33</v>
      </c>
      <c r="Z1232" s="43" t="e">
        <f>TEXT([1]!Table64[[#This Row],[Order date]],"mmm-yyyy")</f>
        <v>#REF!</v>
      </c>
    </row>
    <row r="1233" spans="1:26" x14ac:dyDescent="0.3">
      <c r="A1233" s="22">
        <v>11232</v>
      </c>
      <c r="B1233" s="23">
        <v>5526</v>
      </c>
      <c r="C1233" s="23" t="s">
        <v>34</v>
      </c>
      <c r="D1233" s="24">
        <v>84983.41</v>
      </c>
      <c r="E1233" s="23">
        <v>45</v>
      </c>
      <c r="F1233" s="23" t="s">
        <v>35</v>
      </c>
      <c r="G1233" s="25">
        <v>45383</v>
      </c>
      <c r="H1233" s="24">
        <v>79708.3</v>
      </c>
      <c r="I1233" s="26" t="s">
        <v>44</v>
      </c>
      <c r="J1233" s="15" t="s">
        <v>49</v>
      </c>
      <c r="K1233" s="15">
        <v>971</v>
      </c>
      <c r="L1233" s="16">
        <v>45361</v>
      </c>
      <c r="M1233" s="17">
        <v>12</v>
      </c>
      <c r="N1233" s="27">
        <v>91232</v>
      </c>
      <c r="O1233" s="27" t="s">
        <v>40</v>
      </c>
      <c r="P1233" s="28">
        <v>45383</v>
      </c>
      <c r="Q1233" s="29">
        <v>0.27711000000000002</v>
      </c>
      <c r="R1233" s="30">
        <v>71232</v>
      </c>
      <c r="S1233" s="27" t="s">
        <v>41</v>
      </c>
      <c r="T1233" s="29">
        <v>106895.73205000001</v>
      </c>
      <c r="U1233" s="27" t="s">
        <v>31</v>
      </c>
      <c r="V1233" s="28">
        <v>45444</v>
      </c>
      <c r="W1233" s="27" t="s">
        <v>38</v>
      </c>
      <c r="X1233" s="28">
        <v>45384</v>
      </c>
      <c r="Y1233" s="27" t="s">
        <v>39</v>
      </c>
      <c r="Z1233" s="43" t="e">
        <f>TEXT([1]!Table64[[#This Row],[Order date]],"mmm-yyyy")</f>
        <v>#REF!</v>
      </c>
    </row>
    <row r="1234" spans="1:26" x14ac:dyDescent="0.3">
      <c r="A1234" s="10">
        <v>11233</v>
      </c>
      <c r="B1234" s="11">
        <v>5699</v>
      </c>
      <c r="C1234" s="11" t="s">
        <v>34</v>
      </c>
      <c r="D1234" s="12">
        <v>71072.160000000003</v>
      </c>
      <c r="E1234" s="11">
        <v>83</v>
      </c>
      <c r="F1234" s="11" t="s">
        <v>43</v>
      </c>
      <c r="G1234" s="13">
        <v>45361</v>
      </c>
      <c r="H1234" s="12">
        <v>121898.34</v>
      </c>
      <c r="I1234" s="14" t="s">
        <v>47</v>
      </c>
      <c r="J1234" s="15" t="s">
        <v>49</v>
      </c>
      <c r="K1234" s="15">
        <v>691</v>
      </c>
      <c r="L1234" s="16">
        <v>45361</v>
      </c>
      <c r="M1234" s="17">
        <v>9</v>
      </c>
      <c r="N1234" s="18">
        <v>91233</v>
      </c>
      <c r="O1234" s="18" t="s">
        <v>50</v>
      </c>
      <c r="P1234" s="19">
        <v>45383</v>
      </c>
      <c r="Q1234" s="20">
        <v>0.67832000000000003</v>
      </c>
      <c r="R1234" s="21">
        <v>71233</v>
      </c>
      <c r="S1234" s="18" t="s">
        <v>45</v>
      </c>
      <c r="T1234" s="20">
        <v>76819.390650000001</v>
      </c>
      <c r="U1234" s="18" t="s">
        <v>31</v>
      </c>
      <c r="V1234" s="19">
        <v>45392</v>
      </c>
      <c r="W1234" s="18" t="s">
        <v>38</v>
      </c>
      <c r="X1234" s="19">
        <v>45376</v>
      </c>
      <c r="Y1234" s="18" t="s">
        <v>33</v>
      </c>
      <c r="Z1234" s="43" t="e">
        <f>TEXT([1]!Table64[[#This Row],[Order date]],"mmm-yyyy")</f>
        <v>#REF!</v>
      </c>
    </row>
    <row r="1235" spans="1:26" x14ac:dyDescent="0.3">
      <c r="A1235" s="22">
        <v>11234</v>
      </c>
      <c r="B1235" s="23">
        <v>6336</v>
      </c>
      <c r="C1235" s="23" t="s">
        <v>34</v>
      </c>
      <c r="D1235" s="24">
        <v>57830.26</v>
      </c>
      <c r="E1235" s="23">
        <v>11</v>
      </c>
      <c r="F1235" s="23" t="s">
        <v>43</v>
      </c>
      <c r="G1235" s="25">
        <v>45383</v>
      </c>
      <c r="H1235" s="24">
        <v>79237.11</v>
      </c>
      <c r="I1235" s="26" t="s">
        <v>27</v>
      </c>
      <c r="J1235" s="15" t="s">
        <v>28</v>
      </c>
      <c r="K1235" s="15">
        <v>1096</v>
      </c>
      <c r="L1235" s="16">
        <v>45361</v>
      </c>
      <c r="M1235" s="17">
        <v>4</v>
      </c>
      <c r="N1235" s="27">
        <v>91234</v>
      </c>
      <c r="O1235" s="27" t="s">
        <v>40</v>
      </c>
      <c r="P1235" s="28">
        <v>45383</v>
      </c>
      <c r="Q1235" s="29">
        <v>0.51227</v>
      </c>
      <c r="R1235" s="30">
        <v>71234</v>
      </c>
      <c r="S1235" s="27" t="s">
        <v>45</v>
      </c>
      <c r="T1235" s="29">
        <v>87121.655400000003</v>
      </c>
      <c r="U1235" s="27" t="s">
        <v>31</v>
      </c>
      <c r="V1235" s="28">
        <v>45444</v>
      </c>
      <c r="W1235" s="27" t="s">
        <v>32</v>
      </c>
      <c r="X1235" s="28">
        <v>45376</v>
      </c>
      <c r="Y1235" s="27" t="s">
        <v>33</v>
      </c>
      <c r="Z1235" s="43" t="e">
        <f>TEXT([1]!Table64[[#This Row],[Order date]],"mmm-yyyy")</f>
        <v>#REF!</v>
      </c>
    </row>
    <row r="1236" spans="1:26" x14ac:dyDescent="0.3">
      <c r="A1236" s="10">
        <v>11235</v>
      </c>
      <c r="B1236" s="11">
        <v>5883</v>
      </c>
      <c r="C1236" s="11" t="s">
        <v>25</v>
      </c>
      <c r="D1236" s="12">
        <v>45977.71</v>
      </c>
      <c r="E1236" s="11">
        <v>77</v>
      </c>
      <c r="F1236" s="11" t="s">
        <v>35</v>
      </c>
      <c r="G1236" s="13">
        <v>45337</v>
      </c>
      <c r="H1236" s="12">
        <v>48978.83</v>
      </c>
      <c r="I1236" s="14" t="s">
        <v>44</v>
      </c>
      <c r="J1236" s="15" t="s">
        <v>36</v>
      </c>
      <c r="K1236" s="15">
        <v>328</v>
      </c>
      <c r="L1236" s="16">
        <v>45397</v>
      </c>
      <c r="M1236" s="17">
        <v>8</v>
      </c>
      <c r="N1236" s="18">
        <v>91235</v>
      </c>
      <c r="O1236" s="18" t="s">
        <v>29</v>
      </c>
      <c r="P1236" s="19">
        <v>45383</v>
      </c>
      <c r="Q1236" s="20">
        <v>0.81306</v>
      </c>
      <c r="R1236" s="21">
        <v>71235</v>
      </c>
      <c r="S1236" s="18" t="s">
        <v>41</v>
      </c>
      <c r="T1236" s="20">
        <v>92578.498099999997</v>
      </c>
      <c r="U1236" s="18" t="s">
        <v>48</v>
      </c>
      <c r="V1236" s="19">
        <v>45392</v>
      </c>
      <c r="W1236" s="18" t="s">
        <v>32</v>
      </c>
      <c r="X1236" s="19">
        <v>45384</v>
      </c>
      <c r="Y1236" s="18" t="s">
        <v>33</v>
      </c>
      <c r="Z1236" s="43" t="e">
        <f>TEXT([1]!Table64[[#This Row],[Order date]],"mmm-yyyy")</f>
        <v>#REF!</v>
      </c>
    </row>
    <row r="1237" spans="1:26" x14ac:dyDescent="0.3">
      <c r="A1237" s="22">
        <v>11236</v>
      </c>
      <c r="B1237" s="23">
        <v>6031</v>
      </c>
      <c r="C1237" s="23" t="s">
        <v>34</v>
      </c>
      <c r="D1237" s="24">
        <v>40464.49</v>
      </c>
      <c r="E1237" s="23">
        <v>53</v>
      </c>
      <c r="F1237" s="23" t="s">
        <v>26</v>
      </c>
      <c r="G1237" s="25">
        <v>45383</v>
      </c>
      <c r="H1237" s="24">
        <v>132165.28</v>
      </c>
      <c r="I1237" s="26" t="s">
        <v>47</v>
      </c>
      <c r="J1237" s="15" t="s">
        <v>49</v>
      </c>
      <c r="K1237" s="15">
        <v>812</v>
      </c>
      <c r="L1237" s="16">
        <v>45332</v>
      </c>
      <c r="M1237" s="17">
        <v>4</v>
      </c>
      <c r="N1237" s="27">
        <v>91236</v>
      </c>
      <c r="O1237" s="27" t="s">
        <v>37</v>
      </c>
      <c r="P1237" s="28">
        <v>45430</v>
      </c>
      <c r="Q1237" s="29">
        <v>0.12171999999999999</v>
      </c>
      <c r="R1237" s="30">
        <v>71236</v>
      </c>
      <c r="S1237" s="27" t="s">
        <v>41</v>
      </c>
      <c r="T1237" s="29">
        <v>93558.641199999998</v>
      </c>
      <c r="U1237" s="27" t="s">
        <v>42</v>
      </c>
      <c r="V1237" s="28">
        <v>45444</v>
      </c>
      <c r="W1237" s="27" t="s">
        <v>32</v>
      </c>
      <c r="X1237" s="28">
        <v>45376</v>
      </c>
      <c r="Y1237" s="27" t="s">
        <v>33</v>
      </c>
      <c r="Z1237" s="43" t="e">
        <f>TEXT([1]!Table64[[#This Row],[Order date]],"mmm-yyyy")</f>
        <v>#REF!</v>
      </c>
    </row>
    <row r="1238" spans="1:26" x14ac:dyDescent="0.3">
      <c r="A1238" s="10">
        <v>11237</v>
      </c>
      <c r="B1238" s="11">
        <v>6027</v>
      </c>
      <c r="C1238" s="11" t="s">
        <v>25</v>
      </c>
      <c r="D1238" s="12">
        <v>45440.02</v>
      </c>
      <c r="E1238" s="11">
        <v>72</v>
      </c>
      <c r="F1238" s="11" t="s">
        <v>26</v>
      </c>
      <c r="G1238" s="13">
        <v>45361</v>
      </c>
      <c r="H1238" s="12">
        <v>81571.22</v>
      </c>
      <c r="I1238" s="14" t="s">
        <v>47</v>
      </c>
      <c r="J1238" s="15" t="s">
        <v>28</v>
      </c>
      <c r="K1238" s="15">
        <v>518</v>
      </c>
      <c r="L1238" s="16">
        <v>45332</v>
      </c>
      <c r="M1238" s="17">
        <v>14</v>
      </c>
      <c r="N1238" s="18">
        <v>91237</v>
      </c>
      <c r="O1238" s="18" t="s">
        <v>50</v>
      </c>
      <c r="P1238" s="19">
        <v>45430</v>
      </c>
      <c r="Q1238" s="20">
        <v>0.64937</v>
      </c>
      <c r="R1238" s="21">
        <v>71237</v>
      </c>
      <c r="S1238" s="18" t="s">
        <v>45</v>
      </c>
      <c r="T1238" s="20">
        <v>86601.803400000004</v>
      </c>
      <c r="U1238" s="18" t="s">
        <v>48</v>
      </c>
      <c r="V1238" s="19">
        <v>45422</v>
      </c>
      <c r="W1238" s="18" t="s">
        <v>32</v>
      </c>
      <c r="X1238" s="19">
        <v>45384</v>
      </c>
      <c r="Y1238" s="18" t="s">
        <v>39</v>
      </c>
      <c r="Z1238" s="43" t="e">
        <f>TEXT([1]!Table64[[#This Row],[Order date]],"mmm-yyyy")</f>
        <v>#REF!</v>
      </c>
    </row>
    <row r="1239" spans="1:26" x14ac:dyDescent="0.3">
      <c r="A1239" s="22">
        <v>11238</v>
      </c>
      <c r="B1239" s="23">
        <v>6647</v>
      </c>
      <c r="C1239" s="23" t="s">
        <v>34</v>
      </c>
      <c r="D1239" s="24">
        <v>25219.35</v>
      </c>
      <c r="E1239" s="23">
        <v>68</v>
      </c>
      <c r="F1239" s="23" t="s">
        <v>43</v>
      </c>
      <c r="G1239" s="25">
        <v>45361</v>
      </c>
      <c r="H1239" s="24">
        <v>24310.66</v>
      </c>
      <c r="I1239" s="26" t="s">
        <v>47</v>
      </c>
      <c r="J1239" s="15" t="s">
        <v>49</v>
      </c>
      <c r="K1239" s="15">
        <v>1473</v>
      </c>
      <c r="L1239" s="16">
        <v>45361</v>
      </c>
      <c r="M1239" s="17">
        <v>2</v>
      </c>
      <c r="N1239" s="27">
        <v>91238</v>
      </c>
      <c r="O1239" s="27" t="s">
        <v>40</v>
      </c>
      <c r="P1239" s="28">
        <v>45352</v>
      </c>
      <c r="Q1239" s="29">
        <v>0.75760000000000005</v>
      </c>
      <c r="R1239" s="30">
        <v>71238</v>
      </c>
      <c r="S1239" s="27" t="s">
        <v>45</v>
      </c>
      <c r="T1239" s="29">
        <v>88379.04</v>
      </c>
      <c r="U1239" s="27" t="s">
        <v>42</v>
      </c>
      <c r="V1239" s="28">
        <v>45422</v>
      </c>
      <c r="W1239" s="27" t="s">
        <v>38</v>
      </c>
      <c r="X1239" s="28">
        <v>45384</v>
      </c>
      <c r="Y1239" s="27" t="s">
        <v>33</v>
      </c>
      <c r="Z1239" s="43" t="e">
        <f>TEXT([1]!Table64[[#This Row],[Order date]],"mmm-yyyy")</f>
        <v>#REF!</v>
      </c>
    </row>
    <row r="1240" spans="1:26" x14ac:dyDescent="0.3">
      <c r="A1240" s="10">
        <v>11239</v>
      </c>
      <c r="B1240" s="11">
        <v>5919</v>
      </c>
      <c r="C1240" s="11" t="s">
        <v>34</v>
      </c>
      <c r="D1240" s="12">
        <v>49398.99</v>
      </c>
      <c r="E1240" s="11">
        <v>95</v>
      </c>
      <c r="F1240" s="11" t="s">
        <v>46</v>
      </c>
      <c r="G1240" s="13">
        <v>45361</v>
      </c>
      <c r="H1240" s="12">
        <v>130896.95</v>
      </c>
      <c r="I1240" s="14" t="s">
        <v>27</v>
      </c>
      <c r="J1240" s="15" t="s">
        <v>36</v>
      </c>
      <c r="K1240" s="15">
        <v>58</v>
      </c>
      <c r="L1240" s="16">
        <v>45332</v>
      </c>
      <c r="M1240" s="17">
        <v>11</v>
      </c>
      <c r="N1240" s="18">
        <v>91239</v>
      </c>
      <c r="O1240" s="18" t="s">
        <v>50</v>
      </c>
      <c r="P1240" s="19">
        <v>45352</v>
      </c>
      <c r="Q1240" s="20">
        <v>0.99404999999999999</v>
      </c>
      <c r="R1240" s="21">
        <v>71239</v>
      </c>
      <c r="S1240" s="18" t="s">
        <v>41</v>
      </c>
      <c r="T1240" s="20">
        <v>167470.40377</v>
      </c>
      <c r="U1240" s="18" t="s">
        <v>48</v>
      </c>
      <c r="V1240" s="19">
        <v>45392</v>
      </c>
      <c r="W1240" s="18" t="s">
        <v>32</v>
      </c>
      <c r="X1240" s="19">
        <v>45384</v>
      </c>
      <c r="Y1240" s="18" t="s">
        <v>33</v>
      </c>
      <c r="Z1240" s="43" t="e">
        <f>TEXT([1]!Table64[[#This Row],[Order date]],"mmm-yyyy")</f>
        <v>#REF!</v>
      </c>
    </row>
    <row r="1241" spans="1:26" x14ac:dyDescent="0.3">
      <c r="A1241" s="22">
        <v>11240</v>
      </c>
      <c r="B1241" s="23">
        <v>5750</v>
      </c>
      <c r="C1241" s="23" t="s">
        <v>34</v>
      </c>
      <c r="D1241" s="24">
        <v>8520.91</v>
      </c>
      <c r="E1241" s="23">
        <v>28</v>
      </c>
      <c r="F1241" s="23" t="s">
        <v>26</v>
      </c>
      <c r="G1241" s="25">
        <v>45383</v>
      </c>
      <c r="H1241" s="24">
        <v>54942.97</v>
      </c>
      <c r="I1241" s="26" t="s">
        <v>44</v>
      </c>
      <c r="J1241" s="15" t="s">
        <v>36</v>
      </c>
      <c r="K1241" s="15">
        <v>62</v>
      </c>
      <c r="L1241" s="16">
        <v>45397</v>
      </c>
      <c r="M1241" s="17">
        <v>8</v>
      </c>
      <c r="N1241" s="27">
        <v>91240</v>
      </c>
      <c r="O1241" s="27" t="s">
        <v>40</v>
      </c>
      <c r="P1241" s="28">
        <v>45383</v>
      </c>
      <c r="Q1241" s="29">
        <v>0.71089999999999998</v>
      </c>
      <c r="R1241" s="30">
        <v>71240</v>
      </c>
      <c r="S1241" s="27" t="s">
        <v>41</v>
      </c>
      <c r="T1241" s="29">
        <v>98942.970390000002</v>
      </c>
      <c r="U1241" s="27" t="s">
        <v>48</v>
      </c>
      <c r="V1241" s="28">
        <v>45392</v>
      </c>
      <c r="W1241" s="27" t="s">
        <v>38</v>
      </c>
      <c r="X1241" s="28">
        <v>45384</v>
      </c>
      <c r="Y1241" s="27" t="s">
        <v>39</v>
      </c>
      <c r="Z1241" s="43" t="e">
        <f>TEXT([1]!Table64[[#This Row],[Order date]],"mmm-yyyy")</f>
        <v>#REF!</v>
      </c>
    </row>
    <row r="1242" spans="1:26" x14ac:dyDescent="0.3">
      <c r="A1242" s="10">
        <v>11241</v>
      </c>
      <c r="B1242" s="11">
        <v>5363</v>
      </c>
      <c r="C1242" s="11" t="s">
        <v>25</v>
      </c>
      <c r="D1242" s="12">
        <v>45188.12</v>
      </c>
      <c r="E1242" s="11">
        <v>75</v>
      </c>
      <c r="F1242" s="11" t="s">
        <v>43</v>
      </c>
      <c r="G1242" s="13">
        <v>45337</v>
      </c>
      <c r="H1242" s="12">
        <v>115750.94</v>
      </c>
      <c r="I1242" s="14" t="s">
        <v>44</v>
      </c>
      <c r="J1242" s="15" t="s">
        <v>28</v>
      </c>
      <c r="K1242" s="15">
        <v>973</v>
      </c>
      <c r="L1242" s="16">
        <v>45332</v>
      </c>
      <c r="M1242" s="17">
        <v>12</v>
      </c>
      <c r="N1242" s="18">
        <v>91241</v>
      </c>
      <c r="O1242" s="18" t="s">
        <v>40</v>
      </c>
      <c r="P1242" s="19">
        <v>45352</v>
      </c>
      <c r="Q1242" s="20">
        <v>0.30865999999999999</v>
      </c>
      <c r="R1242" s="21">
        <v>71241</v>
      </c>
      <c r="S1242" s="18" t="s">
        <v>45</v>
      </c>
      <c r="T1242" s="20">
        <v>123327.0384</v>
      </c>
      <c r="U1242" s="18" t="s">
        <v>42</v>
      </c>
      <c r="V1242" s="19">
        <v>45392</v>
      </c>
      <c r="W1242" s="18" t="s">
        <v>32</v>
      </c>
      <c r="X1242" s="19">
        <v>45384</v>
      </c>
      <c r="Y1242" s="18" t="s">
        <v>33</v>
      </c>
      <c r="Z1242" s="43" t="e">
        <f>TEXT([1]!Table64[[#This Row],[Order date]],"mmm-yyyy")</f>
        <v>#REF!</v>
      </c>
    </row>
    <row r="1243" spans="1:26" x14ac:dyDescent="0.3">
      <c r="A1243" s="22">
        <v>11242</v>
      </c>
      <c r="B1243" s="23">
        <v>6775</v>
      </c>
      <c r="C1243" s="23" t="s">
        <v>25</v>
      </c>
      <c r="D1243" s="24">
        <v>46079.839999999997</v>
      </c>
      <c r="E1243" s="23">
        <v>65</v>
      </c>
      <c r="F1243" s="23" t="s">
        <v>26</v>
      </c>
      <c r="G1243" s="25">
        <v>45306</v>
      </c>
      <c r="H1243" s="24">
        <v>50023.69</v>
      </c>
      <c r="I1243" s="26" t="s">
        <v>44</v>
      </c>
      <c r="J1243" s="15" t="s">
        <v>49</v>
      </c>
      <c r="K1243" s="15">
        <v>972</v>
      </c>
      <c r="L1243" s="16">
        <v>45361</v>
      </c>
      <c r="M1243" s="17">
        <v>7</v>
      </c>
      <c r="N1243" s="27">
        <v>91242</v>
      </c>
      <c r="O1243" s="27" t="s">
        <v>29</v>
      </c>
      <c r="P1243" s="28">
        <v>45352</v>
      </c>
      <c r="Q1243" s="29">
        <v>0.19736999999999999</v>
      </c>
      <c r="R1243" s="30">
        <v>71242</v>
      </c>
      <c r="S1243" s="27" t="s">
        <v>45</v>
      </c>
      <c r="T1243" s="29">
        <v>144474.00743999999</v>
      </c>
      <c r="U1243" s="27" t="s">
        <v>48</v>
      </c>
      <c r="V1243" s="28">
        <v>45392</v>
      </c>
      <c r="W1243" s="27" t="s">
        <v>38</v>
      </c>
      <c r="X1243" s="28">
        <v>45376</v>
      </c>
      <c r="Y1243" s="27" t="s">
        <v>39</v>
      </c>
      <c r="Z1243" s="43" t="e">
        <f>TEXT([1]!Table64[[#This Row],[Order date]],"mmm-yyyy")</f>
        <v>#REF!</v>
      </c>
    </row>
    <row r="1244" spans="1:26" x14ac:dyDescent="0.3">
      <c r="A1244" s="10">
        <v>11243</v>
      </c>
      <c r="B1244" s="11">
        <v>6532</v>
      </c>
      <c r="C1244" s="11" t="s">
        <v>25</v>
      </c>
      <c r="D1244" s="12">
        <v>9131.34</v>
      </c>
      <c r="E1244" s="11">
        <v>49</v>
      </c>
      <c r="F1244" s="11" t="s">
        <v>46</v>
      </c>
      <c r="G1244" s="13">
        <v>45337</v>
      </c>
      <c r="H1244" s="12">
        <v>91668.71</v>
      </c>
      <c r="I1244" s="14" t="s">
        <v>44</v>
      </c>
      <c r="J1244" s="15" t="s">
        <v>49</v>
      </c>
      <c r="K1244" s="15">
        <v>1125</v>
      </c>
      <c r="L1244" s="16">
        <v>45397</v>
      </c>
      <c r="M1244" s="17">
        <v>4</v>
      </c>
      <c r="N1244" s="18">
        <v>91243</v>
      </c>
      <c r="O1244" s="18" t="s">
        <v>29</v>
      </c>
      <c r="P1244" s="19">
        <v>45383</v>
      </c>
      <c r="Q1244" s="20">
        <v>0.67683000000000004</v>
      </c>
      <c r="R1244" s="21">
        <v>71243</v>
      </c>
      <c r="S1244" s="18" t="s">
        <v>30</v>
      </c>
      <c r="T1244" s="20">
        <v>113143.76313000001</v>
      </c>
      <c r="U1244" s="18" t="s">
        <v>48</v>
      </c>
      <c r="V1244" s="19">
        <v>45392</v>
      </c>
      <c r="W1244" s="18" t="s">
        <v>32</v>
      </c>
      <c r="X1244" s="19">
        <v>45384</v>
      </c>
      <c r="Y1244" s="18" t="s">
        <v>33</v>
      </c>
      <c r="Z1244" s="43" t="e">
        <f>TEXT([1]!Table64[[#This Row],[Order date]],"mmm-yyyy")</f>
        <v>#REF!</v>
      </c>
    </row>
    <row r="1245" spans="1:26" x14ac:dyDescent="0.3">
      <c r="A1245" s="22">
        <v>11244</v>
      </c>
      <c r="B1245" s="23">
        <v>6298</v>
      </c>
      <c r="C1245" s="23" t="s">
        <v>34</v>
      </c>
      <c r="D1245" s="24">
        <v>25811.99</v>
      </c>
      <c r="E1245" s="23">
        <v>47</v>
      </c>
      <c r="F1245" s="23" t="s">
        <v>43</v>
      </c>
      <c r="G1245" s="25">
        <v>45383</v>
      </c>
      <c r="H1245" s="24">
        <v>33327.019999999997</v>
      </c>
      <c r="I1245" s="26" t="s">
        <v>44</v>
      </c>
      <c r="J1245" s="15" t="s">
        <v>49</v>
      </c>
      <c r="K1245" s="15">
        <v>1282</v>
      </c>
      <c r="L1245" s="16">
        <v>45397</v>
      </c>
      <c r="M1245" s="17">
        <v>9</v>
      </c>
      <c r="N1245" s="27">
        <v>91244</v>
      </c>
      <c r="O1245" s="27" t="s">
        <v>40</v>
      </c>
      <c r="P1245" s="28">
        <v>45430</v>
      </c>
      <c r="Q1245" s="29">
        <v>0.57086000000000003</v>
      </c>
      <c r="R1245" s="30">
        <v>71244</v>
      </c>
      <c r="S1245" s="27" t="s">
        <v>30</v>
      </c>
      <c r="T1245" s="29">
        <v>113020.82832</v>
      </c>
      <c r="U1245" s="27" t="s">
        <v>31</v>
      </c>
      <c r="V1245" s="28">
        <v>45444</v>
      </c>
      <c r="W1245" s="27" t="s">
        <v>38</v>
      </c>
      <c r="X1245" s="28">
        <v>45376</v>
      </c>
      <c r="Y1245" s="27" t="s">
        <v>39</v>
      </c>
      <c r="Z1245" s="43" t="e">
        <f>TEXT([1]!Table64[[#This Row],[Order date]],"mmm-yyyy")</f>
        <v>#REF!</v>
      </c>
    </row>
    <row r="1246" spans="1:26" x14ac:dyDescent="0.3">
      <c r="A1246" s="10">
        <v>11245</v>
      </c>
      <c r="B1246" s="11">
        <v>6530</v>
      </c>
      <c r="C1246" s="11" t="s">
        <v>34</v>
      </c>
      <c r="D1246" s="12">
        <v>20102.61</v>
      </c>
      <c r="E1246" s="11">
        <v>52</v>
      </c>
      <c r="F1246" s="11" t="s">
        <v>46</v>
      </c>
      <c r="G1246" s="13">
        <v>45383</v>
      </c>
      <c r="H1246" s="12">
        <v>106813.71</v>
      </c>
      <c r="I1246" s="14" t="s">
        <v>44</v>
      </c>
      <c r="J1246" s="15" t="s">
        <v>49</v>
      </c>
      <c r="K1246" s="15">
        <v>1475</v>
      </c>
      <c r="L1246" s="16">
        <v>45361</v>
      </c>
      <c r="M1246" s="17">
        <v>9</v>
      </c>
      <c r="N1246" s="18">
        <v>91245</v>
      </c>
      <c r="O1246" s="18" t="s">
        <v>37</v>
      </c>
      <c r="P1246" s="19">
        <v>45430</v>
      </c>
      <c r="Q1246" s="20">
        <v>0.90922999999999998</v>
      </c>
      <c r="R1246" s="21">
        <v>71245</v>
      </c>
      <c r="S1246" s="18" t="s">
        <v>41</v>
      </c>
      <c r="T1246" s="20">
        <v>196073.89543</v>
      </c>
      <c r="U1246" s="18" t="s">
        <v>42</v>
      </c>
      <c r="V1246" s="19">
        <v>45422</v>
      </c>
      <c r="W1246" s="18" t="s">
        <v>32</v>
      </c>
      <c r="X1246" s="19">
        <v>45384</v>
      </c>
      <c r="Y1246" s="18" t="s">
        <v>39</v>
      </c>
      <c r="Z1246" s="43" t="e">
        <f>TEXT([1]!Table64[[#This Row],[Order date]],"mmm-yyyy")</f>
        <v>#REF!</v>
      </c>
    </row>
    <row r="1247" spans="1:26" x14ac:dyDescent="0.3">
      <c r="A1247" s="22">
        <v>11246</v>
      </c>
      <c r="B1247" s="23">
        <v>5806</v>
      </c>
      <c r="C1247" s="23" t="s">
        <v>25</v>
      </c>
      <c r="D1247" s="24">
        <v>9568.93</v>
      </c>
      <c r="E1247" s="23">
        <v>88</v>
      </c>
      <c r="F1247" s="23" t="s">
        <v>43</v>
      </c>
      <c r="G1247" s="25">
        <v>45306</v>
      </c>
      <c r="H1247" s="24">
        <v>67980.14</v>
      </c>
      <c r="I1247" s="26" t="s">
        <v>27</v>
      </c>
      <c r="J1247" s="15" t="s">
        <v>28</v>
      </c>
      <c r="K1247" s="15">
        <v>1264</v>
      </c>
      <c r="L1247" s="16">
        <v>45332</v>
      </c>
      <c r="M1247" s="17">
        <v>8</v>
      </c>
      <c r="N1247" s="27">
        <v>91246</v>
      </c>
      <c r="O1247" s="27" t="s">
        <v>50</v>
      </c>
      <c r="P1247" s="28">
        <v>45352</v>
      </c>
      <c r="Q1247" s="29">
        <v>0.75395000000000001</v>
      </c>
      <c r="R1247" s="30">
        <v>71246</v>
      </c>
      <c r="S1247" s="27" t="s">
        <v>45</v>
      </c>
      <c r="T1247" s="29">
        <v>189632.09529999999</v>
      </c>
      <c r="U1247" s="27" t="s">
        <v>42</v>
      </c>
      <c r="V1247" s="28">
        <v>45444</v>
      </c>
      <c r="W1247" s="27" t="s">
        <v>32</v>
      </c>
      <c r="X1247" s="28">
        <v>45376</v>
      </c>
      <c r="Y1247" s="27" t="s">
        <v>33</v>
      </c>
      <c r="Z1247" s="43" t="e">
        <f>TEXT([1]!Table64[[#This Row],[Order date]],"mmm-yyyy")</f>
        <v>#REF!</v>
      </c>
    </row>
    <row r="1248" spans="1:26" x14ac:dyDescent="0.3">
      <c r="A1248" s="10">
        <v>11247</v>
      </c>
      <c r="B1248" s="11">
        <v>5739</v>
      </c>
      <c r="C1248" s="11" t="s">
        <v>25</v>
      </c>
      <c r="D1248" s="12">
        <v>61136.81</v>
      </c>
      <c r="E1248" s="11">
        <v>54</v>
      </c>
      <c r="F1248" s="11" t="s">
        <v>46</v>
      </c>
      <c r="G1248" s="13">
        <v>45383</v>
      </c>
      <c r="H1248" s="12">
        <v>69952.95</v>
      </c>
      <c r="I1248" s="14" t="s">
        <v>44</v>
      </c>
      <c r="J1248" s="15" t="s">
        <v>36</v>
      </c>
      <c r="K1248" s="15">
        <v>1124</v>
      </c>
      <c r="L1248" s="16">
        <v>45361</v>
      </c>
      <c r="M1248" s="17">
        <v>14</v>
      </c>
      <c r="N1248" s="18">
        <v>91247</v>
      </c>
      <c r="O1248" s="18" t="s">
        <v>50</v>
      </c>
      <c r="P1248" s="19">
        <v>45430</v>
      </c>
      <c r="Q1248" s="20">
        <v>0.55876999999999999</v>
      </c>
      <c r="R1248" s="21">
        <v>71247</v>
      </c>
      <c r="S1248" s="18" t="s">
        <v>41</v>
      </c>
      <c r="T1248" s="20">
        <v>53222.299290000003</v>
      </c>
      <c r="U1248" s="18" t="s">
        <v>31</v>
      </c>
      <c r="V1248" s="19">
        <v>45422</v>
      </c>
      <c r="W1248" s="18" t="s">
        <v>32</v>
      </c>
      <c r="X1248" s="19">
        <v>45376</v>
      </c>
      <c r="Y1248" s="18" t="s">
        <v>39</v>
      </c>
      <c r="Z1248" s="43" t="e">
        <f>TEXT([1]!Table64[[#This Row],[Order date]],"mmm-yyyy")</f>
        <v>#REF!</v>
      </c>
    </row>
    <row r="1249" spans="1:26" x14ac:dyDescent="0.3">
      <c r="A1249" s="22">
        <v>11248</v>
      </c>
      <c r="B1249" s="23">
        <v>6907</v>
      </c>
      <c r="C1249" s="23" t="s">
        <v>34</v>
      </c>
      <c r="D1249" s="24">
        <v>85539.18</v>
      </c>
      <c r="E1249" s="23">
        <v>60</v>
      </c>
      <c r="F1249" s="23" t="s">
        <v>26</v>
      </c>
      <c r="G1249" s="25">
        <v>45361</v>
      </c>
      <c r="H1249" s="24">
        <v>20518.73</v>
      </c>
      <c r="I1249" s="26" t="s">
        <v>47</v>
      </c>
      <c r="J1249" s="15" t="s">
        <v>28</v>
      </c>
      <c r="K1249" s="15">
        <v>1466</v>
      </c>
      <c r="L1249" s="16">
        <v>45332</v>
      </c>
      <c r="M1249" s="17">
        <v>1</v>
      </c>
      <c r="N1249" s="27">
        <v>91248</v>
      </c>
      <c r="O1249" s="27" t="s">
        <v>29</v>
      </c>
      <c r="P1249" s="28">
        <v>45430</v>
      </c>
      <c r="Q1249" s="29">
        <v>0.46322999999999998</v>
      </c>
      <c r="R1249" s="30">
        <v>71248</v>
      </c>
      <c r="S1249" s="27" t="s">
        <v>41</v>
      </c>
      <c r="T1249" s="29">
        <v>157141.73323000001</v>
      </c>
      <c r="U1249" s="27" t="s">
        <v>42</v>
      </c>
      <c r="V1249" s="28">
        <v>45444</v>
      </c>
      <c r="W1249" s="27" t="s">
        <v>38</v>
      </c>
      <c r="X1249" s="28">
        <v>45384</v>
      </c>
      <c r="Y1249" s="27" t="s">
        <v>33</v>
      </c>
      <c r="Z1249" s="43" t="e">
        <f>TEXT([1]!Table64[[#This Row],[Order date]],"mmm-yyyy")</f>
        <v>#REF!</v>
      </c>
    </row>
    <row r="1250" spans="1:26" x14ac:dyDescent="0.3">
      <c r="A1250" s="10">
        <v>11249</v>
      </c>
      <c r="B1250" s="11">
        <v>6039</v>
      </c>
      <c r="C1250" s="11" t="s">
        <v>34</v>
      </c>
      <c r="D1250" s="12">
        <v>52989.03</v>
      </c>
      <c r="E1250" s="11">
        <v>57</v>
      </c>
      <c r="F1250" s="11" t="s">
        <v>26</v>
      </c>
      <c r="G1250" s="13">
        <v>45361</v>
      </c>
      <c r="H1250" s="12">
        <v>139731.57</v>
      </c>
      <c r="I1250" s="14" t="s">
        <v>27</v>
      </c>
      <c r="J1250" s="15" t="s">
        <v>49</v>
      </c>
      <c r="K1250" s="15">
        <v>702</v>
      </c>
      <c r="L1250" s="16">
        <v>45332</v>
      </c>
      <c r="M1250" s="17">
        <v>7</v>
      </c>
      <c r="N1250" s="18">
        <v>91249</v>
      </c>
      <c r="O1250" s="18" t="s">
        <v>37</v>
      </c>
      <c r="P1250" s="19">
        <v>45352</v>
      </c>
      <c r="Q1250" s="20">
        <v>0.46394000000000002</v>
      </c>
      <c r="R1250" s="21">
        <v>71249</v>
      </c>
      <c r="S1250" s="18" t="s">
        <v>45</v>
      </c>
      <c r="T1250" s="20">
        <v>85404.810500000007</v>
      </c>
      <c r="U1250" s="18" t="s">
        <v>31</v>
      </c>
      <c r="V1250" s="19">
        <v>45444</v>
      </c>
      <c r="W1250" s="18" t="s">
        <v>38</v>
      </c>
      <c r="X1250" s="19">
        <v>45376</v>
      </c>
      <c r="Y1250" s="18" t="s">
        <v>39</v>
      </c>
      <c r="Z1250" s="43" t="e">
        <f>TEXT([1]!Table64[[#This Row],[Order date]],"mmm-yyyy")</f>
        <v>#REF!</v>
      </c>
    </row>
    <row r="1251" spans="1:26" x14ac:dyDescent="0.3">
      <c r="A1251" s="22">
        <v>11250</v>
      </c>
      <c r="B1251" s="23">
        <v>6216</v>
      </c>
      <c r="C1251" s="23" t="s">
        <v>25</v>
      </c>
      <c r="D1251" s="24">
        <v>63232.38</v>
      </c>
      <c r="E1251" s="23">
        <v>47</v>
      </c>
      <c r="F1251" s="23" t="s">
        <v>46</v>
      </c>
      <c r="G1251" s="25">
        <v>45361</v>
      </c>
      <c r="H1251" s="24">
        <v>131810.41</v>
      </c>
      <c r="I1251" s="26" t="s">
        <v>47</v>
      </c>
      <c r="J1251" s="15" t="s">
        <v>49</v>
      </c>
      <c r="K1251" s="15">
        <v>670</v>
      </c>
      <c r="L1251" s="16">
        <v>45397</v>
      </c>
      <c r="M1251" s="17">
        <v>5</v>
      </c>
      <c r="N1251" s="27">
        <v>91250</v>
      </c>
      <c r="O1251" s="27" t="s">
        <v>40</v>
      </c>
      <c r="P1251" s="28">
        <v>45383</v>
      </c>
      <c r="Q1251" s="29">
        <v>0.30367</v>
      </c>
      <c r="R1251" s="30">
        <v>71250</v>
      </c>
      <c r="S1251" s="27" t="s">
        <v>41</v>
      </c>
      <c r="T1251" s="29">
        <v>140670.53969999999</v>
      </c>
      <c r="U1251" s="27" t="s">
        <v>42</v>
      </c>
      <c r="V1251" s="28">
        <v>45444</v>
      </c>
      <c r="W1251" s="27" t="s">
        <v>38</v>
      </c>
      <c r="X1251" s="28">
        <v>45376</v>
      </c>
      <c r="Y1251" s="27" t="s">
        <v>33</v>
      </c>
      <c r="Z1251" s="43" t="e">
        <f>TEXT([1]!Table64[[#This Row],[Order date]],"mmm-yyyy")</f>
        <v>#REF!</v>
      </c>
    </row>
    <row r="1252" spans="1:26" x14ac:dyDescent="0.3">
      <c r="A1252" s="10">
        <v>11251</v>
      </c>
      <c r="B1252" s="11">
        <v>6655</v>
      </c>
      <c r="C1252" s="11" t="s">
        <v>34</v>
      </c>
      <c r="D1252" s="12">
        <v>16822.740000000002</v>
      </c>
      <c r="E1252" s="11">
        <v>31</v>
      </c>
      <c r="F1252" s="11" t="s">
        <v>46</v>
      </c>
      <c r="G1252" s="13">
        <v>45361</v>
      </c>
      <c r="H1252" s="12">
        <v>38229.9</v>
      </c>
      <c r="I1252" s="14" t="s">
        <v>44</v>
      </c>
      <c r="J1252" s="15" t="s">
        <v>36</v>
      </c>
      <c r="K1252" s="15">
        <v>1373</v>
      </c>
      <c r="L1252" s="16">
        <v>45361</v>
      </c>
      <c r="M1252" s="17">
        <v>7</v>
      </c>
      <c r="N1252" s="18">
        <v>91251</v>
      </c>
      <c r="O1252" s="18" t="s">
        <v>29</v>
      </c>
      <c r="P1252" s="19">
        <v>45352</v>
      </c>
      <c r="Q1252" s="20">
        <v>0.11559</v>
      </c>
      <c r="R1252" s="21">
        <v>71251</v>
      </c>
      <c r="S1252" s="18" t="s">
        <v>41</v>
      </c>
      <c r="T1252" s="20">
        <v>94267.046489999993</v>
      </c>
      <c r="U1252" s="18" t="s">
        <v>42</v>
      </c>
      <c r="V1252" s="19">
        <v>45392</v>
      </c>
      <c r="W1252" s="18" t="s">
        <v>38</v>
      </c>
      <c r="X1252" s="19">
        <v>45376</v>
      </c>
      <c r="Y1252" s="18" t="s">
        <v>39</v>
      </c>
      <c r="Z1252" s="43" t="e">
        <f>TEXT([1]!Table64[[#This Row],[Order date]],"mmm-yyyy")</f>
        <v>#REF!</v>
      </c>
    </row>
    <row r="1253" spans="1:26" x14ac:dyDescent="0.3">
      <c r="A1253" s="22">
        <v>11252</v>
      </c>
      <c r="B1253" s="23">
        <v>5485</v>
      </c>
      <c r="C1253" s="23" t="s">
        <v>25</v>
      </c>
      <c r="D1253" s="24">
        <v>69750.61</v>
      </c>
      <c r="E1253" s="23">
        <v>46</v>
      </c>
      <c r="F1253" s="23" t="s">
        <v>46</v>
      </c>
      <c r="G1253" s="25">
        <v>45361</v>
      </c>
      <c r="H1253" s="24">
        <v>140870.67000000001</v>
      </c>
      <c r="I1253" s="26" t="s">
        <v>27</v>
      </c>
      <c r="J1253" s="15" t="s">
        <v>49</v>
      </c>
      <c r="K1253" s="15">
        <v>245</v>
      </c>
      <c r="L1253" s="16">
        <v>45397</v>
      </c>
      <c r="M1253" s="17">
        <v>12</v>
      </c>
      <c r="N1253" s="27">
        <v>91252</v>
      </c>
      <c r="O1253" s="27" t="s">
        <v>40</v>
      </c>
      <c r="P1253" s="28">
        <v>45352</v>
      </c>
      <c r="Q1253" s="29">
        <v>0.61741999999999997</v>
      </c>
      <c r="R1253" s="30">
        <v>71252</v>
      </c>
      <c r="S1253" s="27" t="s">
        <v>45</v>
      </c>
      <c r="T1253" s="29">
        <v>51370.930209999999</v>
      </c>
      <c r="U1253" s="27" t="s">
        <v>42</v>
      </c>
      <c r="V1253" s="28">
        <v>45422</v>
      </c>
      <c r="W1253" s="27" t="s">
        <v>32</v>
      </c>
      <c r="X1253" s="28">
        <v>45384</v>
      </c>
      <c r="Y1253" s="27" t="s">
        <v>33</v>
      </c>
      <c r="Z1253" s="43" t="e">
        <f>TEXT([1]!Table64[[#This Row],[Order date]],"mmm-yyyy")</f>
        <v>#REF!</v>
      </c>
    </row>
    <row r="1254" spans="1:26" x14ac:dyDescent="0.3">
      <c r="A1254" s="10">
        <v>11253</v>
      </c>
      <c r="B1254" s="11">
        <v>5028</v>
      </c>
      <c r="C1254" s="11" t="s">
        <v>25</v>
      </c>
      <c r="D1254" s="12">
        <v>18071.689999999999</v>
      </c>
      <c r="E1254" s="11">
        <v>26</v>
      </c>
      <c r="F1254" s="11" t="s">
        <v>43</v>
      </c>
      <c r="G1254" s="13">
        <v>45383</v>
      </c>
      <c r="H1254" s="12">
        <v>67034.009999999995</v>
      </c>
      <c r="I1254" s="14" t="s">
        <v>44</v>
      </c>
      <c r="J1254" s="15" t="s">
        <v>28</v>
      </c>
      <c r="K1254" s="15">
        <v>466</v>
      </c>
      <c r="L1254" s="16">
        <v>45361</v>
      </c>
      <c r="M1254" s="17">
        <v>9</v>
      </c>
      <c r="N1254" s="18">
        <v>91253</v>
      </c>
      <c r="O1254" s="18" t="s">
        <v>40</v>
      </c>
      <c r="P1254" s="19">
        <v>45352</v>
      </c>
      <c r="Q1254" s="20">
        <v>0.29116999999999998</v>
      </c>
      <c r="R1254" s="21">
        <v>71253</v>
      </c>
      <c r="S1254" s="18" t="s">
        <v>45</v>
      </c>
      <c r="T1254" s="20">
        <v>56673.46056</v>
      </c>
      <c r="U1254" s="18" t="s">
        <v>42</v>
      </c>
      <c r="V1254" s="19">
        <v>45392</v>
      </c>
      <c r="W1254" s="18" t="s">
        <v>32</v>
      </c>
      <c r="X1254" s="19">
        <v>45376</v>
      </c>
      <c r="Y1254" s="18" t="s">
        <v>39</v>
      </c>
      <c r="Z1254" s="43" t="e">
        <f>TEXT([1]!Table64[[#This Row],[Order date]],"mmm-yyyy")</f>
        <v>#REF!</v>
      </c>
    </row>
    <row r="1255" spans="1:26" x14ac:dyDescent="0.3">
      <c r="A1255" s="22">
        <v>11254</v>
      </c>
      <c r="B1255" s="23">
        <v>5714</v>
      </c>
      <c r="C1255" s="23" t="s">
        <v>34</v>
      </c>
      <c r="D1255" s="24">
        <v>97414.94</v>
      </c>
      <c r="E1255" s="23">
        <v>5</v>
      </c>
      <c r="F1255" s="23" t="s">
        <v>26</v>
      </c>
      <c r="G1255" s="25">
        <v>45306</v>
      </c>
      <c r="H1255" s="24">
        <v>128225.24</v>
      </c>
      <c r="I1255" s="26" t="s">
        <v>27</v>
      </c>
      <c r="J1255" s="15" t="s">
        <v>28</v>
      </c>
      <c r="K1255" s="15">
        <v>713</v>
      </c>
      <c r="L1255" s="16">
        <v>45361</v>
      </c>
      <c r="M1255" s="17">
        <v>2</v>
      </c>
      <c r="N1255" s="27">
        <v>91254</v>
      </c>
      <c r="O1255" s="27" t="s">
        <v>29</v>
      </c>
      <c r="P1255" s="28">
        <v>45383</v>
      </c>
      <c r="Q1255" s="29">
        <v>0.28749000000000002</v>
      </c>
      <c r="R1255" s="30">
        <v>71254</v>
      </c>
      <c r="S1255" s="27" t="s">
        <v>41</v>
      </c>
      <c r="T1255" s="29">
        <v>190187.63089999999</v>
      </c>
      <c r="U1255" s="27" t="s">
        <v>31</v>
      </c>
      <c r="V1255" s="28">
        <v>45392</v>
      </c>
      <c r="W1255" s="27" t="s">
        <v>32</v>
      </c>
      <c r="X1255" s="28">
        <v>45376</v>
      </c>
      <c r="Y1255" s="27" t="s">
        <v>39</v>
      </c>
      <c r="Z1255" s="43" t="e">
        <f>TEXT([1]!Table64[[#This Row],[Order date]],"mmm-yyyy")</f>
        <v>#REF!</v>
      </c>
    </row>
    <row r="1256" spans="1:26" x14ac:dyDescent="0.3">
      <c r="A1256" s="10">
        <v>11255</v>
      </c>
      <c r="B1256" s="11">
        <v>6063</v>
      </c>
      <c r="C1256" s="11" t="s">
        <v>34</v>
      </c>
      <c r="D1256" s="12">
        <v>36048.9</v>
      </c>
      <c r="E1256" s="11">
        <v>84</v>
      </c>
      <c r="F1256" s="11" t="s">
        <v>43</v>
      </c>
      <c r="G1256" s="13">
        <v>45306</v>
      </c>
      <c r="H1256" s="12">
        <v>67530.61</v>
      </c>
      <c r="I1256" s="14" t="s">
        <v>47</v>
      </c>
      <c r="J1256" s="15" t="s">
        <v>36</v>
      </c>
      <c r="K1256" s="15">
        <v>1493</v>
      </c>
      <c r="L1256" s="16">
        <v>45397</v>
      </c>
      <c r="M1256" s="17">
        <v>13</v>
      </c>
      <c r="N1256" s="18">
        <v>91255</v>
      </c>
      <c r="O1256" s="18" t="s">
        <v>37</v>
      </c>
      <c r="P1256" s="19">
        <v>45383</v>
      </c>
      <c r="Q1256" s="20">
        <v>0.21284</v>
      </c>
      <c r="R1256" s="21">
        <v>71255</v>
      </c>
      <c r="S1256" s="18" t="s">
        <v>45</v>
      </c>
      <c r="T1256" s="20">
        <v>119317.37654</v>
      </c>
      <c r="U1256" s="18" t="s">
        <v>31</v>
      </c>
      <c r="V1256" s="19">
        <v>45444</v>
      </c>
      <c r="W1256" s="18" t="s">
        <v>38</v>
      </c>
      <c r="X1256" s="19">
        <v>45384</v>
      </c>
      <c r="Y1256" s="18" t="s">
        <v>33</v>
      </c>
      <c r="Z1256" s="43" t="e">
        <f>TEXT([1]!Table64[[#This Row],[Order date]],"mmm-yyyy")</f>
        <v>#REF!</v>
      </c>
    </row>
    <row r="1257" spans="1:26" x14ac:dyDescent="0.3">
      <c r="A1257" s="22">
        <v>11256</v>
      </c>
      <c r="B1257" s="23">
        <v>6977</v>
      </c>
      <c r="C1257" s="23" t="s">
        <v>25</v>
      </c>
      <c r="D1257" s="24">
        <v>98754.880000000005</v>
      </c>
      <c r="E1257" s="23">
        <v>52</v>
      </c>
      <c r="F1257" s="23" t="s">
        <v>26</v>
      </c>
      <c r="G1257" s="25">
        <v>45361</v>
      </c>
      <c r="H1257" s="24">
        <v>11020.13</v>
      </c>
      <c r="I1257" s="26" t="s">
        <v>44</v>
      </c>
      <c r="J1257" s="15" t="s">
        <v>28</v>
      </c>
      <c r="K1257" s="15">
        <v>1429</v>
      </c>
      <c r="L1257" s="16">
        <v>45361</v>
      </c>
      <c r="M1257" s="17">
        <v>14</v>
      </c>
      <c r="N1257" s="27">
        <v>91256</v>
      </c>
      <c r="O1257" s="27" t="s">
        <v>50</v>
      </c>
      <c r="P1257" s="28">
        <v>45383</v>
      </c>
      <c r="Q1257" s="29">
        <v>0.27063999999999999</v>
      </c>
      <c r="R1257" s="30">
        <v>71256</v>
      </c>
      <c r="S1257" s="27" t="s">
        <v>41</v>
      </c>
      <c r="T1257" s="29">
        <v>177370.66560000001</v>
      </c>
      <c r="U1257" s="27" t="s">
        <v>42</v>
      </c>
      <c r="V1257" s="28">
        <v>45422</v>
      </c>
      <c r="W1257" s="27" t="s">
        <v>38</v>
      </c>
      <c r="X1257" s="28">
        <v>45376</v>
      </c>
      <c r="Y1257" s="27" t="s">
        <v>33</v>
      </c>
      <c r="Z1257" s="43" t="e">
        <f>TEXT([1]!Table64[[#This Row],[Order date]],"mmm-yyyy")</f>
        <v>#REF!</v>
      </c>
    </row>
    <row r="1258" spans="1:26" x14ac:dyDescent="0.3">
      <c r="A1258" s="10">
        <v>11257</v>
      </c>
      <c r="B1258" s="11">
        <v>6297</v>
      </c>
      <c r="C1258" s="11" t="s">
        <v>25</v>
      </c>
      <c r="D1258" s="12">
        <v>80166.990000000005</v>
      </c>
      <c r="E1258" s="11">
        <v>75</v>
      </c>
      <c r="F1258" s="11" t="s">
        <v>35</v>
      </c>
      <c r="G1258" s="13">
        <v>45383</v>
      </c>
      <c r="H1258" s="12">
        <v>40903.019999999997</v>
      </c>
      <c r="I1258" s="14" t="s">
        <v>27</v>
      </c>
      <c r="J1258" s="15" t="s">
        <v>28</v>
      </c>
      <c r="K1258" s="15">
        <v>197</v>
      </c>
      <c r="L1258" s="16">
        <v>45361</v>
      </c>
      <c r="M1258" s="17">
        <v>11</v>
      </c>
      <c r="N1258" s="18">
        <v>91257</v>
      </c>
      <c r="O1258" s="18" t="s">
        <v>29</v>
      </c>
      <c r="P1258" s="19">
        <v>45383</v>
      </c>
      <c r="Q1258" s="20">
        <v>0.12861</v>
      </c>
      <c r="R1258" s="21">
        <v>71257</v>
      </c>
      <c r="S1258" s="18" t="s">
        <v>30</v>
      </c>
      <c r="T1258" s="20">
        <v>64310.647149999997</v>
      </c>
      <c r="U1258" s="18" t="s">
        <v>48</v>
      </c>
      <c r="V1258" s="19">
        <v>45422</v>
      </c>
      <c r="W1258" s="18" t="s">
        <v>38</v>
      </c>
      <c r="X1258" s="19">
        <v>45384</v>
      </c>
      <c r="Y1258" s="18" t="s">
        <v>33</v>
      </c>
      <c r="Z1258" s="43" t="e">
        <f>TEXT([1]!Table64[[#This Row],[Order date]],"mmm-yyyy")</f>
        <v>#REF!</v>
      </c>
    </row>
    <row r="1259" spans="1:26" x14ac:dyDescent="0.3">
      <c r="A1259" s="22">
        <v>11258</v>
      </c>
      <c r="B1259" s="23">
        <v>6255</v>
      </c>
      <c r="C1259" s="23" t="s">
        <v>25</v>
      </c>
      <c r="D1259" s="24">
        <v>66729.3</v>
      </c>
      <c r="E1259" s="23">
        <v>54</v>
      </c>
      <c r="F1259" s="23" t="s">
        <v>43</v>
      </c>
      <c r="G1259" s="25">
        <v>45337</v>
      </c>
      <c r="H1259" s="24">
        <v>133185.85</v>
      </c>
      <c r="I1259" s="26" t="s">
        <v>27</v>
      </c>
      <c r="J1259" s="15" t="s">
        <v>28</v>
      </c>
      <c r="K1259" s="15">
        <v>1050</v>
      </c>
      <c r="L1259" s="16">
        <v>45332</v>
      </c>
      <c r="M1259" s="17">
        <v>4</v>
      </c>
      <c r="N1259" s="27">
        <v>91258</v>
      </c>
      <c r="O1259" s="27" t="s">
        <v>37</v>
      </c>
      <c r="P1259" s="28">
        <v>45352</v>
      </c>
      <c r="Q1259" s="29">
        <v>0.70681000000000005</v>
      </c>
      <c r="R1259" s="30">
        <v>71258</v>
      </c>
      <c r="S1259" s="27" t="s">
        <v>41</v>
      </c>
      <c r="T1259" s="29">
        <v>197907.93470000001</v>
      </c>
      <c r="U1259" s="27" t="s">
        <v>31</v>
      </c>
      <c r="V1259" s="28">
        <v>45422</v>
      </c>
      <c r="W1259" s="27" t="s">
        <v>38</v>
      </c>
      <c r="X1259" s="28">
        <v>45376</v>
      </c>
      <c r="Y1259" s="27" t="s">
        <v>39</v>
      </c>
      <c r="Z1259" s="43" t="e">
        <f>TEXT([1]!Table64[[#This Row],[Order date]],"mmm-yyyy")</f>
        <v>#REF!</v>
      </c>
    </row>
    <row r="1260" spans="1:26" x14ac:dyDescent="0.3">
      <c r="A1260" s="10">
        <v>11259</v>
      </c>
      <c r="B1260" s="11">
        <v>5086</v>
      </c>
      <c r="C1260" s="11" t="s">
        <v>34</v>
      </c>
      <c r="D1260" s="12">
        <v>30067.52</v>
      </c>
      <c r="E1260" s="11">
        <v>33</v>
      </c>
      <c r="F1260" s="11" t="s">
        <v>26</v>
      </c>
      <c r="G1260" s="13">
        <v>45337</v>
      </c>
      <c r="H1260" s="12">
        <v>16998.79</v>
      </c>
      <c r="I1260" s="14" t="s">
        <v>27</v>
      </c>
      <c r="J1260" s="15" t="s">
        <v>28</v>
      </c>
      <c r="K1260" s="15">
        <v>1438</v>
      </c>
      <c r="L1260" s="16">
        <v>45361</v>
      </c>
      <c r="M1260" s="17">
        <v>4</v>
      </c>
      <c r="N1260" s="18">
        <v>91259</v>
      </c>
      <c r="O1260" s="18" t="s">
        <v>40</v>
      </c>
      <c r="P1260" s="19">
        <v>45430</v>
      </c>
      <c r="Q1260" s="20">
        <v>0.46126</v>
      </c>
      <c r="R1260" s="21">
        <v>71259</v>
      </c>
      <c r="S1260" s="18" t="s">
        <v>45</v>
      </c>
      <c r="T1260" s="20">
        <v>176673.09270000001</v>
      </c>
      <c r="U1260" s="18" t="s">
        <v>42</v>
      </c>
      <c r="V1260" s="19">
        <v>45422</v>
      </c>
      <c r="W1260" s="18" t="s">
        <v>38</v>
      </c>
      <c r="X1260" s="19">
        <v>45376</v>
      </c>
      <c r="Y1260" s="18" t="s">
        <v>33</v>
      </c>
      <c r="Z1260" s="43" t="e">
        <f>TEXT([1]!Table64[[#This Row],[Order date]],"mmm-yyyy")</f>
        <v>#REF!</v>
      </c>
    </row>
    <row r="1261" spans="1:26" x14ac:dyDescent="0.3">
      <c r="A1261" s="22">
        <v>11260</v>
      </c>
      <c r="B1261" s="23">
        <v>6498</v>
      </c>
      <c r="C1261" s="23" t="s">
        <v>25</v>
      </c>
      <c r="D1261" s="24">
        <v>18848.919999999998</v>
      </c>
      <c r="E1261" s="23">
        <v>50</v>
      </c>
      <c r="F1261" s="23" t="s">
        <v>26</v>
      </c>
      <c r="G1261" s="25">
        <v>45383</v>
      </c>
      <c r="H1261" s="24">
        <v>50450.62</v>
      </c>
      <c r="I1261" s="26" t="s">
        <v>27</v>
      </c>
      <c r="J1261" s="15" t="s">
        <v>49</v>
      </c>
      <c r="K1261" s="15">
        <v>413</v>
      </c>
      <c r="L1261" s="16">
        <v>45361</v>
      </c>
      <c r="M1261" s="17">
        <v>2</v>
      </c>
      <c r="N1261" s="27">
        <v>91260</v>
      </c>
      <c r="O1261" s="27" t="s">
        <v>29</v>
      </c>
      <c r="P1261" s="28">
        <v>45352</v>
      </c>
      <c r="Q1261" s="29">
        <v>0.60536999999999996</v>
      </c>
      <c r="R1261" s="30">
        <v>71260</v>
      </c>
      <c r="S1261" s="27" t="s">
        <v>41</v>
      </c>
      <c r="T1261" s="29">
        <v>53211.188620000001</v>
      </c>
      <c r="U1261" s="27" t="s">
        <v>31</v>
      </c>
      <c r="V1261" s="28">
        <v>45392</v>
      </c>
      <c r="W1261" s="27" t="s">
        <v>32</v>
      </c>
      <c r="X1261" s="28">
        <v>45384</v>
      </c>
      <c r="Y1261" s="27" t="s">
        <v>39</v>
      </c>
      <c r="Z1261" s="43" t="e">
        <f>TEXT([1]!Table64[[#This Row],[Order date]],"mmm-yyyy")</f>
        <v>#REF!</v>
      </c>
    </row>
    <row r="1262" spans="1:26" x14ac:dyDescent="0.3">
      <c r="A1262" s="10">
        <v>11261</v>
      </c>
      <c r="B1262" s="11">
        <v>5126</v>
      </c>
      <c r="C1262" s="11" t="s">
        <v>25</v>
      </c>
      <c r="D1262" s="12">
        <v>47732.43</v>
      </c>
      <c r="E1262" s="11">
        <v>38</v>
      </c>
      <c r="F1262" s="11" t="s">
        <v>43</v>
      </c>
      <c r="G1262" s="13">
        <v>45361</v>
      </c>
      <c r="H1262" s="12">
        <v>102278.9</v>
      </c>
      <c r="I1262" s="14" t="s">
        <v>44</v>
      </c>
      <c r="J1262" s="15" t="s">
        <v>28</v>
      </c>
      <c r="K1262" s="15">
        <v>451</v>
      </c>
      <c r="L1262" s="16">
        <v>45397</v>
      </c>
      <c r="M1262" s="17">
        <v>3</v>
      </c>
      <c r="N1262" s="18">
        <v>91261</v>
      </c>
      <c r="O1262" s="18" t="s">
        <v>50</v>
      </c>
      <c r="P1262" s="19">
        <v>45383</v>
      </c>
      <c r="Q1262" s="20">
        <v>0.67325999999999997</v>
      </c>
      <c r="R1262" s="21">
        <v>71261</v>
      </c>
      <c r="S1262" s="18" t="s">
        <v>45</v>
      </c>
      <c r="T1262" s="20">
        <v>110442.82094999999</v>
      </c>
      <c r="U1262" s="18" t="s">
        <v>48</v>
      </c>
      <c r="V1262" s="19">
        <v>45392</v>
      </c>
      <c r="W1262" s="18" t="s">
        <v>32</v>
      </c>
      <c r="X1262" s="19">
        <v>45384</v>
      </c>
      <c r="Y1262" s="18" t="s">
        <v>39</v>
      </c>
      <c r="Z1262" s="43" t="e">
        <f>TEXT([1]!Table64[[#This Row],[Order date]],"mmm-yyyy")</f>
        <v>#REF!</v>
      </c>
    </row>
    <row r="1263" spans="1:26" x14ac:dyDescent="0.3">
      <c r="A1263" s="22">
        <v>11262</v>
      </c>
      <c r="B1263" s="23">
        <v>5812</v>
      </c>
      <c r="C1263" s="23" t="s">
        <v>34</v>
      </c>
      <c r="D1263" s="24">
        <v>93389.54</v>
      </c>
      <c r="E1263" s="23">
        <v>27</v>
      </c>
      <c r="F1263" s="23" t="s">
        <v>43</v>
      </c>
      <c r="G1263" s="25">
        <v>45306</v>
      </c>
      <c r="H1263" s="24">
        <v>38748.980000000003</v>
      </c>
      <c r="I1263" s="26" t="s">
        <v>47</v>
      </c>
      <c r="J1263" s="15" t="s">
        <v>36</v>
      </c>
      <c r="K1263" s="15">
        <v>655</v>
      </c>
      <c r="L1263" s="16">
        <v>45397</v>
      </c>
      <c r="M1263" s="17">
        <v>11</v>
      </c>
      <c r="N1263" s="27">
        <v>91262</v>
      </c>
      <c r="O1263" s="27" t="s">
        <v>50</v>
      </c>
      <c r="P1263" s="28">
        <v>45430</v>
      </c>
      <c r="Q1263" s="29">
        <v>0.97524</v>
      </c>
      <c r="R1263" s="30">
        <v>71262</v>
      </c>
      <c r="S1263" s="27" t="s">
        <v>30</v>
      </c>
      <c r="T1263" s="29">
        <v>66971.009040000004</v>
      </c>
      <c r="U1263" s="27" t="s">
        <v>48</v>
      </c>
      <c r="V1263" s="28">
        <v>45422</v>
      </c>
      <c r="W1263" s="27" t="s">
        <v>32</v>
      </c>
      <c r="X1263" s="28">
        <v>45376</v>
      </c>
      <c r="Y1263" s="27" t="s">
        <v>33</v>
      </c>
      <c r="Z1263" s="43" t="e">
        <f>TEXT([1]!Table64[[#This Row],[Order date]],"mmm-yyyy")</f>
        <v>#REF!</v>
      </c>
    </row>
    <row r="1264" spans="1:26" x14ac:dyDescent="0.3">
      <c r="A1264" s="10">
        <v>11263</v>
      </c>
      <c r="B1264" s="11">
        <v>5537</v>
      </c>
      <c r="C1264" s="11" t="s">
        <v>34</v>
      </c>
      <c r="D1264" s="12">
        <v>38967.5</v>
      </c>
      <c r="E1264" s="11">
        <v>98</v>
      </c>
      <c r="F1264" s="11" t="s">
        <v>26</v>
      </c>
      <c r="G1264" s="13">
        <v>45383</v>
      </c>
      <c r="H1264" s="12">
        <v>154089.10999999999</v>
      </c>
      <c r="I1264" s="14" t="s">
        <v>27</v>
      </c>
      <c r="J1264" s="15" t="s">
        <v>36</v>
      </c>
      <c r="K1264" s="15">
        <v>278</v>
      </c>
      <c r="L1264" s="16">
        <v>45361</v>
      </c>
      <c r="M1264" s="17">
        <v>14</v>
      </c>
      <c r="N1264" s="18">
        <v>91263</v>
      </c>
      <c r="O1264" s="18" t="s">
        <v>40</v>
      </c>
      <c r="P1264" s="19">
        <v>45352</v>
      </c>
      <c r="Q1264" s="20">
        <v>0.16144</v>
      </c>
      <c r="R1264" s="21">
        <v>71263</v>
      </c>
      <c r="S1264" s="18" t="s">
        <v>41</v>
      </c>
      <c r="T1264" s="20">
        <v>128961.0223</v>
      </c>
      <c r="U1264" s="18" t="s">
        <v>48</v>
      </c>
      <c r="V1264" s="19">
        <v>45392</v>
      </c>
      <c r="W1264" s="18" t="s">
        <v>32</v>
      </c>
      <c r="X1264" s="19">
        <v>45376</v>
      </c>
      <c r="Y1264" s="18" t="s">
        <v>33</v>
      </c>
      <c r="Z1264" s="43" t="e">
        <f>TEXT([1]!Table64[[#This Row],[Order date]],"mmm-yyyy")</f>
        <v>#REF!</v>
      </c>
    </row>
    <row r="1265" spans="1:26" x14ac:dyDescent="0.3">
      <c r="A1265" s="22">
        <v>11264</v>
      </c>
      <c r="B1265" s="23">
        <v>5145</v>
      </c>
      <c r="C1265" s="23" t="s">
        <v>34</v>
      </c>
      <c r="D1265" s="24">
        <v>77371.28</v>
      </c>
      <c r="E1265" s="23">
        <v>15</v>
      </c>
      <c r="F1265" s="23" t="s">
        <v>43</v>
      </c>
      <c r="G1265" s="25">
        <v>45337</v>
      </c>
      <c r="H1265" s="24">
        <v>62113.91</v>
      </c>
      <c r="I1265" s="26" t="s">
        <v>44</v>
      </c>
      <c r="J1265" s="15" t="s">
        <v>28</v>
      </c>
      <c r="K1265" s="15">
        <v>586</v>
      </c>
      <c r="L1265" s="16">
        <v>45332</v>
      </c>
      <c r="M1265" s="17">
        <v>14</v>
      </c>
      <c r="N1265" s="27">
        <v>91264</v>
      </c>
      <c r="O1265" s="27" t="s">
        <v>29</v>
      </c>
      <c r="P1265" s="28">
        <v>45430</v>
      </c>
      <c r="Q1265" s="29">
        <v>0.47613</v>
      </c>
      <c r="R1265" s="30">
        <v>71264</v>
      </c>
      <c r="S1265" s="27" t="s">
        <v>45</v>
      </c>
      <c r="T1265" s="29">
        <v>186853.39212</v>
      </c>
      <c r="U1265" s="27" t="s">
        <v>42</v>
      </c>
      <c r="V1265" s="28">
        <v>45422</v>
      </c>
      <c r="W1265" s="27" t="s">
        <v>38</v>
      </c>
      <c r="X1265" s="28">
        <v>45384</v>
      </c>
      <c r="Y1265" s="27" t="s">
        <v>39</v>
      </c>
      <c r="Z1265" s="43" t="e">
        <f>TEXT([1]!Table64[[#This Row],[Order date]],"mmm-yyyy")</f>
        <v>#REF!</v>
      </c>
    </row>
    <row r="1266" spans="1:26" x14ac:dyDescent="0.3">
      <c r="A1266" s="10">
        <v>11265</v>
      </c>
      <c r="B1266" s="11">
        <v>6549</v>
      </c>
      <c r="C1266" s="11" t="s">
        <v>34</v>
      </c>
      <c r="D1266" s="12">
        <v>59422.61</v>
      </c>
      <c r="E1266" s="11">
        <v>96</v>
      </c>
      <c r="F1266" s="11" t="s">
        <v>46</v>
      </c>
      <c r="G1266" s="13">
        <v>45337</v>
      </c>
      <c r="H1266" s="12">
        <v>12262.55</v>
      </c>
      <c r="I1266" s="14" t="s">
        <v>47</v>
      </c>
      <c r="J1266" s="15" t="s">
        <v>36</v>
      </c>
      <c r="K1266" s="15">
        <v>317</v>
      </c>
      <c r="L1266" s="16">
        <v>45332</v>
      </c>
      <c r="M1266" s="17">
        <v>13</v>
      </c>
      <c r="N1266" s="18">
        <v>91265</v>
      </c>
      <c r="O1266" s="18" t="s">
        <v>50</v>
      </c>
      <c r="P1266" s="19">
        <v>45383</v>
      </c>
      <c r="Q1266" s="20">
        <v>0.32130999999999998</v>
      </c>
      <c r="R1266" s="21">
        <v>71265</v>
      </c>
      <c r="S1266" s="18" t="s">
        <v>30</v>
      </c>
      <c r="T1266" s="20">
        <v>177389.37479999999</v>
      </c>
      <c r="U1266" s="18" t="s">
        <v>42</v>
      </c>
      <c r="V1266" s="19">
        <v>45392</v>
      </c>
      <c r="W1266" s="18" t="s">
        <v>38</v>
      </c>
      <c r="X1266" s="19">
        <v>45376</v>
      </c>
      <c r="Y1266" s="18" t="s">
        <v>33</v>
      </c>
      <c r="Z1266" s="43" t="e">
        <f>TEXT([1]!Table64[[#This Row],[Order date]],"mmm-yyyy")</f>
        <v>#REF!</v>
      </c>
    </row>
    <row r="1267" spans="1:26" x14ac:dyDescent="0.3">
      <c r="A1267" s="22">
        <v>11266</v>
      </c>
      <c r="B1267" s="23">
        <v>6236</v>
      </c>
      <c r="C1267" s="23" t="s">
        <v>34</v>
      </c>
      <c r="D1267" s="24">
        <v>40462.04</v>
      </c>
      <c r="E1267" s="23">
        <v>61</v>
      </c>
      <c r="F1267" s="23" t="s">
        <v>43</v>
      </c>
      <c r="G1267" s="25">
        <v>45337</v>
      </c>
      <c r="H1267" s="24">
        <v>71660.45</v>
      </c>
      <c r="I1267" s="26" t="s">
        <v>27</v>
      </c>
      <c r="J1267" s="15" t="s">
        <v>28</v>
      </c>
      <c r="K1267" s="15">
        <v>1478</v>
      </c>
      <c r="L1267" s="16">
        <v>45397</v>
      </c>
      <c r="M1267" s="17">
        <v>8</v>
      </c>
      <c r="N1267" s="27">
        <v>91266</v>
      </c>
      <c r="O1267" s="27" t="s">
        <v>29</v>
      </c>
      <c r="P1267" s="28">
        <v>45430</v>
      </c>
      <c r="Q1267" s="29">
        <v>0.52903999999999995</v>
      </c>
      <c r="R1267" s="30">
        <v>71266</v>
      </c>
      <c r="S1267" s="27" t="s">
        <v>41</v>
      </c>
      <c r="T1267" s="29">
        <v>172434.2113</v>
      </c>
      <c r="U1267" s="27" t="s">
        <v>48</v>
      </c>
      <c r="V1267" s="28">
        <v>45444</v>
      </c>
      <c r="W1267" s="27" t="s">
        <v>38</v>
      </c>
      <c r="X1267" s="28">
        <v>45376</v>
      </c>
      <c r="Y1267" s="27" t="s">
        <v>33</v>
      </c>
      <c r="Z1267" s="43" t="e">
        <f>TEXT([1]!Table64[[#This Row],[Order date]],"mmm-yyyy")</f>
        <v>#REF!</v>
      </c>
    </row>
    <row r="1268" spans="1:26" x14ac:dyDescent="0.3">
      <c r="A1268" s="10">
        <v>11267</v>
      </c>
      <c r="B1268" s="11">
        <v>5025</v>
      </c>
      <c r="C1268" s="11" t="s">
        <v>34</v>
      </c>
      <c r="D1268" s="12">
        <v>98107.54</v>
      </c>
      <c r="E1268" s="11">
        <v>21</v>
      </c>
      <c r="F1268" s="11" t="s">
        <v>43</v>
      </c>
      <c r="G1268" s="13">
        <v>45361</v>
      </c>
      <c r="H1268" s="12">
        <v>170730.38</v>
      </c>
      <c r="I1268" s="14" t="s">
        <v>47</v>
      </c>
      <c r="J1268" s="15" t="s">
        <v>36</v>
      </c>
      <c r="K1268" s="15">
        <v>1084</v>
      </c>
      <c r="L1268" s="16">
        <v>45361</v>
      </c>
      <c r="M1268" s="17">
        <v>12</v>
      </c>
      <c r="N1268" s="18">
        <v>91267</v>
      </c>
      <c r="O1268" s="18" t="s">
        <v>50</v>
      </c>
      <c r="P1268" s="19">
        <v>45430</v>
      </c>
      <c r="Q1268" s="20">
        <v>0.92842999999999998</v>
      </c>
      <c r="R1268" s="21">
        <v>71267</v>
      </c>
      <c r="S1268" s="18" t="s">
        <v>45</v>
      </c>
      <c r="T1268" s="20">
        <v>108612.14745</v>
      </c>
      <c r="U1268" s="18" t="s">
        <v>31</v>
      </c>
      <c r="V1268" s="19">
        <v>45444</v>
      </c>
      <c r="W1268" s="18" t="s">
        <v>38</v>
      </c>
      <c r="X1268" s="19">
        <v>45376</v>
      </c>
      <c r="Y1268" s="18" t="s">
        <v>39</v>
      </c>
      <c r="Z1268" s="43" t="e">
        <f>TEXT([1]!Table64[[#This Row],[Order date]],"mmm-yyyy")</f>
        <v>#REF!</v>
      </c>
    </row>
    <row r="1269" spans="1:26" x14ac:dyDescent="0.3">
      <c r="A1269" s="22">
        <v>11268</v>
      </c>
      <c r="B1269" s="23">
        <v>6604</v>
      </c>
      <c r="C1269" s="23" t="s">
        <v>25</v>
      </c>
      <c r="D1269" s="24">
        <v>47646.91</v>
      </c>
      <c r="E1269" s="23">
        <v>46</v>
      </c>
      <c r="F1269" s="23" t="s">
        <v>43</v>
      </c>
      <c r="G1269" s="25">
        <v>45337</v>
      </c>
      <c r="H1269" s="24">
        <v>52696.89</v>
      </c>
      <c r="I1269" s="26" t="s">
        <v>47</v>
      </c>
      <c r="J1269" s="15" t="s">
        <v>36</v>
      </c>
      <c r="K1269" s="15">
        <v>1393</v>
      </c>
      <c r="L1269" s="16">
        <v>45361</v>
      </c>
      <c r="M1269" s="17">
        <v>9</v>
      </c>
      <c r="N1269" s="27">
        <v>91268</v>
      </c>
      <c r="O1269" s="27" t="s">
        <v>40</v>
      </c>
      <c r="P1269" s="28">
        <v>45383</v>
      </c>
      <c r="Q1269" s="29">
        <v>0.75158999999999998</v>
      </c>
      <c r="R1269" s="30">
        <v>71268</v>
      </c>
      <c r="S1269" s="27" t="s">
        <v>30</v>
      </c>
      <c r="T1269" s="29">
        <v>60098.565649999997</v>
      </c>
      <c r="U1269" s="27" t="s">
        <v>31</v>
      </c>
      <c r="V1269" s="28">
        <v>45422</v>
      </c>
      <c r="W1269" s="27" t="s">
        <v>32</v>
      </c>
      <c r="X1269" s="28">
        <v>45376</v>
      </c>
      <c r="Y1269" s="27" t="s">
        <v>33</v>
      </c>
      <c r="Z1269" s="43" t="e">
        <f>TEXT([1]!Table64[[#This Row],[Order date]],"mmm-yyyy")</f>
        <v>#REF!</v>
      </c>
    </row>
    <row r="1270" spans="1:26" x14ac:dyDescent="0.3">
      <c r="A1270" s="10">
        <v>11269</v>
      </c>
      <c r="B1270" s="11">
        <v>6418</v>
      </c>
      <c r="C1270" s="11" t="s">
        <v>34</v>
      </c>
      <c r="D1270" s="12">
        <v>15071.4</v>
      </c>
      <c r="E1270" s="11">
        <v>69</v>
      </c>
      <c r="F1270" s="11" t="s">
        <v>26</v>
      </c>
      <c r="G1270" s="13">
        <v>45383</v>
      </c>
      <c r="H1270" s="12">
        <v>51318.36</v>
      </c>
      <c r="I1270" s="14" t="s">
        <v>44</v>
      </c>
      <c r="J1270" s="15" t="s">
        <v>28</v>
      </c>
      <c r="K1270" s="15">
        <v>175</v>
      </c>
      <c r="L1270" s="16">
        <v>45332</v>
      </c>
      <c r="M1270" s="17">
        <v>6</v>
      </c>
      <c r="N1270" s="18">
        <v>91269</v>
      </c>
      <c r="O1270" s="18" t="s">
        <v>40</v>
      </c>
      <c r="P1270" s="19">
        <v>45430</v>
      </c>
      <c r="Q1270" s="20">
        <v>0.69574999999999998</v>
      </c>
      <c r="R1270" s="21">
        <v>71269</v>
      </c>
      <c r="S1270" s="18" t="s">
        <v>30</v>
      </c>
      <c r="T1270" s="20">
        <v>94850.2886</v>
      </c>
      <c r="U1270" s="18" t="s">
        <v>48</v>
      </c>
      <c r="V1270" s="19">
        <v>45422</v>
      </c>
      <c r="W1270" s="18" t="s">
        <v>38</v>
      </c>
      <c r="X1270" s="19">
        <v>45376</v>
      </c>
      <c r="Y1270" s="18" t="s">
        <v>33</v>
      </c>
      <c r="Z1270" s="43" t="e">
        <f>TEXT([1]!Table64[[#This Row],[Order date]],"mmm-yyyy")</f>
        <v>#REF!</v>
      </c>
    </row>
    <row r="1271" spans="1:26" x14ac:dyDescent="0.3">
      <c r="A1271" s="22">
        <v>11270</v>
      </c>
      <c r="B1271" s="23">
        <v>5067</v>
      </c>
      <c r="C1271" s="23" t="s">
        <v>25</v>
      </c>
      <c r="D1271" s="24">
        <v>21267.87</v>
      </c>
      <c r="E1271" s="23">
        <v>6</v>
      </c>
      <c r="F1271" s="23" t="s">
        <v>46</v>
      </c>
      <c r="G1271" s="25">
        <v>45383</v>
      </c>
      <c r="H1271" s="24">
        <v>151152.18</v>
      </c>
      <c r="I1271" s="26" t="s">
        <v>47</v>
      </c>
      <c r="J1271" s="15" t="s">
        <v>28</v>
      </c>
      <c r="K1271" s="15">
        <v>355</v>
      </c>
      <c r="L1271" s="16">
        <v>45332</v>
      </c>
      <c r="M1271" s="17">
        <v>10</v>
      </c>
      <c r="N1271" s="27">
        <v>91270</v>
      </c>
      <c r="O1271" s="27" t="s">
        <v>29</v>
      </c>
      <c r="P1271" s="28">
        <v>45352</v>
      </c>
      <c r="Q1271" s="29">
        <v>0.49712000000000001</v>
      </c>
      <c r="R1271" s="30">
        <v>71270</v>
      </c>
      <c r="S1271" s="27" t="s">
        <v>41</v>
      </c>
      <c r="T1271" s="29">
        <v>98944.666500000007</v>
      </c>
      <c r="U1271" s="27" t="s">
        <v>42</v>
      </c>
      <c r="V1271" s="28">
        <v>45392</v>
      </c>
      <c r="W1271" s="27" t="s">
        <v>38</v>
      </c>
      <c r="X1271" s="28">
        <v>45384</v>
      </c>
      <c r="Y1271" s="27" t="s">
        <v>33</v>
      </c>
      <c r="Z1271" s="43" t="e">
        <f>TEXT([1]!Table64[[#This Row],[Order date]],"mmm-yyyy")</f>
        <v>#REF!</v>
      </c>
    </row>
    <row r="1272" spans="1:26" x14ac:dyDescent="0.3">
      <c r="A1272" s="10">
        <v>11271</v>
      </c>
      <c r="B1272" s="11">
        <v>5233</v>
      </c>
      <c r="C1272" s="11" t="s">
        <v>34</v>
      </c>
      <c r="D1272" s="12">
        <v>52861.15</v>
      </c>
      <c r="E1272" s="11">
        <v>38</v>
      </c>
      <c r="F1272" s="11" t="s">
        <v>35</v>
      </c>
      <c r="G1272" s="13">
        <v>45337</v>
      </c>
      <c r="H1272" s="12">
        <v>153499.59</v>
      </c>
      <c r="I1272" s="14" t="s">
        <v>44</v>
      </c>
      <c r="J1272" s="15" t="s">
        <v>49</v>
      </c>
      <c r="K1272" s="15">
        <v>1162</v>
      </c>
      <c r="L1272" s="16">
        <v>45332</v>
      </c>
      <c r="M1272" s="17">
        <v>2</v>
      </c>
      <c r="N1272" s="18">
        <v>91271</v>
      </c>
      <c r="O1272" s="18" t="s">
        <v>37</v>
      </c>
      <c r="P1272" s="19">
        <v>45430</v>
      </c>
      <c r="Q1272" s="20">
        <v>0.70399999999999996</v>
      </c>
      <c r="R1272" s="21">
        <v>71271</v>
      </c>
      <c r="S1272" s="18" t="s">
        <v>45</v>
      </c>
      <c r="T1272" s="20">
        <v>199839.86661999999</v>
      </c>
      <c r="U1272" s="18" t="s">
        <v>31</v>
      </c>
      <c r="V1272" s="19">
        <v>45422</v>
      </c>
      <c r="W1272" s="18" t="s">
        <v>38</v>
      </c>
      <c r="X1272" s="19">
        <v>45384</v>
      </c>
      <c r="Y1272" s="18" t="s">
        <v>33</v>
      </c>
      <c r="Z1272" s="43" t="e">
        <f>TEXT([1]!Table64[[#This Row],[Order date]],"mmm-yyyy")</f>
        <v>#REF!</v>
      </c>
    </row>
    <row r="1273" spans="1:26" x14ac:dyDescent="0.3">
      <c r="A1273" s="22">
        <v>11272</v>
      </c>
      <c r="B1273" s="23">
        <v>5109</v>
      </c>
      <c r="C1273" s="23" t="s">
        <v>34</v>
      </c>
      <c r="D1273" s="24">
        <v>29382.07</v>
      </c>
      <c r="E1273" s="23">
        <v>62</v>
      </c>
      <c r="F1273" s="23" t="s">
        <v>35</v>
      </c>
      <c r="G1273" s="25">
        <v>45383</v>
      </c>
      <c r="H1273" s="24">
        <v>135990.07999999999</v>
      </c>
      <c r="I1273" s="26" t="s">
        <v>27</v>
      </c>
      <c r="J1273" s="15" t="s">
        <v>28</v>
      </c>
      <c r="K1273" s="15">
        <v>1428</v>
      </c>
      <c r="L1273" s="16">
        <v>45397</v>
      </c>
      <c r="M1273" s="17">
        <v>2</v>
      </c>
      <c r="N1273" s="27">
        <v>91272</v>
      </c>
      <c r="O1273" s="27" t="s">
        <v>37</v>
      </c>
      <c r="P1273" s="28">
        <v>45352</v>
      </c>
      <c r="Q1273" s="29">
        <v>0.12914</v>
      </c>
      <c r="R1273" s="30">
        <v>71272</v>
      </c>
      <c r="S1273" s="27" t="s">
        <v>41</v>
      </c>
      <c r="T1273" s="29">
        <v>155273.18580000001</v>
      </c>
      <c r="U1273" s="27" t="s">
        <v>31</v>
      </c>
      <c r="V1273" s="28">
        <v>45422</v>
      </c>
      <c r="W1273" s="27" t="s">
        <v>38</v>
      </c>
      <c r="X1273" s="28">
        <v>45376</v>
      </c>
      <c r="Y1273" s="27" t="s">
        <v>33</v>
      </c>
      <c r="Z1273" s="43" t="e">
        <f>TEXT([1]!Table64[[#This Row],[Order date]],"mmm-yyyy")</f>
        <v>#REF!</v>
      </c>
    </row>
    <row r="1274" spans="1:26" x14ac:dyDescent="0.3">
      <c r="A1274" s="10">
        <v>11273</v>
      </c>
      <c r="B1274" s="11">
        <v>6170</v>
      </c>
      <c r="C1274" s="11" t="s">
        <v>34</v>
      </c>
      <c r="D1274" s="12">
        <v>69957.009999999995</v>
      </c>
      <c r="E1274" s="11">
        <v>86</v>
      </c>
      <c r="F1274" s="11" t="s">
        <v>46</v>
      </c>
      <c r="G1274" s="13">
        <v>45337</v>
      </c>
      <c r="H1274" s="12">
        <v>45754.080000000002</v>
      </c>
      <c r="I1274" s="14" t="s">
        <v>47</v>
      </c>
      <c r="J1274" s="15" t="s">
        <v>28</v>
      </c>
      <c r="K1274" s="15">
        <v>677</v>
      </c>
      <c r="L1274" s="16">
        <v>45361</v>
      </c>
      <c r="M1274" s="17">
        <v>7</v>
      </c>
      <c r="N1274" s="18">
        <v>91273</v>
      </c>
      <c r="O1274" s="18" t="s">
        <v>40</v>
      </c>
      <c r="P1274" s="19">
        <v>45430</v>
      </c>
      <c r="Q1274" s="20">
        <v>0.62761</v>
      </c>
      <c r="R1274" s="21">
        <v>71273</v>
      </c>
      <c r="S1274" s="18" t="s">
        <v>45</v>
      </c>
      <c r="T1274" s="20">
        <v>151356.30716</v>
      </c>
      <c r="U1274" s="18" t="s">
        <v>31</v>
      </c>
      <c r="V1274" s="19">
        <v>45392</v>
      </c>
      <c r="W1274" s="18" t="s">
        <v>38</v>
      </c>
      <c r="X1274" s="19">
        <v>45376</v>
      </c>
      <c r="Y1274" s="18" t="s">
        <v>39</v>
      </c>
      <c r="Z1274" s="43" t="e">
        <f>TEXT([1]!Table64[[#This Row],[Order date]],"mmm-yyyy")</f>
        <v>#REF!</v>
      </c>
    </row>
    <row r="1275" spans="1:26" x14ac:dyDescent="0.3">
      <c r="A1275" s="22">
        <v>11274</v>
      </c>
      <c r="B1275" s="23">
        <v>5111</v>
      </c>
      <c r="C1275" s="23" t="s">
        <v>34</v>
      </c>
      <c r="D1275" s="24">
        <v>17346</v>
      </c>
      <c r="E1275" s="23">
        <v>62</v>
      </c>
      <c r="F1275" s="23" t="s">
        <v>46</v>
      </c>
      <c r="G1275" s="25">
        <v>45337</v>
      </c>
      <c r="H1275" s="24">
        <v>115847.31</v>
      </c>
      <c r="I1275" s="26" t="s">
        <v>47</v>
      </c>
      <c r="J1275" s="15" t="s">
        <v>49</v>
      </c>
      <c r="K1275" s="15">
        <v>1425</v>
      </c>
      <c r="L1275" s="16">
        <v>45397</v>
      </c>
      <c r="M1275" s="17">
        <v>8</v>
      </c>
      <c r="N1275" s="27">
        <v>91274</v>
      </c>
      <c r="O1275" s="27" t="s">
        <v>50</v>
      </c>
      <c r="P1275" s="28">
        <v>45430</v>
      </c>
      <c r="Q1275" s="29">
        <v>0.59840000000000004</v>
      </c>
      <c r="R1275" s="30">
        <v>71274</v>
      </c>
      <c r="S1275" s="27" t="s">
        <v>30</v>
      </c>
      <c r="T1275" s="29">
        <v>94287.515069999994</v>
      </c>
      <c r="U1275" s="27" t="s">
        <v>42</v>
      </c>
      <c r="V1275" s="28">
        <v>45422</v>
      </c>
      <c r="W1275" s="27" t="s">
        <v>38</v>
      </c>
      <c r="X1275" s="28">
        <v>45376</v>
      </c>
      <c r="Y1275" s="27" t="s">
        <v>33</v>
      </c>
      <c r="Z1275" s="43" t="e">
        <f>TEXT([1]!Table64[[#This Row],[Order date]],"mmm-yyyy")</f>
        <v>#REF!</v>
      </c>
    </row>
    <row r="1276" spans="1:26" x14ac:dyDescent="0.3">
      <c r="A1276" s="10">
        <v>11275</v>
      </c>
      <c r="B1276" s="11">
        <v>5228</v>
      </c>
      <c r="C1276" s="11" t="s">
        <v>34</v>
      </c>
      <c r="D1276" s="12">
        <v>84458.96</v>
      </c>
      <c r="E1276" s="11">
        <v>82</v>
      </c>
      <c r="F1276" s="11" t="s">
        <v>46</v>
      </c>
      <c r="G1276" s="13">
        <v>45306</v>
      </c>
      <c r="H1276" s="12">
        <v>146989.31</v>
      </c>
      <c r="I1276" s="14" t="s">
        <v>44</v>
      </c>
      <c r="J1276" s="15" t="s">
        <v>28</v>
      </c>
      <c r="K1276" s="15">
        <v>738</v>
      </c>
      <c r="L1276" s="16">
        <v>45361</v>
      </c>
      <c r="M1276" s="17">
        <v>8</v>
      </c>
      <c r="N1276" s="18">
        <v>91275</v>
      </c>
      <c r="O1276" s="18" t="s">
        <v>37</v>
      </c>
      <c r="P1276" s="19">
        <v>45383</v>
      </c>
      <c r="Q1276" s="20">
        <v>0.41198000000000001</v>
      </c>
      <c r="R1276" s="21">
        <v>71275</v>
      </c>
      <c r="S1276" s="18" t="s">
        <v>41</v>
      </c>
      <c r="T1276" s="20">
        <v>170607.58601</v>
      </c>
      <c r="U1276" s="18" t="s">
        <v>48</v>
      </c>
      <c r="V1276" s="19">
        <v>45422</v>
      </c>
      <c r="W1276" s="18" t="s">
        <v>32</v>
      </c>
      <c r="X1276" s="19">
        <v>45376</v>
      </c>
      <c r="Y1276" s="18" t="s">
        <v>39</v>
      </c>
      <c r="Z1276" s="43" t="e">
        <f>TEXT([1]!Table64[[#This Row],[Order date]],"mmm-yyyy")</f>
        <v>#REF!</v>
      </c>
    </row>
    <row r="1277" spans="1:26" x14ac:dyDescent="0.3">
      <c r="A1277" s="22">
        <v>11276</v>
      </c>
      <c r="B1277" s="23">
        <v>5111</v>
      </c>
      <c r="C1277" s="23" t="s">
        <v>34</v>
      </c>
      <c r="D1277" s="24">
        <v>49961.26</v>
      </c>
      <c r="E1277" s="23">
        <v>78</v>
      </c>
      <c r="F1277" s="23" t="s">
        <v>26</v>
      </c>
      <c r="G1277" s="25">
        <v>45361</v>
      </c>
      <c r="H1277" s="24">
        <v>100960.73</v>
      </c>
      <c r="I1277" s="26" t="s">
        <v>27</v>
      </c>
      <c r="J1277" s="15" t="s">
        <v>28</v>
      </c>
      <c r="K1277" s="15">
        <v>1087</v>
      </c>
      <c r="L1277" s="16">
        <v>45397</v>
      </c>
      <c r="M1277" s="17">
        <v>14</v>
      </c>
      <c r="N1277" s="27">
        <v>91276</v>
      </c>
      <c r="O1277" s="27" t="s">
        <v>40</v>
      </c>
      <c r="P1277" s="28">
        <v>45383</v>
      </c>
      <c r="Q1277" s="29">
        <v>0.28136</v>
      </c>
      <c r="R1277" s="30">
        <v>71276</v>
      </c>
      <c r="S1277" s="27" t="s">
        <v>30</v>
      </c>
      <c r="T1277" s="29">
        <v>188692.9167</v>
      </c>
      <c r="U1277" s="27" t="s">
        <v>42</v>
      </c>
      <c r="V1277" s="28">
        <v>45444</v>
      </c>
      <c r="W1277" s="27" t="s">
        <v>32</v>
      </c>
      <c r="X1277" s="28">
        <v>45376</v>
      </c>
      <c r="Y1277" s="27" t="s">
        <v>33</v>
      </c>
      <c r="Z1277" s="43" t="e">
        <f>TEXT([1]!Table64[[#This Row],[Order date]],"mmm-yyyy")</f>
        <v>#REF!</v>
      </c>
    </row>
    <row r="1278" spans="1:26" x14ac:dyDescent="0.3">
      <c r="A1278" s="10">
        <v>11277</v>
      </c>
      <c r="B1278" s="11">
        <v>6494</v>
      </c>
      <c r="C1278" s="11" t="s">
        <v>34</v>
      </c>
      <c r="D1278" s="12">
        <v>18546.580000000002</v>
      </c>
      <c r="E1278" s="11">
        <v>74</v>
      </c>
      <c r="F1278" s="11" t="s">
        <v>35</v>
      </c>
      <c r="G1278" s="13">
        <v>45361</v>
      </c>
      <c r="H1278" s="12">
        <v>141069.68</v>
      </c>
      <c r="I1278" s="14" t="s">
        <v>27</v>
      </c>
      <c r="J1278" s="15" t="s">
        <v>49</v>
      </c>
      <c r="K1278" s="15">
        <v>1330</v>
      </c>
      <c r="L1278" s="16">
        <v>45361</v>
      </c>
      <c r="M1278" s="17">
        <v>6</v>
      </c>
      <c r="N1278" s="18">
        <v>91277</v>
      </c>
      <c r="O1278" s="18" t="s">
        <v>50</v>
      </c>
      <c r="P1278" s="19">
        <v>45352</v>
      </c>
      <c r="Q1278" s="20">
        <v>0.82679999999999998</v>
      </c>
      <c r="R1278" s="21">
        <v>71277</v>
      </c>
      <c r="S1278" s="18" t="s">
        <v>41</v>
      </c>
      <c r="T1278" s="20">
        <v>79277.909799999994</v>
      </c>
      <c r="U1278" s="18" t="s">
        <v>31</v>
      </c>
      <c r="V1278" s="19">
        <v>45444</v>
      </c>
      <c r="W1278" s="18" t="s">
        <v>32</v>
      </c>
      <c r="X1278" s="19">
        <v>45376</v>
      </c>
      <c r="Y1278" s="18" t="s">
        <v>33</v>
      </c>
      <c r="Z1278" s="43" t="e">
        <f>TEXT([1]!Table64[[#This Row],[Order date]],"mmm-yyyy")</f>
        <v>#REF!</v>
      </c>
    </row>
    <row r="1279" spans="1:26" x14ac:dyDescent="0.3">
      <c r="A1279" s="22">
        <v>11278</v>
      </c>
      <c r="B1279" s="23">
        <v>5034</v>
      </c>
      <c r="C1279" s="23" t="s">
        <v>34</v>
      </c>
      <c r="D1279" s="24">
        <v>95214.56</v>
      </c>
      <c r="E1279" s="23">
        <v>46</v>
      </c>
      <c r="F1279" s="23" t="s">
        <v>46</v>
      </c>
      <c r="G1279" s="25">
        <v>45306</v>
      </c>
      <c r="H1279" s="24">
        <v>16845.28</v>
      </c>
      <c r="I1279" s="26" t="s">
        <v>44</v>
      </c>
      <c r="J1279" s="15" t="s">
        <v>28</v>
      </c>
      <c r="K1279" s="15">
        <v>1282</v>
      </c>
      <c r="L1279" s="16">
        <v>45332</v>
      </c>
      <c r="M1279" s="17">
        <v>10</v>
      </c>
      <c r="N1279" s="27">
        <v>91278</v>
      </c>
      <c r="O1279" s="27" t="s">
        <v>50</v>
      </c>
      <c r="P1279" s="28">
        <v>45383</v>
      </c>
      <c r="Q1279" s="29">
        <v>0.14848</v>
      </c>
      <c r="R1279" s="30">
        <v>71278</v>
      </c>
      <c r="S1279" s="27" t="s">
        <v>45</v>
      </c>
      <c r="T1279" s="29">
        <v>178061.0386</v>
      </c>
      <c r="U1279" s="27" t="s">
        <v>48</v>
      </c>
      <c r="V1279" s="28">
        <v>45444</v>
      </c>
      <c r="W1279" s="27" t="s">
        <v>38</v>
      </c>
      <c r="X1279" s="28">
        <v>45376</v>
      </c>
      <c r="Y1279" s="27" t="s">
        <v>33</v>
      </c>
      <c r="Z1279" s="43" t="e">
        <f>TEXT([1]!Table64[[#This Row],[Order date]],"mmm-yyyy")</f>
        <v>#REF!</v>
      </c>
    </row>
    <row r="1280" spans="1:26" x14ac:dyDescent="0.3">
      <c r="A1280" s="10">
        <v>11279</v>
      </c>
      <c r="B1280" s="11">
        <v>5623</v>
      </c>
      <c r="C1280" s="11" t="s">
        <v>25</v>
      </c>
      <c r="D1280" s="12">
        <v>47785.85</v>
      </c>
      <c r="E1280" s="11">
        <v>13</v>
      </c>
      <c r="F1280" s="11" t="s">
        <v>26</v>
      </c>
      <c r="G1280" s="13">
        <v>45306</v>
      </c>
      <c r="H1280" s="12">
        <v>38744.14</v>
      </c>
      <c r="I1280" s="14" t="s">
        <v>44</v>
      </c>
      <c r="J1280" s="15" t="s">
        <v>28</v>
      </c>
      <c r="K1280" s="15">
        <v>330</v>
      </c>
      <c r="L1280" s="16">
        <v>45332</v>
      </c>
      <c r="M1280" s="17">
        <v>8</v>
      </c>
      <c r="N1280" s="18">
        <v>91279</v>
      </c>
      <c r="O1280" s="18" t="s">
        <v>37</v>
      </c>
      <c r="P1280" s="19">
        <v>45383</v>
      </c>
      <c r="Q1280" s="20">
        <v>0.16270999999999999</v>
      </c>
      <c r="R1280" s="21">
        <v>71279</v>
      </c>
      <c r="S1280" s="18" t="s">
        <v>30</v>
      </c>
      <c r="T1280" s="20">
        <v>121721.7264</v>
      </c>
      <c r="U1280" s="18" t="s">
        <v>42</v>
      </c>
      <c r="V1280" s="19">
        <v>45422</v>
      </c>
      <c r="W1280" s="18" t="s">
        <v>38</v>
      </c>
      <c r="X1280" s="19">
        <v>45376</v>
      </c>
      <c r="Y1280" s="18" t="s">
        <v>33</v>
      </c>
      <c r="Z1280" s="43" t="e">
        <f>TEXT([1]!Table64[[#This Row],[Order date]],"mmm-yyyy")</f>
        <v>#REF!</v>
      </c>
    </row>
    <row r="1281" spans="1:26" x14ac:dyDescent="0.3">
      <c r="A1281" s="22">
        <v>11280</v>
      </c>
      <c r="B1281" s="23">
        <v>6800</v>
      </c>
      <c r="C1281" s="23" t="s">
        <v>34</v>
      </c>
      <c r="D1281" s="24">
        <v>86040.81</v>
      </c>
      <c r="E1281" s="23">
        <v>95</v>
      </c>
      <c r="F1281" s="23" t="s">
        <v>35</v>
      </c>
      <c r="G1281" s="25">
        <v>45361</v>
      </c>
      <c r="H1281" s="24">
        <v>85915.82</v>
      </c>
      <c r="I1281" s="26" t="s">
        <v>44</v>
      </c>
      <c r="J1281" s="15" t="s">
        <v>49</v>
      </c>
      <c r="K1281" s="15">
        <v>492</v>
      </c>
      <c r="L1281" s="16">
        <v>45332</v>
      </c>
      <c r="M1281" s="17">
        <v>14</v>
      </c>
      <c r="N1281" s="27">
        <v>91280</v>
      </c>
      <c r="O1281" s="27" t="s">
        <v>40</v>
      </c>
      <c r="P1281" s="28">
        <v>45383</v>
      </c>
      <c r="Q1281" s="29">
        <v>0.49647000000000002</v>
      </c>
      <c r="R1281" s="30">
        <v>71280</v>
      </c>
      <c r="S1281" s="27" t="s">
        <v>30</v>
      </c>
      <c r="T1281" s="29">
        <v>183103.5239</v>
      </c>
      <c r="U1281" s="27" t="s">
        <v>48</v>
      </c>
      <c r="V1281" s="28">
        <v>45392</v>
      </c>
      <c r="W1281" s="27" t="s">
        <v>32</v>
      </c>
      <c r="X1281" s="28">
        <v>45384</v>
      </c>
      <c r="Y1281" s="27" t="s">
        <v>33</v>
      </c>
      <c r="Z1281" s="43" t="e">
        <f>TEXT([1]!Table64[[#This Row],[Order date]],"mmm-yyyy")</f>
        <v>#REF!</v>
      </c>
    </row>
    <row r="1282" spans="1:26" x14ac:dyDescent="0.3">
      <c r="A1282" s="10">
        <v>11281</v>
      </c>
      <c r="B1282" s="11">
        <v>6960</v>
      </c>
      <c r="C1282" s="11" t="s">
        <v>25</v>
      </c>
      <c r="D1282" s="12">
        <v>29573.75</v>
      </c>
      <c r="E1282" s="11">
        <v>94</v>
      </c>
      <c r="F1282" s="11" t="s">
        <v>43</v>
      </c>
      <c r="G1282" s="13">
        <v>45337</v>
      </c>
      <c r="H1282" s="12">
        <v>33611.06</v>
      </c>
      <c r="I1282" s="14" t="s">
        <v>44</v>
      </c>
      <c r="J1282" s="15" t="s">
        <v>49</v>
      </c>
      <c r="K1282" s="15">
        <v>886</v>
      </c>
      <c r="L1282" s="16">
        <v>45397</v>
      </c>
      <c r="M1282" s="17">
        <v>1</v>
      </c>
      <c r="N1282" s="18">
        <v>91281</v>
      </c>
      <c r="O1282" s="18" t="s">
        <v>50</v>
      </c>
      <c r="P1282" s="19">
        <v>45383</v>
      </c>
      <c r="Q1282" s="20">
        <v>0.32729999999999998</v>
      </c>
      <c r="R1282" s="21">
        <v>71281</v>
      </c>
      <c r="S1282" s="18" t="s">
        <v>45</v>
      </c>
      <c r="T1282" s="20">
        <v>111446.552</v>
      </c>
      <c r="U1282" s="18" t="s">
        <v>31</v>
      </c>
      <c r="V1282" s="19">
        <v>45444</v>
      </c>
      <c r="W1282" s="18" t="s">
        <v>32</v>
      </c>
      <c r="X1282" s="19">
        <v>45384</v>
      </c>
      <c r="Y1282" s="18" t="s">
        <v>33</v>
      </c>
      <c r="Z1282" s="43" t="e">
        <f>TEXT([1]!Table64[[#This Row],[Order date]],"mmm-yyyy")</f>
        <v>#REF!</v>
      </c>
    </row>
    <row r="1283" spans="1:26" x14ac:dyDescent="0.3">
      <c r="A1283" s="22">
        <v>11282</v>
      </c>
      <c r="B1283" s="23">
        <v>6393</v>
      </c>
      <c r="C1283" s="23" t="s">
        <v>34</v>
      </c>
      <c r="D1283" s="24">
        <v>48893.27</v>
      </c>
      <c r="E1283" s="23">
        <v>3</v>
      </c>
      <c r="F1283" s="23" t="s">
        <v>26</v>
      </c>
      <c r="G1283" s="25">
        <v>45337</v>
      </c>
      <c r="H1283" s="24">
        <v>44536.75</v>
      </c>
      <c r="I1283" s="26" t="s">
        <v>47</v>
      </c>
      <c r="J1283" s="15" t="s">
        <v>36</v>
      </c>
      <c r="K1283" s="15">
        <v>438</v>
      </c>
      <c r="L1283" s="16">
        <v>45332</v>
      </c>
      <c r="M1283" s="17">
        <v>9</v>
      </c>
      <c r="N1283" s="27">
        <v>91282</v>
      </c>
      <c r="O1283" s="27" t="s">
        <v>50</v>
      </c>
      <c r="P1283" s="28">
        <v>45383</v>
      </c>
      <c r="Q1283" s="29">
        <v>0.77090999999999998</v>
      </c>
      <c r="R1283" s="30">
        <v>71282</v>
      </c>
      <c r="S1283" s="27" t="s">
        <v>41</v>
      </c>
      <c r="T1283" s="29">
        <v>211826.67230000001</v>
      </c>
      <c r="U1283" s="27" t="s">
        <v>42</v>
      </c>
      <c r="V1283" s="28">
        <v>45422</v>
      </c>
      <c r="W1283" s="27" t="s">
        <v>38</v>
      </c>
      <c r="X1283" s="28">
        <v>45376</v>
      </c>
      <c r="Y1283" s="27" t="s">
        <v>33</v>
      </c>
      <c r="Z1283" s="43" t="e">
        <f>TEXT([1]!Table64[[#This Row],[Order date]],"mmm-yyyy")</f>
        <v>#REF!</v>
      </c>
    </row>
    <row r="1284" spans="1:26" x14ac:dyDescent="0.3">
      <c r="A1284" s="10">
        <v>11283</v>
      </c>
      <c r="B1284" s="11">
        <v>5748</v>
      </c>
      <c r="C1284" s="11" t="s">
        <v>25</v>
      </c>
      <c r="D1284" s="12">
        <v>64845.62</v>
      </c>
      <c r="E1284" s="11">
        <v>94</v>
      </c>
      <c r="F1284" s="11" t="s">
        <v>35</v>
      </c>
      <c r="G1284" s="13">
        <v>45361</v>
      </c>
      <c r="H1284" s="12">
        <v>10491.15</v>
      </c>
      <c r="I1284" s="14" t="s">
        <v>47</v>
      </c>
      <c r="J1284" s="15" t="s">
        <v>28</v>
      </c>
      <c r="K1284" s="15">
        <v>666</v>
      </c>
      <c r="L1284" s="16">
        <v>45361</v>
      </c>
      <c r="M1284" s="17">
        <v>13</v>
      </c>
      <c r="N1284" s="18">
        <v>91283</v>
      </c>
      <c r="O1284" s="18" t="s">
        <v>29</v>
      </c>
      <c r="P1284" s="19">
        <v>45352</v>
      </c>
      <c r="Q1284" s="20">
        <v>0.67076999999999998</v>
      </c>
      <c r="R1284" s="21">
        <v>71283</v>
      </c>
      <c r="S1284" s="18" t="s">
        <v>30</v>
      </c>
      <c r="T1284" s="20">
        <v>123946.8609</v>
      </c>
      <c r="U1284" s="18" t="s">
        <v>48</v>
      </c>
      <c r="V1284" s="19">
        <v>45444</v>
      </c>
      <c r="W1284" s="18" t="s">
        <v>38</v>
      </c>
      <c r="X1284" s="19">
        <v>45376</v>
      </c>
      <c r="Y1284" s="18" t="s">
        <v>33</v>
      </c>
      <c r="Z1284" s="43" t="e">
        <f>TEXT([1]!Table64[[#This Row],[Order date]],"mmm-yyyy")</f>
        <v>#REF!</v>
      </c>
    </row>
    <row r="1285" spans="1:26" x14ac:dyDescent="0.3">
      <c r="A1285" s="22">
        <v>11284</v>
      </c>
      <c r="B1285" s="23">
        <v>5595</v>
      </c>
      <c r="C1285" s="23" t="s">
        <v>34</v>
      </c>
      <c r="D1285" s="24">
        <v>97448.71</v>
      </c>
      <c r="E1285" s="23">
        <v>6</v>
      </c>
      <c r="F1285" s="23" t="s">
        <v>26</v>
      </c>
      <c r="G1285" s="25">
        <v>45337</v>
      </c>
      <c r="H1285" s="24">
        <v>138811.75</v>
      </c>
      <c r="I1285" s="26" t="s">
        <v>47</v>
      </c>
      <c r="J1285" s="15" t="s">
        <v>36</v>
      </c>
      <c r="K1285" s="15">
        <v>196</v>
      </c>
      <c r="L1285" s="16">
        <v>45397</v>
      </c>
      <c r="M1285" s="17">
        <v>12</v>
      </c>
      <c r="N1285" s="27">
        <v>91284</v>
      </c>
      <c r="O1285" s="27" t="s">
        <v>29</v>
      </c>
      <c r="P1285" s="28">
        <v>45352</v>
      </c>
      <c r="Q1285" s="29">
        <v>0.79527999999999999</v>
      </c>
      <c r="R1285" s="30">
        <v>71284</v>
      </c>
      <c r="S1285" s="27" t="s">
        <v>45</v>
      </c>
      <c r="T1285" s="29">
        <v>197516.29902999999</v>
      </c>
      <c r="U1285" s="27" t="s">
        <v>42</v>
      </c>
      <c r="V1285" s="28">
        <v>45392</v>
      </c>
      <c r="W1285" s="27" t="s">
        <v>32</v>
      </c>
      <c r="X1285" s="28">
        <v>45384</v>
      </c>
      <c r="Y1285" s="27" t="s">
        <v>33</v>
      </c>
      <c r="Z1285" s="43" t="e">
        <f>TEXT([1]!Table64[[#This Row],[Order date]],"mmm-yyyy")</f>
        <v>#REF!</v>
      </c>
    </row>
    <row r="1286" spans="1:26" x14ac:dyDescent="0.3">
      <c r="A1286" s="10">
        <v>11285</v>
      </c>
      <c r="B1286" s="11">
        <v>6578</v>
      </c>
      <c r="C1286" s="11" t="s">
        <v>25</v>
      </c>
      <c r="D1286" s="12">
        <v>59534.68</v>
      </c>
      <c r="E1286" s="11">
        <v>93</v>
      </c>
      <c r="F1286" s="11" t="s">
        <v>35</v>
      </c>
      <c r="G1286" s="13">
        <v>45306</v>
      </c>
      <c r="H1286" s="12">
        <v>100648.01</v>
      </c>
      <c r="I1286" s="14" t="s">
        <v>47</v>
      </c>
      <c r="J1286" s="15" t="s">
        <v>36</v>
      </c>
      <c r="K1286" s="15">
        <v>1352</v>
      </c>
      <c r="L1286" s="16">
        <v>45361</v>
      </c>
      <c r="M1286" s="17">
        <v>1</v>
      </c>
      <c r="N1286" s="18">
        <v>91285</v>
      </c>
      <c r="O1286" s="18" t="s">
        <v>37</v>
      </c>
      <c r="P1286" s="19">
        <v>45383</v>
      </c>
      <c r="Q1286" s="20">
        <v>0.39221</v>
      </c>
      <c r="R1286" s="21">
        <v>71285</v>
      </c>
      <c r="S1286" s="18" t="s">
        <v>41</v>
      </c>
      <c r="T1286" s="20">
        <v>178425.95199999999</v>
      </c>
      <c r="U1286" s="18" t="s">
        <v>31</v>
      </c>
      <c r="V1286" s="19">
        <v>45392</v>
      </c>
      <c r="W1286" s="18" t="s">
        <v>32</v>
      </c>
      <c r="X1286" s="19">
        <v>45376</v>
      </c>
      <c r="Y1286" s="18" t="s">
        <v>33</v>
      </c>
      <c r="Z1286" s="43" t="e">
        <f>TEXT([1]!Table64[[#This Row],[Order date]],"mmm-yyyy")</f>
        <v>#REF!</v>
      </c>
    </row>
    <row r="1287" spans="1:26" x14ac:dyDescent="0.3">
      <c r="A1287" s="22">
        <v>11286</v>
      </c>
      <c r="B1287" s="23">
        <v>5425</v>
      </c>
      <c r="C1287" s="23" t="s">
        <v>34</v>
      </c>
      <c r="D1287" s="24">
        <v>54646.34</v>
      </c>
      <c r="E1287" s="23">
        <v>8</v>
      </c>
      <c r="F1287" s="23" t="s">
        <v>35</v>
      </c>
      <c r="G1287" s="25">
        <v>45337</v>
      </c>
      <c r="H1287" s="24">
        <v>31665.8</v>
      </c>
      <c r="I1287" s="26" t="s">
        <v>44</v>
      </c>
      <c r="J1287" s="15" t="s">
        <v>49</v>
      </c>
      <c r="K1287" s="15">
        <v>570</v>
      </c>
      <c r="L1287" s="16">
        <v>45397</v>
      </c>
      <c r="M1287" s="17">
        <v>13</v>
      </c>
      <c r="N1287" s="27">
        <v>91286</v>
      </c>
      <c r="O1287" s="27" t="s">
        <v>29</v>
      </c>
      <c r="P1287" s="28">
        <v>45383</v>
      </c>
      <c r="Q1287" s="29">
        <v>0.76646999999999998</v>
      </c>
      <c r="R1287" s="30">
        <v>71286</v>
      </c>
      <c r="S1287" s="27" t="s">
        <v>41</v>
      </c>
      <c r="T1287" s="29">
        <v>128603.99588</v>
      </c>
      <c r="U1287" s="27" t="s">
        <v>48</v>
      </c>
      <c r="V1287" s="28">
        <v>45392</v>
      </c>
      <c r="W1287" s="27" t="s">
        <v>38</v>
      </c>
      <c r="X1287" s="28">
        <v>45384</v>
      </c>
      <c r="Y1287" s="27" t="s">
        <v>33</v>
      </c>
      <c r="Z1287" s="43" t="e">
        <f>TEXT([1]!Table64[[#This Row],[Order date]],"mmm-yyyy")</f>
        <v>#REF!</v>
      </c>
    </row>
    <row r="1288" spans="1:26" x14ac:dyDescent="0.3">
      <c r="A1288" s="10">
        <v>11287</v>
      </c>
      <c r="B1288" s="11">
        <v>5613</v>
      </c>
      <c r="C1288" s="11" t="s">
        <v>34</v>
      </c>
      <c r="D1288" s="12">
        <v>21928.76</v>
      </c>
      <c r="E1288" s="11">
        <v>44</v>
      </c>
      <c r="F1288" s="11" t="s">
        <v>43</v>
      </c>
      <c r="G1288" s="13">
        <v>45337</v>
      </c>
      <c r="H1288" s="12">
        <v>30874.73</v>
      </c>
      <c r="I1288" s="14" t="s">
        <v>27</v>
      </c>
      <c r="J1288" s="15" t="s">
        <v>28</v>
      </c>
      <c r="K1288" s="15">
        <v>679</v>
      </c>
      <c r="L1288" s="16">
        <v>45361</v>
      </c>
      <c r="M1288" s="17">
        <v>3</v>
      </c>
      <c r="N1288" s="18">
        <v>91287</v>
      </c>
      <c r="O1288" s="18" t="s">
        <v>40</v>
      </c>
      <c r="P1288" s="19">
        <v>45352</v>
      </c>
      <c r="Q1288" s="20">
        <v>0.87607000000000002</v>
      </c>
      <c r="R1288" s="21">
        <v>71287</v>
      </c>
      <c r="S1288" s="18" t="s">
        <v>45</v>
      </c>
      <c r="T1288" s="20">
        <v>61836.050199999998</v>
      </c>
      <c r="U1288" s="18" t="s">
        <v>31</v>
      </c>
      <c r="V1288" s="19">
        <v>45392</v>
      </c>
      <c r="W1288" s="18" t="s">
        <v>38</v>
      </c>
      <c r="X1288" s="19">
        <v>45384</v>
      </c>
      <c r="Y1288" s="18" t="s">
        <v>33</v>
      </c>
      <c r="Z1288" s="43" t="e">
        <f>TEXT([1]!Table64[[#This Row],[Order date]],"mmm-yyyy")</f>
        <v>#REF!</v>
      </c>
    </row>
    <row r="1289" spans="1:26" x14ac:dyDescent="0.3">
      <c r="A1289" s="22">
        <v>11288</v>
      </c>
      <c r="B1289" s="23">
        <v>6542</v>
      </c>
      <c r="C1289" s="23" t="s">
        <v>34</v>
      </c>
      <c r="D1289" s="24">
        <v>13710.94</v>
      </c>
      <c r="E1289" s="23">
        <v>33</v>
      </c>
      <c r="F1289" s="23" t="s">
        <v>26</v>
      </c>
      <c r="G1289" s="25">
        <v>45383</v>
      </c>
      <c r="H1289" s="24">
        <v>149820</v>
      </c>
      <c r="I1289" s="26" t="s">
        <v>47</v>
      </c>
      <c r="J1289" s="15" t="s">
        <v>28</v>
      </c>
      <c r="K1289" s="15">
        <v>483</v>
      </c>
      <c r="L1289" s="16">
        <v>45361</v>
      </c>
      <c r="M1289" s="17">
        <v>12</v>
      </c>
      <c r="N1289" s="27">
        <v>91288</v>
      </c>
      <c r="O1289" s="27" t="s">
        <v>37</v>
      </c>
      <c r="P1289" s="28">
        <v>45430</v>
      </c>
      <c r="Q1289" s="29">
        <v>0.41075</v>
      </c>
      <c r="R1289" s="30">
        <v>71288</v>
      </c>
      <c r="S1289" s="27" t="s">
        <v>30</v>
      </c>
      <c r="T1289" s="29">
        <v>199784.87406</v>
      </c>
      <c r="U1289" s="27" t="s">
        <v>48</v>
      </c>
      <c r="V1289" s="28">
        <v>45392</v>
      </c>
      <c r="W1289" s="27" t="s">
        <v>38</v>
      </c>
      <c r="X1289" s="28">
        <v>45376</v>
      </c>
      <c r="Y1289" s="27" t="s">
        <v>33</v>
      </c>
      <c r="Z1289" s="43" t="e">
        <f>TEXT([1]!Table64[[#This Row],[Order date]],"mmm-yyyy")</f>
        <v>#REF!</v>
      </c>
    </row>
    <row r="1290" spans="1:26" x14ac:dyDescent="0.3">
      <c r="A1290" s="10">
        <v>11289</v>
      </c>
      <c r="B1290" s="11">
        <v>5692</v>
      </c>
      <c r="C1290" s="11" t="s">
        <v>34</v>
      </c>
      <c r="D1290" s="12">
        <v>25299.05</v>
      </c>
      <c r="E1290" s="11">
        <v>81</v>
      </c>
      <c r="F1290" s="11" t="s">
        <v>46</v>
      </c>
      <c r="G1290" s="13">
        <v>45383</v>
      </c>
      <c r="H1290" s="12">
        <v>120989.92</v>
      </c>
      <c r="I1290" s="14" t="s">
        <v>27</v>
      </c>
      <c r="J1290" s="15" t="s">
        <v>49</v>
      </c>
      <c r="K1290" s="15">
        <v>193</v>
      </c>
      <c r="L1290" s="16">
        <v>45397</v>
      </c>
      <c r="M1290" s="17">
        <v>9</v>
      </c>
      <c r="N1290" s="18">
        <v>91289</v>
      </c>
      <c r="O1290" s="18" t="s">
        <v>37</v>
      </c>
      <c r="P1290" s="19">
        <v>45352</v>
      </c>
      <c r="Q1290" s="20">
        <v>0.40590999999999999</v>
      </c>
      <c r="R1290" s="21">
        <v>71289</v>
      </c>
      <c r="S1290" s="18" t="s">
        <v>45</v>
      </c>
      <c r="T1290" s="20">
        <v>165713.20939999999</v>
      </c>
      <c r="U1290" s="18" t="s">
        <v>31</v>
      </c>
      <c r="V1290" s="19">
        <v>45392</v>
      </c>
      <c r="W1290" s="18" t="s">
        <v>38</v>
      </c>
      <c r="X1290" s="19">
        <v>45384</v>
      </c>
      <c r="Y1290" s="18" t="s">
        <v>33</v>
      </c>
      <c r="Z1290" s="43" t="e">
        <f>TEXT([1]!Table64[[#This Row],[Order date]],"mmm-yyyy")</f>
        <v>#REF!</v>
      </c>
    </row>
    <row r="1291" spans="1:26" x14ac:dyDescent="0.3">
      <c r="A1291" s="22">
        <v>11290</v>
      </c>
      <c r="B1291" s="23">
        <v>6306</v>
      </c>
      <c r="C1291" s="23" t="s">
        <v>34</v>
      </c>
      <c r="D1291" s="24">
        <v>24780.46</v>
      </c>
      <c r="E1291" s="23">
        <v>75</v>
      </c>
      <c r="F1291" s="23" t="s">
        <v>43</v>
      </c>
      <c r="G1291" s="25">
        <v>45383</v>
      </c>
      <c r="H1291" s="24">
        <v>146474.57999999999</v>
      </c>
      <c r="I1291" s="26" t="s">
        <v>47</v>
      </c>
      <c r="J1291" s="15" t="s">
        <v>36</v>
      </c>
      <c r="K1291" s="15">
        <v>338</v>
      </c>
      <c r="L1291" s="16">
        <v>45397</v>
      </c>
      <c r="M1291" s="17">
        <v>11</v>
      </c>
      <c r="N1291" s="27">
        <v>91290</v>
      </c>
      <c r="O1291" s="27" t="s">
        <v>29</v>
      </c>
      <c r="P1291" s="28">
        <v>45430</v>
      </c>
      <c r="Q1291" s="29">
        <v>0.90995999999999999</v>
      </c>
      <c r="R1291" s="30">
        <v>71290</v>
      </c>
      <c r="S1291" s="27" t="s">
        <v>45</v>
      </c>
      <c r="T1291" s="29">
        <v>114976.9636</v>
      </c>
      <c r="U1291" s="27" t="s">
        <v>31</v>
      </c>
      <c r="V1291" s="28">
        <v>45422</v>
      </c>
      <c r="W1291" s="27" t="s">
        <v>32</v>
      </c>
      <c r="X1291" s="28">
        <v>45376</v>
      </c>
      <c r="Y1291" s="27" t="s">
        <v>39</v>
      </c>
      <c r="Z1291" s="43" t="e">
        <f>TEXT([1]!Table64[[#This Row],[Order date]],"mmm-yyyy")</f>
        <v>#REF!</v>
      </c>
    </row>
    <row r="1292" spans="1:26" x14ac:dyDescent="0.3">
      <c r="A1292" s="10">
        <v>11291</v>
      </c>
      <c r="B1292" s="11">
        <v>6344</v>
      </c>
      <c r="C1292" s="11" t="s">
        <v>34</v>
      </c>
      <c r="D1292" s="12">
        <v>17558.830000000002</v>
      </c>
      <c r="E1292" s="11">
        <v>77</v>
      </c>
      <c r="F1292" s="11" t="s">
        <v>43</v>
      </c>
      <c r="G1292" s="13">
        <v>45337</v>
      </c>
      <c r="H1292" s="12">
        <v>97295.31</v>
      </c>
      <c r="I1292" s="14" t="s">
        <v>44</v>
      </c>
      <c r="J1292" s="15" t="s">
        <v>49</v>
      </c>
      <c r="K1292" s="15">
        <v>1459</v>
      </c>
      <c r="L1292" s="16">
        <v>45332</v>
      </c>
      <c r="M1292" s="17">
        <v>5</v>
      </c>
      <c r="N1292" s="18">
        <v>91291</v>
      </c>
      <c r="O1292" s="18" t="s">
        <v>50</v>
      </c>
      <c r="P1292" s="19">
        <v>45383</v>
      </c>
      <c r="Q1292" s="20">
        <v>0.14480999999999999</v>
      </c>
      <c r="R1292" s="21">
        <v>71291</v>
      </c>
      <c r="S1292" s="18" t="s">
        <v>30</v>
      </c>
      <c r="T1292" s="20">
        <v>151925.29449999999</v>
      </c>
      <c r="U1292" s="18" t="s">
        <v>42</v>
      </c>
      <c r="V1292" s="19">
        <v>45444</v>
      </c>
      <c r="W1292" s="18" t="s">
        <v>38</v>
      </c>
      <c r="X1292" s="19">
        <v>45376</v>
      </c>
      <c r="Y1292" s="18" t="s">
        <v>33</v>
      </c>
      <c r="Z1292" s="43" t="e">
        <f>TEXT([1]!Table64[[#This Row],[Order date]],"mmm-yyyy")</f>
        <v>#REF!</v>
      </c>
    </row>
    <row r="1293" spans="1:26" x14ac:dyDescent="0.3">
      <c r="A1293" s="22">
        <v>11292</v>
      </c>
      <c r="B1293" s="23">
        <v>6762</v>
      </c>
      <c r="C1293" s="23" t="s">
        <v>34</v>
      </c>
      <c r="D1293" s="24">
        <v>60123.91</v>
      </c>
      <c r="E1293" s="23">
        <v>50</v>
      </c>
      <c r="F1293" s="23" t="s">
        <v>35</v>
      </c>
      <c r="G1293" s="25">
        <v>45361</v>
      </c>
      <c r="H1293" s="24">
        <v>106302.77</v>
      </c>
      <c r="I1293" s="26" t="s">
        <v>47</v>
      </c>
      <c r="J1293" s="15" t="s">
        <v>28</v>
      </c>
      <c r="K1293" s="15">
        <v>63</v>
      </c>
      <c r="L1293" s="16">
        <v>45332</v>
      </c>
      <c r="M1293" s="17">
        <v>9</v>
      </c>
      <c r="N1293" s="27">
        <v>91292</v>
      </c>
      <c r="O1293" s="27" t="s">
        <v>40</v>
      </c>
      <c r="P1293" s="28">
        <v>45383</v>
      </c>
      <c r="Q1293" s="29">
        <v>0.41516999999999998</v>
      </c>
      <c r="R1293" s="30">
        <v>71292</v>
      </c>
      <c r="S1293" s="27" t="s">
        <v>41</v>
      </c>
      <c r="T1293" s="29">
        <v>78637.676999999996</v>
      </c>
      <c r="U1293" s="27" t="s">
        <v>31</v>
      </c>
      <c r="V1293" s="28">
        <v>45392</v>
      </c>
      <c r="W1293" s="27" t="s">
        <v>38</v>
      </c>
      <c r="X1293" s="28">
        <v>45384</v>
      </c>
      <c r="Y1293" s="27" t="s">
        <v>33</v>
      </c>
      <c r="Z1293" s="43" t="e">
        <f>TEXT([1]!Table64[[#This Row],[Order date]],"mmm-yyyy")</f>
        <v>#REF!</v>
      </c>
    </row>
    <row r="1294" spans="1:26" x14ac:dyDescent="0.3">
      <c r="A1294" s="10">
        <v>11293</v>
      </c>
      <c r="B1294" s="11">
        <v>6467</v>
      </c>
      <c r="C1294" s="11" t="s">
        <v>34</v>
      </c>
      <c r="D1294" s="12">
        <v>41321.160000000003</v>
      </c>
      <c r="E1294" s="11">
        <v>11</v>
      </c>
      <c r="F1294" s="11" t="s">
        <v>46</v>
      </c>
      <c r="G1294" s="13">
        <v>45306</v>
      </c>
      <c r="H1294" s="12">
        <v>58318.86</v>
      </c>
      <c r="I1294" s="14" t="s">
        <v>47</v>
      </c>
      <c r="J1294" s="15" t="s">
        <v>49</v>
      </c>
      <c r="K1294" s="15">
        <v>306</v>
      </c>
      <c r="L1294" s="16">
        <v>45361</v>
      </c>
      <c r="M1294" s="17">
        <v>9</v>
      </c>
      <c r="N1294" s="18">
        <v>91293</v>
      </c>
      <c r="O1294" s="18" t="s">
        <v>40</v>
      </c>
      <c r="P1294" s="19">
        <v>45352</v>
      </c>
      <c r="Q1294" s="20">
        <v>0.20680999999999999</v>
      </c>
      <c r="R1294" s="21">
        <v>71293</v>
      </c>
      <c r="S1294" s="18" t="s">
        <v>41</v>
      </c>
      <c r="T1294" s="20">
        <v>160529.34628</v>
      </c>
      <c r="U1294" s="18" t="s">
        <v>42</v>
      </c>
      <c r="V1294" s="19">
        <v>45444</v>
      </c>
      <c r="W1294" s="18" t="s">
        <v>32</v>
      </c>
      <c r="X1294" s="19">
        <v>45376</v>
      </c>
      <c r="Y1294" s="18" t="s">
        <v>33</v>
      </c>
      <c r="Z1294" s="43" t="e">
        <f>TEXT([1]!Table64[[#This Row],[Order date]],"mmm-yyyy")</f>
        <v>#REF!</v>
      </c>
    </row>
    <row r="1295" spans="1:26" x14ac:dyDescent="0.3">
      <c r="A1295" s="22">
        <v>11294</v>
      </c>
      <c r="B1295" s="23">
        <v>6976</v>
      </c>
      <c r="C1295" s="23" t="s">
        <v>25</v>
      </c>
      <c r="D1295" s="24">
        <v>39287.629999999997</v>
      </c>
      <c r="E1295" s="23">
        <v>95</v>
      </c>
      <c r="F1295" s="23" t="s">
        <v>26</v>
      </c>
      <c r="G1295" s="25">
        <v>45337</v>
      </c>
      <c r="H1295" s="24">
        <v>117052.61</v>
      </c>
      <c r="I1295" s="26" t="s">
        <v>47</v>
      </c>
      <c r="J1295" s="15" t="s">
        <v>28</v>
      </c>
      <c r="K1295" s="15">
        <v>1419</v>
      </c>
      <c r="L1295" s="16">
        <v>45361</v>
      </c>
      <c r="M1295" s="17">
        <v>6</v>
      </c>
      <c r="N1295" s="27">
        <v>91294</v>
      </c>
      <c r="O1295" s="27" t="s">
        <v>40</v>
      </c>
      <c r="P1295" s="28">
        <v>45383</v>
      </c>
      <c r="Q1295" s="29">
        <v>0.12608</v>
      </c>
      <c r="R1295" s="30">
        <v>71294</v>
      </c>
      <c r="S1295" s="27" t="s">
        <v>41</v>
      </c>
      <c r="T1295" s="29">
        <v>87361.266109999997</v>
      </c>
      <c r="U1295" s="27" t="s">
        <v>31</v>
      </c>
      <c r="V1295" s="28">
        <v>45444</v>
      </c>
      <c r="W1295" s="27" t="s">
        <v>32</v>
      </c>
      <c r="X1295" s="28">
        <v>45384</v>
      </c>
      <c r="Y1295" s="27" t="s">
        <v>33</v>
      </c>
      <c r="Z1295" s="43" t="e">
        <f>TEXT([1]!Table64[[#This Row],[Order date]],"mmm-yyyy")</f>
        <v>#REF!</v>
      </c>
    </row>
    <row r="1296" spans="1:26" x14ac:dyDescent="0.3">
      <c r="A1296" s="10">
        <v>11295</v>
      </c>
      <c r="B1296" s="11">
        <v>5315</v>
      </c>
      <c r="C1296" s="11" t="s">
        <v>34</v>
      </c>
      <c r="D1296" s="12">
        <v>65188.32</v>
      </c>
      <c r="E1296" s="11">
        <v>28</v>
      </c>
      <c r="F1296" s="11" t="s">
        <v>46</v>
      </c>
      <c r="G1296" s="13">
        <v>45361</v>
      </c>
      <c r="H1296" s="12">
        <v>174750.76</v>
      </c>
      <c r="I1296" s="14" t="s">
        <v>44</v>
      </c>
      <c r="J1296" s="15" t="s">
        <v>36</v>
      </c>
      <c r="K1296" s="15">
        <v>1418</v>
      </c>
      <c r="L1296" s="16">
        <v>45361</v>
      </c>
      <c r="M1296" s="17">
        <v>11</v>
      </c>
      <c r="N1296" s="18">
        <v>91295</v>
      </c>
      <c r="O1296" s="18" t="s">
        <v>37</v>
      </c>
      <c r="P1296" s="19">
        <v>45430</v>
      </c>
      <c r="Q1296" s="20">
        <v>0.20158000000000001</v>
      </c>
      <c r="R1296" s="21">
        <v>71295</v>
      </c>
      <c r="S1296" s="18" t="s">
        <v>41</v>
      </c>
      <c r="T1296" s="20">
        <v>81396.204400000002</v>
      </c>
      <c r="U1296" s="18" t="s">
        <v>31</v>
      </c>
      <c r="V1296" s="19">
        <v>45422</v>
      </c>
      <c r="W1296" s="18" t="s">
        <v>38</v>
      </c>
      <c r="X1296" s="19">
        <v>45376</v>
      </c>
      <c r="Y1296" s="18" t="s">
        <v>33</v>
      </c>
      <c r="Z1296" s="43" t="e">
        <f>TEXT([1]!Table64[[#This Row],[Order date]],"mmm-yyyy")</f>
        <v>#REF!</v>
      </c>
    </row>
    <row r="1297" spans="1:26" x14ac:dyDescent="0.3">
      <c r="A1297" s="22">
        <v>11296</v>
      </c>
      <c r="B1297" s="23">
        <v>5877</v>
      </c>
      <c r="C1297" s="23" t="s">
        <v>34</v>
      </c>
      <c r="D1297" s="24">
        <v>93387.55</v>
      </c>
      <c r="E1297" s="23">
        <v>70</v>
      </c>
      <c r="F1297" s="23" t="s">
        <v>46</v>
      </c>
      <c r="G1297" s="25">
        <v>45337</v>
      </c>
      <c r="H1297" s="24">
        <v>124214.03</v>
      </c>
      <c r="I1297" s="26" t="s">
        <v>44</v>
      </c>
      <c r="J1297" s="15" t="s">
        <v>28</v>
      </c>
      <c r="K1297" s="15">
        <v>1473</v>
      </c>
      <c r="L1297" s="16">
        <v>45397</v>
      </c>
      <c r="M1297" s="17">
        <v>1</v>
      </c>
      <c r="N1297" s="27">
        <v>91296</v>
      </c>
      <c r="O1297" s="27" t="s">
        <v>40</v>
      </c>
      <c r="P1297" s="28">
        <v>45430</v>
      </c>
      <c r="Q1297" s="29">
        <v>0.48812</v>
      </c>
      <c r="R1297" s="30">
        <v>71296</v>
      </c>
      <c r="S1297" s="27" t="s">
        <v>45</v>
      </c>
      <c r="T1297" s="29">
        <v>127949.92690000001</v>
      </c>
      <c r="U1297" s="27" t="s">
        <v>31</v>
      </c>
      <c r="V1297" s="28">
        <v>45392</v>
      </c>
      <c r="W1297" s="27" t="s">
        <v>32</v>
      </c>
      <c r="X1297" s="28">
        <v>45384</v>
      </c>
      <c r="Y1297" s="27" t="s">
        <v>39</v>
      </c>
      <c r="Z1297" s="43" t="e">
        <f>TEXT([1]!Table64[[#This Row],[Order date]],"mmm-yyyy")</f>
        <v>#REF!</v>
      </c>
    </row>
    <row r="1298" spans="1:26" x14ac:dyDescent="0.3">
      <c r="A1298" s="10">
        <v>11297</v>
      </c>
      <c r="B1298" s="11">
        <v>6990</v>
      </c>
      <c r="C1298" s="11" t="s">
        <v>34</v>
      </c>
      <c r="D1298" s="12">
        <v>25810.58</v>
      </c>
      <c r="E1298" s="11">
        <v>41</v>
      </c>
      <c r="F1298" s="11" t="s">
        <v>46</v>
      </c>
      <c r="G1298" s="13">
        <v>45306</v>
      </c>
      <c r="H1298" s="12">
        <v>25639.87</v>
      </c>
      <c r="I1298" s="14" t="s">
        <v>47</v>
      </c>
      <c r="J1298" s="15" t="s">
        <v>36</v>
      </c>
      <c r="K1298" s="15">
        <v>1280</v>
      </c>
      <c r="L1298" s="16">
        <v>45397</v>
      </c>
      <c r="M1298" s="17">
        <v>10</v>
      </c>
      <c r="N1298" s="18">
        <v>91297</v>
      </c>
      <c r="O1298" s="18" t="s">
        <v>50</v>
      </c>
      <c r="P1298" s="19">
        <v>45352</v>
      </c>
      <c r="Q1298" s="20">
        <v>0.71826000000000001</v>
      </c>
      <c r="R1298" s="21">
        <v>71297</v>
      </c>
      <c r="S1298" s="18" t="s">
        <v>30</v>
      </c>
      <c r="T1298" s="20">
        <v>160843.36859999999</v>
      </c>
      <c r="U1298" s="18" t="s">
        <v>48</v>
      </c>
      <c r="V1298" s="19">
        <v>45392</v>
      </c>
      <c r="W1298" s="18" t="s">
        <v>32</v>
      </c>
      <c r="X1298" s="19">
        <v>45384</v>
      </c>
      <c r="Y1298" s="18" t="s">
        <v>39</v>
      </c>
      <c r="Z1298" s="43" t="e">
        <f>TEXT([1]!Table64[[#This Row],[Order date]],"mmm-yyyy")</f>
        <v>#REF!</v>
      </c>
    </row>
    <row r="1299" spans="1:26" x14ac:dyDescent="0.3">
      <c r="A1299" s="22">
        <v>11298</v>
      </c>
      <c r="B1299" s="23">
        <v>6765</v>
      </c>
      <c r="C1299" s="23" t="s">
        <v>34</v>
      </c>
      <c r="D1299" s="24">
        <v>43306.07</v>
      </c>
      <c r="E1299" s="23">
        <v>16</v>
      </c>
      <c r="F1299" s="23" t="s">
        <v>46</v>
      </c>
      <c r="G1299" s="25">
        <v>45337</v>
      </c>
      <c r="H1299" s="24">
        <v>113073.62</v>
      </c>
      <c r="I1299" s="26" t="s">
        <v>47</v>
      </c>
      <c r="J1299" s="15" t="s">
        <v>36</v>
      </c>
      <c r="K1299" s="15">
        <v>907</v>
      </c>
      <c r="L1299" s="16">
        <v>45332</v>
      </c>
      <c r="M1299" s="17">
        <v>7</v>
      </c>
      <c r="N1299" s="27">
        <v>91298</v>
      </c>
      <c r="O1299" s="27" t="s">
        <v>50</v>
      </c>
      <c r="P1299" s="28">
        <v>45430</v>
      </c>
      <c r="Q1299" s="29">
        <v>0.36035</v>
      </c>
      <c r="R1299" s="30">
        <v>71298</v>
      </c>
      <c r="S1299" s="27" t="s">
        <v>41</v>
      </c>
      <c r="T1299" s="29">
        <v>170955.4369</v>
      </c>
      <c r="U1299" s="27" t="s">
        <v>42</v>
      </c>
      <c r="V1299" s="28">
        <v>45422</v>
      </c>
      <c r="W1299" s="27" t="s">
        <v>38</v>
      </c>
      <c r="X1299" s="28">
        <v>45376</v>
      </c>
      <c r="Y1299" s="27" t="s">
        <v>39</v>
      </c>
      <c r="Z1299" s="43" t="e">
        <f>TEXT([1]!Table64[[#This Row],[Order date]],"mmm-yyyy")</f>
        <v>#REF!</v>
      </c>
    </row>
    <row r="1300" spans="1:26" x14ac:dyDescent="0.3">
      <c r="A1300" s="10">
        <v>11299</v>
      </c>
      <c r="B1300" s="11">
        <v>6401</v>
      </c>
      <c r="C1300" s="11" t="s">
        <v>34</v>
      </c>
      <c r="D1300" s="12">
        <v>82557.759999999995</v>
      </c>
      <c r="E1300" s="11">
        <v>68</v>
      </c>
      <c r="F1300" s="11" t="s">
        <v>46</v>
      </c>
      <c r="G1300" s="13">
        <v>45306</v>
      </c>
      <c r="H1300" s="12">
        <v>85605.66</v>
      </c>
      <c r="I1300" s="14" t="s">
        <v>27</v>
      </c>
      <c r="J1300" s="15" t="s">
        <v>28</v>
      </c>
      <c r="K1300" s="15">
        <v>992</v>
      </c>
      <c r="L1300" s="16">
        <v>45361</v>
      </c>
      <c r="M1300" s="17">
        <v>14</v>
      </c>
      <c r="N1300" s="18">
        <v>91299</v>
      </c>
      <c r="O1300" s="18" t="s">
        <v>29</v>
      </c>
      <c r="P1300" s="19">
        <v>45352</v>
      </c>
      <c r="Q1300" s="20">
        <v>0.86470999999999998</v>
      </c>
      <c r="R1300" s="21">
        <v>71299</v>
      </c>
      <c r="S1300" s="18" t="s">
        <v>41</v>
      </c>
      <c r="T1300" s="20">
        <v>180544.94899999999</v>
      </c>
      <c r="U1300" s="18" t="s">
        <v>48</v>
      </c>
      <c r="V1300" s="19">
        <v>45422</v>
      </c>
      <c r="W1300" s="18" t="s">
        <v>38</v>
      </c>
      <c r="X1300" s="19">
        <v>45384</v>
      </c>
      <c r="Y1300" s="18" t="s">
        <v>33</v>
      </c>
      <c r="Z1300" s="43" t="e">
        <f>TEXT([1]!Table64[[#This Row],[Order date]],"mmm-yyyy")</f>
        <v>#REF!</v>
      </c>
    </row>
    <row r="1301" spans="1:26" x14ac:dyDescent="0.3">
      <c r="A1301" s="22">
        <v>11300</v>
      </c>
      <c r="B1301" s="23">
        <v>6313</v>
      </c>
      <c r="C1301" s="23" t="s">
        <v>25</v>
      </c>
      <c r="D1301" s="24">
        <v>80005.03</v>
      </c>
      <c r="E1301" s="23">
        <v>99</v>
      </c>
      <c r="F1301" s="23" t="s">
        <v>35</v>
      </c>
      <c r="G1301" s="25">
        <v>45337</v>
      </c>
      <c r="H1301" s="24">
        <v>133716.35</v>
      </c>
      <c r="I1301" s="26" t="s">
        <v>44</v>
      </c>
      <c r="J1301" s="15" t="s">
        <v>28</v>
      </c>
      <c r="K1301" s="15">
        <v>1245</v>
      </c>
      <c r="L1301" s="16">
        <v>45332</v>
      </c>
      <c r="M1301" s="17">
        <v>6</v>
      </c>
      <c r="N1301" s="27">
        <v>91300</v>
      </c>
      <c r="O1301" s="27" t="s">
        <v>40</v>
      </c>
      <c r="P1301" s="28">
        <v>45352</v>
      </c>
      <c r="Q1301" s="29">
        <v>0.49385000000000001</v>
      </c>
      <c r="R1301" s="30">
        <v>71300</v>
      </c>
      <c r="S1301" s="27" t="s">
        <v>45</v>
      </c>
      <c r="T1301" s="29">
        <v>124563.66108999999</v>
      </c>
      <c r="U1301" s="27" t="s">
        <v>42</v>
      </c>
      <c r="V1301" s="28">
        <v>45422</v>
      </c>
      <c r="W1301" s="27" t="s">
        <v>32</v>
      </c>
      <c r="X1301" s="28">
        <v>45384</v>
      </c>
      <c r="Y1301" s="27" t="s">
        <v>39</v>
      </c>
      <c r="Z1301" s="43" t="e">
        <f>TEXT([1]!Table64[[#This Row],[Order date]],"mmm-yyyy")</f>
        <v>#REF!</v>
      </c>
    </row>
    <row r="1302" spans="1:26" x14ac:dyDescent="0.3">
      <c r="A1302" s="10">
        <v>11301</v>
      </c>
      <c r="B1302" s="11">
        <v>6461</v>
      </c>
      <c r="C1302" s="11" t="s">
        <v>34</v>
      </c>
      <c r="D1302" s="12">
        <v>36208.620000000003</v>
      </c>
      <c r="E1302" s="11">
        <v>48</v>
      </c>
      <c r="F1302" s="11" t="s">
        <v>35</v>
      </c>
      <c r="G1302" s="13">
        <v>45306</v>
      </c>
      <c r="H1302" s="12">
        <v>98393.09</v>
      </c>
      <c r="I1302" s="14" t="s">
        <v>47</v>
      </c>
      <c r="J1302" s="15" t="s">
        <v>36</v>
      </c>
      <c r="K1302" s="15">
        <v>513</v>
      </c>
      <c r="L1302" s="16">
        <v>45397</v>
      </c>
      <c r="M1302" s="17">
        <v>9</v>
      </c>
      <c r="N1302" s="18">
        <v>91301</v>
      </c>
      <c r="O1302" s="18" t="s">
        <v>37</v>
      </c>
      <c r="P1302" s="19">
        <v>45430</v>
      </c>
      <c r="Q1302" s="20">
        <v>0.97141</v>
      </c>
      <c r="R1302" s="21">
        <v>71301</v>
      </c>
      <c r="S1302" s="18" t="s">
        <v>41</v>
      </c>
      <c r="T1302" s="20">
        <v>117728.01497</v>
      </c>
      <c r="U1302" s="18" t="s">
        <v>31</v>
      </c>
      <c r="V1302" s="19">
        <v>45422</v>
      </c>
      <c r="W1302" s="18" t="s">
        <v>38</v>
      </c>
      <c r="X1302" s="19">
        <v>45376</v>
      </c>
      <c r="Y1302" s="18" t="s">
        <v>39</v>
      </c>
      <c r="Z1302" s="43" t="e">
        <f>TEXT([1]!Table64[[#This Row],[Order date]],"mmm-yyyy")</f>
        <v>#REF!</v>
      </c>
    </row>
    <row r="1303" spans="1:26" x14ac:dyDescent="0.3">
      <c r="A1303" s="22">
        <v>11302</v>
      </c>
      <c r="B1303" s="23">
        <v>5662</v>
      </c>
      <c r="C1303" s="23" t="s">
        <v>34</v>
      </c>
      <c r="D1303" s="24">
        <v>21362.65</v>
      </c>
      <c r="E1303" s="23">
        <v>56</v>
      </c>
      <c r="F1303" s="23" t="s">
        <v>43</v>
      </c>
      <c r="G1303" s="25">
        <v>45337</v>
      </c>
      <c r="H1303" s="24">
        <v>52066.02</v>
      </c>
      <c r="I1303" s="26" t="s">
        <v>27</v>
      </c>
      <c r="J1303" s="15" t="s">
        <v>49</v>
      </c>
      <c r="K1303" s="15">
        <v>319</v>
      </c>
      <c r="L1303" s="16">
        <v>45397</v>
      </c>
      <c r="M1303" s="17">
        <v>7</v>
      </c>
      <c r="N1303" s="27">
        <v>91302</v>
      </c>
      <c r="O1303" s="27" t="s">
        <v>29</v>
      </c>
      <c r="P1303" s="28">
        <v>45430</v>
      </c>
      <c r="Q1303" s="29">
        <v>0.95874000000000004</v>
      </c>
      <c r="R1303" s="30">
        <v>71302</v>
      </c>
      <c r="S1303" s="27" t="s">
        <v>30</v>
      </c>
      <c r="T1303" s="29">
        <v>118213.66144</v>
      </c>
      <c r="U1303" s="27" t="s">
        <v>48</v>
      </c>
      <c r="V1303" s="28">
        <v>45422</v>
      </c>
      <c r="W1303" s="27" t="s">
        <v>32</v>
      </c>
      <c r="X1303" s="28">
        <v>45376</v>
      </c>
      <c r="Y1303" s="27" t="s">
        <v>33</v>
      </c>
      <c r="Z1303" s="43" t="e">
        <f>TEXT([1]!Table64[[#This Row],[Order date]],"mmm-yyyy")</f>
        <v>#REF!</v>
      </c>
    </row>
    <row r="1304" spans="1:26" x14ac:dyDescent="0.3">
      <c r="A1304" s="10">
        <v>11303</v>
      </c>
      <c r="B1304" s="11">
        <v>5277</v>
      </c>
      <c r="C1304" s="11" t="s">
        <v>34</v>
      </c>
      <c r="D1304" s="12">
        <v>73298.990000000005</v>
      </c>
      <c r="E1304" s="11">
        <v>64</v>
      </c>
      <c r="F1304" s="11" t="s">
        <v>35</v>
      </c>
      <c r="G1304" s="13">
        <v>45306</v>
      </c>
      <c r="H1304" s="12">
        <v>165901.06</v>
      </c>
      <c r="I1304" s="14" t="s">
        <v>27</v>
      </c>
      <c r="J1304" s="15" t="s">
        <v>28</v>
      </c>
      <c r="K1304" s="15">
        <v>1294</v>
      </c>
      <c r="L1304" s="16">
        <v>45397</v>
      </c>
      <c r="M1304" s="17">
        <v>14</v>
      </c>
      <c r="N1304" s="18">
        <v>91303</v>
      </c>
      <c r="O1304" s="18" t="s">
        <v>50</v>
      </c>
      <c r="P1304" s="19">
        <v>45430</v>
      </c>
      <c r="Q1304" s="20">
        <v>0.79595000000000005</v>
      </c>
      <c r="R1304" s="21">
        <v>71303</v>
      </c>
      <c r="S1304" s="18" t="s">
        <v>41</v>
      </c>
      <c r="T1304" s="20">
        <v>91847.023799999995</v>
      </c>
      <c r="U1304" s="18" t="s">
        <v>42</v>
      </c>
      <c r="V1304" s="19">
        <v>45444</v>
      </c>
      <c r="W1304" s="18" t="s">
        <v>32</v>
      </c>
      <c r="X1304" s="19">
        <v>45376</v>
      </c>
      <c r="Y1304" s="18" t="s">
        <v>39</v>
      </c>
      <c r="Z1304" s="43" t="e">
        <f>TEXT([1]!Table64[[#This Row],[Order date]],"mmm-yyyy")</f>
        <v>#REF!</v>
      </c>
    </row>
    <row r="1305" spans="1:26" x14ac:dyDescent="0.3">
      <c r="A1305" s="22">
        <v>11304</v>
      </c>
      <c r="B1305" s="23">
        <v>6734</v>
      </c>
      <c r="C1305" s="23" t="s">
        <v>34</v>
      </c>
      <c r="D1305" s="24">
        <v>30033.94</v>
      </c>
      <c r="E1305" s="23">
        <v>59</v>
      </c>
      <c r="F1305" s="23" t="s">
        <v>43</v>
      </c>
      <c r="G1305" s="25">
        <v>45383</v>
      </c>
      <c r="H1305" s="24">
        <v>116856.3</v>
      </c>
      <c r="I1305" s="26" t="s">
        <v>44</v>
      </c>
      <c r="J1305" s="15" t="s">
        <v>36</v>
      </c>
      <c r="K1305" s="15">
        <v>1225</v>
      </c>
      <c r="L1305" s="16">
        <v>45332</v>
      </c>
      <c r="M1305" s="17">
        <v>12</v>
      </c>
      <c r="N1305" s="27">
        <v>91304</v>
      </c>
      <c r="O1305" s="27" t="s">
        <v>40</v>
      </c>
      <c r="P1305" s="28">
        <v>45430</v>
      </c>
      <c r="Q1305" s="29">
        <v>0.93915999999999999</v>
      </c>
      <c r="R1305" s="30">
        <v>71304</v>
      </c>
      <c r="S1305" s="27" t="s">
        <v>45</v>
      </c>
      <c r="T1305" s="29">
        <v>94964.66747</v>
      </c>
      <c r="U1305" s="27" t="s">
        <v>31</v>
      </c>
      <c r="V1305" s="28">
        <v>45422</v>
      </c>
      <c r="W1305" s="27" t="s">
        <v>32</v>
      </c>
      <c r="X1305" s="28">
        <v>45376</v>
      </c>
      <c r="Y1305" s="27" t="s">
        <v>33</v>
      </c>
      <c r="Z1305" s="43" t="e">
        <f>TEXT([1]!Table64[[#This Row],[Order date]],"mmm-yyyy")</f>
        <v>#REF!</v>
      </c>
    </row>
    <row r="1306" spans="1:26" x14ac:dyDescent="0.3">
      <c r="A1306" s="10">
        <v>11305</v>
      </c>
      <c r="B1306" s="11">
        <v>6606</v>
      </c>
      <c r="C1306" s="11" t="s">
        <v>34</v>
      </c>
      <c r="D1306" s="12">
        <v>86707.65</v>
      </c>
      <c r="E1306" s="11">
        <v>90</v>
      </c>
      <c r="F1306" s="11" t="s">
        <v>43</v>
      </c>
      <c r="G1306" s="13">
        <v>45337</v>
      </c>
      <c r="H1306" s="12">
        <v>95705.66</v>
      </c>
      <c r="I1306" s="14" t="s">
        <v>27</v>
      </c>
      <c r="J1306" s="15" t="s">
        <v>36</v>
      </c>
      <c r="K1306" s="15">
        <v>672</v>
      </c>
      <c r="L1306" s="16">
        <v>45397</v>
      </c>
      <c r="M1306" s="17">
        <v>11</v>
      </c>
      <c r="N1306" s="18">
        <v>91305</v>
      </c>
      <c r="O1306" s="18" t="s">
        <v>50</v>
      </c>
      <c r="P1306" s="19">
        <v>45430</v>
      </c>
      <c r="Q1306" s="20">
        <v>0.73638999999999999</v>
      </c>
      <c r="R1306" s="21">
        <v>71305</v>
      </c>
      <c r="S1306" s="18" t="s">
        <v>30</v>
      </c>
      <c r="T1306" s="20">
        <v>104992.1384</v>
      </c>
      <c r="U1306" s="18" t="s">
        <v>42</v>
      </c>
      <c r="V1306" s="19">
        <v>45392</v>
      </c>
      <c r="W1306" s="18" t="s">
        <v>32</v>
      </c>
      <c r="X1306" s="19">
        <v>45384</v>
      </c>
      <c r="Y1306" s="18" t="s">
        <v>33</v>
      </c>
      <c r="Z1306" s="43" t="e">
        <f>TEXT([1]!Table64[[#This Row],[Order date]],"mmm-yyyy")</f>
        <v>#REF!</v>
      </c>
    </row>
    <row r="1307" spans="1:26" x14ac:dyDescent="0.3">
      <c r="A1307" s="22">
        <v>11306</v>
      </c>
      <c r="B1307" s="23">
        <v>6527</v>
      </c>
      <c r="C1307" s="23" t="s">
        <v>34</v>
      </c>
      <c r="D1307" s="24">
        <v>95667.11</v>
      </c>
      <c r="E1307" s="23">
        <v>62</v>
      </c>
      <c r="F1307" s="23" t="s">
        <v>26</v>
      </c>
      <c r="G1307" s="25">
        <v>45337</v>
      </c>
      <c r="H1307" s="24">
        <v>95698.62</v>
      </c>
      <c r="I1307" s="26" t="s">
        <v>47</v>
      </c>
      <c r="J1307" s="15" t="s">
        <v>49</v>
      </c>
      <c r="K1307" s="15">
        <v>1256</v>
      </c>
      <c r="L1307" s="16">
        <v>45361</v>
      </c>
      <c r="M1307" s="17">
        <v>12</v>
      </c>
      <c r="N1307" s="27">
        <v>91306</v>
      </c>
      <c r="O1307" s="27" t="s">
        <v>29</v>
      </c>
      <c r="P1307" s="28">
        <v>45430</v>
      </c>
      <c r="Q1307" s="29">
        <v>0.90602000000000005</v>
      </c>
      <c r="R1307" s="30">
        <v>71306</v>
      </c>
      <c r="S1307" s="27" t="s">
        <v>45</v>
      </c>
      <c r="T1307" s="29">
        <v>107506.88159999999</v>
      </c>
      <c r="U1307" s="27" t="s">
        <v>42</v>
      </c>
      <c r="V1307" s="28">
        <v>45392</v>
      </c>
      <c r="W1307" s="27" t="s">
        <v>38</v>
      </c>
      <c r="X1307" s="28">
        <v>45376</v>
      </c>
      <c r="Y1307" s="27" t="s">
        <v>33</v>
      </c>
      <c r="Z1307" s="43" t="e">
        <f>TEXT([1]!Table64[[#This Row],[Order date]],"mmm-yyyy")</f>
        <v>#REF!</v>
      </c>
    </row>
    <row r="1308" spans="1:26" x14ac:dyDescent="0.3">
      <c r="A1308" s="10">
        <v>11307</v>
      </c>
      <c r="B1308" s="11">
        <v>5624</v>
      </c>
      <c r="C1308" s="11" t="s">
        <v>34</v>
      </c>
      <c r="D1308" s="12">
        <v>62137.95</v>
      </c>
      <c r="E1308" s="11">
        <v>76</v>
      </c>
      <c r="F1308" s="11" t="s">
        <v>46</v>
      </c>
      <c r="G1308" s="13">
        <v>45361</v>
      </c>
      <c r="H1308" s="12">
        <v>95839.51</v>
      </c>
      <c r="I1308" s="14" t="s">
        <v>44</v>
      </c>
      <c r="J1308" s="15" t="s">
        <v>28</v>
      </c>
      <c r="K1308" s="15">
        <v>1472</v>
      </c>
      <c r="L1308" s="16">
        <v>45332</v>
      </c>
      <c r="M1308" s="17">
        <v>13</v>
      </c>
      <c r="N1308" s="18">
        <v>91307</v>
      </c>
      <c r="O1308" s="18" t="s">
        <v>50</v>
      </c>
      <c r="P1308" s="19">
        <v>45430</v>
      </c>
      <c r="Q1308" s="20">
        <v>0.31283</v>
      </c>
      <c r="R1308" s="21">
        <v>71307</v>
      </c>
      <c r="S1308" s="18" t="s">
        <v>45</v>
      </c>
      <c r="T1308" s="20">
        <v>167639.15429999999</v>
      </c>
      <c r="U1308" s="18" t="s">
        <v>31</v>
      </c>
      <c r="V1308" s="19">
        <v>45422</v>
      </c>
      <c r="W1308" s="18" t="s">
        <v>38</v>
      </c>
      <c r="X1308" s="19">
        <v>45384</v>
      </c>
      <c r="Y1308" s="18" t="s">
        <v>33</v>
      </c>
      <c r="Z1308" s="43" t="e">
        <f>TEXT([1]!Table64[[#This Row],[Order date]],"mmm-yyyy")</f>
        <v>#REF!</v>
      </c>
    </row>
    <row r="1309" spans="1:26" x14ac:dyDescent="0.3">
      <c r="A1309" s="22">
        <v>11308</v>
      </c>
      <c r="B1309" s="23">
        <v>5516</v>
      </c>
      <c r="C1309" s="23" t="s">
        <v>25</v>
      </c>
      <c r="D1309" s="24">
        <v>68876.7</v>
      </c>
      <c r="E1309" s="23">
        <v>11</v>
      </c>
      <c r="F1309" s="23" t="s">
        <v>35</v>
      </c>
      <c r="G1309" s="25">
        <v>45361</v>
      </c>
      <c r="H1309" s="24">
        <v>150886.04</v>
      </c>
      <c r="I1309" s="26" t="s">
        <v>44</v>
      </c>
      <c r="J1309" s="15" t="s">
        <v>36</v>
      </c>
      <c r="K1309" s="15">
        <v>121</v>
      </c>
      <c r="L1309" s="16">
        <v>45397</v>
      </c>
      <c r="M1309" s="17">
        <v>4</v>
      </c>
      <c r="N1309" s="27">
        <v>91308</v>
      </c>
      <c r="O1309" s="27" t="s">
        <v>40</v>
      </c>
      <c r="P1309" s="28">
        <v>45383</v>
      </c>
      <c r="Q1309" s="29">
        <v>0.41088000000000002</v>
      </c>
      <c r="R1309" s="30">
        <v>71308</v>
      </c>
      <c r="S1309" s="27" t="s">
        <v>45</v>
      </c>
      <c r="T1309" s="29">
        <v>51242.41906</v>
      </c>
      <c r="U1309" s="27" t="s">
        <v>48</v>
      </c>
      <c r="V1309" s="28">
        <v>45422</v>
      </c>
      <c r="W1309" s="27" t="s">
        <v>38</v>
      </c>
      <c r="X1309" s="28">
        <v>45384</v>
      </c>
      <c r="Y1309" s="27" t="s">
        <v>39</v>
      </c>
      <c r="Z1309" s="43" t="e">
        <f>TEXT([1]!Table64[[#This Row],[Order date]],"mmm-yyyy")</f>
        <v>#REF!</v>
      </c>
    </row>
    <row r="1310" spans="1:26" x14ac:dyDescent="0.3">
      <c r="A1310" s="10">
        <v>11309</v>
      </c>
      <c r="B1310" s="11">
        <v>6374</v>
      </c>
      <c r="C1310" s="11" t="s">
        <v>34</v>
      </c>
      <c r="D1310" s="12">
        <v>46001.24</v>
      </c>
      <c r="E1310" s="11">
        <v>89</v>
      </c>
      <c r="F1310" s="11" t="s">
        <v>26</v>
      </c>
      <c r="G1310" s="13">
        <v>45306</v>
      </c>
      <c r="H1310" s="12">
        <v>40931.94</v>
      </c>
      <c r="I1310" s="14" t="s">
        <v>47</v>
      </c>
      <c r="J1310" s="15" t="s">
        <v>49</v>
      </c>
      <c r="K1310" s="15">
        <v>1491</v>
      </c>
      <c r="L1310" s="16">
        <v>45332</v>
      </c>
      <c r="M1310" s="17">
        <v>7</v>
      </c>
      <c r="N1310" s="18">
        <v>91309</v>
      </c>
      <c r="O1310" s="18" t="s">
        <v>40</v>
      </c>
      <c r="P1310" s="19">
        <v>45352</v>
      </c>
      <c r="Q1310" s="20">
        <v>0.77764</v>
      </c>
      <c r="R1310" s="21">
        <v>71309</v>
      </c>
      <c r="S1310" s="18" t="s">
        <v>30</v>
      </c>
      <c r="T1310" s="20">
        <v>50831.831460000001</v>
      </c>
      <c r="U1310" s="18" t="s">
        <v>31</v>
      </c>
      <c r="V1310" s="19">
        <v>45422</v>
      </c>
      <c r="W1310" s="18" t="s">
        <v>32</v>
      </c>
      <c r="X1310" s="19">
        <v>45384</v>
      </c>
      <c r="Y1310" s="18" t="s">
        <v>33</v>
      </c>
      <c r="Z1310" s="43" t="e">
        <f>TEXT([1]!Table64[[#This Row],[Order date]],"mmm-yyyy")</f>
        <v>#REF!</v>
      </c>
    </row>
    <row r="1311" spans="1:26" x14ac:dyDescent="0.3">
      <c r="A1311" s="22">
        <v>11310</v>
      </c>
      <c r="B1311" s="23">
        <v>5843</v>
      </c>
      <c r="C1311" s="23" t="s">
        <v>25</v>
      </c>
      <c r="D1311" s="24">
        <v>45374.29</v>
      </c>
      <c r="E1311" s="23">
        <v>18</v>
      </c>
      <c r="F1311" s="23" t="s">
        <v>35</v>
      </c>
      <c r="G1311" s="25">
        <v>45337</v>
      </c>
      <c r="H1311" s="24">
        <v>174348.63</v>
      </c>
      <c r="I1311" s="26" t="s">
        <v>44</v>
      </c>
      <c r="J1311" s="15" t="s">
        <v>36</v>
      </c>
      <c r="K1311" s="15">
        <v>1356</v>
      </c>
      <c r="L1311" s="16">
        <v>45332</v>
      </c>
      <c r="M1311" s="17">
        <v>2</v>
      </c>
      <c r="N1311" s="27">
        <v>91310</v>
      </c>
      <c r="O1311" s="27" t="s">
        <v>29</v>
      </c>
      <c r="P1311" s="28">
        <v>45352</v>
      </c>
      <c r="Q1311" s="29">
        <v>0.48210999999999998</v>
      </c>
      <c r="R1311" s="30">
        <v>71310</v>
      </c>
      <c r="S1311" s="27" t="s">
        <v>41</v>
      </c>
      <c r="T1311" s="29">
        <v>62002.313300000002</v>
      </c>
      <c r="U1311" s="27" t="s">
        <v>48</v>
      </c>
      <c r="V1311" s="28">
        <v>45422</v>
      </c>
      <c r="W1311" s="27" t="s">
        <v>38</v>
      </c>
      <c r="X1311" s="28">
        <v>45376</v>
      </c>
      <c r="Y1311" s="27" t="s">
        <v>33</v>
      </c>
      <c r="Z1311" s="43" t="e">
        <f>TEXT([1]!Table64[[#This Row],[Order date]],"mmm-yyyy")</f>
        <v>#REF!</v>
      </c>
    </row>
    <row r="1312" spans="1:26" x14ac:dyDescent="0.3">
      <c r="A1312" s="10">
        <v>11311</v>
      </c>
      <c r="B1312" s="11">
        <v>6470</v>
      </c>
      <c r="C1312" s="11" t="s">
        <v>34</v>
      </c>
      <c r="D1312" s="12">
        <v>75680.899999999994</v>
      </c>
      <c r="E1312" s="11">
        <v>19</v>
      </c>
      <c r="F1312" s="11" t="s">
        <v>43</v>
      </c>
      <c r="G1312" s="13">
        <v>45306</v>
      </c>
      <c r="H1312" s="12">
        <v>17748.29</v>
      </c>
      <c r="I1312" s="14" t="s">
        <v>27</v>
      </c>
      <c r="J1312" s="15" t="s">
        <v>28</v>
      </c>
      <c r="K1312" s="15">
        <v>123</v>
      </c>
      <c r="L1312" s="16">
        <v>45397</v>
      </c>
      <c r="M1312" s="17">
        <v>6</v>
      </c>
      <c r="N1312" s="18">
        <v>91311</v>
      </c>
      <c r="O1312" s="18" t="s">
        <v>40</v>
      </c>
      <c r="P1312" s="19">
        <v>45430</v>
      </c>
      <c r="Q1312" s="20">
        <v>0.85358999999999996</v>
      </c>
      <c r="R1312" s="21">
        <v>71311</v>
      </c>
      <c r="S1312" s="18" t="s">
        <v>45</v>
      </c>
      <c r="T1312" s="20">
        <v>105168.9522</v>
      </c>
      <c r="U1312" s="18" t="s">
        <v>42</v>
      </c>
      <c r="V1312" s="19">
        <v>45422</v>
      </c>
      <c r="W1312" s="18" t="s">
        <v>32</v>
      </c>
      <c r="X1312" s="19">
        <v>45376</v>
      </c>
      <c r="Y1312" s="18" t="s">
        <v>33</v>
      </c>
      <c r="Z1312" s="43" t="e">
        <f>TEXT([1]!Table64[[#This Row],[Order date]],"mmm-yyyy")</f>
        <v>#REF!</v>
      </c>
    </row>
    <row r="1313" spans="1:26" x14ac:dyDescent="0.3">
      <c r="A1313" s="22">
        <v>11312</v>
      </c>
      <c r="B1313" s="23">
        <v>6854</v>
      </c>
      <c r="C1313" s="23" t="s">
        <v>34</v>
      </c>
      <c r="D1313" s="24">
        <v>39120.46</v>
      </c>
      <c r="E1313" s="23">
        <v>87</v>
      </c>
      <c r="F1313" s="23" t="s">
        <v>35</v>
      </c>
      <c r="G1313" s="25">
        <v>45383</v>
      </c>
      <c r="H1313" s="24">
        <v>127431.72</v>
      </c>
      <c r="I1313" s="26" t="s">
        <v>44</v>
      </c>
      <c r="J1313" s="15" t="s">
        <v>49</v>
      </c>
      <c r="K1313" s="15">
        <v>404</v>
      </c>
      <c r="L1313" s="16">
        <v>45397</v>
      </c>
      <c r="M1313" s="17">
        <v>6</v>
      </c>
      <c r="N1313" s="27">
        <v>91312</v>
      </c>
      <c r="O1313" s="27" t="s">
        <v>50</v>
      </c>
      <c r="P1313" s="28">
        <v>45352</v>
      </c>
      <c r="Q1313" s="29">
        <v>0.88987000000000005</v>
      </c>
      <c r="R1313" s="30">
        <v>71312</v>
      </c>
      <c r="S1313" s="27" t="s">
        <v>41</v>
      </c>
      <c r="T1313" s="29">
        <v>165096.44931</v>
      </c>
      <c r="U1313" s="27" t="s">
        <v>42</v>
      </c>
      <c r="V1313" s="28">
        <v>45392</v>
      </c>
      <c r="W1313" s="27" t="s">
        <v>38</v>
      </c>
      <c r="X1313" s="28">
        <v>45384</v>
      </c>
      <c r="Y1313" s="27" t="s">
        <v>33</v>
      </c>
      <c r="Z1313" s="43" t="e">
        <f>TEXT([1]!Table64[[#This Row],[Order date]],"mmm-yyyy")</f>
        <v>#REF!</v>
      </c>
    </row>
    <row r="1314" spans="1:26" x14ac:dyDescent="0.3">
      <c r="A1314" s="10">
        <v>11313</v>
      </c>
      <c r="B1314" s="11">
        <v>5350</v>
      </c>
      <c r="C1314" s="11" t="s">
        <v>25</v>
      </c>
      <c r="D1314" s="12">
        <v>49256.27</v>
      </c>
      <c r="E1314" s="11">
        <v>55</v>
      </c>
      <c r="F1314" s="11" t="s">
        <v>46</v>
      </c>
      <c r="G1314" s="13">
        <v>45361</v>
      </c>
      <c r="H1314" s="12">
        <v>71251</v>
      </c>
      <c r="I1314" s="14" t="s">
        <v>44</v>
      </c>
      <c r="J1314" s="15" t="s">
        <v>36</v>
      </c>
      <c r="K1314" s="15">
        <v>546</v>
      </c>
      <c r="L1314" s="16">
        <v>45332</v>
      </c>
      <c r="M1314" s="17">
        <v>2</v>
      </c>
      <c r="N1314" s="18">
        <v>91313</v>
      </c>
      <c r="O1314" s="18" t="s">
        <v>50</v>
      </c>
      <c r="P1314" s="19">
        <v>45430</v>
      </c>
      <c r="Q1314" s="20">
        <v>0.36975999999999998</v>
      </c>
      <c r="R1314" s="21">
        <v>71313</v>
      </c>
      <c r="S1314" s="18" t="s">
        <v>41</v>
      </c>
      <c r="T1314" s="20">
        <v>163522.42095</v>
      </c>
      <c r="U1314" s="18" t="s">
        <v>42</v>
      </c>
      <c r="V1314" s="19">
        <v>45444</v>
      </c>
      <c r="W1314" s="18" t="s">
        <v>38</v>
      </c>
      <c r="X1314" s="19">
        <v>45376</v>
      </c>
      <c r="Y1314" s="18" t="s">
        <v>39</v>
      </c>
      <c r="Z1314" s="43" t="e">
        <f>TEXT([1]!Table64[[#This Row],[Order date]],"mmm-yyyy")</f>
        <v>#REF!</v>
      </c>
    </row>
    <row r="1315" spans="1:26" x14ac:dyDescent="0.3">
      <c r="A1315" s="22">
        <v>11314</v>
      </c>
      <c r="B1315" s="23">
        <v>6631</v>
      </c>
      <c r="C1315" s="23" t="s">
        <v>25</v>
      </c>
      <c r="D1315" s="24">
        <v>35644.800000000003</v>
      </c>
      <c r="E1315" s="23">
        <v>82</v>
      </c>
      <c r="F1315" s="23" t="s">
        <v>43</v>
      </c>
      <c r="G1315" s="25">
        <v>45306</v>
      </c>
      <c r="H1315" s="24">
        <v>81910.11</v>
      </c>
      <c r="I1315" s="26" t="s">
        <v>47</v>
      </c>
      <c r="J1315" s="15" t="s">
        <v>49</v>
      </c>
      <c r="K1315" s="15">
        <v>1401</v>
      </c>
      <c r="L1315" s="16">
        <v>45332</v>
      </c>
      <c r="M1315" s="17">
        <v>14</v>
      </c>
      <c r="N1315" s="27">
        <v>91314</v>
      </c>
      <c r="O1315" s="27" t="s">
        <v>37</v>
      </c>
      <c r="P1315" s="28">
        <v>45383</v>
      </c>
      <c r="Q1315" s="29">
        <v>0.84111000000000002</v>
      </c>
      <c r="R1315" s="30">
        <v>71314</v>
      </c>
      <c r="S1315" s="27" t="s">
        <v>41</v>
      </c>
      <c r="T1315" s="29">
        <v>93489.219779999999</v>
      </c>
      <c r="U1315" s="27" t="s">
        <v>48</v>
      </c>
      <c r="V1315" s="28">
        <v>45422</v>
      </c>
      <c r="W1315" s="27" t="s">
        <v>38</v>
      </c>
      <c r="X1315" s="28">
        <v>45376</v>
      </c>
      <c r="Y1315" s="27" t="s">
        <v>33</v>
      </c>
      <c r="Z1315" s="43" t="e">
        <f>TEXT([1]!Table64[[#This Row],[Order date]],"mmm-yyyy")</f>
        <v>#REF!</v>
      </c>
    </row>
    <row r="1316" spans="1:26" x14ac:dyDescent="0.3">
      <c r="A1316" s="10">
        <v>11315</v>
      </c>
      <c r="B1316" s="11">
        <v>6688</v>
      </c>
      <c r="C1316" s="11" t="s">
        <v>34</v>
      </c>
      <c r="D1316" s="12">
        <v>87376.79</v>
      </c>
      <c r="E1316" s="11">
        <v>26</v>
      </c>
      <c r="F1316" s="11" t="s">
        <v>43</v>
      </c>
      <c r="G1316" s="13">
        <v>45306</v>
      </c>
      <c r="H1316" s="12">
        <v>148193.31</v>
      </c>
      <c r="I1316" s="14" t="s">
        <v>27</v>
      </c>
      <c r="J1316" s="15" t="s">
        <v>28</v>
      </c>
      <c r="K1316" s="15">
        <v>1037</v>
      </c>
      <c r="L1316" s="16">
        <v>45397</v>
      </c>
      <c r="M1316" s="17">
        <v>4</v>
      </c>
      <c r="N1316" s="18">
        <v>91315</v>
      </c>
      <c r="O1316" s="18" t="s">
        <v>37</v>
      </c>
      <c r="P1316" s="19">
        <v>45352</v>
      </c>
      <c r="Q1316" s="20">
        <v>0.23884</v>
      </c>
      <c r="R1316" s="21">
        <v>71315</v>
      </c>
      <c r="S1316" s="18" t="s">
        <v>41</v>
      </c>
      <c r="T1316" s="20">
        <v>151273.0638</v>
      </c>
      <c r="U1316" s="18" t="s">
        <v>31</v>
      </c>
      <c r="V1316" s="19">
        <v>45422</v>
      </c>
      <c r="W1316" s="18" t="s">
        <v>38</v>
      </c>
      <c r="X1316" s="19">
        <v>45376</v>
      </c>
      <c r="Y1316" s="18" t="s">
        <v>33</v>
      </c>
      <c r="Z1316" s="43" t="e">
        <f>TEXT([1]!Table64[[#This Row],[Order date]],"mmm-yyyy")</f>
        <v>#REF!</v>
      </c>
    </row>
    <row r="1317" spans="1:26" x14ac:dyDescent="0.3">
      <c r="A1317" s="22">
        <v>11316</v>
      </c>
      <c r="B1317" s="23">
        <v>5823</v>
      </c>
      <c r="C1317" s="23" t="s">
        <v>34</v>
      </c>
      <c r="D1317" s="24">
        <v>27302.05</v>
      </c>
      <c r="E1317" s="23">
        <v>6</v>
      </c>
      <c r="F1317" s="23" t="s">
        <v>26</v>
      </c>
      <c r="G1317" s="25">
        <v>45361</v>
      </c>
      <c r="H1317" s="24">
        <v>96640.67</v>
      </c>
      <c r="I1317" s="26" t="s">
        <v>27</v>
      </c>
      <c r="J1317" s="15" t="s">
        <v>49</v>
      </c>
      <c r="K1317" s="15">
        <v>629</v>
      </c>
      <c r="L1317" s="16">
        <v>45361</v>
      </c>
      <c r="M1317" s="17">
        <v>8</v>
      </c>
      <c r="N1317" s="27">
        <v>91316</v>
      </c>
      <c r="O1317" s="27" t="s">
        <v>37</v>
      </c>
      <c r="P1317" s="28">
        <v>45352</v>
      </c>
      <c r="Q1317" s="29">
        <v>0.40078000000000003</v>
      </c>
      <c r="R1317" s="30">
        <v>71316</v>
      </c>
      <c r="S1317" s="27" t="s">
        <v>41</v>
      </c>
      <c r="T1317" s="29">
        <v>51456.402679999999</v>
      </c>
      <c r="U1317" s="27" t="s">
        <v>48</v>
      </c>
      <c r="V1317" s="28">
        <v>45422</v>
      </c>
      <c r="W1317" s="27" t="s">
        <v>32</v>
      </c>
      <c r="X1317" s="28">
        <v>45384</v>
      </c>
      <c r="Y1317" s="27" t="s">
        <v>39</v>
      </c>
      <c r="Z1317" s="43" t="e">
        <f>TEXT([1]!Table64[[#This Row],[Order date]],"mmm-yyyy")</f>
        <v>#REF!</v>
      </c>
    </row>
    <row r="1318" spans="1:26" x14ac:dyDescent="0.3">
      <c r="A1318" s="10">
        <v>11317</v>
      </c>
      <c r="B1318" s="11">
        <v>6161</v>
      </c>
      <c r="C1318" s="11" t="s">
        <v>34</v>
      </c>
      <c r="D1318" s="12">
        <v>69276.02</v>
      </c>
      <c r="E1318" s="11">
        <v>4</v>
      </c>
      <c r="F1318" s="11" t="s">
        <v>46</v>
      </c>
      <c r="G1318" s="13">
        <v>45337</v>
      </c>
      <c r="H1318" s="12">
        <v>136613.32999999999</v>
      </c>
      <c r="I1318" s="14" t="s">
        <v>44</v>
      </c>
      <c r="J1318" s="15" t="s">
        <v>28</v>
      </c>
      <c r="K1318" s="15">
        <v>959</v>
      </c>
      <c r="L1318" s="16">
        <v>45332</v>
      </c>
      <c r="M1318" s="17">
        <v>8</v>
      </c>
      <c r="N1318" s="18">
        <v>91317</v>
      </c>
      <c r="O1318" s="18" t="s">
        <v>50</v>
      </c>
      <c r="P1318" s="19">
        <v>45383</v>
      </c>
      <c r="Q1318" s="20">
        <v>0.56616999999999995</v>
      </c>
      <c r="R1318" s="21">
        <v>71317</v>
      </c>
      <c r="S1318" s="18" t="s">
        <v>41</v>
      </c>
      <c r="T1318" s="20">
        <v>97983.347500000003</v>
      </c>
      <c r="U1318" s="18" t="s">
        <v>42</v>
      </c>
      <c r="V1318" s="19">
        <v>45392</v>
      </c>
      <c r="W1318" s="18" t="s">
        <v>32</v>
      </c>
      <c r="X1318" s="19">
        <v>45384</v>
      </c>
      <c r="Y1318" s="18" t="s">
        <v>33</v>
      </c>
      <c r="Z1318" s="43" t="e">
        <f>TEXT([1]!Table64[[#This Row],[Order date]],"mmm-yyyy")</f>
        <v>#REF!</v>
      </c>
    </row>
    <row r="1319" spans="1:26" x14ac:dyDescent="0.3">
      <c r="A1319" s="22">
        <v>11318</v>
      </c>
      <c r="B1319" s="23">
        <v>5759</v>
      </c>
      <c r="C1319" s="23" t="s">
        <v>25</v>
      </c>
      <c r="D1319" s="24">
        <v>9590.69</v>
      </c>
      <c r="E1319" s="23">
        <v>29</v>
      </c>
      <c r="F1319" s="23" t="s">
        <v>43</v>
      </c>
      <c r="G1319" s="25">
        <v>45306</v>
      </c>
      <c r="H1319" s="24">
        <v>91784.42</v>
      </c>
      <c r="I1319" s="26" t="s">
        <v>27</v>
      </c>
      <c r="J1319" s="15" t="s">
        <v>36</v>
      </c>
      <c r="K1319" s="15">
        <v>422</v>
      </c>
      <c r="L1319" s="16">
        <v>45332</v>
      </c>
      <c r="M1319" s="17">
        <v>13</v>
      </c>
      <c r="N1319" s="27">
        <v>91318</v>
      </c>
      <c r="O1319" s="27" t="s">
        <v>50</v>
      </c>
      <c r="P1319" s="28">
        <v>45383</v>
      </c>
      <c r="Q1319" s="29">
        <v>0.30380000000000001</v>
      </c>
      <c r="R1319" s="30">
        <v>71318</v>
      </c>
      <c r="S1319" s="27" t="s">
        <v>41</v>
      </c>
      <c r="T1319" s="29">
        <v>178393.69579999999</v>
      </c>
      <c r="U1319" s="27" t="s">
        <v>42</v>
      </c>
      <c r="V1319" s="28">
        <v>45392</v>
      </c>
      <c r="W1319" s="27" t="s">
        <v>32</v>
      </c>
      <c r="X1319" s="28">
        <v>45376</v>
      </c>
      <c r="Y1319" s="27" t="s">
        <v>33</v>
      </c>
      <c r="Z1319" s="43" t="e">
        <f>TEXT([1]!Table64[[#This Row],[Order date]],"mmm-yyyy")</f>
        <v>#REF!</v>
      </c>
    </row>
    <row r="1320" spans="1:26" x14ac:dyDescent="0.3">
      <c r="A1320" s="10">
        <v>11319</v>
      </c>
      <c r="B1320" s="11">
        <v>5899</v>
      </c>
      <c r="C1320" s="11" t="s">
        <v>34</v>
      </c>
      <c r="D1320" s="12">
        <v>43485.98</v>
      </c>
      <c r="E1320" s="11">
        <v>59</v>
      </c>
      <c r="F1320" s="11" t="s">
        <v>46</v>
      </c>
      <c r="G1320" s="13">
        <v>45361</v>
      </c>
      <c r="H1320" s="12">
        <v>149390.1</v>
      </c>
      <c r="I1320" s="14" t="s">
        <v>27</v>
      </c>
      <c r="J1320" s="15" t="s">
        <v>28</v>
      </c>
      <c r="K1320" s="15">
        <v>411</v>
      </c>
      <c r="L1320" s="16">
        <v>45361</v>
      </c>
      <c r="M1320" s="17">
        <v>8</v>
      </c>
      <c r="N1320" s="18">
        <v>91319</v>
      </c>
      <c r="O1320" s="18" t="s">
        <v>29</v>
      </c>
      <c r="P1320" s="19">
        <v>45383</v>
      </c>
      <c r="Q1320" s="20">
        <v>0.62134</v>
      </c>
      <c r="R1320" s="21">
        <v>71319</v>
      </c>
      <c r="S1320" s="18" t="s">
        <v>41</v>
      </c>
      <c r="T1320" s="20">
        <v>194609.93859999999</v>
      </c>
      <c r="U1320" s="18" t="s">
        <v>31</v>
      </c>
      <c r="V1320" s="19">
        <v>45444</v>
      </c>
      <c r="W1320" s="18" t="s">
        <v>32</v>
      </c>
      <c r="X1320" s="19">
        <v>45376</v>
      </c>
      <c r="Y1320" s="18" t="s">
        <v>33</v>
      </c>
      <c r="Z1320" s="43" t="e">
        <f>TEXT([1]!Table64[[#This Row],[Order date]],"mmm-yyyy")</f>
        <v>#REF!</v>
      </c>
    </row>
    <row r="1321" spans="1:26" x14ac:dyDescent="0.3">
      <c r="A1321" s="22">
        <v>11320</v>
      </c>
      <c r="B1321" s="23">
        <v>5243</v>
      </c>
      <c r="C1321" s="23" t="s">
        <v>34</v>
      </c>
      <c r="D1321" s="24">
        <v>52767.55</v>
      </c>
      <c r="E1321" s="23">
        <v>98</v>
      </c>
      <c r="F1321" s="23" t="s">
        <v>35</v>
      </c>
      <c r="G1321" s="25">
        <v>45337</v>
      </c>
      <c r="H1321" s="24">
        <v>84185.97</v>
      </c>
      <c r="I1321" s="26" t="s">
        <v>27</v>
      </c>
      <c r="J1321" s="15" t="s">
        <v>36</v>
      </c>
      <c r="K1321" s="15">
        <v>142</v>
      </c>
      <c r="L1321" s="16">
        <v>45397</v>
      </c>
      <c r="M1321" s="17">
        <v>8</v>
      </c>
      <c r="N1321" s="27">
        <v>91320</v>
      </c>
      <c r="O1321" s="27" t="s">
        <v>37</v>
      </c>
      <c r="P1321" s="28">
        <v>45352</v>
      </c>
      <c r="Q1321" s="29">
        <v>0.62082999999999999</v>
      </c>
      <c r="R1321" s="30">
        <v>71320</v>
      </c>
      <c r="S1321" s="27" t="s">
        <v>30</v>
      </c>
      <c r="T1321" s="29">
        <v>176658.52541999999</v>
      </c>
      <c r="U1321" s="27" t="s">
        <v>48</v>
      </c>
      <c r="V1321" s="28">
        <v>45444</v>
      </c>
      <c r="W1321" s="27" t="s">
        <v>38</v>
      </c>
      <c r="X1321" s="28">
        <v>45376</v>
      </c>
      <c r="Y1321" s="27" t="s">
        <v>39</v>
      </c>
      <c r="Z1321" s="43" t="e">
        <f>TEXT([1]!Table64[[#This Row],[Order date]],"mmm-yyyy")</f>
        <v>#REF!</v>
      </c>
    </row>
    <row r="1322" spans="1:26" x14ac:dyDescent="0.3">
      <c r="A1322" s="10">
        <v>11321</v>
      </c>
      <c r="B1322" s="11">
        <v>5543</v>
      </c>
      <c r="C1322" s="11" t="s">
        <v>34</v>
      </c>
      <c r="D1322" s="12">
        <v>50606.93</v>
      </c>
      <c r="E1322" s="11">
        <v>17</v>
      </c>
      <c r="F1322" s="11" t="s">
        <v>46</v>
      </c>
      <c r="G1322" s="13">
        <v>45383</v>
      </c>
      <c r="H1322" s="12">
        <v>15132.45</v>
      </c>
      <c r="I1322" s="14" t="s">
        <v>27</v>
      </c>
      <c r="J1322" s="15" t="s">
        <v>36</v>
      </c>
      <c r="K1322" s="15">
        <v>1394</v>
      </c>
      <c r="L1322" s="16">
        <v>45397</v>
      </c>
      <c r="M1322" s="17">
        <v>1</v>
      </c>
      <c r="N1322" s="18">
        <v>91321</v>
      </c>
      <c r="O1322" s="18" t="s">
        <v>50</v>
      </c>
      <c r="P1322" s="19">
        <v>45352</v>
      </c>
      <c r="Q1322" s="20">
        <v>0.28621000000000002</v>
      </c>
      <c r="R1322" s="21">
        <v>71321</v>
      </c>
      <c r="S1322" s="18" t="s">
        <v>41</v>
      </c>
      <c r="T1322" s="20">
        <v>149639.6672</v>
      </c>
      <c r="U1322" s="18" t="s">
        <v>42</v>
      </c>
      <c r="V1322" s="19">
        <v>45444</v>
      </c>
      <c r="W1322" s="18" t="s">
        <v>32</v>
      </c>
      <c r="X1322" s="19">
        <v>45376</v>
      </c>
      <c r="Y1322" s="18" t="s">
        <v>33</v>
      </c>
      <c r="Z1322" s="43" t="e">
        <f>TEXT([1]!Table64[[#This Row],[Order date]],"mmm-yyyy")</f>
        <v>#REF!</v>
      </c>
    </row>
    <row r="1323" spans="1:26" x14ac:dyDescent="0.3">
      <c r="A1323" s="22">
        <v>11322</v>
      </c>
      <c r="B1323" s="23">
        <v>6064</v>
      </c>
      <c r="C1323" s="23" t="s">
        <v>25</v>
      </c>
      <c r="D1323" s="24">
        <v>10825.5</v>
      </c>
      <c r="E1323" s="23">
        <v>43</v>
      </c>
      <c r="F1323" s="23" t="s">
        <v>43</v>
      </c>
      <c r="G1323" s="25">
        <v>45361</v>
      </c>
      <c r="H1323" s="24">
        <v>47573.46</v>
      </c>
      <c r="I1323" s="26" t="s">
        <v>47</v>
      </c>
      <c r="J1323" s="15" t="s">
        <v>28</v>
      </c>
      <c r="K1323" s="15">
        <v>373</v>
      </c>
      <c r="L1323" s="16">
        <v>45361</v>
      </c>
      <c r="M1323" s="17">
        <v>2</v>
      </c>
      <c r="N1323" s="27">
        <v>91322</v>
      </c>
      <c r="O1323" s="27" t="s">
        <v>29</v>
      </c>
      <c r="P1323" s="28">
        <v>45383</v>
      </c>
      <c r="Q1323" s="29">
        <v>0.81608000000000003</v>
      </c>
      <c r="R1323" s="30">
        <v>71322</v>
      </c>
      <c r="S1323" s="27" t="s">
        <v>41</v>
      </c>
      <c r="T1323" s="29">
        <v>205969.16020000001</v>
      </c>
      <c r="U1323" s="27" t="s">
        <v>48</v>
      </c>
      <c r="V1323" s="28">
        <v>45444</v>
      </c>
      <c r="W1323" s="27" t="s">
        <v>32</v>
      </c>
      <c r="X1323" s="28">
        <v>45384</v>
      </c>
      <c r="Y1323" s="27" t="s">
        <v>33</v>
      </c>
      <c r="Z1323" s="43" t="e">
        <f>TEXT([1]!Table64[[#This Row],[Order date]],"mmm-yyyy")</f>
        <v>#REF!</v>
      </c>
    </row>
    <row r="1324" spans="1:26" x14ac:dyDescent="0.3">
      <c r="A1324" s="10">
        <v>11323</v>
      </c>
      <c r="B1324" s="11">
        <v>5229</v>
      </c>
      <c r="C1324" s="11" t="s">
        <v>34</v>
      </c>
      <c r="D1324" s="12">
        <v>11213.93</v>
      </c>
      <c r="E1324" s="11">
        <v>80</v>
      </c>
      <c r="F1324" s="11" t="s">
        <v>26</v>
      </c>
      <c r="G1324" s="13">
        <v>45306</v>
      </c>
      <c r="H1324" s="12">
        <v>100834.39</v>
      </c>
      <c r="I1324" s="14" t="s">
        <v>44</v>
      </c>
      <c r="J1324" s="15" t="s">
        <v>36</v>
      </c>
      <c r="K1324" s="15">
        <v>433</v>
      </c>
      <c r="L1324" s="16">
        <v>45397</v>
      </c>
      <c r="M1324" s="17">
        <v>12</v>
      </c>
      <c r="N1324" s="18">
        <v>91323</v>
      </c>
      <c r="O1324" s="18" t="s">
        <v>50</v>
      </c>
      <c r="P1324" s="19">
        <v>45383</v>
      </c>
      <c r="Q1324" s="20">
        <v>0.66847999999999996</v>
      </c>
      <c r="R1324" s="21">
        <v>71323</v>
      </c>
      <c r="S1324" s="18" t="s">
        <v>30</v>
      </c>
      <c r="T1324" s="20">
        <v>106260.3746</v>
      </c>
      <c r="U1324" s="18" t="s">
        <v>48</v>
      </c>
      <c r="V1324" s="19">
        <v>45392</v>
      </c>
      <c r="W1324" s="18" t="s">
        <v>32</v>
      </c>
      <c r="X1324" s="19">
        <v>45376</v>
      </c>
      <c r="Y1324" s="18" t="s">
        <v>33</v>
      </c>
      <c r="Z1324" s="43" t="e">
        <f>TEXT([1]!Table64[[#This Row],[Order date]],"mmm-yyyy")</f>
        <v>#REF!</v>
      </c>
    </row>
    <row r="1325" spans="1:26" x14ac:dyDescent="0.3">
      <c r="A1325" s="22">
        <v>11324</v>
      </c>
      <c r="B1325" s="23">
        <v>5548</v>
      </c>
      <c r="C1325" s="23" t="s">
        <v>25</v>
      </c>
      <c r="D1325" s="24">
        <v>63606.74</v>
      </c>
      <c r="E1325" s="23">
        <v>66</v>
      </c>
      <c r="F1325" s="23" t="s">
        <v>43</v>
      </c>
      <c r="G1325" s="25">
        <v>45383</v>
      </c>
      <c r="H1325" s="24">
        <v>24018.03</v>
      </c>
      <c r="I1325" s="26" t="s">
        <v>47</v>
      </c>
      <c r="J1325" s="15" t="s">
        <v>49</v>
      </c>
      <c r="K1325" s="15">
        <v>624</v>
      </c>
      <c r="L1325" s="16">
        <v>45397</v>
      </c>
      <c r="M1325" s="17">
        <v>4</v>
      </c>
      <c r="N1325" s="27">
        <v>91324</v>
      </c>
      <c r="O1325" s="27" t="s">
        <v>29</v>
      </c>
      <c r="P1325" s="28">
        <v>45383</v>
      </c>
      <c r="Q1325" s="29">
        <v>0.38597999999999999</v>
      </c>
      <c r="R1325" s="30">
        <v>71324</v>
      </c>
      <c r="S1325" s="27" t="s">
        <v>30</v>
      </c>
      <c r="T1325" s="29">
        <v>169859.2579</v>
      </c>
      <c r="U1325" s="27" t="s">
        <v>31</v>
      </c>
      <c r="V1325" s="28">
        <v>45444</v>
      </c>
      <c r="W1325" s="27" t="s">
        <v>32</v>
      </c>
      <c r="X1325" s="28">
        <v>45376</v>
      </c>
      <c r="Y1325" s="27" t="s">
        <v>33</v>
      </c>
      <c r="Z1325" s="43" t="e">
        <f>TEXT([1]!Table64[[#This Row],[Order date]],"mmm-yyyy")</f>
        <v>#REF!</v>
      </c>
    </row>
    <row r="1326" spans="1:26" x14ac:dyDescent="0.3">
      <c r="A1326" s="10">
        <v>11325</v>
      </c>
      <c r="B1326" s="11">
        <v>5920</v>
      </c>
      <c r="C1326" s="11" t="s">
        <v>34</v>
      </c>
      <c r="D1326" s="12">
        <v>16884.150000000001</v>
      </c>
      <c r="E1326" s="11">
        <v>34</v>
      </c>
      <c r="F1326" s="11" t="s">
        <v>46</v>
      </c>
      <c r="G1326" s="13">
        <v>45337</v>
      </c>
      <c r="H1326" s="12">
        <v>162058.44</v>
      </c>
      <c r="I1326" s="14" t="s">
        <v>47</v>
      </c>
      <c r="J1326" s="15" t="s">
        <v>36</v>
      </c>
      <c r="K1326" s="15">
        <v>785</v>
      </c>
      <c r="L1326" s="16">
        <v>45332</v>
      </c>
      <c r="M1326" s="17">
        <v>12</v>
      </c>
      <c r="N1326" s="18">
        <v>91325</v>
      </c>
      <c r="O1326" s="18" t="s">
        <v>37</v>
      </c>
      <c r="P1326" s="19">
        <v>45383</v>
      </c>
      <c r="Q1326" s="20">
        <v>0.30897000000000002</v>
      </c>
      <c r="R1326" s="21">
        <v>71325</v>
      </c>
      <c r="S1326" s="18" t="s">
        <v>30</v>
      </c>
      <c r="T1326" s="20">
        <v>118955.9247</v>
      </c>
      <c r="U1326" s="18" t="s">
        <v>31</v>
      </c>
      <c r="V1326" s="19">
        <v>45422</v>
      </c>
      <c r="W1326" s="18" t="s">
        <v>38</v>
      </c>
      <c r="X1326" s="19">
        <v>45376</v>
      </c>
      <c r="Y1326" s="18" t="s">
        <v>33</v>
      </c>
      <c r="Z1326" s="43" t="e">
        <f>TEXT([1]!Table64[[#This Row],[Order date]],"mmm-yyyy")</f>
        <v>#REF!</v>
      </c>
    </row>
    <row r="1327" spans="1:26" x14ac:dyDescent="0.3">
      <c r="A1327" s="22">
        <v>11326</v>
      </c>
      <c r="B1327" s="23">
        <v>6247</v>
      </c>
      <c r="C1327" s="23" t="s">
        <v>34</v>
      </c>
      <c r="D1327" s="24">
        <v>74042.27</v>
      </c>
      <c r="E1327" s="23">
        <v>8</v>
      </c>
      <c r="F1327" s="23" t="s">
        <v>46</v>
      </c>
      <c r="G1327" s="25">
        <v>45337</v>
      </c>
      <c r="H1327" s="24">
        <v>118884.38</v>
      </c>
      <c r="I1327" s="26" t="s">
        <v>44</v>
      </c>
      <c r="J1327" s="15" t="s">
        <v>28</v>
      </c>
      <c r="K1327" s="15">
        <v>786</v>
      </c>
      <c r="L1327" s="16">
        <v>45332</v>
      </c>
      <c r="M1327" s="17">
        <v>9</v>
      </c>
      <c r="N1327" s="27">
        <v>91326</v>
      </c>
      <c r="O1327" s="27" t="s">
        <v>37</v>
      </c>
      <c r="P1327" s="28">
        <v>45383</v>
      </c>
      <c r="Q1327" s="29">
        <v>0.89088000000000001</v>
      </c>
      <c r="R1327" s="30">
        <v>71326</v>
      </c>
      <c r="S1327" s="27" t="s">
        <v>41</v>
      </c>
      <c r="T1327" s="29">
        <v>141582.21978000001</v>
      </c>
      <c r="U1327" s="27" t="s">
        <v>42</v>
      </c>
      <c r="V1327" s="28">
        <v>45392</v>
      </c>
      <c r="W1327" s="27" t="s">
        <v>38</v>
      </c>
      <c r="X1327" s="28">
        <v>45384</v>
      </c>
      <c r="Y1327" s="27" t="s">
        <v>33</v>
      </c>
      <c r="Z1327" s="43" t="e">
        <f>TEXT([1]!Table64[[#This Row],[Order date]],"mmm-yyyy")</f>
        <v>#REF!</v>
      </c>
    </row>
    <row r="1328" spans="1:26" x14ac:dyDescent="0.3">
      <c r="A1328" s="10">
        <v>11327</v>
      </c>
      <c r="B1328" s="11">
        <v>5006</v>
      </c>
      <c r="C1328" s="11" t="s">
        <v>34</v>
      </c>
      <c r="D1328" s="12">
        <v>72892.100000000006</v>
      </c>
      <c r="E1328" s="11">
        <v>13</v>
      </c>
      <c r="F1328" s="11" t="s">
        <v>43</v>
      </c>
      <c r="G1328" s="13">
        <v>45361</v>
      </c>
      <c r="H1328" s="12">
        <v>95885.63</v>
      </c>
      <c r="I1328" s="14" t="s">
        <v>27</v>
      </c>
      <c r="J1328" s="15" t="s">
        <v>49</v>
      </c>
      <c r="K1328" s="15">
        <v>395</v>
      </c>
      <c r="L1328" s="16">
        <v>45332</v>
      </c>
      <c r="M1328" s="17">
        <v>3</v>
      </c>
      <c r="N1328" s="18">
        <v>91327</v>
      </c>
      <c r="O1328" s="18" t="s">
        <v>37</v>
      </c>
      <c r="P1328" s="19">
        <v>45430</v>
      </c>
      <c r="Q1328" s="20">
        <v>0.85216999999999998</v>
      </c>
      <c r="R1328" s="21">
        <v>71327</v>
      </c>
      <c r="S1328" s="18" t="s">
        <v>30</v>
      </c>
      <c r="T1328" s="20">
        <v>96097.284700000004</v>
      </c>
      <c r="U1328" s="18" t="s">
        <v>31</v>
      </c>
      <c r="V1328" s="19">
        <v>45392</v>
      </c>
      <c r="W1328" s="18" t="s">
        <v>38</v>
      </c>
      <c r="X1328" s="19">
        <v>45376</v>
      </c>
      <c r="Y1328" s="18" t="s">
        <v>39</v>
      </c>
      <c r="Z1328" s="43" t="e">
        <f>TEXT([1]!Table64[[#This Row],[Order date]],"mmm-yyyy")</f>
        <v>#REF!</v>
      </c>
    </row>
    <row r="1329" spans="1:26" x14ac:dyDescent="0.3">
      <c r="A1329" s="22">
        <v>11328</v>
      </c>
      <c r="B1329" s="23">
        <v>6346</v>
      </c>
      <c r="C1329" s="23" t="s">
        <v>34</v>
      </c>
      <c r="D1329" s="24">
        <v>84059.12</v>
      </c>
      <c r="E1329" s="23">
        <v>8</v>
      </c>
      <c r="F1329" s="23" t="s">
        <v>46</v>
      </c>
      <c r="G1329" s="25">
        <v>45361</v>
      </c>
      <c r="H1329" s="24">
        <v>102490.68</v>
      </c>
      <c r="I1329" s="26" t="s">
        <v>47</v>
      </c>
      <c r="J1329" s="15" t="s">
        <v>49</v>
      </c>
      <c r="K1329" s="15">
        <v>1176</v>
      </c>
      <c r="L1329" s="16">
        <v>45361</v>
      </c>
      <c r="M1329" s="17">
        <v>14</v>
      </c>
      <c r="N1329" s="27">
        <v>91328</v>
      </c>
      <c r="O1329" s="27" t="s">
        <v>50</v>
      </c>
      <c r="P1329" s="28">
        <v>45383</v>
      </c>
      <c r="Q1329" s="29">
        <v>0.30678</v>
      </c>
      <c r="R1329" s="30">
        <v>71328</v>
      </c>
      <c r="S1329" s="27" t="s">
        <v>41</v>
      </c>
      <c r="T1329" s="29">
        <v>96818.621499999994</v>
      </c>
      <c r="U1329" s="27" t="s">
        <v>48</v>
      </c>
      <c r="V1329" s="28">
        <v>45392</v>
      </c>
      <c r="W1329" s="27" t="s">
        <v>32</v>
      </c>
      <c r="X1329" s="28">
        <v>45384</v>
      </c>
      <c r="Y1329" s="27" t="s">
        <v>39</v>
      </c>
      <c r="Z1329" s="43" t="e">
        <f>TEXT([1]!Table64[[#This Row],[Order date]],"mmm-yyyy")</f>
        <v>#REF!</v>
      </c>
    </row>
    <row r="1330" spans="1:26" x14ac:dyDescent="0.3">
      <c r="A1330" s="10">
        <v>11329</v>
      </c>
      <c r="B1330" s="11">
        <v>5468</v>
      </c>
      <c r="C1330" s="11" t="s">
        <v>34</v>
      </c>
      <c r="D1330" s="12">
        <v>16408.34</v>
      </c>
      <c r="E1330" s="11">
        <v>94</v>
      </c>
      <c r="F1330" s="11" t="s">
        <v>35</v>
      </c>
      <c r="G1330" s="13">
        <v>45361</v>
      </c>
      <c r="H1330" s="12">
        <v>90976.37</v>
      </c>
      <c r="I1330" s="14" t="s">
        <v>27</v>
      </c>
      <c r="J1330" s="15" t="s">
        <v>36</v>
      </c>
      <c r="K1330" s="15">
        <v>1288</v>
      </c>
      <c r="L1330" s="16">
        <v>45397</v>
      </c>
      <c r="M1330" s="17">
        <v>6</v>
      </c>
      <c r="N1330" s="18">
        <v>91329</v>
      </c>
      <c r="O1330" s="18" t="s">
        <v>50</v>
      </c>
      <c r="P1330" s="19">
        <v>45430</v>
      </c>
      <c r="Q1330" s="20">
        <v>0.13203999999999999</v>
      </c>
      <c r="R1330" s="21">
        <v>71329</v>
      </c>
      <c r="S1330" s="18" t="s">
        <v>45</v>
      </c>
      <c r="T1330" s="20">
        <v>147046.77017</v>
      </c>
      <c r="U1330" s="18" t="s">
        <v>31</v>
      </c>
      <c r="V1330" s="19">
        <v>45422</v>
      </c>
      <c r="W1330" s="18" t="s">
        <v>32</v>
      </c>
      <c r="X1330" s="19">
        <v>45376</v>
      </c>
      <c r="Y1330" s="18" t="s">
        <v>33</v>
      </c>
      <c r="Z1330" s="43" t="e">
        <f>TEXT([1]!Table64[[#This Row],[Order date]],"mmm-yyyy")</f>
        <v>#REF!</v>
      </c>
    </row>
    <row r="1331" spans="1:26" x14ac:dyDescent="0.3">
      <c r="A1331" s="22">
        <v>11330</v>
      </c>
      <c r="B1331" s="23">
        <v>6756</v>
      </c>
      <c r="C1331" s="23" t="s">
        <v>34</v>
      </c>
      <c r="D1331" s="24">
        <v>8539.66</v>
      </c>
      <c r="E1331" s="23">
        <v>96</v>
      </c>
      <c r="F1331" s="23" t="s">
        <v>43</v>
      </c>
      <c r="G1331" s="25">
        <v>45337</v>
      </c>
      <c r="H1331" s="24">
        <v>32600.57</v>
      </c>
      <c r="I1331" s="26" t="s">
        <v>47</v>
      </c>
      <c r="J1331" s="15" t="s">
        <v>36</v>
      </c>
      <c r="K1331" s="15">
        <v>1265</v>
      </c>
      <c r="L1331" s="16">
        <v>45397</v>
      </c>
      <c r="M1331" s="17">
        <v>7</v>
      </c>
      <c r="N1331" s="27">
        <v>91330</v>
      </c>
      <c r="O1331" s="27" t="s">
        <v>29</v>
      </c>
      <c r="P1331" s="28">
        <v>45352</v>
      </c>
      <c r="Q1331" s="29">
        <v>0.82408000000000003</v>
      </c>
      <c r="R1331" s="30">
        <v>71330</v>
      </c>
      <c r="S1331" s="27" t="s">
        <v>45</v>
      </c>
      <c r="T1331" s="29">
        <v>210499.70809999999</v>
      </c>
      <c r="U1331" s="27" t="s">
        <v>48</v>
      </c>
      <c r="V1331" s="28">
        <v>45392</v>
      </c>
      <c r="W1331" s="27" t="s">
        <v>38</v>
      </c>
      <c r="X1331" s="28">
        <v>45376</v>
      </c>
      <c r="Y1331" s="27" t="s">
        <v>33</v>
      </c>
      <c r="Z1331" s="43" t="e">
        <f>TEXT([1]!Table64[[#This Row],[Order date]],"mmm-yyyy")</f>
        <v>#REF!</v>
      </c>
    </row>
    <row r="1332" spans="1:26" x14ac:dyDescent="0.3">
      <c r="A1332" s="10">
        <v>11331</v>
      </c>
      <c r="B1332" s="11">
        <v>5075</v>
      </c>
      <c r="C1332" s="11" t="s">
        <v>34</v>
      </c>
      <c r="D1332" s="12">
        <v>66501.19</v>
      </c>
      <c r="E1332" s="11">
        <v>94</v>
      </c>
      <c r="F1332" s="11" t="s">
        <v>26</v>
      </c>
      <c r="G1332" s="13">
        <v>45383</v>
      </c>
      <c r="H1332" s="12">
        <v>74026.73</v>
      </c>
      <c r="I1332" s="14" t="s">
        <v>47</v>
      </c>
      <c r="J1332" s="15" t="s">
        <v>28</v>
      </c>
      <c r="K1332" s="15">
        <v>768</v>
      </c>
      <c r="L1332" s="16">
        <v>45332</v>
      </c>
      <c r="M1332" s="17">
        <v>8</v>
      </c>
      <c r="N1332" s="18">
        <v>91331</v>
      </c>
      <c r="O1332" s="18" t="s">
        <v>40</v>
      </c>
      <c r="P1332" s="19">
        <v>45352</v>
      </c>
      <c r="Q1332" s="20">
        <v>0.65395999999999999</v>
      </c>
      <c r="R1332" s="21">
        <v>71331</v>
      </c>
      <c r="S1332" s="18" t="s">
        <v>30</v>
      </c>
      <c r="T1332" s="20">
        <v>166216.11460999999</v>
      </c>
      <c r="U1332" s="18" t="s">
        <v>42</v>
      </c>
      <c r="V1332" s="19">
        <v>45422</v>
      </c>
      <c r="W1332" s="18" t="s">
        <v>38</v>
      </c>
      <c r="X1332" s="19">
        <v>45376</v>
      </c>
      <c r="Y1332" s="18" t="s">
        <v>39</v>
      </c>
      <c r="Z1332" s="43" t="e">
        <f>TEXT([1]!Table64[[#This Row],[Order date]],"mmm-yyyy")</f>
        <v>#REF!</v>
      </c>
    </row>
    <row r="1333" spans="1:26" x14ac:dyDescent="0.3">
      <c r="A1333" s="22">
        <v>11332</v>
      </c>
      <c r="B1333" s="23">
        <v>5004</v>
      </c>
      <c r="C1333" s="23" t="s">
        <v>34</v>
      </c>
      <c r="D1333" s="24">
        <v>73185.77</v>
      </c>
      <c r="E1333" s="23">
        <v>65</v>
      </c>
      <c r="F1333" s="23" t="s">
        <v>43</v>
      </c>
      <c r="G1333" s="25">
        <v>45337</v>
      </c>
      <c r="H1333" s="24">
        <v>93723.51</v>
      </c>
      <c r="I1333" s="26" t="s">
        <v>44</v>
      </c>
      <c r="J1333" s="15" t="s">
        <v>49</v>
      </c>
      <c r="K1333" s="15">
        <v>830</v>
      </c>
      <c r="L1333" s="16">
        <v>45332</v>
      </c>
      <c r="M1333" s="17">
        <v>13</v>
      </c>
      <c r="N1333" s="27">
        <v>91332</v>
      </c>
      <c r="O1333" s="27" t="s">
        <v>40</v>
      </c>
      <c r="P1333" s="28">
        <v>45430</v>
      </c>
      <c r="Q1333" s="29">
        <v>0.19078999999999999</v>
      </c>
      <c r="R1333" s="30">
        <v>71332</v>
      </c>
      <c r="S1333" s="27" t="s">
        <v>30</v>
      </c>
      <c r="T1333" s="29">
        <v>182389.29367000001</v>
      </c>
      <c r="U1333" s="27" t="s">
        <v>48</v>
      </c>
      <c r="V1333" s="28">
        <v>45444</v>
      </c>
      <c r="W1333" s="27" t="s">
        <v>38</v>
      </c>
      <c r="X1333" s="28">
        <v>45384</v>
      </c>
      <c r="Y1333" s="27" t="s">
        <v>33</v>
      </c>
      <c r="Z1333" s="43" t="e">
        <f>TEXT([1]!Table64[[#This Row],[Order date]],"mmm-yyyy")</f>
        <v>#REF!</v>
      </c>
    </row>
    <row r="1334" spans="1:26" x14ac:dyDescent="0.3">
      <c r="A1334" s="10">
        <v>11333</v>
      </c>
      <c r="B1334" s="11">
        <v>6871</v>
      </c>
      <c r="C1334" s="11" t="s">
        <v>34</v>
      </c>
      <c r="D1334" s="12">
        <v>20880.240000000002</v>
      </c>
      <c r="E1334" s="11">
        <v>43</v>
      </c>
      <c r="F1334" s="11" t="s">
        <v>35</v>
      </c>
      <c r="G1334" s="13">
        <v>45306</v>
      </c>
      <c r="H1334" s="12">
        <v>142388.97</v>
      </c>
      <c r="I1334" s="14" t="s">
        <v>44</v>
      </c>
      <c r="J1334" s="15" t="s">
        <v>28</v>
      </c>
      <c r="K1334" s="15">
        <v>1069</v>
      </c>
      <c r="L1334" s="16">
        <v>45361</v>
      </c>
      <c r="M1334" s="17">
        <v>7</v>
      </c>
      <c r="N1334" s="18">
        <v>91333</v>
      </c>
      <c r="O1334" s="18" t="s">
        <v>37</v>
      </c>
      <c r="P1334" s="19">
        <v>45383</v>
      </c>
      <c r="Q1334" s="20">
        <v>0.62861999999999996</v>
      </c>
      <c r="R1334" s="21">
        <v>71333</v>
      </c>
      <c r="S1334" s="18" t="s">
        <v>45</v>
      </c>
      <c r="T1334" s="20">
        <v>102486.11930999999</v>
      </c>
      <c r="U1334" s="18" t="s">
        <v>31</v>
      </c>
      <c r="V1334" s="19">
        <v>45392</v>
      </c>
      <c r="W1334" s="18" t="s">
        <v>38</v>
      </c>
      <c r="X1334" s="19">
        <v>45376</v>
      </c>
      <c r="Y1334" s="18" t="s">
        <v>33</v>
      </c>
      <c r="Z1334" s="43" t="e">
        <f>TEXT([1]!Table64[[#This Row],[Order date]],"mmm-yyyy")</f>
        <v>#REF!</v>
      </c>
    </row>
    <row r="1335" spans="1:26" x14ac:dyDescent="0.3">
      <c r="A1335" s="22">
        <v>11334</v>
      </c>
      <c r="B1335" s="23">
        <v>5646</v>
      </c>
      <c r="C1335" s="23" t="s">
        <v>34</v>
      </c>
      <c r="D1335" s="24">
        <v>24967.8</v>
      </c>
      <c r="E1335" s="23">
        <v>39</v>
      </c>
      <c r="F1335" s="23" t="s">
        <v>35</v>
      </c>
      <c r="G1335" s="25">
        <v>45337</v>
      </c>
      <c r="H1335" s="24">
        <v>140308.1</v>
      </c>
      <c r="I1335" s="26" t="s">
        <v>44</v>
      </c>
      <c r="J1335" s="15" t="s">
        <v>36</v>
      </c>
      <c r="K1335" s="15">
        <v>1267</v>
      </c>
      <c r="L1335" s="16">
        <v>45397</v>
      </c>
      <c r="M1335" s="17">
        <v>3</v>
      </c>
      <c r="N1335" s="27">
        <v>91334</v>
      </c>
      <c r="O1335" s="27" t="s">
        <v>40</v>
      </c>
      <c r="P1335" s="28">
        <v>45352</v>
      </c>
      <c r="Q1335" s="29">
        <v>0.50695999999999997</v>
      </c>
      <c r="R1335" s="30">
        <v>71334</v>
      </c>
      <c r="S1335" s="27" t="s">
        <v>41</v>
      </c>
      <c r="T1335" s="29">
        <v>122839.55469999999</v>
      </c>
      <c r="U1335" s="27" t="s">
        <v>31</v>
      </c>
      <c r="V1335" s="28">
        <v>45422</v>
      </c>
      <c r="W1335" s="27" t="s">
        <v>38</v>
      </c>
      <c r="X1335" s="28">
        <v>45376</v>
      </c>
      <c r="Y1335" s="27" t="s">
        <v>33</v>
      </c>
      <c r="Z1335" s="43" t="e">
        <f>TEXT([1]!Table64[[#This Row],[Order date]],"mmm-yyyy")</f>
        <v>#REF!</v>
      </c>
    </row>
    <row r="1336" spans="1:26" x14ac:dyDescent="0.3">
      <c r="A1336" s="10">
        <v>11335</v>
      </c>
      <c r="B1336" s="11">
        <v>5118</v>
      </c>
      <c r="C1336" s="11" t="s">
        <v>25</v>
      </c>
      <c r="D1336" s="12">
        <v>32529.58</v>
      </c>
      <c r="E1336" s="11">
        <v>81</v>
      </c>
      <c r="F1336" s="11" t="s">
        <v>35</v>
      </c>
      <c r="G1336" s="13">
        <v>45306</v>
      </c>
      <c r="H1336" s="12">
        <v>130777.76</v>
      </c>
      <c r="I1336" s="14" t="s">
        <v>47</v>
      </c>
      <c r="J1336" s="15" t="s">
        <v>49</v>
      </c>
      <c r="K1336" s="15">
        <v>1453</v>
      </c>
      <c r="L1336" s="16">
        <v>45361</v>
      </c>
      <c r="M1336" s="17">
        <v>6</v>
      </c>
      <c r="N1336" s="18">
        <v>91335</v>
      </c>
      <c r="O1336" s="18" t="s">
        <v>37</v>
      </c>
      <c r="P1336" s="19">
        <v>45383</v>
      </c>
      <c r="Q1336" s="20">
        <v>0.79710000000000003</v>
      </c>
      <c r="R1336" s="21">
        <v>71335</v>
      </c>
      <c r="S1336" s="18" t="s">
        <v>41</v>
      </c>
      <c r="T1336" s="20">
        <v>110884.6289</v>
      </c>
      <c r="U1336" s="18" t="s">
        <v>42</v>
      </c>
      <c r="V1336" s="19">
        <v>45392</v>
      </c>
      <c r="W1336" s="18" t="s">
        <v>38</v>
      </c>
      <c r="X1336" s="19">
        <v>45376</v>
      </c>
      <c r="Y1336" s="18" t="s">
        <v>33</v>
      </c>
      <c r="Z1336" s="43" t="e">
        <f>TEXT([1]!Table64[[#This Row],[Order date]],"mmm-yyyy")</f>
        <v>#REF!</v>
      </c>
    </row>
    <row r="1337" spans="1:26" x14ac:dyDescent="0.3">
      <c r="A1337" s="22">
        <v>11336</v>
      </c>
      <c r="B1337" s="23">
        <v>5881</v>
      </c>
      <c r="C1337" s="23" t="s">
        <v>25</v>
      </c>
      <c r="D1337" s="24">
        <v>9430.6299999999992</v>
      </c>
      <c r="E1337" s="23">
        <v>59</v>
      </c>
      <c r="F1337" s="23" t="s">
        <v>35</v>
      </c>
      <c r="G1337" s="25">
        <v>45383</v>
      </c>
      <c r="H1337" s="24">
        <v>86393.17</v>
      </c>
      <c r="I1337" s="26" t="s">
        <v>44</v>
      </c>
      <c r="J1337" s="15" t="s">
        <v>28</v>
      </c>
      <c r="K1337" s="15">
        <v>1476</v>
      </c>
      <c r="L1337" s="16">
        <v>45397</v>
      </c>
      <c r="M1337" s="17">
        <v>5</v>
      </c>
      <c r="N1337" s="27">
        <v>91336</v>
      </c>
      <c r="O1337" s="27" t="s">
        <v>29</v>
      </c>
      <c r="P1337" s="28">
        <v>45383</v>
      </c>
      <c r="Q1337" s="29">
        <v>0.28817999999999999</v>
      </c>
      <c r="R1337" s="30">
        <v>71336</v>
      </c>
      <c r="S1337" s="27" t="s">
        <v>30</v>
      </c>
      <c r="T1337" s="29">
        <v>72860.290200000003</v>
      </c>
      <c r="U1337" s="27" t="s">
        <v>31</v>
      </c>
      <c r="V1337" s="28">
        <v>45444</v>
      </c>
      <c r="W1337" s="27" t="s">
        <v>38</v>
      </c>
      <c r="X1337" s="28">
        <v>45384</v>
      </c>
      <c r="Y1337" s="27" t="s">
        <v>33</v>
      </c>
      <c r="Z1337" s="43" t="e">
        <f>TEXT([1]!Table64[[#This Row],[Order date]],"mmm-yyyy")</f>
        <v>#REF!</v>
      </c>
    </row>
    <row r="1338" spans="1:26" x14ac:dyDescent="0.3">
      <c r="A1338" s="10">
        <v>11337</v>
      </c>
      <c r="B1338" s="11">
        <v>6630</v>
      </c>
      <c r="C1338" s="11" t="s">
        <v>34</v>
      </c>
      <c r="D1338" s="12">
        <v>12700.28</v>
      </c>
      <c r="E1338" s="11">
        <v>84</v>
      </c>
      <c r="F1338" s="11" t="s">
        <v>35</v>
      </c>
      <c r="G1338" s="13">
        <v>45361</v>
      </c>
      <c r="H1338" s="12">
        <v>169547.48</v>
      </c>
      <c r="I1338" s="14" t="s">
        <v>27</v>
      </c>
      <c r="J1338" s="15" t="s">
        <v>28</v>
      </c>
      <c r="K1338" s="15">
        <v>713</v>
      </c>
      <c r="L1338" s="16">
        <v>45361</v>
      </c>
      <c r="M1338" s="17">
        <v>13</v>
      </c>
      <c r="N1338" s="18">
        <v>91337</v>
      </c>
      <c r="O1338" s="18" t="s">
        <v>40</v>
      </c>
      <c r="P1338" s="19">
        <v>45430</v>
      </c>
      <c r="Q1338" s="20">
        <v>0.50783999999999996</v>
      </c>
      <c r="R1338" s="21">
        <v>71337</v>
      </c>
      <c r="S1338" s="18" t="s">
        <v>30</v>
      </c>
      <c r="T1338" s="20">
        <v>120629.0309</v>
      </c>
      <c r="U1338" s="18" t="s">
        <v>42</v>
      </c>
      <c r="V1338" s="19">
        <v>45392</v>
      </c>
      <c r="W1338" s="18" t="s">
        <v>38</v>
      </c>
      <c r="X1338" s="19">
        <v>45384</v>
      </c>
      <c r="Y1338" s="18" t="s">
        <v>33</v>
      </c>
      <c r="Z1338" s="43" t="e">
        <f>TEXT([1]!Table64[[#This Row],[Order date]],"mmm-yyyy")</f>
        <v>#REF!</v>
      </c>
    </row>
    <row r="1339" spans="1:26" x14ac:dyDescent="0.3">
      <c r="A1339" s="22">
        <v>11338</v>
      </c>
      <c r="B1339" s="23">
        <v>5504</v>
      </c>
      <c r="C1339" s="23" t="s">
        <v>34</v>
      </c>
      <c r="D1339" s="24">
        <v>35003.75</v>
      </c>
      <c r="E1339" s="23">
        <v>88</v>
      </c>
      <c r="F1339" s="23" t="s">
        <v>26</v>
      </c>
      <c r="G1339" s="25">
        <v>45361</v>
      </c>
      <c r="H1339" s="24">
        <v>123422.66</v>
      </c>
      <c r="I1339" s="26" t="s">
        <v>27</v>
      </c>
      <c r="J1339" s="15" t="s">
        <v>28</v>
      </c>
      <c r="K1339" s="15">
        <v>649</v>
      </c>
      <c r="L1339" s="16">
        <v>45332</v>
      </c>
      <c r="M1339" s="17">
        <v>12</v>
      </c>
      <c r="N1339" s="27">
        <v>91338</v>
      </c>
      <c r="O1339" s="27" t="s">
        <v>40</v>
      </c>
      <c r="P1339" s="28">
        <v>45352</v>
      </c>
      <c r="Q1339" s="29">
        <v>0.24062</v>
      </c>
      <c r="R1339" s="30">
        <v>71338</v>
      </c>
      <c r="S1339" s="27" t="s">
        <v>30</v>
      </c>
      <c r="T1339" s="29">
        <v>166049.76860000001</v>
      </c>
      <c r="U1339" s="27" t="s">
        <v>42</v>
      </c>
      <c r="V1339" s="28">
        <v>45444</v>
      </c>
      <c r="W1339" s="27" t="s">
        <v>38</v>
      </c>
      <c r="X1339" s="28">
        <v>45384</v>
      </c>
      <c r="Y1339" s="27" t="s">
        <v>39</v>
      </c>
      <c r="Z1339" s="43" t="e">
        <f>TEXT([1]!Table64[[#This Row],[Order date]],"mmm-yyyy")</f>
        <v>#REF!</v>
      </c>
    </row>
    <row r="1340" spans="1:26" x14ac:dyDescent="0.3">
      <c r="A1340" s="10">
        <v>11339</v>
      </c>
      <c r="B1340" s="11">
        <v>5947</v>
      </c>
      <c r="C1340" s="11" t="s">
        <v>34</v>
      </c>
      <c r="D1340" s="12">
        <v>41947.89</v>
      </c>
      <c r="E1340" s="11">
        <v>86</v>
      </c>
      <c r="F1340" s="11" t="s">
        <v>46</v>
      </c>
      <c r="G1340" s="13">
        <v>45337</v>
      </c>
      <c r="H1340" s="12">
        <v>152332.39000000001</v>
      </c>
      <c r="I1340" s="14" t="s">
        <v>47</v>
      </c>
      <c r="J1340" s="15" t="s">
        <v>28</v>
      </c>
      <c r="K1340" s="15">
        <v>60</v>
      </c>
      <c r="L1340" s="16">
        <v>45361</v>
      </c>
      <c r="M1340" s="17">
        <v>10</v>
      </c>
      <c r="N1340" s="18">
        <v>91339</v>
      </c>
      <c r="O1340" s="18" t="s">
        <v>37</v>
      </c>
      <c r="P1340" s="19">
        <v>45352</v>
      </c>
      <c r="Q1340" s="20">
        <v>0.96177000000000001</v>
      </c>
      <c r="R1340" s="21">
        <v>71339</v>
      </c>
      <c r="S1340" s="18" t="s">
        <v>45</v>
      </c>
      <c r="T1340" s="20">
        <v>168001.92879999999</v>
      </c>
      <c r="U1340" s="18" t="s">
        <v>31</v>
      </c>
      <c r="V1340" s="19">
        <v>45392</v>
      </c>
      <c r="W1340" s="18" t="s">
        <v>38</v>
      </c>
      <c r="X1340" s="19">
        <v>45376</v>
      </c>
      <c r="Y1340" s="18" t="s">
        <v>33</v>
      </c>
      <c r="Z1340" s="43" t="e">
        <f>TEXT([1]!Table64[[#This Row],[Order date]],"mmm-yyyy")</f>
        <v>#REF!</v>
      </c>
    </row>
    <row r="1341" spans="1:26" x14ac:dyDescent="0.3">
      <c r="A1341" s="22">
        <v>11340</v>
      </c>
      <c r="B1341" s="23">
        <v>5574</v>
      </c>
      <c r="C1341" s="23" t="s">
        <v>34</v>
      </c>
      <c r="D1341" s="24">
        <v>33304.36</v>
      </c>
      <c r="E1341" s="23">
        <v>93</v>
      </c>
      <c r="F1341" s="23" t="s">
        <v>35</v>
      </c>
      <c r="G1341" s="25">
        <v>45361</v>
      </c>
      <c r="H1341" s="24">
        <v>102621.54</v>
      </c>
      <c r="I1341" s="26" t="s">
        <v>44</v>
      </c>
      <c r="J1341" s="15" t="s">
        <v>28</v>
      </c>
      <c r="K1341" s="15">
        <v>236</v>
      </c>
      <c r="L1341" s="16">
        <v>45361</v>
      </c>
      <c r="M1341" s="17">
        <v>4</v>
      </c>
      <c r="N1341" s="27">
        <v>91340</v>
      </c>
      <c r="O1341" s="27" t="s">
        <v>29</v>
      </c>
      <c r="P1341" s="28">
        <v>45430</v>
      </c>
      <c r="Q1341" s="29">
        <v>0.80086000000000002</v>
      </c>
      <c r="R1341" s="30">
        <v>71340</v>
      </c>
      <c r="S1341" s="27" t="s">
        <v>41</v>
      </c>
      <c r="T1341" s="29">
        <v>182242.2605</v>
      </c>
      <c r="U1341" s="27" t="s">
        <v>48</v>
      </c>
      <c r="V1341" s="28">
        <v>45422</v>
      </c>
      <c r="W1341" s="27" t="s">
        <v>32</v>
      </c>
      <c r="X1341" s="28">
        <v>45376</v>
      </c>
      <c r="Y1341" s="27" t="s">
        <v>33</v>
      </c>
      <c r="Z1341" s="43" t="e">
        <f>TEXT([1]!Table64[[#This Row],[Order date]],"mmm-yyyy")</f>
        <v>#REF!</v>
      </c>
    </row>
    <row r="1342" spans="1:26" x14ac:dyDescent="0.3">
      <c r="A1342" s="10">
        <v>11341</v>
      </c>
      <c r="B1342" s="11">
        <v>6465</v>
      </c>
      <c r="C1342" s="11" t="s">
        <v>34</v>
      </c>
      <c r="D1342" s="12">
        <v>57056.01</v>
      </c>
      <c r="E1342" s="11">
        <v>86</v>
      </c>
      <c r="F1342" s="11" t="s">
        <v>35</v>
      </c>
      <c r="G1342" s="13">
        <v>45383</v>
      </c>
      <c r="H1342" s="12">
        <v>89172.02</v>
      </c>
      <c r="I1342" s="14" t="s">
        <v>44</v>
      </c>
      <c r="J1342" s="15" t="s">
        <v>49</v>
      </c>
      <c r="K1342" s="15">
        <v>775</v>
      </c>
      <c r="L1342" s="16">
        <v>45332</v>
      </c>
      <c r="M1342" s="17">
        <v>1</v>
      </c>
      <c r="N1342" s="18">
        <v>91341</v>
      </c>
      <c r="O1342" s="18" t="s">
        <v>40</v>
      </c>
      <c r="P1342" s="19">
        <v>45383</v>
      </c>
      <c r="Q1342" s="20">
        <v>0.76305000000000001</v>
      </c>
      <c r="R1342" s="21">
        <v>71341</v>
      </c>
      <c r="S1342" s="18" t="s">
        <v>30</v>
      </c>
      <c r="T1342" s="20">
        <v>178597.12383999999</v>
      </c>
      <c r="U1342" s="18" t="s">
        <v>42</v>
      </c>
      <c r="V1342" s="19">
        <v>45444</v>
      </c>
      <c r="W1342" s="18" t="s">
        <v>38</v>
      </c>
      <c r="X1342" s="19">
        <v>45376</v>
      </c>
      <c r="Y1342" s="18" t="s">
        <v>39</v>
      </c>
      <c r="Z1342" s="43" t="e">
        <f>TEXT([1]!Table64[[#This Row],[Order date]],"mmm-yyyy")</f>
        <v>#REF!</v>
      </c>
    </row>
    <row r="1343" spans="1:26" x14ac:dyDescent="0.3">
      <c r="A1343" s="22">
        <v>11342</v>
      </c>
      <c r="B1343" s="23">
        <v>5194</v>
      </c>
      <c r="C1343" s="23" t="s">
        <v>34</v>
      </c>
      <c r="D1343" s="24">
        <v>90977.39</v>
      </c>
      <c r="E1343" s="23">
        <v>44</v>
      </c>
      <c r="F1343" s="23" t="s">
        <v>43</v>
      </c>
      <c r="G1343" s="25">
        <v>45361</v>
      </c>
      <c r="H1343" s="24">
        <v>13347.41</v>
      </c>
      <c r="I1343" s="26" t="s">
        <v>44</v>
      </c>
      <c r="J1343" s="15" t="s">
        <v>28</v>
      </c>
      <c r="K1343" s="15">
        <v>1088</v>
      </c>
      <c r="L1343" s="16">
        <v>45397</v>
      </c>
      <c r="M1343" s="17">
        <v>14</v>
      </c>
      <c r="N1343" s="27">
        <v>91342</v>
      </c>
      <c r="O1343" s="27" t="s">
        <v>40</v>
      </c>
      <c r="P1343" s="28">
        <v>45383</v>
      </c>
      <c r="Q1343" s="29">
        <v>0.72119</v>
      </c>
      <c r="R1343" s="30">
        <v>71342</v>
      </c>
      <c r="S1343" s="27" t="s">
        <v>41</v>
      </c>
      <c r="T1343" s="29">
        <v>102759.80925999999</v>
      </c>
      <c r="U1343" s="27" t="s">
        <v>48</v>
      </c>
      <c r="V1343" s="28">
        <v>45392</v>
      </c>
      <c r="W1343" s="27" t="s">
        <v>32</v>
      </c>
      <c r="X1343" s="28">
        <v>45376</v>
      </c>
      <c r="Y1343" s="27" t="s">
        <v>33</v>
      </c>
      <c r="Z1343" s="43" t="e">
        <f>TEXT([1]!Table64[[#This Row],[Order date]],"mmm-yyyy")</f>
        <v>#REF!</v>
      </c>
    </row>
    <row r="1344" spans="1:26" x14ac:dyDescent="0.3">
      <c r="A1344" s="10">
        <v>11343</v>
      </c>
      <c r="B1344" s="11">
        <v>5847</v>
      </c>
      <c r="C1344" s="11" t="s">
        <v>34</v>
      </c>
      <c r="D1344" s="12">
        <v>10415.200000000001</v>
      </c>
      <c r="E1344" s="11">
        <v>9</v>
      </c>
      <c r="F1344" s="11" t="s">
        <v>26</v>
      </c>
      <c r="G1344" s="13">
        <v>45337</v>
      </c>
      <c r="H1344" s="12">
        <v>148307.07</v>
      </c>
      <c r="I1344" s="14" t="s">
        <v>27</v>
      </c>
      <c r="J1344" s="15" t="s">
        <v>49</v>
      </c>
      <c r="K1344" s="15">
        <v>827</v>
      </c>
      <c r="L1344" s="16">
        <v>45397</v>
      </c>
      <c r="M1344" s="17">
        <v>13</v>
      </c>
      <c r="N1344" s="18">
        <v>91343</v>
      </c>
      <c r="O1344" s="18" t="s">
        <v>40</v>
      </c>
      <c r="P1344" s="19">
        <v>45352</v>
      </c>
      <c r="Q1344" s="20">
        <v>0.48099999999999998</v>
      </c>
      <c r="R1344" s="21">
        <v>71343</v>
      </c>
      <c r="S1344" s="18" t="s">
        <v>41</v>
      </c>
      <c r="T1344" s="20">
        <v>143206.57190000001</v>
      </c>
      <c r="U1344" s="18" t="s">
        <v>31</v>
      </c>
      <c r="V1344" s="19">
        <v>45444</v>
      </c>
      <c r="W1344" s="18" t="s">
        <v>38</v>
      </c>
      <c r="X1344" s="19">
        <v>45384</v>
      </c>
      <c r="Y1344" s="18" t="s">
        <v>33</v>
      </c>
      <c r="Z1344" s="43" t="e">
        <f>TEXT([1]!Table64[[#This Row],[Order date]],"mmm-yyyy")</f>
        <v>#REF!</v>
      </c>
    </row>
    <row r="1345" spans="1:26" x14ac:dyDescent="0.3">
      <c r="A1345" s="22">
        <v>11344</v>
      </c>
      <c r="B1345" s="23">
        <v>5715</v>
      </c>
      <c r="C1345" s="23" t="s">
        <v>34</v>
      </c>
      <c r="D1345" s="24">
        <v>26917.64</v>
      </c>
      <c r="E1345" s="23">
        <v>37</v>
      </c>
      <c r="F1345" s="23" t="s">
        <v>26</v>
      </c>
      <c r="G1345" s="25">
        <v>45383</v>
      </c>
      <c r="H1345" s="24">
        <v>164991.92000000001</v>
      </c>
      <c r="I1345" s="26" t="s">
        <v>44</v>
      </c>
      <c r="J1345" s="15" t="s">
        <v>28</v>
      </c>
      <c r="K1345" s="15">
        <v>1370</v>
      </c>
      <c r="L1345" s="16">
        <v>45332</v>
      </c>
      <c r="M1345" s="17">
        <v>7</v>
      </c>
      <c r="N1345" s="27">
        <v>91344</v>
      </c>
      <c r="O1345" s="27" t="s">
        <v>29</v>
      </c>
      <c r="P1345" s="28">
        <v>45430</v>
      </c>
      <c r="Q1345" s="29">
        <v>0.93095000000000006</v>
      </c>
      <c r="R1345" s="30">
        <v>71344</v>
      </c>
      <c r="S1345" s="27" t="s">
        <v>41</v>
      </c>
      <c r="T1345" s="29">
        <v>159379.62669999999</v>
      </c>
      <c r="U1345" s="27" t="s">
        <v>48</v>
      </c>
      <c r="V1345" s="28">
        <v>45444</v>
      </c>
      <c r="W1345" s="27" t="s">
        <v>32</v>
      </c>
      <c r="X1345" s="28">
        <v>45384</v>
      </c>
      <c r="Y1345" s="27" t="s">
        <v>33</v>
      </c>
      <c r="Z1345" s="43" t="e">
        <f>TEXT([1]!Table64[[#This Row],[Order date]],"mmm-yyyy")</f>
        <v>#REF!</v>
      </c>
    </row>
    <row r="1346" spans="1:26" x14ac:dyDescent="0.3">
      <c r="A1346" s="10">
        <v>11345</v>
      </c>
      <c r="B1346" s="11">
        <v>6416</v>
      </c>
      <c r="C1346" s="11" t="s">
        <v>34</v>
      </c>
      <c r="D1346" s="12">
        <v>26884.94</v>
      </c>
      <c r="E1346" s="11">
        <v>74</v>
      </c>
      <c r="F1346" s="11" t="s">
        <v>46</v>
      </c>
      <c r="G1346" s="13">
        <v>45306</v>
      </c>
      <c r="H1346" s="12">
        <v>100012.46</v>
      </c>
      <c r="I1346" s="14" t="s">
        <v>27</v>
      </c>
      <c r="J1346" s="15" t="s">
        <v>36</v>
      </c>
      <c r="K1346" s="15">
        <v>460</v>
      </c>
      <c r="L1346" s="16">
        <v>45361</v>
      </c>
      <c r="M1346" s="17">
        <v>8</v>
      </c>
      <c r="N1346" s="18">
        <v>91345</v>
      </c>
      <c r="O1346" s="18" t="s">
        <v>29</v>
      </c>
      <c r="P1346" s="19">
        <v>45430</v>
      </c>
      <c r="Q1346" s="20">
        <v>0.16563</v>
      </c>
      <c r="R1346" s="21">
        <v>71345</v>
      </c>
      <c r="S1346" s="18" t="s">
        <v>41</v>
      </c>
      <c r="T1346" s="20">
        <v>74130.216549999997</v>
      </c>
      <c r="U1346" s="18" t="s">
        <v>48</v>
      </c>
      <c r="V1346" s="19">
        <v>45422</v>
      </c>
      <c r="W1346" s="18" t="s">
        <v>38</v>
      </c>
      <c r="X1346" s="19">
        <v>45376</v>
      </c>
      <c r="Y1346" s="18" t="s">
        <v>33</v>
      </c>
      <c r="Z1346" s="43" t="e">
        <f>TEXT([1]!Table64[[#This Row],[Order date]],"mmm-yyyy")</f>
        <v>#REF!</v>
      </c>
    </row>
    <row r="1347" spans="1:26" x14ac:dyDescent="0.3">
      <c r="A1347" s="22">
        <v>11346</v>
      </c>
      <c r="B1347" s="23">
        <v>6050</v>
      </c>
      <c r="C1347" s="23" t="s">
        <v>34</v>
      </c>
      <c r="D1347" s="24">
        <v>15074.81</v>
      </c>
      <c r="E1347" s="23">
        <v>36</v>
      </c>
      <c r="F1347" s="23" t="s">
        <v>26</v>
      </c>
      <c r="G1347" s="25">
        <v>45337</v>
      </c>
      <c r="H1347" s="24">
        <v>169467.06</v>
      </c>
      <c r="I1347" s="26" t="s">
        <v>44</v>
      </c>
      <c r="J1347" s="15" t="s">
        <v>36</v>
      </c>
      <c r="K1347" s="15">
        <v>1005</v>
      </c>
      <c r="L1347" s="16">
        <v>45361</v>
      </c>
      <c r="M1347" s="17">
        <v>2</v>
      </c>
      <c r="N1347" s="27">
        <v>91346</v>
      </c>
      <c r="O1347" s="27" t="s">
        <v>40</v>
      </c>
      <c r="P1347" s="28">
        <v>45383</v>
      </c>
      <c r="Q1347" s="29">
        <v>0.82293000000000005</v>
      </c>
      <c r="R1347" s="30">
        <v>71346</v>
      </c>
      <c r="S1347" s="27" t="s">
        <v>45</v>
      </c>
      <c r="T1347" s="29">
        <v>104985.6125</v>
      </c>
      <c r="U1347" s="27" t="s">
        <v>48</v>
      </c>
      <c r="V1347" s="28">
        <v>45422</v>
      </c>
      <c r="W1347" s="27" t="s">
        <v>32</v>
      </c>
      <c r="X1347" s="28">
        <v>45384</v>
      </c>
      <c r="Y1347" s="27" t="s">
        <v>33</v>
      </c>
      <c r="Z1347" s="43" t="e">
        <f>TEXT([1]!Table64[[#This Row],[Order date]],"mmm-yyyy")</f>
        <v>#REF!</v>
      </c>
    </row>
    <row r="1348" spans="1:26" x14ac:dyDescent="0.3">
      <c r="A1348" s="10">
        <v>11347</v>
      </c>
      <c r="B1348" s="11">
        <v>6459</v>
      </c>
      <c r="C1348" s="11" t="s">
        <v>34</v>
      </c>
      <c r="D1348" s="12">
        <v>83281.84</v>
      </c>
      <c r="E1348" s="11">
        <v>92</v>
      </c>
      <c r="F1348" s="11" t="s">
        <v>43</v>
      </c>
      <c r="G1348" s="13">
        <v>45306</v>
      </c>
      <c r="H1348" s="12">
        <v>34966.480000000003</v>
      </c>
      <c r="I1348" s="14" t="s">
        <v>44</v>
      </c>
      <c r="J1348" s="15" t="s">
        <v>28</v>
      </c>
      <c r="K1348" s="15">
        <v>634</v>
      </c>
      <c r="L1348" s="16">
        <v>45361</v>
      </c>
      <c r="M1348" s="17">
        <v>7</v>
      </c>
      <c r="N1348" s="18">
        <v>91347</v>
      </c>
      <c r="O1348" s="18" t="s">
        <v>37</v>
      </c>
      <c r="P1348" s="19">
        <v>45383</v>
      </c>
      <c r="Q1348" s="20">
        <v>0.29371000000000003</v>
      </c>
      <c r="R1348" s="21">
        <v>71347</v>
      </c>
      <c r="S1348" s="18" t="s">
        <v>41</v>
      </c>
      <c r="T1348" s="20">
        <v>93260.201809999999</v>
      </c>
      <c r="U1348" s="18" t="s">
        <v>48</v>
      </c>
      <c r="V1348" s="19">
        <v>45422</v>
      </c>
      <c r="W1348" s="18" t="s">
        <v>38</v>
      </c>
      <c r="X1348" s="19">
        <v>45376</v>
      </c>
      <c r="Y1348" s="18" t="s">
        <v>39</v>
      </c>
      <c r="Z1348" s="43" t="e">
        <f>TEXT([1]!Table64[[#This Row],[Order date]],"mmm-yyyy")</f>
        <v>#REF!</v>
      </c>
    </row>
    <row r="1349" spans="1:26" x14ac:dyDescent="0.3">
      <c r="A1349" s="22">
        <v>11348</v>
      </c>
      <c r="B1349" s="23">
        <v>5173</v>
      </c>
      <c r="C1349" s="23" t="s">
        <v>34</v>
      </c>
      <c r="D1349" s="24">
        <v>81503.23</v>
      </c>
      <c r="E1349" s="23">
        <v>28</v>
      </c>
      <c r="F1349" s="23" t="s">
        <v>43</v>
      </c>
      <c r="G1349" s="25">
        <v>45383</v>
      </c>
      <c r="H1349" s="24">
        <v>91814.53</v>
      </c>
      <c r="I1349" s="26" t="s">
        <v>47</v>
      </c>
      <c r="J1349" s="15" t="s">
        <v>36</v>
      </c>
      <c r="K1349" s="15">
        <v>1125</v>
      </c>
      <c r="L1349" s="16">
        <v>45397</v>
      </c>
      <c r="M1349" s="17">
        <v>6</v>
      </c>
      <c r="N1349" s="27">
        <v>91348</v>
      </c>
      <c r="O1349" s="27" t="s">
        <v>37</v>
      </c>
      <c r="P1349" s="28">
        <v>45430</v>
      </c>
      <c r="Q1349" s="29">
        <v>0.39162999999999998</v>
      </c>
      <c r="R1349" s="30">
        <v>71348</v>
      </c>
      <c r="S1349" s="27" t="s">
        <v>41</v>
      </c>
      <c r="T1349" s="29">
        <v>154220.80796000001</v>
      </c>
      <c r="U1349" s="27" t="s">
        <v>31</v>
      </c>
      <c r="V1349" s="28">
        <v>45422</v>
      </c>
      <c r="W1349" s="27" t="s">
        <v>32</v>
      </c>
      <c r="X1349" s="28">
        <v>45376</v>
      </c>
      <c r="Y1349" s="27" t="s">
        <v>33</v>
      </c>
      <c r="Z1349" s="43" t="e">
        <f>TEXT([1]!Table64[[#This Row],[Order date]],"mmm-yyyy")</f>
        <v>#REF!</v>
      </c>
    </row>
    <row r="1350" spans="1:26" x14ac:dyDescent="0.3">
      <c r="A1350" s="10">
        <v>11349</v>
      </c>
      <c r="B1350" s="11">
        <v>6324</v>
      </c>
      <c r="C1350" s="11" t="s">
        <v>34</v>
      </c>
      <c r="D1350" s="12">
        <v>46139.5</v>
      </c>
      <c r="E1350" s="11">
        <v>42</v>
      </c>
      <c r="F1350" s="11" t="s">
        <v>46</v>
      </c>
      <c r="G1350" s="13">
        <v>45337</v>
      </c>
      <c r="H1350" s="12">
        <v>178544.52</v>
      </c>
      <c r="I1350" s="14" t="s">
        <v>47</v>
      </c>
      <c r="J1350" s="15" t="s">
        <v>49</v>
      </c>
      <c r="K1350" s="15">
        <v>1101</v>
      </c>
      <c r="L1350" s="16">
        <v>45361</v>
      </c>
      <c r="M1350" s="17">
        <v>5</v>
      </c>
      <c r="N1350" s="18">
        <v>91349</v>
      </c>
      <c r="O1350" s="18" t="s">
        <v>40</v>
      </c>
      <c r="P1350" s="19">
        <v>45352</v>
      </c>
      <c r="Q1350" s="20">
        <v>0.56749000000000005</v>
      </c>
      <c r="R1350" s="21">
        <v>71349</v>
      </c>
      <c r="S1350" s="18" t="s">
        <v>41</v>
      </c>
      <c r="T1350" s="20">
        <v>157368.12173000001</v>
      </c>
      <c r="U1350" s="18" t="s">
        <v>31</v>
      </c>
      <c r="V1350" s="19">
        <v>45444</v>
      </c>
      <c r="W1350" s="18" t="s">
        <v>32</v>
      </c>
      <c r="X1350" s="19">
        <v>45384</v>
      </c>
      <c r="Y1350" s="18" t="s">
        <v>33</v>
      </c>
      <c r="Z1350" s="43" t="e">
        <f>TEXT([1]!Table64[[#This Row],[Order date]],"mmm-yyyy")</f>
        <v>#REF!</v>
      </c>
    </row>
    <row r="1351" spans="1:26" x14ac:dyDescent="0.3">
      <c r="A1351" s="22">
        <v>11350</v>
      </c>
      <c r="B1351" s="23">
        <v>6669</v>
      </c>
      <c r="C1351" s="23" t="s">
        <v>34</v>
      </c>
      <c r="D1351" s="24">
        <v>56237.760000000002</v>
      </c>
      <c r="E1351" s="23">
        <v>43</v>
      </c>
      <c r="F1351" s="23" t="s">
        <v>43</v>
      </c>
      <c r="G1351" s="25">
        <v>45337</v>
      </c>
      <c r="H1351" s="24">
        <v>104826.2</v>
      </c>
      <c r="I1351" s="26" t="s">
        <v>44</v>
      </c>
      <c r="J1351" s="15" t="s">
        <v>28</v>
      </c>
      <c r="K1351" s="15">
        <v>626</v>
      </c>
      <c r="L1351" s="16">
        <v>45397</v>
      </c>
      <c r="M1351" s="17">
        <v>13</v>
      </c>
      <c r="N1351" s="27">
        <v>91350</v>
      </c>
      <c r="O1351" s="27" t="s">
        <v>29</v>
      </c>
      <c r="P1351" s="28">
        <v>45383</v>
      </c>
      <c r="Q1351" s="29">
        <v>0.80439000000000005</v>
      </c>
      <c r="R1351" s="30">
        <v>71350</v>
      </c>
      <c r="S1351" s="27" t="s">
        <v>45</v>
      </c>
      <c r="T1351" s="29">
        <v>168576.80700999999</v>
      </c>
      <c r="U1351" s="27" t="s">
        <v>48</v>
      </c>
      <c r="V1351" s="28">
        <v>45444</v>
      </c>
      <c r="W1351" s="27" t="s">
        <v>38</v>
      </c>
      <c r="X1351" s="28">
        <v>45384</v>
      </c>
      <c r="Y1351" s="27" t="s">
        <v>33</v>
      </c>
      <c r="Z1351" s="43" t="e">
        <f>TEXT([1]!Table64[[#This Row],[Order date]],"mmm-yyyy")</f>
        <v>#REF!</v>
      </c>
    </row>
    <row r="1352" spans="1:26" x14ac:dyDescent="0.3">
      <c r="A1352" s="10">
        <v>11351</v>
      </c>
      <c r="B1352" s="11">
        <v>5326</v>
      </c>
      <c r="C1352" s="11" t="s">
        <v>34</v>
      </c>
      <c r="D1352" s="12">
        <v>34840.58</v>
      </c>
      <c r="E1352" s="11">
        <v>85</v>
      </c>
      <c r="F1352" s="11" t="s">
        <v>35</v>
      </c>
      <c r="G1352" s="13">
        <v>45383</v>
      </c>
      <c r="H1352" s="12">
        <v>23665.119999999999</v>
      </c>
      <c r="I1352" s="14" t="s">
        <v>44</v>
      </c>
      <c r="J1352" s="15" t="s">
        <v>49</v>
      </c>
      <c r="K1352" s="15">
        <v>1090</v>
      </c>
      <c r="L1352" s="16">
        <v>45361</v>
      </c>
      <c r="M1352" s="17">
        <v>4</v>
      </c>
      <c r="N1352" s="18">
        <v>91351</v>
      </c>
      <c r="O1352" s="18" t="s">
        <v>40</v>
      </c>
      <c r="P1352" s="19">
        <v>45430</v>
      </c>
      <c r="Q1352" s="20">
        <v>0.85468</v>
      </c>
      <c r="R1352" s="21">
        <v>71351</v>
      </c>
      <c r="S1352" s="18" t="s">
        <v>41</v>
      </c>
      <c r="T1352" s="20">
        <v>189576.92159000001</v>
      </c>
      <c r="U1352" s="18" t="s">
        <v>31</v>
      </c>
      <c r="V1352" s="19">
        <v>45392</v>
      </c>
      <c r="W1352" s="18" t="s">
        <v>38</v>
      </c>
      <c r="X1352" s="19">
        <v>45376</v>
      </c>
      <c r="Y1352" s="18" t="s">
        <v>39</v>
      </c>
      <c r="Z1352" s="43" t="e">
        <f>TEXT([1]!Table64[[#This Row],[Order date]],"mmm-yyyy")</f>
        <v>#REF!</v>
      </c>
    </row>
    <row r="1353" spans="1:26" x14ac:dyDescent="0.3">
      <c r="A1353" s="22">
        <v>11352</v>
      </c>
      <c r="B1353" s="23">
        <v>6434</v>
      </c>
      <c r="C1353" s="23" t="s">
        <v>34</v>
      </c>
      <c r="D1353" s="24">
        <v>59340.41</v>
      </c>
      <c r="E1353" s="23">
        <v>88</v>
      </c>
      <c r="F1353" s="23" t="s">
        <v>35</v>
      </c>
      <c r="G1353" s="25">
        <v>45361</v>
      </c>
      <c r="H1353" s="24">
        <v>110325.62</v>
      </c>
      <c r="I1353" s="26" t="s">
        <v>44</v>
      </c>
      <c r="J1353" s="15" t="s">
        <v>28</v>
      </c>
      <c r="K1353" s="15">
        <v>1424</v>
      </c>
      <c r="L1353" s="16">
        <v>45332</v>
      </c>
      <c r="M1353" s="17">
        <v>2</v>
      </c>
      <c r="N1353" s="27">
        <v>91352</v>
      </c>
      <c r="O1353" s="27" t="s">
        <v>29</v>
      </c>
      <c r="P1353" s="28">
        <v>45430</v>
      </c>
      <c r="Q1353" s="29">
        <v>0.62536000000000003</v>
      </c>
      <c r="R1353" s="30">
        <v>71352</v>
      </c>
      <c r="S1353" s="27" t="s">
        <v>30</v>
      </c>
      <c r="T1353" s="29">
        <v>68135.645730000004</v>
      </c>
      <c r="U1353" s="27" t="s">
        <v>31</v>
      </c>
      <c r="V1353" s="28">
        <v>45392</v>
      </c>
      <c r="W1353" s="27" t="s">
        <v>38</v>
      </c>
      <c r="X1353" s="28">
        <v>45376</v>
      </c>
      <c r="Y1353" s="27" t="s">
        <v>33</v>
      </c>
      <c r="Z1353" s="43" t="e">
        <f>TEXT([1]!Table64[[#This Row],[Order date]],"mmm-yyyy")</f>
        <v>#REF!</v>
      </c>
    </row>
    <row r="1354" spans="1:26" x14ac:dyDescent="0.3">
      <c r="A1354" s="10">
        <v>11353</v>
      </c>
      <c r="B1354" s="11">
        <v>6142</v>
      </c>
      <c r="C1354" s="11" t="s">
        <v>34</v>
      </c>
      <c r="D1354" s="12">
        <v>50567.57</v>
      </c>
      <c r="E1354" s="11">
        <v>42</v>
      </c>
      <c r="F1354" s="11" t="s">
        <v>43</v>
      </c>
      <c r="G1354" s="13">
        <v>45337</v>
      </c>
      <c r="H1354" s="12">
        <v>63413.4</v>
      </c>
      <c r="I1354" s="14" t="s">
        <v>47</v>
      </c>
      <c r="J1354" s="15" t="s">
        <v>36</v>
      </c>
      <c r="K1354" s="15">
        <v>1302</v>
      </c>
      <c r="L1354" s="16">
        <v>45332</v>
      </c>
      <c r="M1354" s="17">
        <v>10</v>
      </c>
      <c r="N1354" s="18">
        <v>91353</v>
      </c>
      <c r="O1354" s="18" t="s">
        <v>40</v>
      </c>
      <c r="P1354" s="19">
        <v>45430</v>
      </c>
      <c r="Q1354" s="20">
        <v>0.46272999999999997</v>
      </c>
      <c r="R1354" s="21">
        <v>71353</v>
      </c>
      <c r="S1354" s="18" t="s">
        <v>41</v>
      </c>
      <c r="T1354" s="20">
        <v>122944.7864</v>
      </c>
      <c r="U1354" s="18" t="s">
        <v>42</v>
      </c>
      <c r="V1354" s="19">
        <v>45392</v>
      </c>
      <c r="W1354" s="18" t="s">
        <v>38</v>
      </c>
      <c r="X1354" s="19">
        <v>45384</v>
      </c>
      <c r="Y1354" s="18" t="s">
        <v>33</v>
      </c>
      <c r="Z1354" s="43" t="e">
        <f>TEXT([1]!Table64[[#This Row],[Order date]],"mmm-yyyy")</f>
        <v>#REF!</v>
      </c>
    </row>
    <row r="1355" spans="1:26" x14ac:dyDescent="0.3">
      <c r="A1355" s="22">
        <v>11354</v>
      </c>
      <c r="B1355" s="23">
        <v>5836</v>
      </c>
      <c r="C1355" s="23" t="s">
        <v>25</v>
      </c>
      <c r="D1355" s="24">
        <v>41563.279999999999</v>
      </c>
      <c r="E1355" s="23">
        <v>66</v>
      </c>
      <c r="F1355" s="23" t="s">
        <v>46</v>
      </c>
      <c r="G1355" s="25">
        <v>45337</v>
      </c>
      <c r="H1355" s="24">
        <v>169975.78</v>
      </c>
      <c r="I1355" s="26" t="s">
        <v>27</v>
      </c>
      <c r="J1355" s="15" t="s">
        <v>49</v>
      </c>
      <c r="K1355" s="15">
        <v>1038</v>
      </c>
      <c r="L1355" s="16">
        <v>45397</v>
      </c>
      <c r="M1355" s="17">
        <v>6</v>
      </c>
      <c r="N1355" s="27">
        <v>91354</v>
      </c>
      <c r="O1355" s="27" t="s">
        <v>29</v>
      </c>
      <c r="P1355" s="28">
        <v>45352</v>
      </c>
      <c r="Q1355" s="29">
        <v>0.95184999999999997</v>
      </c>
      <c r="R1355" s="30">
        <v>71354</v>
      </c>
      <c r="S1355" s="27" t="s">
        <v>41</v>
      </c>
      <c r="T1355" s="29">
        <v>141401.35560000001</v>
      </c>
      <c r="U1355" s="27" t="s">
        <v>31</v>
      </c>
      <c r="V1355" s="28">
        <v>45422</v>
      </c>
      <c r="W1355" s="27" t="s">
        <v>38</v>
      </c>
      <c r="X1355" s="28">
        <v>45384</v>
      </c>
      <c r="Y1355" s="27" t="s">
        <v>39</v>
      </c>
      <c r="Z1355" s="43" t="e">
        <f>TEXT([1]!Table64[[#This Row],[Order date]],"mmm-yyyy")</f>
        <v>#REF!</v>
      </c>
    </row>
    <row r="1356" spans="1:26" x14ac:dyDescent="0.3">
      <c r="A1356" s="10">
        <v>11355</v>
      </c>
      <c r="B1356" s="11">
        <v>6811</v>
      </c>
      <c r="C1356" s="11" t="s">
        <v>34</v>
      </c>
      <c r="D1356" s="12">
        <v>74331.429999999993</v>
      </c>
      <c r="E1356" s="11">
        <v>55</v>
      </c>
      <c r="F1356" s="11" t="s">
        <v>26</v>
      </c>
      <c r="G1356" s="13">
        <v>45306</v>
      </c>
      <c r="H1356" s="12">
        <v>122740.62</v>
      </c>
      <c r="I1356" s="14" t="s">
        <v>44</v>
      </c>
      <c r="J1356" s="15" t="s">
        <v>36</v>
      </c>
      <c r="K1356" s="15">
        <v>1283</v>
      </c>
      <c r="L1356" s="16">
        <v>45397</v>
      </c>
      <c r="M1356" s="17">
        <v>5</v>
      </c>
      <c r="N1356" s="18">
        <v>91355</v>
      </c>
      <c r="O1356" s="18" t="s">
        <v>50</v>
      </c>
      <c r="P1356" s="19">
        <v>45383</v>
      </c>
      <c r="Q1356" s="20">
        <v>0.32186999999999999</v>
      </c>
      <c r="R1356" s="21">
        <v>71355</v>
      </c>
      <c r="S1356" s="18" t="s">
        <v>41</v>
      </c>
      <c r="T1356" s="20">
        <v>65878.363400000002</v>
      </c>
      <c r="U1356" s="18" t="s">
        <v>48</v>
      </c>
      <c r="V1356" s="19">
        <v>45444</v>
      </c>
      <c r="W1356" s="18" t="s">
        <v>38</v>
      </c>
      <c r="X1356" s="19">
        <v>45376</v>
      </c>
      <c r="Y1356" s="18" t="s">
        <v>33</v>
      </c>
      <c r="Z1356" s="43" t="e">
        <f>TEXT([1]!Table64[[#This Row],[Order date]],"mmm-yyyy")</f>
        <v>#REF!</v>
      </c>
    </row>
    <row r="1357" spans="1:26" x14ac:dyDescent="0.3">
      <c r="A1357" s="22">
        <v>11356</v>
      </c>
      <c r="B1357" s="23">
        <v>5724</v>
      </c>
      <c r="C1357" s="23" t="s">
        <v>34</v>
      </c>
      <c r="D1357" s="24">
        <v>54173.34</v>
      </c>
      <c r="E1357" s="23">
        <v>72</v>
      </c>
      <c r="F1357" s="23" t="s">
        <v>46</v>
      </c>
      <c r="G1357" s="25">
        <v>45361</v>
      </c>
      <c r="H1357" s="24">
        <v>35698.480000000003</v>
      </c>
      <c r="I1357" s="26" t="s">
        <v>44</v>
      </c>
      <c r="J1357" s="15" t="s">
        <v>36</v>
      </c>
      <c r="K1357" s="15">
        <v>1367</v>
      </c>
      <c r="L1357" s="16">
        <v>45332</v>
      </c>
      <c r="M1357" s="17">
        <v>2</v>
      </c>
      <c r="N1357" s="27">
        <v>91356</v>
      </c>
      <c r="O1357" s="27" t="s">
        <v>37</v>
      </c>
      <c r="P1357" s="28">
        <v>45383</v>
      </c>
      <c r="Q1357" s="29">
        <v>0.82279000000000002</v>
      </c>
      <c r="R1357" s="30">
        <v>71356</v>
      </c>
      <c r="S1357" s="27" t="s">
        <v>45</v>
      </c>
      <c r="T1357" s="29">
        <v>157992.34820000001</v>
      </c>
      <c r="U1357" s="27" t="s">
        <v>31</v>
      </c>
      <c r="V1357" s="28">
        <v>45444</v>
      </c>
      <c r="W1357" s="27" t="s">
        <v>32</v>
      </c>
      <c r="X1357" s="28">
        <v>45376</v>
      </c>
      <c r="Y1357" s="27" t="s">
        <v>33</v>
      </c>
      <c r="Z1357" s="43" t="e">
        <f>TEXT([1]!Table64[[#This Row],[Order date]],"mmm-yyyy")</f>
        <v>#REF!</v>
      </c>
    </row>
    <row r="1358" spans="1:26" x14ac:dyDescent="0.3">
      <c r="A1358" s="10">
        <v>11357</v>
      </c>
      <c r="B1358" s="11">
        <v>5225</v>
      </c>
      <c r="C1358" s="11" t="s">
        <v>34</v>
      </c>
      <c r="D1358" s="12">
        <v>17200.2</v>
      </c>
      <c r="E1358" s="11">
        <v>48</v>
      </c>
      <c r="F1358" s="11" t="s">
        <v>26</v>
      </c>
      <c r="G1358" s="13">
        <v>45306</v>
      </c>
      <c r="H1358" s="12">
        <v>97396.87</v>
      </c>
      <c r="I1358" s="14" t="s">
        <v>47</v>
      </c>
      <c r="J1358" s="15" t="s">
        <v>28</v>
      </c>
      <c r="K1358" s="15">
        <v>792</v>
      </c>
      <c r="L1358" s="16">
        <v>45332</v>
      </c>
      <c r="M1358" s="17">
        <v>10</v>
      </c>
      <c r="N1358" s="18">
        <v>91357</v>
      </c>
      <c r="O1358" s="18" t="s">
        <v>50</v>
      </c>
      <c r="P1358" s="19">
        <v>45383</v>
      </c>
      <c r="Q1358" s="20">
        <v>0.65083999999999997</v>
      </c>
      <c r="R1358" s="21">
        <v>71357</v>
      </c>
      <c r="S1358" s="18" t="s">
        <v>41</v>
      </c>
      <c r="T1358" s="20">
        <v>192124.0085</v>
      </c>
      <c r="U1358" s="18" t="s">
        <v>31</v>
      </c>
      <c r="V1358" s="19">
        <v>45392</v>
      </c>
      <c r="W1358" s="18" t="s">
        <v>38</v>
      </c>
      <c r="X1358" s="19">
        <v>45384</v>
      </c>
      <c r="Y1358" s="18" t="s">
        <v>33</v>
      </c>
      <c r="Z1358" s="43" t="e">
        <f>TEXT([1]!Table64[[#This Row],[Order date]],"mmm-yyyy")</f>
        <v>#REF!</v>
      </c>
    </row>
    <row r="1359" spans="1:26" x14ac:dyDescent="0.3">
      <c r="A1359" s="22">
        <v>11358</v>
      </c>
      <c r="B1359" s="23">
        <v>5532</v>
      </c>
      <c r="C1359" s="23" t="s">
        <v>34</v>
      </c>
      <c r="D1359" s="24">
        <v>28583.42</v>
      </c>
      <c r="E1359" s="23">
        <v>91</v>
      </c>
      <c r="F1359" s="23" t="s">
        <v>43</v>
      </c>
      <c r="G1359" s="25">
        <v>45306</v>
      </c>
      <c r="H1359" s="24">
        <v>146745.37</v>
      </c>
      <c r="I1359" s="26" t="s">
        <v>44</v>
      </c>
      <c r="J1359" s="15" t="s">
        <v>49</v>
      </c>
      <c r="K1359" s="15">
        <v>1177</v>
      </c>
      <c r="L1359" s="16">
        <v>45361</v>
      </c>
      <c r="M1359" s="17">
        <v>7</v>
      </c>
      <c r="N1359" s="27">
        <v>91358</v>
      </c>
      <c r="O1359" s="27" t="s">
        <v>37</v>
      </c>
      <c r="P1359" s="28">
        <v>45352</v>
      </c>
      <c r="Q1359" s="29">
        <v>0.43920999999999999</v>
      </c>
      <c r="R1359" s="30">
        <v>71358</v>
      </c>
      <c r="S1359" s="27" t="s">
        <v>30</v>
      </c>
      <c r="T1359" s="29">
        <v>69190.260039999994</v>
      </c>
      <c r="U1359" s="27" t="s">
        <v>31</v>
      </c>
      <c r="V1359" s="28">
        <v>45392</v>
      </c>
      <c r="W1359" s="27" t="s">
        <v>32</v>
      </c>
      <c r="X1359" s="28">
        <v>45384</v>
      </c>
      <c r="Y1359" s="27" t="s">
        <v>33</v>
      </c>
      <c r="Z1359" s="43" t="e">
        <f>TEXT([1]!Table64[[#This Row],[Order date]],"mmm-yyyy")</f>
        <v>#REF!</v>
      </c>
    </row>
    <row r="1360" spans="1:26" x14ac:dyDescent="0.3">
      <c r="A1360" s="10">
        <v>11359</v>
      </c>
      <c r="B1360" s="11">
        <v>5113</v>
      </c>
      <c r="C1360" s="11" t="s">
        <v>25</v>
      </c>
      <c r="D1360" s="12">
        <v>96336.84</v>
      </c>
      <c r="E1360" s="11">
        <v>22</v>
      </c>
      <c r="F1360" s="11" t="s">
        <v>43</v>
      </c>
      <c r="G1360" s="13">
        <v>45361</v>
      </c>
      <c r="H1360" s="12">
        <v>61828.9</v>
      </c>
      <c r="I1360" s="14" t="s">
        <v>47</v>
      </c>
      <c r="J1360" s="15" t="s">
        <v>36</v>
      </c>
      <c r="K1360" s="15">
        <v>253</v>
      </c>
      <c r="L1360" s="16">
        <v>45332</v>
      </c>
      <c r="M1360" s="17">
        <v>6</v>
      </c>
      <c r="N1360" s="18">
        <v>91359</v>
      </c>
      <c r="O1360" s="18" t="s">
        <v>29</v>
      </c>
      <c r="P1360" s="19">
        <v>45383</v>
      </c>
      <c r="Q1360" s="20">
        <v>0.10123</v>
      </c>
      <c r="R1360" s="21">
        <v>71359</v>
      </c>
      <c r="S1360" s="18" t="s">
        <v>30</v>
      </c>
      <c r="T1360" s="20">
        <v>181069.32689999999</v>
      </c>
      <c r="U1360" s="18" t="s">
        <v>31</v>
      </c>
      <c r="V1360" s="19">
        <v>45444</v>
      </c>
      <c r="W1360" s="18" t="s">
        <v>38</v>
      </c>
      <c r="X1360" s="19">
        <v>45376</v>
      </c>
      <c r="Y1360" s="18" t="s">
        <v>39</v>
      </c>
      <c r="Z1360" s="43" t="e">
        <f>TEXT([1]!Table64[[#This Row],[Order date]],"mmm-yyyy")</f>
        <v>#REF!</v>
      </c>
    </row>
    <row r="1361" spans="1:26" x14ac:dyDescent="0.3">
      <c r="A1361" s="22">
        <v>11360</v>
      </c>
      <c r="B1361" s="23">
        <v>5140</v>
      </c>
      <c r="C1361" s="23" t="s">
        <v>25</v>
      </c>
      <c r="D1361" s="24">
        <v>81079.64</v>
      </c>
      <c r="E1361" s="23">
        <v>27</v>
      </c>
      <c r="F1361" s="23" t="s">
        <v>35</v>
      </c>
      <c r="G1361" s="25">
        <v>45361</v>
      </c>
      <c r="H1361" s="24">
        <v>140805.82</v>
      </c>
      <c r="I1361" s="26" t="s">
        <v>47</v>
      </c>
      <c r="J1361" s="15" t="s">
        <v>28</v>
      </c>
      <c r="K1361" s="15">
        <v>1126</v>
      </c>
      <c r="L1361" s="16">
        <v>45397</v>
      </c>
      <c r="M1361" s="17">
        <v>12</v>
      </c>
      <c r="N1361" s="27">
        <v>91360</v>
      </c>
      <c r="O1361" s="27" t="s">
        <v>50</v>
      </c>
      <c r="P1361" s="28">
        <v>45383</v>
      </c>
      <c r="Q1361" s="29">
        <v>0.50194000000000005</v>
      </c>
      <c r="R1361" s="30">
        <v>71360</v>
      </c>
      <c r="S1361" s="27" t="s">
        <v>41</v>
      </c>
      <c r="T1361" s="29">
        <v>114901.17819999999</v>
      </c>
      <c r="U1361" s="27" t="s">
        <v>42</v>
      </c>
      <c r="V1361" s="28">
        <v>45422</v>
      </c>
      <c r="W1361" s="27" t="s">
        <v>38</v>
      </c>
      <c r="X1361" s="28">
        <v>45376</v>
      </c>
      <c r="Y1361" s="27" t="s">
        <v>33</v>
      </c>
      <c r="Z1361" s="43" t="e">
        <f>TEXT([1]!Table64[[#This Row],[Order date]],"mmm-yyyy")</f>
        <v>#REF!</v>
      </c>
    </row>
    <row r="1362" spans="1:26" x14ac:dyDescent="0.3">
      <c r="A1362" s="10">
        <v>11361</v>
      </c>
      <c r="B1362" s="11">
        <v>5559</v>
      </c>
      <c r="C1362" s="11" t="s">
        <v>34</v>
      </c>
      <c r="D1362" s="12">
        <v>21273.21</v>
      </c>
      <c r="E1362" s="11">
        <v>93</v>
      </c>
      <c r="F1362" s="11" t="s">
        <v>26</v>
      </c>
      <c r="G1362" s="13">
        <v>45383</v>
      </c>
      <c r="H1362" s="12">
        <v>71131.34</v>
      </c>
      <c r="I1362" s="14" t="s">
        <v>47</v>
      </c>
      <c r="J1362" s="15" t="s">
        <v>28</v>
      </c>
      <c r="K1362" s="15">
        <v>1023</v>
      </c>
      <c r="L1362" s="16">
        <v>45332</v>
      </c>
      <c r="M1362" s="17">
        <v>11</v>
      </c>
      <c r="N1362" s="18">
        <v>91361</v>
      </c>
      <c r="O1362" s="18" t="s">
        <v>37</v>
      </c>
      <c r="P1362" s="19">
        <v>45383</v>
      </c>
      <c r="Q1362" s="20">
        <v>0.34905000000000003</v>
      </c>
      <c r="R1362" s="21">
        <v>71361</v>
      </c>
      <c r="S1362" s="18" t="s">
        <v>45</v>
      </c>
      <c r="T1362" s="20">
        <v>137328.08170000001</v>
      </c>
      <c r="U1362" s="18" t="s">
        <v>48</v>
      </c>
      <c r="V1362" s="19">
        <v>45392</v>
      </c>
      <c r="W1362" s="18" t="s">
        <v>38</v>
      </c>
      <c r="X1362" s="19">
        <v>45384</v>
      </c>
      <c r="Y1362" s="18" t="s">
        <v>33</v>
      </c>
      <c r="Z1362" s="43" t="e">
        <f>TEXT([1]!Table64[[#This Row],[Order date]],"mmm-yyyy")</f>
        <v>#REF!</v>
      </c>
    </row>
    <row r="1363" spans="1:26" x14ac:dyDescent="0.3">
      <c r="A1363" s="22">
        <v>11362</v>
      </c>
      <c r="B1363" s="23">
        <v>5001</v>
      </c>
      <c r="C1363" s="23" t="s">
        <v>34</v>
      </c>
      <c r="D1363" s="24">
        <v>14514.88</v>
      </c>
      <c r="E1363" s="23">
        <v>67</v>
      </c>
      <c r="F1363" s="23" t="s">
        <v>46</v>
      </c>
      <c r="G1363" s="25">
        <v>45361</v>
      </c>
      <c r="H1363" s="24">
        <v>90033.87</v>
      </c>
      <c r="I1363" s="26" t="s">
        <v>47</v>
      </c>
      <c r="J1363" s="15" t="s">
        <v>28</v>
      </c>
      <c r="K1363" s="15">
        <v>989</v>
      </c>
      <c r="L1363" s="16">
        <v>45397</v>
      </c>
      <c r="M1363" s="17">
        <v>9</v>
      </c>
      <c r="N1363" s="27">
        <v>91362</v>
      </c>
      <c r="O1363" s="27" t="s">
        <v>40</v>
      </c>
      <c r="P1363" s="28">
        <v>45383</v>
      </c>
      <c r="Q1363" s="29">
        <v>0.19391</v>
      </c>
      <c r="R1363" s="30">
        <v>71362</v>
      </c>
      <c r="S1363" s="27" t="s">
        <v>45</v>
      </c>
      <c r="T1363" s="29">
        <v>122388.9975</v>
      </c>
      <c r="U1363" s="27" t="s">
        <v>48</v>
      </c>
      <c r="V1363" s="28">
        <v>45392</v>
      </c>
      <c r="W1363" s="27" t="s">
        <v>38</v>
      </c>
      <c r="X1363" s="28">
        <v>45384</v>
      </c>
      <c r="Y1363" s="27" t="s">
        <v>33</v>
      </c>
      <c r="Z1363" s="43" t="e">
        <f>TEXT([1]!Table64[[#This Row],[Order date]],"mmm-yyyy")</f>
        <v>#REF!</v>
      </c>
    </row>
    <row r="1364" spans="1:26" x14ac:dyDescent="0.3">
      <c r="A1364" s="10">
        <v>11363</v>
      </c>
      <c r="B1364" s="11">
        <v>5090</v>
      </c>
      <c r="C1364" s="11" t="s">
        <v>34</v>
      </c>
      <c r="D1364" s="12">
        <v>39062.620000000003</v>
      </c>
      <c r="E1364" s="11">
        <v>13</v>
      </c>
      <c r="F1364" s="11" t="s">
        <v>43</v>
      </c>
      <c r="G1364" s="13">
        <v>45337</v>
      </c>
      <c r="H1364" s="12">
        <v>121136.1</v>
      </c>
      <c r="I1364" s="14" t="s">
        <v>27</v>
      </c>
      <c r="J1364" s="15" t="s">
        <v>36</v>
      </c>
      <c r="K1364" s="15">
        <v>1448</v>
      </c>
      <c r="L1364" s="16">
        <v>45397</v>
      </c>
      <c r="M1364" s="17">
        <v>11</v>
      </c>
      <c r="N1364" s="18">
        <v>91363</v>
      </c>
      <c r="O1364" s="18" t="s">
        <v>29</v>
      </c>
      <c r="P1364" s="19">
        <v>45352</v>
      </c>
      <c r="Q1364" s="20">
        <v>0.16764000000000001</v>
      </c>
      <c r="R1364" s="21">
        <v>71363</v>
      </c>
      <c r="S1364" s="18" t="s">
        <v>41</v>
      </c>
      <c r="T1364" s="20">
        <v>188124.87400000001</v>
      </c>
      <c r="U1364" s="18" t="s">
        <v>31</v>
      </c>
      <c r="V1364" s="19">
        <v>45444</v>
      </c>
      <c r="W1364" s="18" t="s">
        <v>38</v>
      </c>
      <c r="X1364" s="19">
        <v>45384</v>
      </c>
      <c r="Y1364" s="18" t="s">
        <v>33</v>
      </c>
      <c r="Z1364" s="43" t="e">
        <f>TEXT([1]!Table64[[#This Row],[Order date]],"mmm-yyyy")</f>
        <v>#REF!</v>
      </c>
    </row>
    <row r="1365" spans="1:26" x14ac:dyDescent="0.3">
      <c r="A1365" s="22">
        <v>11364</v>
      </c>
      <c r="B1365" s="23">
        <v>5654</v>
      </c>
      <c r="C1365" s="23" t="s">
        <v>34</v>
      </c>
      <c r="D1365" s="24">
        <v>67186.570000000007</v>
      </c>
      <c r="E1365" s="23">
        <v>45</v>
      </c>
      <c r="F1365" s="23" t="s">
        <v>46</v>
      </c>
      <c r="G1365" s="25">
        <v>45361</v>
      </c>
      <c r="H1365" s="24">
        <v>47316.47</v>
      </c>
      <c r="I1365" s="26" t="s">
        <v>27</v>
      </c>
      <c r="J1365" s="15" t="s">
        <v>28</v>
      </c>
      <c r="K1365" s="15">
        <v>1127</v>
      </c>
      <c r="L1365" s="16">
        <v>45361</v>
      </c>
      <c r="M1365" s="17">
        <v>10</v>
      </c>
      <c r="N1365" s="27">
        <v>91364</v>
      </c>
      <c r="O1365" s="27" t="s">
        <v>29</v>
      </c>
      <c r="P1365" s="28">
        <v>45430</v>
      </c>
      <c r="Q1365" s="29">
        <v>0.4128</v>
      </c>
      <c r="R1365" s="30">
        <v>71364</v>
      </c>
      <c r="S1365" s="27" t="s">
        <v>41</v>
      </c>
      <c r="T1365" s="29">
        <v>150341.96844999999</v>
      </c>
      <c r="U1365" s="27" t="s">
        <v>31</v>
      </c>
      <c r="V1365" s="28">
        <v>45444</v>
      </c>
      <c r="W1365" s="27" t="s">
        <v>32</v>
      </c>
      <c r="X1365" s="28">
        <v>45384</v>
      </c>
      <c r="Y1365" s="27" t="s">
        <v>33</v>
      </c>
      <c r="Z1365" s="43" t="e">
        <f>TEXT([1]!Table64[[#This Row],[Order date]],"mmm-yyyy")</f>
        <v>#REF!</v>
      </c>
    </row>
    <row r="1366" spans="1:26" x14ac:dyDescent="0.3">
      <c r="A1366" s="10">
        <v>11365</v>
      </c>
      <c r="B1366" s="11">
        <v>5320</v>
      </c>
      <c r="C1366" s="11" t="s">
        <v>34</v>
      </c>
      <c r="D1366" s="12">
        <v>90131.74</v>
      </c>
      <c r="E1366" s="11">
        <v>10</v>
      </c>
      <c r="F1366" s="11" t="s">
        <v>35</v>
      </c>
      <c r="G1366" s="13">
        <v>45383</v>
      </c>
      <c r="H1366" s="12">
        <v>82836.11</v>
      </c>
      <c r="I1366" s="14" t="s">
        <v>44</v>
      </c>
      <c r="J1366" s="15" t="s">
        <v>49</v>
      </c>
      <c r="K1366" s="15">
        <v>1349</v>
      </c>
      <c r="L1366" s="16">
        <v>45361</v>
      </c>
      <c r="M1366" s="17">
        <v>5</v>
      </c>
      <c r="N1366" s="18">
        <v>91365</v>
      </c>
      <c r="O1366" s="18" t="s">
        <v>40</v>
      </c>
      <c r="P1366" s="19">
        <v>45430</v>
      </c>
      <c r="Q1366" s="20">
        <v>0.65327999999999997</v>
      </c>
      <c r="R1366" s="21">
        <v>71365</v>
      </c>
      <c r="S1366" s="18" t="s">
        <v>41</v>
      </c>
      <c r="T1366" s="20">
        <v>110806.1695</v>
      </c>
      <c r="U1366" s="18" t="s">
        <v>42</v>
      </c>
      <c r="V1366" s="19">
        <v>45392</v>
      </c>
      <c r="W1366" s="18" t="s">
        <v>32</v>
      </c>
      <c r="X1366" s="19">
        <v>45376</v>
      </c>
      <c r="Y1366" s="18" t="s">
        <v>33</v>
      </c>
      <c r="Z1366" s="43" t="e">
        <f>TEXT([1]!Table64[[#This Row],[Order date]],"mmm-yyyy")</f>
        <v>#REF!</v>
      </c>
    </row>
    <row r="1367" spans="1:26" x14ac:dyDescent="0.3">
      <c r="A1367" s="22">
        <v>11366</v>
      </c>
      <c r="B1367" s="23">
        <v>6574</v>
      </c>
      <c r="C1367" s="23" t="s">
        <v>34</v>
      </c>
      <c r="D1367" s="24">
        <v>58000.76</v>
      </c>
      <c r="E1367" s="23">
        <v>9</v>
      </c>
      <c r="F1367" s="23" t="s">
        <v>26</v>
      </c>
      <c r="G1367" s="25">
        <v>45383</v>
      </c>
      <c r="H1367" s="24">
        <v>128000.74</v>
      </c>
      <c r="I1367" s="26" t="s">
        <v>47</v>
      </c>
      <c r="J1367" s="15" t="s">
        <v>49</v>
      </c>
      <c r="K1367" s="15">
        <v>1408</v>
      </c>
      <c r="L1367" s="16">
        <v>45361</v>
      </c>
      <c r="M1367" s="17">
        <v>9</v>
      </c>
      <c r="N1367" s="27">
        <v>91366</v>
      </c>
      <c r="O1367" s="27" t="s">
        <v>40</v>
      </c>
      <c r="P1367" s="28">
        <v>45383</v>
      </c>
      <c r="Q1367" s="29">
        <v>0.85377000000000003</v>
      </c>
      <c r="R1367" s="30">
        <v>71366</v>
      </c>
      <c r="S1367" s="27" t="s">
        <v>41</v>
      </c>
      <c r="T1367" s="29">
        <v>85406.148620000007</v>
      </c>
      <c r="U1367" s="27" t="s">
        <v>31</v>
      </c>
      <c r="V1367" s="28">
        <v>45392</v>
      </c>
      <c r="W1367" s="27" t="s">
        <v>32</v>
      </c>
      <c r="X1367" s="28">
        <v>45376</v>
      </c>
      <c r="Y1367" s="27" t="s">
        <v>33</v>
      </c>
      <c r="Z1367" s="43" t="e">
        <f>TEXT([1]!Table64[[#This Row],[Order date]],"mmm-yyyy")</f>
        <v>#REF!</v>
      </c>
    </row>
    <row r="1368" spans="1:26" x14ac:dyDescent="0.3">
      <c r="A1368" s="10">
        <v>11367</v>
      </c>
      <c r="B1368" s="11">
        <v>6829</v>
      </c>
      <c r="C1368" s="11" t="s">
        <v>34</v>
      </c>
      <c r="D1368" s="12">
        <v>21055.88</v>
      </c>
      <c r="E1368" s="11">
        <v>54</v>
      </c>
      <c r="F1368" s="11" t="s">
        <v>26</v>
      </c>
      <c r="G1368" s="13">
        <v>45383</v>
      </c>
      <c r="H1368" s="12">
        <v>117074.56</v>
      </c>
      <c r="I1368" s="14" t="s">
        <v>27</v>
      </c>
      <c r="J1368" s="15" t="s">
        <v>36</v>
      </c>
      <c r="K1368" s="15">
        <v>1104</v>
      </c>
      <c r="L1368" s="16">
        <v>45361</v>
      </c>
      <c r="M1368" s="17">
        <v>9</v>
      </c>
      <c r="N1368" s="18">
        <v>91367</v>
      </c>
      <c r="O1368" s="18" t="s">
        <v>37</v>
      </c>
      <c r="P1368" s="19">
        <v>45383</v>
      </c>
      <c r="Q1368" s="20">
        <v>0.26521</v>
      </c>
      <c r="R1368" s="21">
        <v>71367</v>
      </c>
      <c r="S1368" s="18" t="s">
        <v>41</v>
      </c>
      <c r="T1368" s="20">
        <v>199246.01501</v>
      </c>
      <c r="U1368" s="18" t="s">
        <v>42</v>
      </c>
      <c r="V1368" s="19">
        <v>45422</v>
      </c>
      <c r="W1368" s="18" t="s">
        <v>38</v>
      </c>
      <c r="X1368" s="19">
        <v>45384</v>
      </c>
      <c r="Y1368" s="18" t="s">
        <v>33</v>
      </c>
      <c r="Z1368" s="43" t="e">
        <f>TEXT([1]!Table64[[#This Row],[Order date]],"mmm-yyyy")</f>
        <v>#REF!</v>
      </c>
    </row>
    <row r="1369" spans="1:26" x14ac:dyDescent="0.3">
      <c r="A1369" s="22">
        <v>11368</v>
      </c>
      <c r="B1369" s="23">
        <v>6918</v>
      </c>
      <c r="C1369" s="23" t="s">
        <v>34</v>
      </c>
      <c r="D1369" s="24">
        <v>92117.27</v>
      </c>
      <c r="E1369" s="23">
        <v>27</v>
      </c>
      <c r="F1369" s="23" t="s">
        <v>43</v>
      </c>
      <c r="G1369" s="25">
        <v>45361</v>
      </c>
      <c r="H1369" s="24">
        <v>42778.74</v>
      </c>
      <c r="I1369" s="26" t="s">
        <v>44</v>
      </c>
      <c r="J1369" s="15" t="s">
        <v>49</v>
      </c>
      <c r="K1369" s="15">
        <v>1208</v>
      </c>
      <c r="L1369" s="16">
        <v>45332</v>
      </c>
      <c r="M1369" s="17">
        <v>13</v>
      </c>
      <c r="N1369" s="27">
        <v>91368</v>
      </c>
      <c r="O1369" s="27" t="s">
        <v>29</v>
      </c>
      <c r="P1369" s="28">
        <v>45383</v>
      </c>
      <c r="Q1369" s="29">
        <v>0.48218</v>
      </c>
      <c r="R1369" s="30">
        <v>71368</v>
      </c>
      <c r="S1369" s="27" t="s">
        <v>41</v>
      </c>
      <c r="T1369" s="29">
        <v>180256.27473999999</v>
      </c>
      <c r="U1369" s="27" t="s">
        <v>48</v>
      </c>
      <c r="V1369" s="28">
        <v>45422</v>
      </c>
      <c r="W1369" s="27" t="s">
        <v>32</v>
      </c>
      <c r="X1369" s="28">
        <v>45376</v>
      </c>
      <c r="Y1369" s="27" t="s">
        <v>33</v>
      </c>
      <c r="Z1369" s="43" t="e">
        <f>TEXT([1]!Table64[[#This Row],[Order date]],"mmm-yyyy")</f>
        <v>#REF!</v>
      </c>
    </row>
    <row r="1370" spans="1:26" x14ac:dyDescent="0.3">
      <c r="A1370" s="10">
        <v>11369</v>
      </c>
      <c r="B1370" s="11">
        <v>5139</v>
      </c>
      <c r="C1370" s="11" t="s">
        <v>34</v>
      </c>
      <c r="D1370" s="12">
        <v>52952.15</v>
      </c>
      <c r="E1370" s="11">
        <v>34</v>
      </c>
      <c r="F1370" s="11" t="s">
        <v>26</v>
      </c>
      <c r="G1370" s="13">
        <v>45361</v>
      </c>
      <c r="H1370" s="12">
        <v>138314.31</v>
      </c>
      <c r="I1370" s="14" t="s">
        <v>47</v>
      </c>
      <c r="J1370" s="15" t="s">
        <v>28</v>
      </c>
      <c r="K1370" s="15">
        <v>1131</v>
      </c>
      <c r="L1370" s="16">
        <v>45361</v>
      </c>
      <c r="M1370" s="17">
        <v>1</v>
      </c>
      <c r="N1370" s="18">
        <v>91369</v>
      </c>
      <c r="O1370" s="18" t="s">
        <v>37</v>
      </c>
      <c r="P1370" s="19">
        <v>45352</v>
      </c>
      <c r="Q1370" s="20">
        <v>0.45276</v>
      </c>
      <c r="R1370" s="21">
        <v>71369</v>
      </c>
      <c r="S1370" s="18" t="s">
        <v>41</v>
      </c>
      <c r="T1370" s="20">
        <v>127867.69310999999</v>
      </c>
      <c r="U1370" s="18" t="s">
        <v>48</v>
      </c>
      <c r="V1370" s="19">
        <v>45422</v>
      </c>
      <c r="W1370" s="18" t="s">
        <v>38</v>
      </c>
      <c r="X1370" s="19">
        <v>45376</v>
      </c>
      <c r="Y1370" s="18" t="s">
        <v>33</v>
      </c>
      <c r="Z1370" s="43" t="e">
        <f>TEXT([1]!Table64[[#This Row],[Order date]],"mmm-yyyy")</f>
        <v>#REF!</v>
      </c>
    </row>
    <row r="1371" spans="1:26" x14ac:dyDescent="0.3">
      <c r="A1371" s="22">
        <v>11370</v>
      </c>
      <c r="B1371" s="23">
        <v>6535</v>
      </c>
      <c r="C1371" s="23" t="s">
        <v>34</v>
      </c>
      <c r="D1371" s="24">
        <v>86833.95</v>
      </c>
      <c r="E1371" s="23">
        <v>1</v>
      </c>
      <c r="F1371" s="23" t="s">
        <v>43</v>
      </c>
      <c r="G1371" s="25">
        <v>45306</v>
      </c>
      <c r="H1371" s="24">
        <v>156804.23000000001</v>
      </c>
      <c r="I1371" s="26" t="s">
        <v>44</v>
      </c>
      <c r="J1371" s="15" t="s">
        <v>36</v>
      </c>
      <c r="K1371" s="15">
        <v>154</v>
      </c>
      <c r="L1371" s="16">
        <v>45332</v>
      </c>
      <c r="M1371" s="17">
        <v>5</v>
      </c>
      <c r="N1371" s="27">
        <v>91370</v>
      </c>
      <c r="O1371" s="27" t="s">
        <v>40</v>
      </c>
      <c r="P1371" s="28">
        <v>45383</v>
      </c>
      <c r="Q1371" s="29">
        <v>0.56205000000000005</v>
      </c>
      <c r="R1371" s="30">
        <v>71370</v>
      </c>
      <c r="S1371" s="27" t="s">
        <v>41</v>
      </c>
      <c r="T1371" s="29">
        <v>139200.97824</v>
      </c>
      <c r="U1371" s="27" t="s">
        <v>42</v>
      </c>
      <c r="V1371" s="28">
        <v>45422</v>
      </c>
      <c r="W1371" s="27" t="s">
        <v>38</v>
      </c>
      <c r="X1371" s="28">
        <v>45384</v>
      </c>
      <c r="Y1371" s="27" t="s">
        <v>39</v>
      </c>
      <c r="Z1371" s="43" t="e">
        <f>TEXT([1]!Table64[[#This Row],[Order date]],"mmm-yyyy")</f>
        <v>#REF!</v>
      </c>
    </row>
    <row r="1372" spans="1:26" x14ac:dyDescent="0.3">
      <c r="A1372" s="10">
        <v>11371</v>
      </c>
      <c r="B1372" s="11">
        <v>6892</v>
      </c>
      <c r="C1372" s="11" t="s">
        <v>34</v>
      </c>
      <c r="D1372" s="12">
        <v>27013.03</v>
      </c>
      <c r="E1372" s="11">
        <v>32</v>
      </c>
      <c r="F1372" s="11" t="s">
        <v>35</v>
      </c>
      <c r="G1372" s="13">
        <v>45306</v>
      </c>
      <c r="H1372" s="12">
        <v>30201.64</v>
      </c>
      <c r="I1372" s="14" t="s">
        <v>27</v>
      </c>
      <c r="J1372" s="15" t="s">
        <v>28</v>
      </c>
      <c r="K1372" s="15">
        <v>1339</v>
      </c>
      <c r="L1372" s="16">
        <v>45361</v>
      </c>
      <c r="M1372" s="17">
        <v>9</v>
      </c>
      <c r="N1372" s="18">
        <v>91371</v>
      </c>
      <c r="O1372" s="18" t="s">
        <v>29</v>
      </c>
      <c r="P1372" s="19">
        <v>45352</v>
      </c>
      <c r="Q1372" s="20">
        <v>0.82862999999999998</v>
      </c>
      <c r="R1372" s="21">
        <v>71371</v>
      </c>
      <c r="S1372" s="18" t="s">
        <v>30</v>
      </c>
      <c r="T1372" s="20">
        <v>122840.10127</v>
      </c>
      <c r="U1372" s="18" t="s">
        <v>48</v>
      </c>
      <c r="V1372" s="19">
        <v>45392</v>
      </c>
      <c r="W1372" s="18" t="s">
        <v>38</v>
      </c>
      <c r="X1372" s="19">
        <v>45384</v>
      </c>
      <c r="Y1372" s="18" t="s">
        <v>39</v>
      </c>
      <c r="Z1372" s="43" t="e">
        <f>TEXT([1]!Table64[[#This Row],[Order date]],"mmm-yyyy")</f>
        <v>#REF!</v>
      </c>
    </row>
    <row r="1373" spans="1:26" x14ac:dyDescent="0.3">
      <c r="A1373" s="22">
        <v>11372</v>
      </c>
      <c r="B1373" s="23">
        <v>5845</v>
      </c>
      <c r="C1373" s="23" t="s">
        <v>34</v>
      </c>
      <c r="D1373" s="24">
        <v>73784.59</v>
      </c>
      <c r="E1373" s="23">
        <v>89</v>
      </c>
      <c r="F1373" s="23" t="s">
        <v>26</v>
      </c>
      <c r="G1373" s="25">
        <v>45337</v>
      </c>
      <c r="H1373" s="24">
        <v>82956.73</v>
      </c>
      <c r="I1373" s="26" t="s">
        <v>44</v>
      </c>
      <c r="J1373" s="15" t="s">
        <v>36</v>
      </c>
      <c r="K1373" s="15">
        <v>302</v>
      </c>
      <c r="L1373" s="16">
        <v>45361</v>
      </c>
      <c r="M1373" s="17">
        <v>7</v>
      </c>
      <c r="N1373" s="27">
        <v>91372</v>
      </c>
      <c r="O1373" s="27" t="s">
        <v>40</v>
      </c>
      <c r="P1373" s="28">
        <v>45383</v>
      </c>
      <c r="Q1373" s="29">
        <v>0.59828000000000003</v>
      </c>
      <c r="R1373" s="30">
        <v>71372</v>
      </c>
      <c r="S1373" s="27" t="s">
        <v>45</v>
      </c>
      <c r="T1373" s="29">
        <v>110192.68747999999</v>
      </c>
      <c r="U1373" s="27" t="s">
        <v>31</v>
      </c>
      <c r="V1373" s="28">
        <v>45392</v>
      </c>
      <c r="W1373" s="27" t="s">
        <v>38</v>
      </c>
      <c r="X1373" s="28">
        <v>45384</v>
      </c>
      <c r="Y1373" s="27" t="s">
        <v>33</v>
      </c>
      <c r="Z1373" s="43" t="e">
        <f>TEXT([1]!Table64[[#This Row],[Order date]],"mmm-yyyy")</f>
        <v>#REF!</v>
      </c>
    </row>
    <row r="1374" spans="1:26" x14ac:dyDescent="0.3">
      <c r="A1374" s="10">
        <v>11373</v>
      </c>
      <c r="B1374" s="11">
        <v>5259</v>
      </c>
      <c r="C1374" s="11" t="s">
        <v>34</v>
      </c>
      <c r="D1374" s="12">
        <v>44764.19</v>
      </c>
      <c r="E1374" s="11">
        <v>93</v>
      </c>
      <c r="F1374" s="11" t="s">
        <v>43</v>
      </c>
      <c r="G1374" s="13">
        <v>45306</v>
      </c>
      <c r="H1374" s="12">
        <v>94663.92</v>
      </c>
      <c r="I1374" s="14" t="s">
        <v>44</v>
      </c>
      <c r="J1374" s="15" t="s">
        <v>36</v>
      </c>
      <c r="K1374" s="15">
        <v>344</v>
      </c>
      <c r="L1374" s="16">
        <v>45397</v>
      </c>
      <c r="M1374" s="17">
        <v>6</v>
      </c>
      <c r="N1374" s="18">
        <v>91373</v>
      </c>
      <c r="O1374" s="18" t="s">
        <v>37</v>
      </c>
      <c r="P1374" s="19">
        <v>45383</v>
      </c>
      <c r="Q1374" s="20">
        <v>0.86199000000000003</v>
      </c>
      <c r="R1374" s="21">
        <v>71373</v>
      </c>
      <c r="S1374" s="18" t="s">
        <v>30</v>
      </c>
      <c r="T1374" s="20">
        <v>142414.06365</v>
      </c>
      <c r="U1374" s="18" t="s">
        <v>31</v>
      </c>
      <c r="V1374" s="19">
        <v>45392</v>
      </c>
      <c r="W1374" s="18" t="s">
        <v>38</v>
      </c>
      <c r="X1374" s="19">
        <v>45376</v>
      </c>
      <c r="Y1374" s="18" t="s">
        <v>33</v>
      </c>
      <c r="Z1374" s="43" t="e">
        <f>TEXT([1]!Table64[[#This Row],[Order date]],"mmm-yyyy")</f>
        <v>#REF!</v>
      </c>
    </row>
    <row r="1375" spans="1:26" x14ac:dyDescent="0.3">
      <c r="A1375" s="22">
        <v>11374</v>
      </c>
      <c r="B1375" s="23">
        <v>6697</v>
      </c>
      <c r="C1375" s="23" t="s">
        <v>34</v>
      </c>
      <c r="D1375" s="24">
        <v>62772.97</v>
      </c>
      <c r="E1375" s="23">
        <v>71</v>
      </c>
      <c r="F1375" s="23" t="s">
        <v>46</v>
      </c>
      <c r="G1375" s="25">
        <v>45337</v>
      </c>
      <c r="H1375" s="24">
        <v>41356.080000000002</v>
      </c>
      <c r="I1375" s="26" t="s">
        <v>47</v>
      </c>
      <c r="J1375" s="15" t="s">
        <v>28</v>
      </c>
      <c r="K1375" s="15">
        <v>717</v>
      </c>
      <c r="L1375" s="16">
        <v>45332</v>
      </c>
      <c r="M1375" s="17">
        <v>6</v>
      </c>
      <c r="N1375" s="27">
        <v>91374</v>
      </c>
      <c r="O1375" s="27" t="s">
        <v>37</v>
      </c>
      <c r="P1375" s="28">
        <v>45430</v>
      </c>
      <c r="Q1375" s="29">
        <v>0.56669999999999998</v>
      </c>
      <c r="R1375" s="30">
        <v>71374</v>
      </c>
      <c r="S1375" s="27" t="s">
        <v>41</v>
      </c>
      <c r="T1375" s="29">
        <v>83007.773799999995</v>
      </c>
      <c r="U1375" s="27" t="s">
        <v>42</v>
      </c>
      <c r="V1375" s="28">
        <v>45422</v>
      </c>
      <c r="W1375" s="27" t="s">
        <v>38</v>
      </c>
      <c r="X1375" s="28">
        <v>45384</v>
      </c>
      <c r="Y1375" s="27" t="s">
        <v>33</v>
      </c>
      <c r="Z1375" s="43" t="e">
        <f>TEXT([1]!Table64[[#This Row],[Order date]],"mmm-yyyy")</f>
        <v>#REF!</v>
      </c>
    </row>
    <row r="1376" spans="1:26" x14ac:dyDescent="0.3">
      <c r="A1376" s="10">
        <v>11375</v>
      </c>
      <c r="B1376" s="11">
        <v>5902</v>
      </c>
      <c r="C1376" s="11" t="s">
        <v>34</v>
      </c>
      <c r="D1376" s="12">
        <v>26811.24</v>
      </c>
      <c r="E1376" s="11">
        <v>67</v>
      </c>
      <c r="F1376" s="11" t="s">
        <v>43</v>
      </c>
      <c r="G1376" s="13">
        <v>45383</v>
      </c>
      <c r="H1376" s="12">
        <v>152732.63</v>
      </c>
      <c r="I1376" s="14" t="s">
        <v>47</v>
      </c>
      <c r="J1376" s="15" t="s">
        <v>49</v>
      </c>
      <c r="K1376" s="15">
        <v>1231</v>
      </c>
      <c r="L1376" s="16">
        <v>45397</v>
      </c>
      <c r="M1376" s="17">
        <v>11</v>
      </c>
      <c r="N1376" s="18">
        <v>91375</v>
      </c>
      <c r="O1376" s="18" t="s">
        <v>37</v>
      </c>
      <c r="P1376" s="19">
        <v>45383</v>
      </c>
      <c r="Q1376" s="20">
        <v>0.64346000000000003</v>
      </c>
      <c r="R1376" s="21">
        <v>71375</v>
      </c>
      <c r="S1376" s="18" t="s">
        <v>41</v>
      </c>
      <c r="T1376" s="20">
        <v>71198.496599999999</v>
      </c>
      <c r="U1376" s="18" t="s">
        <v>48</v>
      </c>
      <c r="V1376" s="19">
        <v>45392</v>
      </c>
      <c r="W1376" s="18" t="s">
        <v>38</v>
      </c>
      <c r="X1376" s="19">
        <v>45376</v>
      </c>
      <c r="Y1376" s="18" t="s">
        <v>33</v>
      </c>
      <c r="Z1376" s="43" t="e">
        <f>TEXT([1]!Table64[[#This Row],[Order date]],"mmm-yyyy")</f>
        <v>#REF!</v>
      </c>
    </row>
    <row r="1377" spans="1:26" x14ac:dyDescent="0.3">
      <c r="A1377" s="22">
        <v>11376</v>
      </c>
      <c r="B1377" s="23">
        <v>5690</v>
      </c>
      <c r="C1377" s="23" t="s">
        <v>25</v>
      </c>
      <c r="D1377" s="24">
        <v>50768.18</v>
      </c>
      <c r="E1377" s="23">
        <v>84</v>
      </c>
      <c r="F1377" s="23" t="s">
        <v>26</v>
      </c>
      <c r="G1377" s="25">
        <v>45306</v>
      </c>
      <c r="H1377" s="24">
        <v>148875.29999999999</v>
      </c>
      <c r="I1377" s="26" t="s">
        <v>47</v>
      </c>
      <c r="J1377" s="15" t="s">
        <v>49</v>
      </c>
      <c r="K1377" s="15">
        <v>598</v>
      </c>
      <c r="L1377" s="16">
        <v>45361</v>
      </c>
      <c r="M1377" s="17">
        <v>7</v>
      </c>
      <c r="N1377" s="27">
        <v>91376</v>
      </c>
      <c r="O1377" s="27" t="s">
        <v>29</v>
      </c>
      <c r="P1377" s="28">
        <v>45352</v>
      </c>
      <c r="Q1377" s="29">
        <v>0.49364000000000002</v>
      </c>
      <c r="R1377" s="30">
        <v>71376</v>
      </c>
      <c r="S1377" s="27" t="s">
        <v>45</v>
      </c>
      <c r="T1377" s="29">
        <v>193166.24549999999</v>
      </c>
      <c r="U1377" s="27" t="s">
        <v>48</v>
      </c>
      <c r="V1377" s="28">
        <v>45444</v>
      </c>
      <c r="W1377" s="27" t="s">
        <v>32</v>
      </c>
      <c r="X1377" s="28">
        <v>45376</v>
      </c>
      <c r="Y1377" s="27" t="s">
        <v>33</v>
      </c>
      <c r="Z1377" s="43" t="e">
        <f>TEXT([1]!Table64[[#This Row],[Order date]],"mmm-yyyy")</f>
        <v>#REF!</v>
      </c>
    </row>
    <row r="1378" spans="1:26" x14ac:dyDescent="0.3">
      <c r="A1378" s="10">
        <v>11377</v>
      </c>
      <c r="B1378" s="11">
        <v>5010</v>
      </c>
      <c r="C1378" s="11" t="s">
        <v>34</v>
      </c>
      <c r="D1378" s="12">
        <v>41640.129999999997</v>
      </c>
      <c r="E1378" s="11">
        <v>20</v>
      </c>
      <c r="F1378" s="11" t="s">
        <v>35</v>
      </c>
      <c r="G1378" s="13">
        <v>45361</v>
      </c>
      <c r="H1378" s="12">
        <v>109431.24</v>
      </c>
      <c r="I1378" s="14" t="s">
        <v>27</v>
      </c>
      <c r="J1378" s="15" t="s">
        <v>36</v>
      </c>
      <c r="K1378" s="15">
        <v>680</v>
      </c>
      <c r="L1378" s="16">
        <v>45332</v>
      </c>
      <c r="M1378" s="17">
        <v>1</v>
      </c>
      <c r="N1378" s="18">
        <v>91377</v>
      </c>
      <c r="O1378" s="18" t="s">
        <v>40</v>
      </c>
      <c r="P1378" s="19">
        <v>45430</v>
      </c>
      <c r="Q1378" s="20">
        <v>0.84079000000000004</v>
      </c>
      <c r="R1378" s="21">
        <v>71377</v>
      </c>
      <c r="S1378" s="18" t="s">
        <v>41</v>
      </c>
      <c r="T1378" s="20">
        <v>66812.313540000003</v>
      </c>
      <c r="U1378" s="18" t="s">
        <v>42</v>
      </c>
      <c r="V1378" s="19">
        <v>45422</v>
      </c>
      <c r="W1378" s="18" t="s">
        <v>38</v>
      </c>
      <c r="X1378" s="19">
        <v>45376</v>
      </c>
      <c r="Y1378" s="18" t="s">
        <v>33</v>
      </c>
      <c r="Z1378" s="43" t="e">
        <f>TEXT([1]!Table64[[#This Row],[Order date]],"mmm-yyyy")</f>
        <v>#REF!</v>
      </c>
    </row>
    <row r="1379" spans="1:26" x14ac:dyDescent="0.3">
      <c r="A1379" s="22">
        <v>11378</v>
      </c>
      <c r="B1379" s="23">
        <v>5261</v>
      </c>
      <c r="C1379" s="23" t="s">
        <v>34</v>
      </c>
      <c r="D1379" s="24">
        <v>27768.19</v>
      </c>
      <c r="E1379" s="23">
        <v>94</v>
      </c>
      <c r="F1379" s="23" t="s">
        <v>26</v>
      </c>
      <c r="G1379" s="25">
        <v>45306</v>
      </c>
      <c r="H1379" s="24">
        <v>39125.800000000003</v>
      </c>
      <c r="I1379" s="26" t="s">
        <v>44</v>
      </c>
      <c r="J1379" s="15" t="s">
        <v>28</v>
      </c>
      <c r="K1379" s="15">
        <v>1140</v>
      </c>
      <c r="L1379" s="16">
        <v>45361</v>
      </c>
      <c r="M1379" s="17">
        <v>4</v>
      </c>
      <c r="N1379" s="27">
        <v>91378</v>
      </c>
      <c r="O1379" s="27" t="s">
        <v>40</v>
      </c>
      <c r="P1379" s="28">
        <v>45352</v>
      </c>
      <c r="Q1379" s="29">
        <v>0.93144000000000005</v>
      </c>
      <c r="R1379" s="30">
        <v>71378</v>
      </c>
      <c r="S1379" s="27" t="s">
        <v>45</v>
      </c>
      <c r="T1379" s="29">
        <v>67317.433569999994</v>
      </c>
      <c r="U1379" s="27" t="s">
        <v>42</v>
      </c>
      <c r="V1379" s="28">
        <v>45444</v>
      </c>
      <c r="W1379" s="27" t="s">
        <v>38</v>
      </c>
      <c r="X1379" s="28">
        <v>45384</v>
      </c>
      <c r="Y1379" s="27" t="s">
        <v>39</v>
      </c>
      <c r="Z1379" s="43" t="e">
        <f>TEXT([1]!Table64[[#This Row],[Order date]],"mmm-yyyy")</f>
        <v>#REF!</v>
      </c>
    </row>
    <row r="1380" spans="1:26" x14ac:dyDescent="0.3">
      <c r="A1380" s="10">
        <v>11379</v>
      </c>
      <c r="B1380" s="11">
        <v>6943</v>
      </c>
      <c r="C1380" s="11" t="s">
        <v>34</v>
      </c>
      <c r="D1380" s="12">
        <v>35827.07</v>
      </c>
      <c r="E1380" s="11">
        <v>35</v>
      </c>
      <c r="F1380" s="11" t="s">
        <v>26</v>
      </c>
      <c r="G1380" s="13">
        <v>45337</v>
      </c>
      <c r="H1380" s="12">
        <v>174005.44</v>
      </c>
      <c r="I1380" s="14" t="s">
        <v>44</v>
      </c>
      <c r="J1380" s="15" t="s">
        <v>28</v>
      </c>
      <c r="K1380" s="15">
        <v>348</v>
      </c>
      <c r="L1380" s="16">
        <v>45397</v>
      </c>
      <c r="M1380" s="17">
        <v>13</v>
      </c>
      <c r="N1380" s="18">
        <v>91379</v>
      </c>
      <c r="O1380" s="18" t="s">
        <v>37</v>
      </c>
      <c r="P1380" s="19">
        <v>45430</v>
      </c>
      <c r="Q1380" s="20">
        <v>0.67523</v>
      </c>
      <c r="R1380" s="21">
        <v>71379</v>
      </c>
      <c r="S1380" s="18" t="s">
        <v>45</v>
      </c>
      <c r="T1380" s="20">
        <v>219229.90109999999</v>
      </c>
      <c r="U1380" s="18" t="s">
        <v>48</v>
      </c>
      <c r="V1380" s="19">
        <v>45422</v>
      </c>
      <c r="W1380" s="18" t="s">
        <v>32</v>
      </c>
      <c r="X1380" s="19">
        <v>45384</v>
      </c>
      <c r="Y1380" s="18" t="s">
        <v>33</v>
      </c>
      <c r="Z1380" s="43" t="e">
        <f>TEXT([1]!Table64[[#This Row],[Order date]],"mmm-yyyy")</f>
        <v>#REF!</v>
      </c>
    </row>
    <row r="1381" spans="1:26" x14ac:dyDescent="0.3">
      <c r="A1381" s="22">
        <v>11380</v>
      </c>
      <c r="B1381" s="23">
        <v>6674</v>
      </c>
      <c r="C1381" s="23" t="s">
        <v>25</v>
      </c>
      <c r="D1381" s="24">
        <v>68029.06</v>
      </c>
      <c r="E1381" s="23">
        <v>99</v>
      </c>
      <c r="F1381" s="23" t="s">
        <v>43</v>
      </c>
      <c r="G1381" s="25">
        <v>45306</v>
      </c>
      <c r="H1381" s="24">
        <v>88695.93</v>
      </c>
      <c r="I1381" s="26" t="s">
        <v>44</v>
      </c>
      <c r="J1381" s="15" t="s">
        <v>36</v>
      </c>
      <c r="K1381" s="15">
        <v>150</v>
      </c>
      <c r="L1381" s="16">
        <v>45332</v>
      </c>
      <c r="M1381" s="17">
        <v>1</v>
      </c>
      <c r="N1381" s="27">
        <v>91380</v>
      </c>
      <c r="O1381" s="27" t="s">
        <v>37</v>
      </c>
      <c r="P1381" s="28">
        <v>45352</v>
      </c>
      <c r="Q1381" s="29">
        <v>0.8387</v>
      </c>
      <c r="R1381" s="30">
        <v>71380</v>
      </c>
      <c r="S1381" s="27" t="s">
        <v>30</v>
      </c>
      <c r="T1381" s="29">
        <v>146151.1201</v>
      </c>
      <c r="U1381" s="27" t="s">
        <v>42</v>
      </c>
      <c r="V1381" s="28">
        <v>45392</v>
      </c>
      <c r="W1381" s="27" t="s">
        <v>38</v>
      </c>
      <c r="X1381" s="28">
        <v>45376</v>
      </c>
      <c r="Y1381" s="27" t="s">
        <v>33</v>
      </c>
      <c r="Z1381" s="43" t="e">
        <f>TEXT([1]!Table64[[#This Row],[Order date]],"mmm-yyyy")</f>
        <v>#REF!</v>
      </c>
    </row>
    <row r="1382" spans="1:26" x14ac:dyDescent="0.3">
      <c r="A1382" s="10">
        <v>11381</v>
      </c>
      <c r="B1382" s="11">
        <v>5172</v>
      </c>
      <c r="C1382" s="11" t="s">
        <v>34</v>
      </c>
      <c r="D1382" s="12">
        <v>56136.07</v>
      </c>
      <c r="E1382" s="11">
        <v>91</v>
      </c>
      <c r="F1382" s="11" t="s">
        <v>46</v>
      </c>
      <c r="G1382" s="13">
        <v>45383</v>
      </c>
      <c r="H1382" s="12">
        <v>84662.65</v>
      </c>
      <c r="I1382" s="14" t="s">
        <v>27</v>
      </c>
      <c r="J1382" s="15" t="s">
        <v>49</v>
      </c>
      <c r="K1382" s="15">
        <v>1129</v>
      </c>
      <c r="L1382" s="16">
        <v>45397</v>
      </c>
      <c r="M1382" s="17">
        <v>6</v>
      </c>
      <c r="N1382" s="18">
        <v>91381</v>
      </c>
      <c r="O1382" s="18" t="s">
        <v>37</v>
      </c>
      <c r="P1382" s="19">
        <v>45430</v>
      </c>
      <c r="Q1382" s="20">
        <v>0.15310000000000001</v>
      </c>
      <c r="R1382" s="21">
        <v>71381</v>
      </c>
      <c r="S1382" s="18" t="s">
        <v>41</v>
      </c>
      <c r="T1382" s="20">
        <v>114517.79015</v>
      </c>
      <c r="U1382" s="18" t="s">
        <v>31</v>
      </c>
      <c r="V1382" s="19">
        <v>45422</v>
      </c>
      <c r="W1382" s="18" t="s">
        <v>32</v>
      </c>
      <c r="X1382" s="19">
        <v>45376</v>
      </c>
      <c r="Y1382" s="18" t="s">
        <v>33</v>
      </c>
      <c r="Z1382" s="43" t="e">
        <f>TEXT([1]!Table64[[#This Row],[Order date]],"mmm-yyyy")</f>
        <v>#REF!</v>
      </c>
    </row>
    <row r="1383" spans="1:26" x14ac:dyDescent="0.3">
      <c r="A1383" s="22">
        <v>11382</v>
      </c>
      <c r="B1383" s="23">
        <v>5898</v>
      </c>
      <c r="C1383" s="23" t="s">
        <v>34</v>
      </c>
      <c r="D1383" s="24">
        <v>77159.89</v>
      </c>
      <c r="E1383" s="23">
        <v>90</v>
      </c>
      <c r="F1383" s="23" t="s">
        <v>26</v>
      </c>
      <c r="G1383" s="25">
        <v>45361</v>
      </c>
      <c r="H1383" s="24">
        <v>60806.06</v>
      </c>
      <c r="I1383" s="26" t="s">
        <v>44</v>
      </c>
      <c r="J1383" s="15" t="s">
        <v>28</v>
      </c>
      <c r="K1383" s="15">
        <v>381</v>
      </c>
      <c r="L1383" s="16">
        <v>45361</v>
      </c>
      <c r="M1383" s="17">
        <v>14</v>
      </c>
      <c r="N1383" s="27">
        <v>91382</v>
      </c>
      <c r="O1383" s="27" t="s">
        <v>37</v>
      </c>
      <c r="P1383" s="28">
        <v>45352</v>
      </c>
      <c r="Q1383" s="29">
        <v>0.91549999999999998</v>
      </c>
      <c r="R1383" s="30">
        <v>71382</v>
      </c>
      <c r="S1383" s="27" t="s">
        <v>45</v>
      </c>
      <c r="T1383" s="29">
        <v>73560.446400000001</v>
      </c>
      <c r="U1383" s="27" t="s">
        <v>48</v>
      </c>
      <c r="V1383" s="28">
        <v>45444</v>
      </c>
      <c r="W1383" s="27" t="s">
        <v>38</v>
      </c>
      <c r="X1383" s="28">
        <v>45384</v>
      </c>
      <c r="Y1383" s="27" t="s">
        <v>33</v>
      </c>
      <c r="Z1383" s="43" t="e">
        <f>TEXT([1]!Table64[[#This Row],[Order date]],"mmm-yyyy")</f>
        <v>#REF!</v>
      </c>
    </row>
    <row r="1384" spans="1:26" x14ac:dyDescent="0.3">
      <c r="A1384" s="10">
        <v>11383</v>
      </c>
      <c r="B1384" s="11">
        <v>5013</v>
      </c>
      <c r="C1384" s="11" t="s">
        <v>34</v>
      </c>
      <c r="D1384" s="12">
        <v>88032.43</v>
      </c>
      <c r="E1384" s="11">
        <v>78</v>
      </c>
      <c r="F1384" s="11" t="s">
        <v>46</v>
      </c>
      <c r="G1384" s="13">
        <v>45337</v>
      </c>
      <c r="H1384" s="12">
        <v>40842.629999999997</v>
      </c>
      <c r="I1384" s="14" t="s">
        <v>27</v>
      </c>
      <c r="J1384" s="15" t="s">
        <v>49</v>
      </c>
      <c r="K1384" s="15">
        <v>885</v>
      </c>
      <c r="L1384" s="16">
        <v>45361</v>
      </c>
      <c r="M1384" s="17">
        <v>13</v>
      </c>
      <c r="N1384" s="18">
        <v>91383</v>
      </c>
      <c r="O1384" s="18" t="s">
        <v>50</v>
      </c>
      <c r="P1384" s="19">
        <v>45352</v>
      </c>
      <c r="Q1384" s="20">
        <v>0.27002999999999999</v>
      </c>
      <c r="R1384" s="21">
        <v>71383</v>
      </c>
      <c r="S1384" s="18" t="s">
        <v>30</v>
      </c>
      <c r="T1384" s="20">
        <v>134074.39618000001</v>
      </c>
      <c r="U1384" s="18" t="s">
        <v>42</v>
      </c>
      <c r="V1384" s="19">
        <v>45422</v>
      </c>
      <c r="W1384" s="18" t="s">
        <v>38</v>
      </c>
      <c r="X1384" s="19">
        <v>45384</v>
      </c>
      <c r="Y1384" s="18" t="s">
        <v>33</v>
      </c>
      <c r="Z1384" s="43" t="e">
        <f>TEXT([1]!Table64[[#This Row],[Order date]],"mmm-yyyy")</f>
        <v>#REF!</v>
      </c>
    </row>
    <row r="1385" spans="1:26" x14ac:dyDescent="0.3">
      <c r="A1385" s="22">
        <v>11384</v>
      </c>
      <c r="B1385" s="23">
        <v>6192</v>
      </c>
      <c r="C1385" s="23" t="s">
        <v>34</v>
      </c>
      <c r="D1385" s="24">
        <v>39742.5</v>
      </c>
      <c r="E1385" s="23">
        <v>17</v>
      </c>
      <c r="F1385" s="23" t="s">
        <v>43</v>
      </c>
      <c r="G1385" s="25">
        <v>45361</v>
      </c>
      <c r="H1385" s="24">
        <v>149783.07999999999</v>
      </c>
      <c r="I1385" s="26" t="s">
        <v>47</v>
      </c>
      <c r="J1385" s="15" t="s">
        <v>49</v>
      </c>
      <c r="K1385" s="15">
        <v>442</v>
      </c>
      <c r="L1385" s="16">
        <v>45361</v>
      </c>
      <c r="M1385" s="17">
        <v>4</v>
      </c>
      <c r="N1385" s="27">
        <v>91384</v>
      </c>
      <c r="O1385" s="27" t="s">
        <v>50</v>
      </c>
      <c r="P1385" s="28">
        <v>45383</v>
      </c>
      <c r="Q1385" s="29">
        <v>0.33087</v>
      </c>
      <c r="R1385" s="30">
        <v>71384</v>
      </c>
      <c r="S1385" s="27" t="s">
        <v>41</v>
      </c>
      <c r="T1385" s="29">
        <v>101322.76906000001</v>
      </c>
      <c r="U1385" s="27" t="s">
        <v>42</v>
      </c>
      <c r="V1385" s="28">
        <v>45444</v>
      </c>
      <c r="W1385" s="27" t="s">
        <v>38</v>
      </c>
      <c r="X1385" s="28">
        <v>45376</v>
      </c>
      <c r="Y1385" s="27" t="s">
        <v>33</v>
      </c>
      <c r="Z1385" s="43" t="e">
        <f>TEXT([1]!Table64[[#This Row],[Order date]],"mmm-yyyy")</f>
        <v>#REF!</v>
      </c>
    </row>
    <row r="1386" spans="1:26" x14ac:dyDescent="0.3">
      <c r="A1386" s="10">
        <v>11385</v>
      </c>
      <c r="B1386" s="11">
        <v>6666</v>
      </c>
      <c r="C1386" s="11" t="s">
        <v>34</v>
      </c>
      <c r="D1386" s="12">
        <v>86502.47</v>
      </c>
      <c r="E1386" s="11">
        <v>18</v>
      </c>
      <c r="F1386" s="11" t="s">
        <v>46</v>
      </c>
      <c r="G1386" s="13">
        <v>45361</v>
      </c>
      <c r="H1386" s="12">
        <v>98631.37</v>
      </c>
      <c r="I1386" s="14" t="s">
        <v>44</v>
      </c>
      <c r="J1386" s="15" t="s">
        <v>36</v>
      </c>
      <c r="K1386" s="15">
        <v>923</v>
      </c>
      <c r="L1386" s="16">
        <v>45332</v>
      </c>
      <c r="M1386" s="17">
        <v>1</v>
      </c>
      <c r="N1386" s="18">
        <v>91385</v>
      </c>
      <c r="O1386" s="18" t="s">
        <v>50</v>
      </c>
      <c r="P1386" s="19">
        <v>45430</v>
      </c>
      <c r="Q1386" s="20">
        <v>0.14799999999999999</v>
      </c>
      <c r="R1386" s="21">
        <v>71385</v>
      </c>
      <c r="S1386" s="18" t="s">
        <v>45</v>
      </c>
      <c r="T1386" s="20">
        <v>197879.10605</v>
      </c>
      <c r="U1386" s="18" t="s">
        <v>42</v>
      </c>
      <c r="V1386" s="19">
        <v>45392</v>
      </c>
      <c r="W1386" s="18" t="s">
        <v>32</v>
      </c>
      <c r="X1386" s="19">
        <v>45384</v>
      </c>
      <c r="Y1386" s="18" t="s">
        <v>33</v>
      </c>
      <c r="Z1386" s="43" t="e">
        <f>TEXT([1]!Table64[[#This Row],[Order date]],"mmm-yyyy")</f>
        <v>#REF!</v>
      </c>
    </row>
    <row r="1387" spans="1:26" x14ac:dyDescent="0.3">
      <c r="A1387" s="22">
        <v>11386</v>
      </c>
      <c r="B1387" s="23">
        <v>6620</v>
      </c>
      <c r="C1387" s="23" t="s">
        <v>34</v>
      </c>
      <c r="D1387" s="24">
        <v>60654.17</v>
      </c>
      <c r="E1387" s="23">
        <v>45</v>
      </c>
      <c r="F1387" s="23" t="s">
        <v>43</v>
      </c>
      <c r="G1387" s="25">
        <v>45337</v>
      </c>
      <c r="H1387" s="24">
        <v>159487.04000000001</v>
      </c>
      <c r="I1387" s="26" t="s">
        <v>47</v>
      </c>
      <c r="J1387" s="15" t="s">
        <v>36</v>
      </c>
      <c r="K1387" s="15">
        <v>430</v>
      </c>
      <c r="L1387" s="16">
        <v>45397</v>
      </c>
      <c r="M1387" s="17">
        <v>9</v>
      </c>
      <c r="N1387" s="27">
        <v>91386</v>
      </c>
      <c r="O1387" s="27" t="s">
        <v>37</v>
      </c>
      <c r="P1387" s="28">
        <v>45430</v>
      </c>
      <c r="Q1387" s="29">
        <v>0.96886000000000005</v>
      </c>
      <c r="R1387" s="30">
        <v>71386</v>
      </c>
      <c r="S1387" s="27" t="s">
        <v>41</v>
      </c>
      <c r="T1387" s="29">
        <v>213307.2818</v>
      </c>
      <c r="U1387" s="27" t="s">
        <v>48</v>
      </c>
      <c r="V1387" s="28">
        <v>45444</v>
      </c>
      <c r="W1387" s="27" t="s">
        <v>38</v>
      </c>
      <c r="X1387" s="28">
        <v>45384</v>
      </c>
      <c r="Y1387" s="27" t="s">
        <v>33</v>
      </c>
      <c r="Z1387" s="43" t="e">
        <f>TEXT([1]!Table64[[#This Row],[Order date]],"mmm-yyyy")</f>
        <v>#REF!</v>
      </c>
    </row>
    <row r="1388" spans="1:26" x14ac:dyDescent="0.3">
      <c r="A1388" s="10">
        <v>11387</v>
      </c>
      <c r="B1388" s="11">
        <v>5321</v>
      </c>
      <c r="C1388" s="11" t="s">
        <v>25</v>
      </c>
      <c r="D1388" s="12">
        <v>85177.21</v>
      </c>
      <c r="E1388" s="11">
        <v>93</v>
      </c>
      <c r="F1388" s="11" t="s">
        <v>35</v>
      </c>
      <c r="G1388" s="13">
        <v>45361</v>
      </c>
      <c r="H1388" s="12">
        <v>28953.85</v>
      </c>
      <c r="I1388" s="14" t="s">
        <v>44</v>
      </c>
      <c r="J1388" s="15" t="s">
        <v>49</v>
      </c>
      <c r="K1388" s="15">
        <v>141</v>
      </c>
      <c r="L1388" s="16">
        <v>45397</v>
      </c>
      <c r="M1388" s="17">
        <v>12</v>
      </c>
      <c r="N1388" s="18">
        <v>91387</v>
      </c>
      <c r="O1388" s="18" t="s">
        <v>37</v>
      </c>
      <c r="P1388" s="19">
        <v>45383</v>
      </c>
      <c r="Q1388" s="20">
        <v>0.86680999999999997</v>
      </c>
      <c r="R1388" s="21">
        <v>71387</v>
      </c>
      <c r="S1388" s="18" t="s">
        <v>41</v>
      </c>
      <c r="T1388" s="20">
        <v>144712.39618000001</v>
      </c>
      <c r="U1388" s="18" t="s">
        <v>31</v>
      </c>
      <c r="V1388" s="19">
        <v>45392</v>
      </c>
      <c r="W1388" s="18" t="s">
        <v>32</v>
      </c>
      <c r="X1388" s="19">
        <v>45376</v>
      </c>
      <c r="Y1388" s="18" t="s">
        <v>33</v>
      </c>
      <c r="Z1388" s="43" t="e">
        <f>TEXT([1]!Table64[[#This Row],[Order date]],"mmm-yyyy")</f>
        <v>#REF!</v>
      </c>
    </row>
    <row r="1389" spans="1:26" x14ac:dyDescent="0.3">
      <c r="A1389" s="22">
        <v>11388</v>
      </c>
      <c r="B1389" s="23">
        <v>6343</v>
      </c>
      <c r="C1389" s="23" t="s">
        <v>25</v>
      </c>
      <c r="D1389" s="24">
        <v>35865.79</v>
      </c>
      <c r="E1389" s="23">
        <v>84</v>
      </c>
      <c r="F1389" s="23" t="s">
        <v>46</v>
      </c>
      <c r="G1389" s="25">
        <v>45361</v>
      </c>
      <c r="H1389" s="24">
        <v>88292.98</v>
      </c>
      <c r="I1389" s="26" t="s">
        <v>47</v>
      </c>
      <c r="J1389" s="15" t="s">
        <v>28</v>
      </c>
      <c r="K1389" s="15">
        <v>496</v>
      </c>
      <c r="L1389" s="16">
        <v>45361</v>
      </c>
      <c r="M1389" s="17">
        <v>4</v>
      </c>
      <c r="N1389" s="27">
        <v>91388</v>
      </c>
      <c r="O1389" s="27" t="s">
        <v>40</v>
      </c>
      <c r="P1389" s="28">
        <v>45352</v>
      </c>
      <c r="Q1389" s="29">
        <v>0.92186999999999997</v>
      </c>
      <c r="R1389" s="30">
        <v>71388</v>
      </c>
      <c r="S1389" s="27" t="s">
        <v>45</v>
      </c>
      <c r="T1389" s="29">
        <v>179946.83919</v>
      </c>
      <c r="U1389" s="27" t="s">
        <v>31</v>
      </c>
      <c r="V1389" s="28">
        <v>45444</v>
      </c>
      <c r="W1389" s="27" t="s">
        <v>32</v>
      </c>
      <c r="X1389" s="28">
        <v>45376</v>
      </c>
      <c r="Y1389" s="27" t="s">
        <v>33</v>
      </c>
      <c r="Z1389" s="43" t="e">
        <f>TEXT([1]!Table64[[#This Row],[Order date]],"mmm-yyyy")</f>
        <v>#REF!</v>
      </c>
    </row>
    <row r="1390" spans="1:26" x14ac:dyDescent="0.3">
      <c r="A1390" s="10">
        <v>11389</v>
      </c>
      <c r="B1390" s="11">
        <v>6637</v>
      </c>
      <c r="C1390" s="11" t="s">
        <v>25</v>
      </c>
      <c r="D1390" s="12">
        <v>24510.39</v>
      </c>
      <c r="E1390" s="11">
        <v>53</v>
      </c>
      <c r="F1390" s="11" t="s">
        <v>46</v>
      </c>
      <c r="G1390" s="13">
        <v>45306</v>
      </c>
      <c r="H1390" s="12">
        <v>14109.24</v>
      </c>
      <c r="I1390" s="14" t="s">
        <v>44</v>
      </c>
      <c r="J1390" s="15" t="s">
        <v>28</v>
      </c>
      <c r="K1390" s="15">
        <v>158</v>
      </c>
      <c r="L1390" s="16">
        <v>45397</v>
      </c>
      <c r="M1390" s="17">
        <v>12</v>
      </c>
      <c r="N1390" s="18">
        <v>91389</v>
      </c>
      <c r="O1390" s="18" t="s">
        <v>29</v>
      </c>
      <c r="P1390" s="19">
        <v>45352</v>
      </c>
      <c r="Q1390" s="20">
        <v>0.86248999999999998</v>
      </c>
      <c r="R1390" s="21">
        <v>71389</v>
      </c>
      <c r="S1390" s="18" t="s">
        <v>45</v>
      </c>
      <c r="T1390" s="20">
        <v>136963.08540000001</v>
      </c>
      <c r="U1390" s="18" t="s">
        <v>48</v>
      </c>
      <c r="V1390" s="19">
        <v>45392</v>
      </c>
      <c r="W1390" s="18" t="s">
        <v>38</v>
      </c>
      <c r="X1390" s="19">
        <v>45376</v>
      </c>
      <c r="Y1390" s="18" t="s">
        <v>33</v>
      </c>
      <c r="Z1390" s="43" t="e">
        <f>TEXT([1]!Table64[[#This Row],[Order date]],"mmm-yyyy")</f>
        <v>#REF!</v>
      </c>
    </row>
    <row r="1391" spans="1:26" x14ac:dyDescent="0.3">
      <c r="A1391" s="22">
        <v>11390</v>
      </c>
      <c r="B1391" s="23">
        <v>5329</v>
      </c>
      <c r="C1391" s="23" t="s">
        <v>34</v>
      </c>
      <c r="D1391" s="24">
        <v>78546.03</v>
      </c>
      <c r="E1391" s="23">
        <v>91</v>
      </c>
      <c r="F1391" s="23" t="s">
        <v>35</v>
      </c>
      <c r="G1391" s="25">
        <v>45361</v>
      </c>
      <c r="H1391" s="24">
        <v>34210.36</v>
      </c>
      <c r="I1391" s="26" t="s">
        <v>47</v>
      </c>
      <c r="J1391" s="15" t="s">
        <v>36</v>
      </c>
      <c r="K1391" s="15">
        <v>366</v>
      </c>
      <c r="L1391" s="16">
        <v>45332</v>
      </c>
      <c r="M1391" s="17">
        <v>6</v>
      </c>
      <c r="N1391" s="27">
        <v>91390</v>
      </c>
      <c r="O1391" s="27" t="s">
        <v>40</v>
      </c>
      <c r="P1391" s="28">
        <v>45430</v>
      </c>
      <c r="Q1391" s="29">
        <v>0.53158000000000005</v>
      </c>
      <c r="R1391" s="30">
        <v>71390</v>
      </c>
      <c r="S1391" s="27" t="s">
        <v>41</v>
      </c>
      <c r="T1391" s="29">
        <v>97814.569520000005</v>
      </c>
      <c r="U1391" s="27" t="s">
        <v>42</v>
      </c>
      <c r="V1391" s="28">
        <v>45444</v>
      </c>
      <c r="W1391" s="27" t="s">
        <v>32</v>
      </c>
      <c r="X1391" s="28">
        <v>45376</v>
      </c>
      <c r="Y1391" s="27" t="s">
        <v>33</v>
      </c>
      <c r="Z1391" s="43" t="e">
        <f>TEXT([1]!Table64[[#This Row],[Order date]],"mmm-yyyy")</f>
        <v>#REF!</v>
      </c>
    </row>
    <row r="1392" spans="1:26" x14ac:dyDescent="0.3">
      <c r="A1392" s="10">
        <v>11391</v>
      </c>
      <c r="B1392" s="11">
        <v>5785</v>
      </c>
      <c r="C1392" s="11" t="s">
        <v>34</v>
      </c>
      <c r="D1392" s="12">
        <v>78156.160000000003</v>
      </c>
      <c r="E1392" s="11">
        <v>82</v>
      </c>
      <c r="F1392" s="11" t="s">
        <v>46</v>
      </c>
      <c r="G1392" s="13">
        <v>45361</v>
      </c>
      <c r="H1392" s="12">
        <v>43815.58</v>
      </c>
      <c r="I1392" s="14" t="s">
        <v>44</v>
      </c>
      <c r="J1392" s="15" t="s">
        <v>49</v>
      </c>
      <c r="K1392" s="15">
        <v>1241</v>
      </c>
      <c r="L1392" s="16">
        <v>45361</v>
      </c>
      <c r="M1392" s="17">
        <v>13</v>
      </c>
      <c r="N1392" s="18">
        <v>91391</v>
      </c>
      <c r="O1392" s="18" t="s">
        <v>50</v>
      </c>
      <c r="P1392" s="19">
        <v>45352</v>
      </c>
      <c r="Q1392" s="20">
        <v>0.93167</v>
      </c>
      <c r="R1392" s="21">
        <v>71391</v>
      </c>
      <c r="S1392" s="18" t="s">
        <v>45</v>
      </c>
      <c r="T1392" s="20">
        <v>117630.9589</v>
      </c>
      <c r="U1392" s="18" t="s">
        <v>48</v>
      </c>
      <c r="V1392" s="19">
        <v>45392</v>
      </c>
      <c r="W1392" s="18" t="s">
        <v>32</v>
      </c>
      <c r="X1392" s="19">
        <v>45376</v>
      </c>
      <c r="Y1392" s="18" t="s">
        <v>39</v>
      </c>
      <c r="Z1392" s="43" t="e">
        <f>TEXT([1]!Table64[[#This Row],[Order date]],"mmm-yyyy")</f>
        <v>#REF!</v>
      </c>
    </row>
    <row r="1393" spans="1:26" x14ac:dyDescent="0.3">
      <c r="A1393" s="22">
        <v>11392</v>
      </c>
      <c r="B1393" s="23">
        <v>5777</v>
      </c>
      <c r="C1393" s="23" t="s">
        <v>34</v>
      </c>
      <c r="D1393" s="24">
        <v>92094.37</v>
      </c>
      <c r="E1393" s="23">
        <v>68</v>
      </c>
      <c r="F1393" s="23" t="s">
        <v>35</v>
      </c>
      <c r="G1393" s="25">
        <v>45361</v>
      </c>
      <c r="H1393" s="24">
        <v>63662.879999999997</v>
      </c>
      <c r="I1393" s="26" t="s">
        <v>44</v>
      </c>
      <c r="J1393" s="15" t="s">
        <v>28</v>
      </c>
      <c r="K1393" s="15">
        <v>491</v>
      </c>
      <c r="L1393" s="16">
        <v>45361</v>
      </c>
      <c r="M1393" s="17">
        <v>7</v>
      </c>
      <c r="N1393" s="27">
        <v>91392</v>
      </c>
      <c r="O1393" s="27" t="s">
        <v>40</v>
      </c>
      <c r="P1393" s="28">
        <v>45430</v>
      </c>
      <c r="Q1393" s="29">
        <v>0.97253000000000001</v>
      </c>
      <c r="R1393" s="30">
        <v>71392</v>
      </c>
      <c r="S1393" s="27" t="s">
        <v>41</v>
      </c>
      <c r="T1393" s="29">
        <v>58015.346720000001</v>
      </c>
      <c r="U1393" s="27" t="s">
        <v>48</v>
      </c>
      <c r="V1393" s="28">
        <v>45392</v>
      </c>
      <c r="W1393" s="27" t="s">
        <v>32</v>
      </c>
      <c r="X1393" s="28">
        <v>45376</v>
      </c>
      <c r="Y1393" s="27" t="s">
        <v>39</v>
      </c>
      <c r="Z1393" s="43" t="e">
        <f>TEXT([1]!Table64[[#This Row],[Order date]],"mmm-yyyy")</f>
        <v>#REF!</v>
      </c>
    </row>
    <row r="1394" spans="1:26" x14ac:dyDescent="0.3">
      <c r="A1394" s="10">
        <v>11393</v>
      </c>
      <c r="B1394" s="11">
        <v>6995</v>
      </c>
      <c r="C1394" s="11" t="s">
        <v>34</v>
      </c>
      <c r="D1394" s="12">
        <v>64889.84</v>
      </c>
      <c r="E1394" s="11">
        <v>65</v>
      </c>
      <c r="F1394" s="11" t="s">
        <v>26</v>
      </c>
      <c r="G1394" s="13">
        <v>45361</v>
      </c>
      <c r="H1394" s="12">
        <v>136689.9</v>
      </c>
      <c r="I1394" s="14" t="s">
        <v>47</v>
      </c>
      <c r="J1394" s="15" t="s">
        <v>28</v>
      </c>
      <c r="K1394" s="15">
        <v>267</v>
      </c>
      <c r="L1394" s="16">
        <v>45361</v>
      </c>
      <c r="M1394" s="17">
        <v>8</v>
      </c>
      <c r="N1394" s="18">
        <v>91393</v>
      </c>
      <c r="O1394" s="18" t="s">
        <v>37</v>
      </c>
      <c r="P1394" s="19">
        <v>45430</v>
      </c>
      <c r="Q1394" s="20">
        <v>0.55230999999999997</v>
      </c>
      <c r="R1394" s="21">
        <v>71393</v>
      </c>
      <c r="S1394" s="18" t="s">
        <v>41</v>
      </c>
      <c r="T1394" s="20">
        <v>179762.97029999999</v>
      </c>
      <c r="U1394" s="18" t="s">
        <v>42</v>
      </c>
      <c r="V1394" s="19">
        <v>45392</v>
      </c>
      <c r="W1394" s="18" t="s">
        <v>32</v>
      </c>
      <c r="X1394" s="19">
        <v>45376</v>
      </c>
      <c r="Y1394" s="18" t="s">
        <v>33</v>
      </c>
      <c r="Z1394" s="43" t="e">
        <f>TEXT([1]!Table64[[#This Row],[Order date]],"mmm-yyyy")</f>
        <v>#REF!</v>
      </c>
    </row>
    <row r="1395" spans="1:26" x14ac:dyDescent="0.3">
      <c r="A1395" s="22">
        <v>11394</v>
      </c>
      <c r="B1395" s="23">
        <v>5911</v>
      </c>
      <c r="C1395" s="23" t="s">
        <v>34</v>
      </c>
      <c r="D1395" s="24">
        <v>83481.61</v>
      </c>
      <c r="E1395" s="23">
        <v>1</v>
      </c>
      <c r="F1395" s="23" t="s">
        <v>43</v>
      </c>
      <c r="G1395" s="25">
        <v>45337</v>
      </c>
      <c r="H1395" s="24">
        <v>97541.01</v>
      </c>
      <c r="I1395" s="26" t="s">
        <v>27</v>
      </c>
      <c r="J1395" s="15" t="s">
        <v>36</v>
      </c>
      <c r="K1395" s="15">
        <v>1295</v>
      </c>
      <c r="L1395" s="16">
        <v>45332</v>
      </c>
      <c r="M1395" s="17">
        <v>12</v>
      </c>
      <c r="N1395" s="27">
        <v>91394</v>
      </c>
      <c r="O1395" s="27" t="s">
        <v>50</v>
      </c>
      <c r="P1395" s="28">
        <v>45352</v>
      </c>
      <c r="Q1395" s="29">
        <v>0.25806000000000001</v>
      </c>
      <c r="R1395" s="30">
        <v>71394</v>
      </c>
      <c r="S1395" s="27" t="s">
        <v>41</v>
      </c>
      <c r="T1395" s="29">
        <v>131189.76863999999</v>
      </c>
      <c r="U1395" s="27" t="s">
        <v>48</v>
      </c>
      <c r="V1395" s="28">
        <v>45444</v>
      </c>
      <c r="W1395" s="27" t="s">
        <v>32</v>
      </c>
      <c r="X1395" s="28">
        <v>45376</v>
      </c>
      <c r="Y1395" s="27" t="s">
        <v>33</v>
      </c>
      <c r="Z1395" s="43" t="e">
        <f>TEXT([1]!Table64[[#This Row],[Order date]],"mmm-yyyy")</f>
        <v>#REF!</v>
      </c>
    </row>
    <row r="1396" spans="1:26" x14ac:dyDescent="0.3">
      <c r="A1396" s="10">
        <v>11395</v>
      </c>
      <c r="B1396" s="11">
        <v>6944</v>
      </c>
      <c r="C1396" s="11" t="s">
        <v>25</v>
      </c>
      <c r="D1396" s="12">
        <v>67327.320000000007</v>
      </c>
      <c r="E1396" s="11">
        <v>58</v>
      </c>
      <c r="F1396" s="11" t="s">
        <v>35</v>
      </c>
      <c r="G1396" s="13">
        <v>45383</v>
      </c>
      <c r="H1396" s="12">
        <v>75283.16</v>
      </c>
      <c r="I1396" s="14" t="s">
        <v>44</v>
      </c>
      <c r="J1396" s="15" t="s">
        <v>49</v>
      </c>
      <c r="K1396" s="15">
        <v>722</v>
      </c>
      <c r="L1396" s="16">
        <v>45361</v>
      </c>
      <c r="M1396" s="17">
        <v>13</v>
      </c>
      <c r="N1396" s="18">
        <v>91395</v>
      </c>
      <c r="O1396" s="18" t="s">
        <v>50</v>
      </c>
      <c r="P1396" s="19">
        <v>45352</v>
      </c>
      <c r="Q1396" s="20">
        <v>0.69276000000000004</v>
      </c>
      <c r="R1396" s="21">
        <v>71395</v>
      </c>
      <c r="S1396" s="18" t="s">
        <v>41</v>
      </c>
      <c r="T1396" s="20">
        <v>103689.0399</v>
      </c>
      <c r="U1396" s="18" t="s">
        <v>31</v>
      </c>
      <c r="V1396" s="19">
        <v>45444</v>
      </c>
      <c r="W1396" s="18" t="s">
        <v>38</v>
      </c>
      <c r="X1396" s="19">
        <v>45376</v>
      </c>
      <c r="Y1396" s="18" t="s">
        <v>33</v>
      </c>
      <c r="Z1396" s="43" t="e">
        <f>TEXT([1]!Table64[[#This Row],[Order date]],"mmm-yyyy")</f>
        <v>#REF!</v>
      </c>
    </row>
    <row r="1397" spans="1:26" x14ac:dyDescent="0.3">
      <c r="A1397" s="22">
        <v>11396</v>
      </c>
      <c r="B1397" s="23">
        <v>6574</v>
      </c>
      <c r="C1397" s="23" t="s">
        <v>25</v>
      </c>
      <c r="D1397" s="24">
        <v>42468.95</v>
      </c>
      <c r="E1397" s="23">
        <v>26</v>
      </c>
      <c r="F1397" s="23" t="s">
        <v>46</v>
      </c>
      <c r="G1397" s="25">
        <v>45306</v>
      </c>
      <c r="H1397" s="24">
        <v>54989.3</v>
      </c>
      <c r="I1397" s="26" t="s">
        <v>27</v>
      </c>
      <c r="J1397" s="15" t="s">
        <v>28</v>
      </c>
      <c r="K1397" s="15">
        <v>327</v>
      </c>
      <c r="L1397" s="16">
        <v>45361</v>
      </c>
      <c r="M1397" s="17">
        <v>11</v>
      </c>
      <c r="N1397" s="27">
        <v>91396</v>
      </c>
      <c r="O1397" s="27" t="s">
        <v>29</v>
      </c>
      <c r="P1397" s="28">
        <v>45352</v>
      </c>
      <c r="Q1397" s="29">
        <v>0.97789000000000004</v>
      </c>
      <c r="R1397" s="30">
        <v>71396</v>
      </c>
      <c r="S1397" s="27" t="s">
        <v>45</v>
      </c>
      <c r="T1397" s="29">
        <v>72993.52562</v>
      </c>
      <c r="U1397" s="27" t="s">
        <v>48</v>
      </c>
      <c r="V1397" s="28">
        <v>45392</v>
      </c>
      <c r="W1397" s="27" t="s">
        <v>38</v>
      </c>
      <c r="X1397" s="28">
        <v>45376</v>
      </c>
      <c r="Y1397" s="27" t="s">
        <v>33</v>
      </c>
      <c r="Z1397" s="43" t="e">
        <f>TEXT([1]!Table64[[#This Row],[Order date]],"mmm-yyyy")</f>
        <v>#REF!</v>
      </c>
    </row>
    <row r="1398" spans="1:26" x14ac:dyDescent="0.3">
      <c r="A1398" s="10">
        <v>11397</v>
      </c>
      <c r="B1398" s="11">
        <v>6443</v>
      </c>
      <c r="C1398" s="11" t="s">
        <v>34</v>
      </c>
      <c r="D1398" s="12">
        <v>40887.1</v>
      </c>
      <c r="E1398" s="11">
        <v>20</v>
      </c>
      <c r="F1398" s="11" t="s">
        <v>35</v>
      </c>
      <c r="G1398" s="13">
        <v>45361</v>
      </c>
      <c r="H1398" s="12">
        <v>100290.97</v>
      </c>
      <c r="I1398" s="14" t="s">
        <v>27</v>
      </c>
      <c r="J1398" s="15" t="s">
        <v>36</v>
      </c>
      <c r="K1398" s="15">
        <v>1058</v>
      </c>
      <c r="L1398" s="16">
        <v>45361</v>
      </c>
      <c r="M1398" s="17">
        <v>9</v>
      </c>
      <c r="N1398" s="18">
        <v>91397</v>
      </c>
      <c r="O1398" s="18" t="s">
        <v>29</v>
      </c>
      <c r="P1398" s="19">
        <v>45383</v>
      </c>
      <c r="Q1398" s="20">
        <v>0.88492999999999999</v>
      </c>
      <c r="R1398" s="21">
        <v>71397</v>
      </c>
      <c r="S1398" s="18" t="s">
        <v>41</v>
      </c>
      <c r="T1398" s="20">
        <v>170926.99903000001</v>
      </c>
      <c r="U1398" s="18" t="s">
        <v>42</v>
      </c>
      <c r="V1398" s="19">
        <v>45422</v>
      </c>
      <c r="W1398" s="18" t="s">
        <v>38</v>
      </c>
      <c r="X1398" s="19">
        <v>45384</v>
      </c>
      <c r="Y1398" s="18" t="s">
        <v>33</v>
      </c>
      <c r="Z1398" s="43" t="e">
        <f>TEXT([1]!Table64[[#This Row],[Order date]],"mmm-yyyy")</f>
        <v>#REF!</v>
      </c>
    </row>
    <row r="1399" spans="1:26" x14ac:dyDescent="0.3">
      <c r="A1399" s="22">
        <v>11398</v>
      </c>
      <c r="B1399" s="23">
        <v>6630</v>
      </c>
      <c r="C1399" s="23" t="s">
        <v>34</v>
      </c>
      <c r="D1399" s="24">
        <v>58250.57</v>
      </c>
      <c r="E1399" s="23">
        <v>87</v>
      </c>
      <c r="F1399" s="23" t="s">
        <v>46</v>
      </c>
      <c r="G1399" s="25">
        <v>45361</v>
      </c>
      <c r="H1399" s="24">
        <v>112992.1</v>
      </c>
      <c r="I1399" s="26" t="s">
        <v>47</v>
      </c>
      <c r="J1399" s="15" t="s">
        <v>28</v>
      </c>
      <c r="K1399" s="15">
        <v>618</v>
      </c>
      <c r="L1399" s="16">
        <v>45361</v>
      </c>
      <c r="M1399" s="17">
        <v>9</v>
      </c>
      <c r="N1399" s="27">
        <v>91398</v>
      </c>
      <c r="O1399" s="27" t="s">
        <v>50</v>
      </c>
      <c r="P1399" s="28">
        <v>45430</v>
      </c>
      <c r="Q1399" s="29">
        <v>0.87563000000000002</v>
      </c>
      <c r="R1399" s="30">
        <v>71398</v>
      </c>
      <c r="S1399" s="27" t="s">
        <v>41</v>
      </c>
      <c r="T1399" s="29">
        <v>141001.72685000001</v>
      </c>
      <c r="U1399" s="27" t="s">
        <v>48</v>
      </c>
      <c r="V1399" s="28">
        <v>45392</v>
      </c>
      <c r="W1399" s="27" t="s">
        <v>38</v>
      </c>
      <c r="X1399" s="28">
        <v>45376</v>
      </c>
      <c r="Y1399" s="27" t="s">
        <v>33</v>
      </c>
      <c r="Z1399" s="43" t="e">
        <f>TEXT([1]!Table64[[#This Row],[Order date]],"mmm-yyyy")</f>
        <v>#REF!</v>
      </c>
    </row>
    <row r="1400" spans="1:26" x14ac:dyDescent="0.3">
      <c r="A1400" s="10">
        <v>11399</v>
      </c>
      <c r="B1400" s="11">
        <v>6119</v>
      </c>
      <c r="C1400" s="11" t="s">
        <v>25</v>
      </c>
      <c r="D1400" s="12">
        <v>19524.73</v>
      </c>
      <c r="E1400" s="11">
        <v>10</v>
      </c>
      <c r="F1400" s="11" t="s">
        <v>26</v>
      </c>
      <c r="G1400" s="13">
        <v>45337</v>
      </c>
      <c r="H1400" s="12">
        <v>177842.75</v>
      </c>
      <c r="I1400" s="14" t="s">
        <v>44</v>
      </c>
      <c r="J1400" s="15" t="s">
        <v>28</v>
      </c>
      <c r="K1400" s="15">
        <v>1059</v>
      </c>
      <c r="L1400" s="16">
        <v>45397</v>
      </c>
      <c r="M1400" s="17">
        <v>8</v>
      </c>
      <c r="N1400" s="18">
        <v>91399</v>
      </c>
      <c r="O1400" s="18" t="s">
        <v>50</v>
      </c>
      <c r="P1400" s="19">
        <v>45352</v>
      </c>
      <c r="Q1400" s="20">
        <v>0.94044000000000005</v>
      </c>
      <c r="R1400" s="21">
        <v>71399</v>
      </c>
      <c r="S1400" s="18" t="s">
        <v>30</v>
      </c>
      <c r="T1400" s="20">
        <v>66480.11249</v>
      </c>
      <c r="U1400" s="18" t="s">
        <v>31</v>
      </c>
      <c r="V1400" s="19">
        <v>45422</v>
      </c>
      <c r="W1400" s="18" t="s">
        <v>38</v>
      </c>
      <c r="X1400" s="19">
        <v>45376</v>
      </c>
      <c r="Y1400" s="18" t="s">
        <v>33</v>
      </c>
      <c r="Z1400" s="43" t="e">
        <f>TEXT([1]!Table64[[#This Row],[Order date]],"mmm-yyyy")</f>
        <v>#REF!</v>
      </c>
    </row>
    <row r="1401" spans="1:26" x14ac:dyDescent="0.3">
      <c r="A1401" s="22">
        <v>11400</v>
      </c>
      <c r="B1401" s="23">
        <v>6841</v>
      </c>
      <c r="C1401" s="23" t="s">
        <v>25</v>
      </c>
      <c r="D1401" s="24">
        <v>59970.58</v>
      </c>
      <c r="E1401" s="23">
        <v>59</v>
      </c>
      <c r="F1401" s="23" t="s">
        <v>35</v>
      </c>
      <c r="G1401" s="25">
        <v>45383</v>
      </c>
      <c r="H1401" s="24">
        <v>28975.26</v>
      </c>
      <c r="I1401" s="26" t="s">
        <v>44</v>
      </c>
      <c r="J1401" s="15" t="s">
        <v>28</v>
      </c>
      <c r="K1401" s="15">
        <v>924</v>
      </c>
      <c r="L1401" s="16">
        <v>45361</v>
      </c>
      <c r="M1401" s="17">
        <v>10</v>
      </c>
      <c r="N1401" s="27">
        <v>91400</v>
      </c>
      <c r="O1401" s="27" t="s">
        <v>40</v>
      </c>
      <c r="P1401" s="28">
        <v>45383</v>
      </c>
      <c r="Q1401" s="29">
        <v>0.90456000000000003</v>
      </c>
      <c r="R1401" s="30">
        <v>71400</v>
      </c>
      <c r="S1401" s="27" t="s">
        <v>41</v>
      </c>
      <c r="T1401" s="29">
        <v>184103.22008</v>
      </c>
      <c r="U1401" s="27" t="s">
        <v>48</v>
      </c>
      <c r="V1401" s="28">
        <v>45392</v>
      </c>
      <c r="W1401" s="27" t="s">
        <v>32</v>
      </c>
      <c r="X1401" s="28">
        <v>45384</v>
      </c>
      <c r="Y1401" s="27" t="s">
        <v>39</v>
      </c>
      <c r="Z1401" s="43" t="e">
        <f>TEXT([1]!Table64[[#This Row],[Order date]],"mmm-yyyy")</f>
        <v>#REF!</v>
      </c>
    </row>
    <row r="1402" spans="1:26" x14ac:dyDescent="0.3">
      <c r="A1402" s="10">
        <v>11401</v>
      </c>
      <c r="B1402" s="11">
        <v>6605</v>
      </c>
      <c r="C1402" s="11" t="s">
        <v>34</v>
      </c>
      <c r="D1402" s="12">
        <v>33097.71</v>
      </c>
      <c r="E1402" s="11">
        <v>75</v>
      </c>
      <c r="F1402" s="11" t="s">
        <v>26</v>
      </c>
      <c r="G1402" s="13">
        <v>45361</v>
      </c>
      <c r="H1402" s="12">
        <v>27671.58</v>
      </c>
      <c r="I1402" s="14" t="s">
        <v>27</v>
      </c>
      <c r="J1402" s="15" t="s">
        <v>36</v>
      </c>
      <c r="K1402" s="15">
        <v>515</v>
      </c>
      <c r="L1402" s="16">
        <v>45332</v>
      </c>
      <c r="M1402" s="17">
        <v>11</v>
      </c>
      <c r="N1402" s="18">
        <v>91401</v>
      </c>
      <c r="O1402" s="18" t="s">
        <v>50</v>
      </c>
      <c r="P1402" s="19">
        <v>45352</v>
      </c>
      <c r="Q1402" s="20">
        <v>0.79864999999999997</v>
      </c>
      <c r="R1402" s="21">
        <v>71401</v>
      </c>
      <c r="S1402" s="18" t="s">
        <v>45</v>
      </c>
      <c r="T1402" s="20">
        <v>114065.21321</v>
      </c>
      <c r="U1402" s="18" t="s">
        <v>48</v>
      </c>
      <c r="V1402" s="19">
        <v>45444</v>
      </c>
      <c r="W1402" s="18" t="s">
        <v>38</v>
      </c>
      <c r="X1402" s="19">
        <v>45376</v>
      </c>
      <c r="Y1402" s="18" t="s">
        <v>33</v>
      </c>
      <c r="Z1402" s="43" t="e">
        <f>TEXT([1]!Table64[[#This Row],[Order date]],"mmm-yyyy")</f>
        <v>#REF!</v>
      </c>
    </row>
    <row r="1403" spans="1:26" x14ac:dyDescent="0.3">
      <c r="A1403" s="22">
        <v>11402</v>
      </c>
      <c r="B1403" s="23">
        <v>5318</v>
      </c>
      <c r="C1403" s="23" t="s">
        <v>34</v>
      </c>
      <c r="D1403" s="24">
        <v>14575.03</v>
      </c>
      <c r="E1403" s="23">
        <v>41</v>
      </c>
      <c r="F1403" s="23" t="s">
        <v>43</v>
      </c>
      <c r="G1403" s="25">
        <v>45337</v>
      </c>
      <c r="H1403" s="24">
        <v>34899.56</v>
      </c>
      <c r="I1403" s="26" t="s">
        <v>47</v>
      </c>
      <c r="J1403" s="15" t="s">
        <v>49</v>
      </c>
      <c r="K1403" s="15">
        <v>888</v>
      </c>
      <c r="L1403" s="16">
        <v>45361</v>
      </c>
      <c r="M1403" s="17">
        <v>12</v>
      </c>
      <c r="N1403" s="27">
        <v>91402</v>
      </c>
      <c r="O1403" s="27" t="s">
        <v>37</v>
      </c>
      <c r="P1403" s="28">
        <v>45430</v>
      </c>
      <c r="Q1403" s="29">
        <v>0.74644999999999995</v>
      </c>
      <c r="R1403" s="30">
        <v>71402</v>
      </c>
      <c r="S1403" s="27" t="s">
        <v>45</v>
      </c>
      <c r="T1403" s="29">
        <v>91882.001069999998</v>
      </c>
      <c r="U1403" s="27" t="s">
        <v>48</v>
      </c>
      <c r="V1403" s="28">
        <v>45422</v>
      </c>
      <c r="W1403" s="27" t="s">
        <v>32</v>
      </c>
      <c r="X1403" s="28">
        <v>45376</v>
      </c>
      <c r="Y1403" s="27" t="s">
        <v>33</v>
      </c>
      <c r="Z1403" s="43" t="e">
        <f>TEXT([1]!Table64[[#This Row],[Order date]],"mmm-yyyy")</f>
        <v>#REF!</v>
      </c>
    </row>
    <row r="1404" spans="1:26" x14ac:dyDescent="0.3">
      <c r="A1404" s="10">
        <v>11403</v>
      </c>
      <c r="B1404" s="11">
        <v>6980</v>
      </c>
      <c r="C1404" s="11" t="s">
        <v>34</v>
      </c>
      <c r="D1404" s="12">
        <v>9463.7199999999993</v>
      </c>
      <c r="E1404" s="11">
        <v>5</v>
      </c>
      <c r="F1404" s="11" t="s">
        <v>46</v>
      </c>
      <c r="G1404" s="13">
        <v>45306</v>
      </c>
      <c r="H1404" s="12">
        <v>103553.57</v>
      </c>
      <c r="I1404" s="14" t="s">
        <v>44</v>
      </c>
      <c r="J1404" s="15" t="s">
        <v>36</v>
      </c>
      <c r="K1404" s="15">
        <v>803</v>
      </c>
      <c r="L1404" s="16">
        <v>45361</v>
      </c>
      <c r="M1404" s="17">
        <v>12</v>
      </c>
      <c r="N1404" s="18">
        <v>91403</v>
      </c>
      <c r="O1404" s="18" t="s">
        <v>40</v>
      </c>
      <c r="P1404" s="19">
        <v>45383</v>
      </c>
      <c r="Q1404" s="20">
        <v>0.33828999999999998</v>
      </c>
      <c r="R1404" s="21">
        <v>71403</v>
      </c>
      <c r="S1404" s="18" t="s">
        <v>30</v>
      </c>
      <c r="T1404" s="20">
        <v>198825.867</v>
      </c>
      <c r="U1404" s="18" t="s">
        <v>48</v>
      </c>
      <c r="V1404" s="19">
        <v>45444</v>
      </c>
      <c r="W1404" s="18" t="s">
        <v>38</v>
      </c>
      <c r="X1404" s="19">
        <v>45384</v>
      </c>
      <c r="Y1404" s="18" t="s">
        <v>33</v>
      </c>
      <c r="Z1404" s="43" t="e">
        <f>TEXT([1]!Table64[[#This Row],[Order date]],"mmm-yyyy")</f>
        <v>#REF!</v>
      </c>
    </row>
    <row r="1405" spans="1:26" x14ac:dyDescent="0.3">
      <c r="A1405" s="22">
        <v>11404</v>
      </c>
      <c r="B1405" s="23">
        <v>5236</v>
      </c>
      <c r="C1405" s="23" t="s">
        <v>34</v>
      </c>
      <c r="D1405" s="24">
        <v>44397.63</v>
      </c>
      <c r="E1405" s="23">
        <v>65</v>
      </c>
      <c r="F1405" s="23" t="s">
        <v>46</v>
      </c>
      <c r="G1405" s="25">
        <v>45306</v>
      </c>
      <c r="H1405" s="24">
        <v>149793.89000000001</v>
      </c>
      <c r="I1405" s="26" t="s">
        <v>27</v>
      </c>
      <c r="J1405" s="15" t="s">
        <v>49</v>
      </c>
      <c r="K1405" s="15">
        <v>887</v>
      </c>
      <c r="L1405" s="16">
        <v>45397</v>
      </c>
      <c r="M1405" s="17">
        <v>14</v>
      </c>
      <c r="N1405" s="27">
        <v>91404</v>
      </c>
      <c r="O1405" s="27" t="s">
        <v>37</v>
      </c>
      <c r="P1405" s="28">
        <v>45430</v>
      </c>
      <c r="Q1405" s="29">
        <v>0.65920999999999996</v>
      </c>
      <c r="R1405" s="30">
        <v>71404</v>
      </c>
      <c r="S1405" s="27" t="s">
        <v>41</v>
      </c>
      <c r="T1405" s="29">
        <v>93714.496769999998</v>
      </c>
      <c r="U1405" s="27" t="s">
        <v>42</v>
      </c>
      <c r="V1405" s="28">
        <v>45422</v>
      </c>
      <c r="W1405" s="27" t="s">
        <v>38</v>
      </c>
      <c r="X1405" s="28">
        <v>45376</v>
      </c>
      <c r="Y1405" s="27" t="s">
        <v>33</v>
      </c>
      <c r="Z1405" s="43" t="e">
        <f>TEXT([1]!Table64[[#This Row],[Order date]],"mmm-yyyy")</f>
        <v>#REF!</v>
      </c>
    </row>
    <row r="1406" spans="1:26" x14ac:dyDescent="0.3">
      <c r="A1406" s="10">
        <v>11405</v>
      </c>
      <c r="B1406" s="11">
        <v>6970</v>
      </c>
      <c r="C1406" s="11" t="s">
        <v>34</v>
      </c>
      <c r="D1406" s="12">
        <v>84309.53</v>
      </c>
      <c r="E1406" s="11">
        <v>17</v>
      </c>
      <c r="F1406" s="11" t="s">
        <v>26</v>
      </c>
      <c r="G1406" s="13">
        <v>45361</v>
      </c>
      <c r="H1406" s="12">
        <v>129402.57</v>
      </c>
      <c r="I1406" s="14" t="s">
        <v>44</v>
      </c>
      <c r="J1406" s="15" t="s">
        <v>28</v>
      </c>
      <c r="K1406" s="15">
        <v>79</v>
      </c>
      <c r="L1406" s="16">
        <v>45361</v>
      </c>
      <c r="M1406" s="17">
        <v>3</v>
      </c>
      <c r="N1406" s="18">
        <v>91405</v>
      </c>
      <c r="O1406" s="18" t="s">
        <v>37</v>
      </c>
      <c r="P1406" s="19">
        <v>45352</v>
      </c>
      <c r="Q1406" s="20">
        <v>0.56933999999999996</v>
      </c>
      <c r="R1406" s="21">
        <v>71405</v>
      </c>
      <c r="S1406" s="18" t="s">
        <v>45</v>
      </c>
      <c r="T1406" s="20">
        <v>186978.45929999999</v>
      </c>
      <c r="U1406" s="18" t="s">
        <v>31</v>
      </c>
      <c r="V1406" s="19">
        <v>45422</v>
      </c>
      <c r="W1406" s="18" t="s">
        <v>32</v>
      </c>
      <c r="X1406" s="19">
        <v>45384</v>
      </c>
      <c r="Y1406" s="18" t="s">
        <v>33</v>
      </c>
      <c r="Z1406" s="43" t="e">
        <f>TEXT([1]!Table64[[#This Row],[Order date]],"mmm-yyyy")</f>
        <v>#REF!</v>
      </c>
    </row>
    <row r="1407" spans="1:26" x14ac:dyDescent="0.3">
      <c r="A1407" s="22">
        <v>11406</v>
      </c>
      <c r="B1407" s="23">
        <v>5334</v>
      </c>
      <c r="C1407" s="23" t="s">
        <v>25</v>
      </c>
      <c r="D1407" s="24">
        <v>27019.47</v>
      </c>
      <c r="E1407" s="23">
        <v>22</v>
      </c>
      <c r="F1407" s="23" t="s">
        <v>43</v>
      </c>
      <c r="G1407" s="25">
        <v>45361</v>
      </c>
      <c r="H1407" s="24">
        <v>134505.71</v>
      </c>
      <c r="I1407" s="26" t="s">
        <v>47</v>
      </c>
      <c r="J1407" s="15" t="s">
        <v>49</v>
      </c>
      <c r="K1407" s="15">
        <v>408</v>
      </c>
      <c r="L1407" s="16">
        <v>45397</v>
      </c>
      <c r="M1407" s="17">
        <v>12</v>
      </c>
      <c r="N1407" s="27">
        <v>91406</v>
      </c>
      <c r="O1407" s="27" t="s">
        <v>37</v>
      </c>
      <c r="P1407" s="28">
        <v>45352</v>
      </c>
      <c r="Q1407" s="29">
        <v>0.87575000000000003</v>
      </c>
      <c r="R1407" s="30">
        <v>71406</v>
      </c>
      <c r="S1407" s="27" t="s">
        <v>30</v>
      </c>
      <c r="T1407" s="29">
        <v>189187.01074999999</v>
      </c>
      <c r="U1407" s="27" t="s">
        <v>31</v>
      </c>
      <c r="V1407" s="28">
        <v>45422</v>
      </c>
      <c r="W1407" s="27" t="s">
        <v>38</v>
      </c>
      <c r="X1407" s="28">
        <v>45376</v>
      </c>
      <c r="Y1407" s="27" t="s">
        <v>33</v>
      </c>
      <c r="Z1407" s="43" t="e">
        <f>TEXT([1]!Table64[[#This Row],[Order date]],"mmm-yyyy")</f>
        <v>#REF!</v>
      </c>
    </row>
    <row r="1408" spans="1:26" x14ac:dyDescent="0.3">
      <c r="A1408" s="10">
        <v>11407</v>
      </c>
      <c r="B1408" s="11">
        <v>6909</v>
      </c>
      <c r="C1408" s="11" t="s">
        <v>34</v>
      </c>
      <c r="D1408" s="12">
        <v>30313.53</v>
      </c>
      <c r="E1408" s="11">
        <v>98</v>
      </c>
      <c r="F1408" s="11" t="s">
        <v>35</v>
      </c>
      <c r="G1408" s="13">
        <v>45383</v>
      </c>
      <c r="H1408" s="12">
        <v>34102.32</v>
      </c>
      <c r="I1408" s="14" t="s">
        <v>47</v>
      </c>
      <c r="J1408" s="15" t="s">
        <v>28</v>
      </c>
      <c r="K1408" s="15">
        <v>1361</v>
      </c>
      <c r="L1408" s="16">
        <v>45332</v>
      </c>
      <c r="M1408" s="17">
        <v>2</v>
      </c>
      <c r="N1408" s="18">
        <v>91407</v>
      </c>
      <c r="O1408" s="18" t="s">
        <v>50</v>
      </c>
      <c r="P1408" s="19">
        <v>45352</v>
      </c>
      <c r="Q1408" s="20">
        <v>0.54254000000000002</v>
      </c>
      <c r="R1408" s="21">
        <v>71407</v>
      </c>
      <c r="S1408" s="18" t="s">
        <v>41</v>
      </c>
      <c r="T1408" s="20">
        <v>185021.13380000001</v>
      </c>
      <c r="U1408" s="18" t="s">
        <v>31</v>
      </c>
      <c r="V1408" s="19">
        <v>45422</v>
      </c>
      <c r="W1408" s="18" t="s">
        <v>32</v>
      </c>
      <c r="X1408" s="19">
        <v>45384</v>
      </c>
      <c r="Y1408" s="18" t="s">
        <v>33</v>
      </c>
      <c r="Z1408" s="43" t="e">
        <f>TEXT([1]!Table64[[#This Row],[Order date]],"mmm-yyyy")</f>
        <v>#REF!</v>
      </c>
    </row>
    <row r="1409" spans="1:26" x14ac:dyDescent="0.3">
      <c r="A1409" s="22">
        <v>11408</v>
      </c>
      <c r="B1409" s="23">
        <v>5376</v>
      </c>
      <c r="C1409" s="23" t="s">
        <v>25</v>
      </c>
      <c r="D1409" s="24">
        <v>69793.149999999994</v>
      </c>
      <c r="E1409" s="23">
        <v>41</v>
      </c>
      <c r="F1409" s="23" t="s">
        <v>35</v>
      </c>
      <c r="G1409" s="25">
        <v>45383</v>
      </c>
      <c r="H1409" s="24">
        <v>59335.5</v>
      </c>
      <c r="I1409" s="26" t="s">
        <v>47</v>
      </c>
      <c r="J1409" s="15" t="s">
        <v>28</v>
      </c>
      <c r="K1409" s="15">
        <v>135</v>
      </c>
      <c r="L1409" s="16">
        <v>45397</v>
      </c>
      <c r="M1409" s="17">
        <v>5</v>
      </c>
      <c r="N1409" s="27">
        <v>91408</v>
      </c>
      <c r="O1409" s="27" t="s">
        <v>29</v>
      </c>
      <c r="P1409" s="28">
        <v>45383</v>
      </c>
      <c r="Q1409" s="29">
        <v>0.21496999999999999</v>
      </c>
      <c r="R1409" s="30">
        <v>71408</v>
      </c>
      <c r="S1409" s="27" t="s">
        <v>45</v>
      </c>
      <c r="T1409" s="29">
        <v>87428.381399999998</v>
      </c>
      <c r="U1409" s="27" t="s">
        <v>48</v>
      </c>
      <c r="V1409" s="28">
        <v>45444</v>
      </c>
      <c r="W1409" s="27" t="s">
        <v>38</v>
      </c>
      <c r="X1409" s="28">
        <v>45376</v>
      </c>
      <c r="Y1409" s="27" t="s">
        <v>39</v>
      </c>
      <c r="Z1409" s="43" t="e">
        <f>TEXT([1]!Table64[[#This Row],[Order date]],"mmm-yyyy")</f>
        <v>#REF!</v>
      </c>
    </row>
    <row r="1410" spans="1:26" x14ac:dyDescent="0.3">
      <c r="A1410" s="10">
        <v>11409</v>
      </c>
      <c r="B1410" s="11">
        <v>6483</v>
      </c>
      <c r="C1410" s="11" t="s">
        <v>25</v>
      </c>
      <c r="D1410" s="12">
        <v>90560.24</v>
      </c>
      <c r="E1410" s="11">
        <v>93</v>
      </c>
      <c r="F1410" s="11" t="s">
        <v>46</v>
      </c>
      <c r="G1410" s="13">
        <v>45361</v>
      </c>
      <c r="H1410" s="12">
        <v>125139.91</v>
      </c>
      <c r="I1410" s="14" t="s">
        <v>44</v>
      </c>
      <c r="J1410" s="15" t="s">
        <v>36</v>
      </c>
      <c r="K1410" s="15">
        <v>1307</v>
      </c>
      <c r="L1410" s="16">
        <v>45361</v>
      </c>
      <c r="M1410" s="17">
        <v>1</v>
      </c>
      <c r="N1410" s="18">
        <v>91409</v>
      </c>
      <c r="O1410" s="18" t="s">
        <v>29</v>
      </c>
      <c r="P1410" s="19">
        <v>45383</v>
      </c>
      <c r="Q1410" s="20">
        <v>0.10448</v>
      </c>
      <c r="R1410" s="21">
        <v>71409</v>
      </c>
      <c r="S1410" s="18" t="s">
        <v>41</v>
      </c>
      <c r="T1410" s="20">
        <v>175466.89920000001</v>
      </c>
      <c r="U1410" s="18" t="s">
        <v>31</v>
      </c>
      <c r="V1410" s="19">
        <v>45422</v>
      </c>
      <c r="W1410" s="18" t="s">
        <v>38</v>
      </c>
      <c r="X1410" s="19">
        <v>45376</v>
      </c>
      <c r="Y1410" s="18" t="s">
        <v>33</v>
      </c>
      <c r="Z1410" s="43" t="e">
        <f>TEXT([1]!Table64[[#This Row],[Order date]],"mmm-yyyy")</f>
        <v>#REF!</v>
      </c>
    </row>
    <row r="1411" spans="1:26" x14ac:dyDescent="0.3">
      <c r="A1411" s="22">
        <v>11410</v>
      </c>
      <c r="B1411" s="23">
        <v>6161</v>
      </c>
      <c r="C1411" s="23" t="s">
        <v>34</v>
      </c>
      <c r="D1411" s="24">
        <v>55085.67</v>
      </c>
      <c r="E1411" s="23">
        <v>68</v>
      </c>
      <c r="F1411" s="23" t="s">
        <v>26</v>
      </c>
      <c r="G1411" s="25">
        <v>45337</v>
      </c>
      <c r="H1411" s="24">
        <v>92364.62</v>
      </c>
      <c r="I1411" s="26" t="s">
        <v>44</v>
      </c>
      <c r="J1411" s="15" t="s">
        <v>28</v>
      </c>
      <c r="K1411" s="15">
        <v>796</v>
      </c>
      <c r="L1411" s="16">
        <v>45332</v>
      </c>
      <c r="M1411" s="17">
        <v>3</v>
      </c>
      <c r="N1411" s="27">
        <v>91410</v>
      </c>
      <c r="O1411" s="27" t="s">
        <v>37</v>
      </c>
      <c r="P1411" s="28">
        <v>45383</v>
      </c>
      <c r="Q1411" s="29">
        <v>0.71009</v>
      </c>
      <c r="R1411" s="30">
        <v>71410</v>
      </c>
      <c r="S1411" s="27" t="s">
        <v>30</v>
      </c>
      <c r="T1411" s="29">
        <v>85722.399149999997</v>
      </c>
      <c r="U1411" s="27" t="s">
        <v>42</v>
      </c>
      <c r="V1411" s="28">
        <v>45392</v>
      </c>
      <c r="W1411" s="27" t="s">
        <v>38</v>
      </c>
      <c r="X1411" s="28">
        <v>45376</v>
      </c>
      <c r="Y1411" s="27" t="s">
        <v>33</v>
      </c>
      <c r="Z1411" s="43" t="e">
        <f>TEXT([1]!Table64[[#This Row],[Order date]],"mmm-yyyy")</f>
        <v>#REF!</v>
      </c>
    </row>
    <row r="1412" spans="1:26" x14ac:dyDescent="0.3">
      <c r="A1412" s="10">
        <v>11411</v>
      </c>
      <c r="B1412" s="11">
        <v>6954</v>
      </c>
      <c r="C1412" s="11" t="s">
        <v>34</v>
      </c>
      <c r="D1412" s="12">
        <v>85047.24</v>
      </c>
      <c r="E1412" s="11">
        <v>69</v>
      </c>
      <c r="F1412" s="11" t="s">
        <v>26</v>
      </c>
      <c r="G1412" s="13">
        <v>45383</v>
      </c>
      <c r="H1412" s="12">
        <v>29288.61</v>
      </c>
      <c r="I1412" s="14" t="s">
        <v>44</v>
      </c>
      <c r="J1412" s="15" t="s">
        <v>36</v>
      </c>
      <c r="K1412" s="15">
        <v>362</v>
      </c>
      <c r="L1412" s="16">
        <v>45361</v>
      </c>
      <c r="M1412" s="17">
        <v>1</v>
      </c>
      <c r="N1412" s="18">
        <v>91411</v>
      </c>
      <c r="O1412" s="18" t="s">
        <v>50</v>
      </c>
      <c r="P1412" s="19">
        <v>45383</v>
      </c>
      <c r="Q1412" s="20">
        <v>0.59492</v>
      </c>
      <c r="R1412" s="21">
        <v>71411</v>
      </c>
      <c r="S1412" s="18" t="s">
        <v>45</v>
      </c>
      <c r="T1412" s="20">
        <v>100506.23478</v>
      </c>
      <c r="U1412" s="18" t="s">
        <v>48</v>
      </c>
      <c r="V1412" s="19">
        <v>45392</v>
      </c>
      <c r="W1412" s="18" t="s">
        <v>38</v>
      </c>
      <c r="X1412" s="19">
        <v>45384</v>
      </c>
      <c r="Y1412" s="18" t="s">
        <v>39</v>
      </c>
      <c r="Z1412" s="43" t="e">
        <f>TEXT([1]!Table64[[#This Row],[Order date]],"mmm-yyyy")</f>
        <v>#REF!</v>
      </c>
    </row>
    <row r="1413" spans="1:26" x14ac:dyDescent="0.3">
      <c r="A1413" s="22">
        <v>11412</v>
      </c>
      <c r="B1413" s="23">
        <v>5588</v>
      </c>
      <c r="C1413" s="23" t="s">
        <v>34</v>
      </c>
      <c r="D1413" s="24">
        <v>70883.039999999994</v>
      </c>
      <c r="E1413" s="23">
        <v>11</v>
      </c>
      <c r="F1413" s="23" t="s">
        <v>35</v>
      </c>
      <c r="G1413" s="25">
        <v>45361</v>
      </c>
      <c r="H1413" s="24">
        <v>41243.660000000003</v>
      </c>
      <c r="I1413" s="26" t="s">
        <v>44</v>
      </c>
      <c r="J1413" s="15" t="s">
        <v>49</v>
      </c>
      <c r="K1413" s="15">
        <v>414</v>
      </c>
      <c r="L1413" s="16">
        <v>45397</v>
      </c>
      <c r="M1413" s="17">
        <v>13</v>
      </c>
      <c r="N1413" s="27">
        <v>91412</v>
      </c>
      <c r="O1413" s="27" t="s">
        <v>40</v>
      </c>
      <c r="P1413" s="28">
        <v>45352</v>
      </c>
      <c r="Q1413" s="29">
        <v>0.39787</v>
      </c>
      <c r="R1413" s="30">
        <v>71412</v>
      </c>
      <c r="S1413" s="27" t="s">
        <v>30</v>
      </c>
      <c r="T1413" s="29">
        <v>93731.187489999997</v>
      </c>
      <c r="U1413" s="27" t="s">
        <v>48</v>
      </c>
      <c r="V1413" s="28">
        <v>45422</v>
      </c>
      <c r="W1413" s="27" t="s">
        <v>38</v>
      </c>
      <c r="X1413" s="28">
        <v>45376</v>
      </c>
      <c r="Y1413" s="27" t="s">
        <v>33</v>
      </c>
      <c r="Z1413" s="43" t="e">
        <f>TEXT([1]!Table64[[#This Row],[Order date]],"mmm-yyyy")</f>
        <v>#REF!</v>
      </c>
    </row>
    <row r="1414" spans="1:26" x14ac:dyDescent="0.3">
      <c r="A1414" s="10">
        <v>11413</v>
      </c>
      <c r="B1414" s="11">
        <v>6571</v>
      </c>
      <c r="C1414" s="11" t="s">
        <v>25</v>
      </c>
      <c r="D1414" s="12">
        <v>94561.66</v>
      </c>
      <c r="E1414" s="11">
        <v>56</v>
      </c>
      <c r="F1414" s="11" t="s">
        <v>43</v>
      </c>
      <c r="G1414" s="13">
        <v>45383</v>
      </c>
      <c r="H1414" s="12">
        <v>84261.7</v>
      </c>
      <c r="I1414" s="14" t="s">
        <v>47</v>
      </c>
      <c r="J1414" s="15" t="s">
        <v>49</v>
      </c>
      <c r="K1414" s="15">
        <v>954</v>
      </c>
      <c r="L1414" s="16">
        <v>45332</v>
      </c>
      <c r="M1414" s="17">
        <v>3</v>
      </c>
      <c r="N1414" s="18">
        <v>91413</v>
      </c>
      <c r="O1414" s="18" t="s">
        <v>37</v>
      </c>
      <c r="P1414" s="19">
        <v>45352</v>
      </c>
      <c r="Q1414" s="20">
        <v>0.25207000000000002</v>
      </c>
      <c r="R1414" s="21">
        <v>71413</v>
      </c>
      <c r="S1414" s="18" t="s">
        <v>30</v>
      </c>
      <c r="T1414" s="20">
        <v>66413.906310000006</v>
      </c>
      <c r="U1414" s="18" t="s">
        <v>31</v>
      </c>
      <c r="V1414" s="19">
        <v>45444</v>
      </c>
      <c r="W1414" s="18" t="s">
        <v>38</v>
      </c>
      <c r="X1414" s="19">
        <v>45384</v>
      </c>
      <c r="Y1414" s="18" t="s">
        <v>39</v>
      </c>
      <c r="Z1414" s="43" t="e">
        <f>TEXT([1]!Table64[[#This Row],[Order date]],"mmm-yyyy")</f>
        <v>#REF!</v>
      </c>
    </row>
    <row r="1415" spans="1:26" x14ac:dyDescent="0.3">
      <c r="A1415" s="22">
        <v>11414</v>
      </c>
      <c r="B1415" s="23">
        <v>5513</v>
      </c>
      <c r="C1415" s="23" t="s">
        <v>34</v>
      </c>
      <c r="D1415" s="24">
        <v>13512.77</v>
      </c>
      <c r="E1415" s="23">
        <v>51</v>
      </c>
      <c r="F1415" s="23" t="s">
        <v>43</v>
      </c>
      <c r="G1415" s="25">
        <v>45361</v>
      </c>
      <c r="H1415" s="24">
        <v>36135.61</v>
      </c>
      <c r="I1415" s="26" t="s">
        <v>27</v>
      </c>
      <c r="J1415" s="15" t="s">
        <v>28</v>
      </c>
      <c r="K1415" s="15">
        <v>1342</v>
      </c>
      <c r="L1415" s="16">
        <v>45332</v>
      </c>
      <c r="M1415" s="17">
        <v>13</v>
      </c>
      <c r="N1415" s="27">
        <v>91414</v>
      </c>
      <c r="O1415" s="27" t="s">
        <v>40</v>
      </c>
      <c r="P1415" s="28">
        <v>45352</v>
      </c>
      <c r="Q1415" s="29">
        <v>0.52003999999999995</v>
      </c>
      <c r="R1415" s="30">
        <v>71414</v>
      </c>
      <c r="S1415" s="27" t="s">
        <v>30</v>
      </c>
      <c r="T1415" s="29">
        <v>196122.1789</v>
      </c>
      <c r="U1415" s="27" t="s">
        <v>48</v>
      </c>
      <c r="V1415" s="28">
        <v>45444</v>
      </c>
      <c r="W1415" s="27" t="s">
        <v>38</v>
      </c>
      <c r="X1415" s="28">
        <v>45384</v>
      </c>
      <c r="Y1415" s="27" t="s">
        <v>33</v>
      </c>
      <c r="Z1415" s="43" t="e">
        <f>TEXT([1]!Table64[[#This Row],[Order date]],"mmm-yyyy")</f>
        <v>#REF!</v>
      </c>
    </row>
    <row r="1416" spans="1:26" x14ac:dyDescent="0.3">
      <c r="A1416" s="10">
        <v>11415</v>
      </c>
      <c r="B1416" s="11">
        <v>6320</v>
      </c>
      <c r="C1416" s="11" t="s">
        <v>34</v>
      </c>
      <c r="D1416" s="12">
        <v>99902.63</v>
      </c>
      <c r="E1416" s="11">
        <v>21</v>
      </c>
      <c r="F1416" s="11" t="s">
        <v>35</v>
      </c>
      <c r="G1416" s="13">
        <v>45306</v>
      </c>
      <c r="H1416" s="12">
        <v>113306.22</v>
      </c>
      <c r="I1416" s="14" t="s">
        <v>44</v>
      </c>
      <c r="J1416" s="15" t="s">
        <v>36</v>
      </c>
      <c r="K1416" s="15">
        <v>747</v>
      </c>
      <c r="L1416" s="16">
        <v>45397</v>
      </c>
      <c r="M1416" s="17">
        <v>4</v>
      </c>
      <c r="N1416" s="18">
        <v>91415</v>
      </c>
      <c r="O1416" s="18" t="s">
        <v>40</v>
      </c>
      <c r="P1416" s="19">
        <v>45383</v>
      </c>
      <c r="Q1416" s="20">
        <v>0.19026000000000001</v>
      </c>
      <c r="R1416" s="21">
        <v>71415</v>
      </c>
      <c r="S1416" s="18" t="s">
        <v>41</v>
      </c>
      <c r="T1416" s="20">
        <v>141967.22969000001</v>
      </c>
      <c r="U1416" s="18" t="s">
        <v>48</v>
      </c>
      <c r="V1416" s="19">
        <v>45422</v>
      </c>
      <c r="W1416" s="18" t="s">
        <v>32</v>
      </c>
      <c r="X1416" s="19">
        <v>45384</v>
      </c>
      <c r="Y1416" s="18" t="s">
        <v>39</v>
      </c>
      <c r="Z1416" s="43" t="e">
        <f>TEXT([1]!Table64[[#This Row],[Order date]],"mmm-yyyy")</f>
        <v>#REF!</v>
      </c>
    </row>
    <row r="1417" spans="1:26" x14ac:dyDescent="0.3">
      <c r="A1417" s="22">
        <v>11416</v>
      </c>
      <c r="B1417" s="23">
        <v>6344</v>
      </c>
      <c r="C1417" s="23" t="s">
        <v>25</v>
      </c>
      <c r="D1417" s="24">
        <v>24489.1</v>
      </c>
      <c r="E1417" s="23">
        <v>99</v>
      </c>
      <c r="F1417" s="23" t="s">
        <v>35</v>
      </c>
      <c r="G1417" s="25">
        <v>45361</v>
      </c>
      <c r="H1417" s="24">
        <v>103141.75999999999</v>
      </c>
      <c r="I1417" s="26" t="s">
        <v>47</v>
      </c>
      <c r="J1417" s="15" t="s">
        <v>28</v>
      </c>
      <c r="K1417" s="15">
        <v>180</v>
      </c>
      <c r="L1417" s="16">
        <v>45397</v>
      </c>
      <c r="M1417" s="17">
        <v>7</v>
      </c>
      <c r="N1417" s="27">
        <v>91416</v>
      </c>
      <c r="O1417" s="27" t="s">
        <v>50</v>
      </c>
      <c r="P1417" s="28">
        <v>45383</v>
      </c>
      <c r="Q1417" s="29">
        <v>0.40250000000000002</v>
      </c>
      <c r="R1417" s="30">
        <v>71416</v>
      </c>
      <c r="S1417" s="27" t="s">
        <v>41</v>
      </c>
      <c r="T1417" s="29">
        <v>160569.59409</v>
      </c>
      <c r="U1417" s="27" t="s">
        <v>31</v>
      </c>
      <c r="V1417" s="28">
        <v>45444</v>
      </c>
      <c r="W1417" s="27" t="s">
        <v>38</v>
      </c>
      <c r="X1417" s="28">
        <v>45376</v>
      </c>
      <c r="Y1417" s="27" t="s">
        <v>39</v>
      </c>
      <c r="Z1417" s="43" t="e">
        <f>TEXT([1]!Table64[[#This Row],[Order date]],"mmm-yyyy")</f>
        <v>#REF!</v>
      </c>
    </row>
    <row r="1418" spans="1:26" x14ac:dyDescent="0.3">
      <c r="A1418" s="10">
        <v>11417</v>
      </c>
      <c r="B1418" s="11">
        <v>5918</v>
      </c>
      <c r="C1418" s="11" t="s">
        <v>34</v>
      </c>
      <c r="D1418" s="12">
        <v>75915.95</v>
      </c>
      <c r="E1418" s="11">
        <v>76</v>
      </c>
      <c r="F1418" s="11" t="s">
        <v>26</v>
      </c>
      <c r="G1418" s="13">
        <v>45306</v>
      </c>
      <c r="H1418" s="12">
        <v>132995.43</v>
      </c>
      <c r="I1418" s="14" t="s">
        <v>47</v>
      </c>
      <c r="J1418" s="15" t="s">
        <v>36</v>
      </c>
      <c r="K1418" s="15">
        <v>852</v>
      </c>
      <c r="L1418" s="16">
        <v>45332</v>
      </c>
      <c r="M1418" s="17">
        <v>12</v>
      </c>
      <c r="N1418" s="18">
        <v>91417</v>
      </c>
      <c r="O1418" s="18" t="s">
        <v>50</v>
      </c>
      <c r="P1418" s="19">
        <v>45352</v>
      </c>
      <c r="Q1418" s="20">
        <v>0.44129000000000002</v>
      </c>
      <c r="R1418" s="21">
        <v>71417</v>
      </c>
      <c r="S1418" s="18" t="s">
        <v>41</v>
      </c>
      <c r="T1418" s="20">
        <v>170783.96788000001</v>
      </c>
      <c r="U1418" s="18" t="s">
        <v>42</v>
      </c>
      <c r="V1418" s="19">
        <v>45444</v>
      </c>
      <c r="W1418" s="18" t="s">
        <v>32</v>
      </c>
      <c r="X1418" s="19">
        <v>45376</v>
      </c>
      <c r="Y1418" s="18" t="s">
        <v>33</v>
      </c>
      <c r="Z1418" s="43" t="e">
        <f>TEXT([1]!Table64[[#This Row],[Order date]],"mmm-yyyy")</f>
        <v>#REF!</v>
      </c>
    </row>
    <row r="1419" spans="1:26" x14ac:dyDescent="0.3">
      <c r="A1419" s="22">
        <v>11418</v>
      </c>
      <c r="B1419" s="23">
        <v>6596</v>
      </c>
      <c r="C1419" s="23" t="s">
        <v>34</v>
      </c>
      <c r="D1419" s="24">
        <v>33952.720000000001</v>
      </c>
      <c r="E1419" s="23">
        <v>26</v>
      </c>
      <c r="F1419" s="23" t="s">
        <v>43</v>
      </c>
      <c r="G1419" s="25">
        <v>45383</v>
      </c>
      <c r="H1419" s="24">
        <v>69281.149999999994</v>
      </c>
      <c r="I1419" s="26" t="s">
        <v>44</v>
      </c>
      <c r="J1419" s="15" t="s">
        <v>36</v>
      </c>
      <c r="K1419" s="15">
        <v>838</v>
      </c>
      <c r="L1419" s="16">
        <v>45332</v>
      </c>
      <c r="M1419" s="17">
        <v>12</v>
      </c>
      <c r="N1419" s="27">
        <v>91418</v>
      </c>
      <c r="O1419" s="27" t="s">
        <v>29</v>
      </c>
      <c r="P1419" s="28">
        <v>45352</v>
      </c>
      <c r="Q1419" s="29">
        <v>0.51905999999999997</v>
      </c>
      <c r="R1419" s="30">
        <v>71418</v>
      </c>
      <c r="S1419" s="27" t="s">
        <v>45</v>
      </c>
      <c r="T1419" s="29">
        <v>72781.460999999996</v>
      </c>
      <c r="U1419" s="27" t="s">
        <v>42</v>
      </c>
      <c r="V1419" s="28">
        <v>45444</v>
      </c>
      <c r="W1419" s="27" t="s">
        <v>32</v>
      </c>
      <c r="X1419" s="28">
        <v>45376</v>
      </c>
      <c r="Y1419" s="27" t="s">
        <v>39</v>
      </c>
      <c r="Z1419" s="43" t="e">
        <f>TEXT([1]!Table64[[#This Row],[Order date]],"mmm-yyyy")</f>
        <v>#REF!</v>
      </c>
    </row>
    <row r="1420" spans="1:26" x14ac:dyDescent="0.3">
      <c r="A1420" s="10">
        <v>11419</v>
      </c>
      <c r="B1420" s="11">
        <v>6856</v>
      </c>
      <c r="C1420" s="11" t="s">
        <v>34</v>
      </c>
      <c r="D1420" s="12">
        <v>54558.16</v>
      </c>
      <c r="E1420" s="11">
        <v>19</v>
      </c>
      <c r="F1420" s="11" t="s">
        <v>35</v>
      </c>
      <c r="G1420" s="13">
        <v>45361</v>
      </c>
      <c r="H1420" s="12">
        <v>18090.830000000002</v>
      </c>
      <c r="I1420" s="14" t="s">
        <v>27</v>
      </c>
      <c r="J1420" s="15" t="s">
        <v>36</v>
      </c>
      <c r="K1420" s="15">
        <v>400</v>
      </c>
      <c r="L1420" s="16">
        <v>45397</v>
      </c>
      <c r="M1420" s="17">
        <v>5</v>
      </c>
      <c r="N1420" s="18">
        <v>91419</v>
      </c>
      <c r="O1420" s="18" t="s">
        <v>29</v>
      </c>
      <c r="P1420" s="19">
        <v>45383</v>
      </c>
      <c r="Q1420" s="20">
        <v>0.51995999999999998</v>
      </c>
      <c r="R1420" s="21">
        <v>71419</v>
      </c>
      <c r="S1420" s="18" t="s">
        <v>41</v>
      </c>
      <c r="T1420" s="20">
        <v>75524.213109999997</v>
      </c>
      <c r="U1420" s="18" t="s">
        <v>31</v>
      </c>
      <c r="V1420" s="19">
        <v>45422</v>
      </c>
      <c r="W1420" s="18" t="s">
        <v>38</v>
      </c>
      <c r="X1420" s="19">
        <v>45376</v>
      </c>
      <c r="Y1420" s="18" t="s">
        <v>39</v>
      </c>
      <c r="Z1420" s="43" t="e">
        <f>TEXT([1]!Table64[[#This Row],[Order date]],"mmm-yyyy")</f>
        <v>#REF!</v>
      </c>
    </row>
    <row r="1421" spans="1:26" x14ac:dyDescent="0.3">
      <c r="A1421" s="22">
        <v>11420</v>
      </c>
      <c r="B1421" s="23">
        <v>6373</v>
      </c>
      <c r="C1421" s="23" t="s">
        <v>34</v>
      </c>
      <c r="D1421" s="24">
        <v>84047.55</v>
      </c>
      <c r="E1421" s="23">
        <v>60</v>
      </c>
      <c r="F1421" s="23" t="s">
        <v>35</v>
      </c>
      <c r="G1421" s="25">
        <v>45383</v>
      </c>
      <c r="H1421" s="24">
        <v>122841.9</v>
      </c>
      <c r="I1421" s="26" t="s">
        <v>47</v>
      </c>
      <c r="J1421" s="15" t="s">
        <v>49</v>
      </c>
      <c r="K1421" s="15">
        <v>229</v>
      </c>
      <c r="L1421" s="16">
        <v>45361</v>
      </c>
      <c r="M1421" s="17">
        <v>5</v>
      </c>
      <c r="N1421" s="27">
        <v>91420</v>
      </c>
      <c r="O1421" s="27" t="s">
        <v>50</v>
      </c>
      <c r="P1421" s="28">
        <v>45430</v>
      </c>
      <c r="Q1421" s="29">
        <v>0.33130999999999999</v>
      </c>
      <c r="R1421" s="30">
        <v>71420</v>
      </c>
      <c r="S1421" s="27" t="s">
        <v>41</v>
      </c>
      <c r="T1421" s="29">
        <v>97737.5147</v>
      </c>
      <c r="U1421" s="27" t="s">
        <v>42</v>
      </c>
      <c r="V1421" s="28">
        <v>45392</v>
      </c>
      <c r="W1421" s="27" t="s">
        <v>38</v>
      </c>
      <c r="X1421" s="28">
        <v>45384</v>
      </c>
      <c r="Y1421" s="27" t="s">
        <v>33</v>
      </c>
      <c r="Z1421" s="43" t="e">
        <f>TEXT([1]!Table64[[#This Row],[Order date]],"mmm-yyyy")</f>
        <v>#REF!</v>
      </c>
    </row>
    <row r="1422" spans="1:26" x14ac:dyDescent="0.3">
      <c r="A1422" s="10">
        <v>11421</v>
      </c>
      <c r="B1422" s="11">
        <v>6864</v>
      </c>
      <c r="C1422" s="11" t="s">
        <v>25</v>
      </c>
      <c r="D1422" s="12">
        <v>73566.12</v>
      </c>
      <c r="E1422" s="11">
        <v>71</v>
      </c>
      <c r="F1422" s="11" t="s">
        <v>46</v>
      </c>
      <c r="G1422" s="13">
        <v>45306</v>
      </c>
      <c r="H1422" s="12">
        <v>90333.27</v>
      </c>
      <c r="I1422" s="14" t="s">
        <v>44</v>
      </c>
      <c r="J1422" s="15" t="s">
        <v>36</v>
      </c>
      <c r="K1422" s="15">
        <v>1236</v>
      </c>
      <c r="L1422" s="16">
        <v>45332</v>
      </c>
      <c r="M1422" s="17">
        <v>13</v>
      </c>
      <c r="N1422" s="18">
        <v>91421</v>
      </c>
      <c r="O1422" s="18" t="s">
        <v>37</v>
      </c>
      <c r="P1422" s="19">
        <v>45352</v>
      </c>
      <c r="Q1422" s="20">
        <v>0.86519000000000001</v>
      </c>
      <c r="R1422" s="21">
        <v>71421</v>
      </c>
      <c r="S1422" s="18" t="s">
        <v>45</v>
      </c>
      <c r="T1422" s="20">
        <v>113375.62329</v>
      </c>
      <c r="U1422" s="18" t="s">
        <v>42</v>
      </c>
      <c r="V1422" s="19">
        <v>45392</v>
      </c>
      <c r="W1422" s="18" t="s">
        <v>32</v>
      </c>
      <c r="X1422" s="19">
        <v>45384</v>
      </c>
      <c r="Y1422" s="18" t="s">
        <v>33</v>
      </c>
      <c r="Z1422" s="43" t="e">
        <f>TEXT([1]!Table64[[#This Row],[Order date]],"mmm-yyyy")</f>
        <v>#REF!</v>
      </c>
    </row>
    <row r="1423" spans="1:26" x14ac:dyDescent="0.3">
      <c r="A1423" s="22">
        <v>11422</v>
      </c>
      <c r="B1423" s="23">
        <v>6803</v>
      </c>
      <c r="C1423" s="23" t="s">
        <v>34</v>
      </c>
      <c r="D1423" s="24">
        <v>41189.46</v>
      </c>
      <c r="E1423" s="23">
        <v>47</v>
      </c>
      <c r="F1423" s="23" t="s">
        <v>35</v>
      </c>
      <c r="G1423" s="25">
        <v>45361</v>
      </c>
      <c r="H1423" s="24">
        <v>74271.899999999994</v>
      </c>
      <c r="I1423" s="26" t="s">
        <v>27</v>
      </c>
      <c r="J1423" s="15" t="s">
        <v>49</v>
      </c>
      <c r="K1423" s="15">
        <v>1169</v>
      </c>
      <c r="L1423" s="16">
        <v>45397</v>
      </c>
      <c r="M1423" s="17">
        <v>1</v>
      </c>
      <c r="N1423" s="27">
        <v>91422</v>
      </c>
      <c r="O1423" s="27" t="s">
        <v>29</v>
      </c>
      <c r="P1423" s="28">
        <v>45352</v>
      </c>
      <c r="Q1423" s="29">
        <v>0.41998999999999997</v>
      </c>
      <c r="R1423" s="30">
        <v>71422</v>
      </c>
      <c r="S1423" s="27" t="s">
        <v>45</v>
      </c>
      <c r="T1423" s="29">
        <v>192392.06140000001</v>
      </c>
      <c r="U1423" s="27" t="s">
        <v>42</v>
      </c>
      <c r="V1423" s="28">
        <v>45392</v>
      </c>
      <c r="W1423" s="27" t="s">
        <v>38</v>
      </c>
      <c r="X1423" s="28">
        <v>45384</v>
      </c>
      <c r="Y1423" s="27" t="s">
        <v>33</v>
      </c>
      <c r="Z1423" s="43" t="e">
        <f>TEXT([1]!Table64[[#This Row],[Order date]],"mmm-yyyy")</f>
        <v>#REF!</v>
      </c>
    </row>
    <row r="1424" spans="1:26" x14ac:dyDescent="0.3">
      <c r="A1424" s="10">
        <v>11423</v>
      </c>
      <c r="B1424" s="11">
        <v>5873</v>
      </c>
      <c r="C1424" s="11" t="s">
        <v>34</v>
      </c>
      <c r="D1424" s="12">
        <v>33156.44</v>
      </c>
      <c r="E1424" s="11">
        <v>71</v>
      </c>
      <c r="F1424" s="11" t="s">
        <v>35</v>
      </c>
      <c r="G1424" s="13">
        <v>45383</v>
      </c>
      <c r="H1424" s="12">
        <v>86353.279999999999</v>
      </c>
      <c r="I1424" s="14" t="s">
        <v>27</v>
      </c>
      <c r="J1424" s="15" t="s">
        <v>36</v>
      </c>
      <c r="K1424" s="15">
        <v>823</v>
      </c>
      <c r="L1424" s="16">
        <v>45361</v>
      </c>
      <c r="M1424" s="17">
        <v>8</v>
      </c>
      <c r="N1424" s="18">
        <v>91423</v>
      </c>
      <c r="O1424" s="18" t="s">
        <v>40</v>
      </c>
      <c r="P1424" s="19">
        <v>45352</v>
      </c>
      <c r="Q1424" s="20">
        <v>0.30663000000000001</v>
      </c>
      <c r="R1424" s="21">
        <v>71423</v>
      </c>
      <c r="S1424" s="18" t="s">
        <v>30</v>
      </c>
      <c r="T1424" s="20">
        <v>94483.539799999999</v>
      </c>
      <c r="U1424" s="18" t="s">
        <v>48</v>
      </c>
      <c r="V1424" s="19">
        <v>45392</v>
      </c>
      <c r="W1424" s="18" t="s">
        <v>38</v>
      </c>
      <c r="X1424" s="19">
        <v>45376</v>
      </c>
      <c r="Y1424" s="18" t="s">
        <v>39</v>
      </c>
      <c r="Z1424" s="43" t="e">
        <f>TEXT([1]!Table64[[#This Row],[Order date]],"mmm-yyyy")</f>
        <v>#REF!</v>
      </c>
    </row>
    <row r="1425" spans="1:26" x14ac:dyDescent="0.3">
      <c r="A1425" s="22">
        <v>11424</v>
      </c>
      <c r="B1425" s="23">
        <v>6253</v>
      </c>
      <c r="C1425" s="23" t="s">
        <v>34</v>
      </c>
      <c r="D1425" s="24">
        <v>29604.51</v>
      </c>
      <c r="E1425" s="23">
        <v>26</v>
      </c>
      <c r="F1425" s="23" t="s">
        <v>43</v>
      </c>
      <c r="G1425" s="25">
        <v>45306</v>
      </c>
      <c r="H1425" s="24">
        <v>84138.3</v>
      </c>
      <c r="I1425" s="26" t="s">
        <v>47</v>
      </c>
      <c r="J1425" s="15" t="s">
        <v>49</v>
      </c>
      <c r="K1425" s="15">
        <v>559</v>
      </c>
      <c r="L1425" s="16">
        <v>45332</v>
      </c>
      <c r="M1425" s="17">
        <v>13</v>
      </c>
      <c r="N1425" s="27">
        <v>91424</v>
      </c>
      <c r="O1425" s="27" t="s">
        <v>37</v>
      </c>
      <c r="P1425" s="28">
        <v>45383</v>
      </c>
      <c r="Q1425" s="29">
        <v>0.25823000000000002</v>
      </c>
      <c r="R1425" s="30">
        <v>71424</v>
      </c>
      <c r="S1425" s="27" t="s">
        <v>41</v>
      </c>
      <c r="T1425" s="29">
        <v>176472.7084</v>
      </c>
      <c r="U1425" s="27" t="s">
        <v>48</v>
      </c>
      <c r="V1425" s="28">
        <v>45392</v>
      </c>
      <c r="W1425" s="27" t="s">
        <v>38</v>
      </c>
      <c r="X1425" s="28">
        <v>45376</v>
      </c>
      <c r="Y1425" s="27" t="s">
        <v>33</v>
      </c>
      <c r="Z1425" s="43" t="e">
        <f>TEXT([1]!Table64[[#This Row],[Order date]],"mmm-yyyy")</f>
        <v>#REF!</v>
      </c>
    </row>
    <row r="1426" spans="1:26" x14ac:dyDescent="0.3">
      <c r="A1426" s="10">
        <v>11425</v>
      </c>
      <c r="B1426" s="11">
        <v>5270</v>
      </c>
      <c r="C1426" s="11" t="s">
        <v>34</v>
      </c>
      <c r="D1426" s="12">
        <v>73378.899999999994</v>
      </c>
      <c r="E1426" s="11">
        <v>40</v>
      </c>
      <c r="F1426" s="11" t="s">
        <v>26</v>
      </c>
      <c r="G1426" s="13">
        <v>45383</v>
      </c>
      <c r="H1426" s="12">
        <v>42559.09</v>
      </c>
      <c r="I1426" s="14" t="s">
        <v>44</v>
      </c>
      <c r="J1426" s="15" t="s">
        <v>49</v>
      </c>
      <c r="K1426" s="15">
        <v>414</v>
      </c>
      <c r="L1426" s="16">
        <v>45332</v>
      </c>
      <c r="M1426" s="17">
        <v>4</v>
      </c>
      <c r="N1426" s="18">
        <v>91425</v>
      </c>
      <c r="O1426" s="18" t="s">
        <v>40</v>
      </c>
      <c r="P1426" s="19">
        <v>45352</v>
      </c>
      <c r="Q1426" s="20">
        <v>0.39032</v>
      </c>
      <c r="R1426" s="21">
        <v>71425</v>
      </c>
      <c r="S1426" s="18" t="s">
        <v>41</v>
      </c>
      <c r="T1426" s="20">
        <v>81848.648230000006</v>
      </c>
      <c r="U1426" s="18" t="s">
        <v>48</v>
      </c>
      <c r="V1426" s="19">
        <v>45444</v>
      </c>
      <c r="W1426" s="18" t="s">
        <v>38</v>
      </c>
      <c r="X1426" s="19">
        <v>45376</v>
      </c>
      <c r="Y1426" s="18" t="s">
        <v>33</v>
      </c>
      <c r="Z1426" s="43" t="e">
        <f>TEXT([1]!Table64[[#This Row],[Order date]],"mmm-yyyy")</f>
        <v>#REF!</v>
      </c>
    </row>
    <row r="1427" spans="1:26" x14ac:dyDescent="0.3">
      <c r="A1427" s="22">
        <v>11426</v>
      </c>
      <c r="B1427" s="23">
        <v>6852</v>
      </c>
      <c r="C1427" s="23" t="s">
        <v>34</v>
      </c>
      <c r="D1427" s="24">
        <v>31632.16</v>
      </c>
      <c r="E1427" s="23">
        <v>5</v>
      </c>
      <c r="F1427" s="23" t="s">
        <v>43</v>
      </c>
      <c r="G1427" s="25">
        <v>45337</v>
      </c>
      <c r="H1427" s="24">
        <v>34273.42</v>
      </c>
      <c r="I1427" s="26" t="s">
        <v>44</v>
      </c>
      <c r="J1427" s="15" t="s">
        <v>49</v>
      </c>
      <c r="K1427" s="15">
        <v>1030</v>
      </c>
      <c r="L1427" s="16">
        <v>45397</v>
      </c>
      <c r="M1427" s="17">
        <v>10</v>
      </c>
      <c r="N1427" s="27">
        <v>91426</v>
      </c>
      <c r="O1427" s="27" t="s">
        <v>50</v>
      </c>
      <c r="P1427" s="28">
        <v>45352</v>
      </c>
      <c r="Q1427" s="29">
        <v>0.1608</v>
      </c>
      <c r="R1427" s="30">
        <v>71426</v>
      </c>
      <c r="S1427" s="27" t="s">
        <v>41</v>
      </c>
      <c r="T1427" s="29">
        <v>123793.6776</v>
      </c>
      <c r="U1427" s="27" t="s">
        <v>42</v>
      </c>
      <c r="V1427" s="28">
        <v>45444</v>
      </c>
      <c r="W1427" s="27" t="s">
        <v>38</v>
      </c>
      <c r="X1427" s="28">
        <v>45376</v>
      </c>
      <c r="Y1427" s="27" t="s">
        <v>39</v>
      </c>
      <c r="Z1427" s="43" t="e">
        <f>TEXT([1]!Table64[[#This Row],[Order date]],"mmm-yyyy")</f>
        <v>#REF!</v>
      </c>
    </row>
    <row r="1428" spans="1:26" x14ac:dyDescent="0.3">
      <c r="A1428" s="10">
        <v>11427</v>
      </c>
      <c r="B1428" s="11">
        <v>5798</v>
      </c>
      <c r="C1428" s="11" t="s">
        <v>34</v>
      </c>
      <c r="D1428" s="12">
        <v>98545.46</v>
      </c>
      <c r="E1428" s="11">
        <v>21</v>
      </c>
      <c r="F1428" s="11" t="s">
        <v>26</v>
      </c>
      <c r="G1428" s="13">
        <v>45306</v>
      </c>
      <c r="H1428" s="12">
        <v>13715.25</v>
      </c>
      <c r="I1428" s="14" t="s">
        <v>47</v>
      </c>
      <c r="J1428" s="15" t="s">
        <v>28</v>
      </c>
      <c r="K1428" s="15">
        <v>402</v>
      </c>
      <c r="L1428" s="16">
        <v>45361</v>
      </c>
      <c r="M1428" s="17">
        <v>5</v>
      </c>
      <c r="N1428" s="18">
        <v>91427</v>
      </c>
      <c r="O1428" s="18" t="s">
        <v>40</v>
      </c>
      <c r="P1428" s="19">
        <v>45352</v>
      </c>
      <c r="Q1428" s="20">
        <v>0.12962000000000001</v>
      </c>
      <c r="R1428" s="21">
        <v>71427</v>
      </c>
      <c r="S1428" s="18" t="s">
        <v>41</v>
      </c>
      <c r="T1428" s="20">
        <v>83106.665800000002</v>
      </c>
      <c r="U1428" s="18" t="s">
        <v>48</v>
      </c>
      <c r="V1428" s="19">
        <v>45444</v>
      </c>
      <c r="W1428" s="18" t="s">
        <v>32</v>
      </c>
      <c r="X1428" s="19">
        <v>45376</v>
      </c>
      <c r="Y1428" s="18" t="s">
        <v>33</v>
      </c>
      <c r="Z1428" s="43" t="e">
        <f>TEXT([1]!Table64[[#This Row],[Order date]],"mmm-yyyy")</f>
        <v>#REF!</v>
      </c>
    </row>
    <row r="1429" spans="1:26" x14ac:dyDescent="0.3">
      <c r="A1429" s="22">
        <v>11428</v>
      </c>
      <c r="B1429" s="23">
        <v>6315</v>
      </c>
      <c r="C1429" s="23" t="s">
        <v>34</v>
      </c>
      <c r="D1429" s="24">
        <v>41019.19</v>
      </c>
      <c r="E1429" s="23">
        <v>78</v>
      </c>
      <c r="F1429" s="23" t="s">
        <v>46</v>
      </c>
      <c r="G1429" s="25">
        <v>45306</v>
      </c>
      <c r="H1429" s="24">
        <v>52541.38</v>
      </c>
      <c r="I1429" s="26" t="s">
        <v>27</v>
      </c>
      <c r="J1429" s="15" t="s">
        <v>36</v>
      </c>
      <c r="K1429" s="15">
        <v>849</v>
      </c>
      <c r="L1429" s="16">
        <v>45332</v>
      </c>
      <c r="M1429" s="17">
        <v>2</v>
      </c>
      <c r="N1429" s="27">
        <v>91428</v>
      </c>
      <c r="O1429" s="27" t="s">
        <v>37</v>
      </c>
      <c r="P1429" s="28">
        <v>45352</v>
      </c>
      <c r="Q1429" s="29">
        <v>0.64463000000000004</v>
      </c>
      <c r="R1429" s="30">
        <v>71428</v>
      </c>
      <c r="S1429" s="27" t="s">
        <v>41</v>
      </c>
      <c r="T1429" s="29">
        <v>164046.24509000001</v>
      </c>
      <c r="U1429" s="27" t="s">
        <v>42</v>
      </c>
      <c r="V1429" s="28">
        <v>45422</v>
      </c>
      <c r="W1429" s="27" t="s">
        <v>38</v>
      </c>
      <c r="X1429" s="28">
        <v>45384</v>
      </c>
      <c r="Y1429" s="27" t="s">
        <v>33</v>
      </c>
      <c r="Z1429" s="43" t="e">
        <f>TEXT([1]!Table64[[#This Row],[Order date]],"mmm-yyyy")</f>
        <v>#REF!</v>
      </c>
    </row>
    <row r="1430" spans="1:26" x14ac:dyDescent="0.3">
      <c r="A1430" s="10">
        <v>11429</v>
      </c>
      <c r="B1430" s="11">
        <v>5725</v>
      </c>
      <c r="C1430" s="11" t="s">
        <v>34</v>
      </c>
      <c r="D1430" s="12">
        <v>39441.129999999997</v>
      </c>
      <c r="E1430" s="11">
        <v>4</v>
      </c>
      <c r="F1430" s="11" t="s">
        <v>35</v>
      </c>
      <c r="G1430" s="13">
        <v>45306</v>
      </c>
      <c r="H1430" s="12">
        <v>129178.17</v>
      </c>
      <c r="I1430" s="14" t="s">
        <v>47</v>
      </c>
      <c r="J1430" s="15" t="s">
        <v>28</v>
      </c>
      <c r="K1430" s="15">
        <v>1156</v>
      </c>
      <c r="L1430" s="16">
        <v>45361</v>
      </c>
      <c r="M1430" s="17">
        <v>12</v>
      </c>
      <c r="N1430" s="18">
        <v>91429</v>
      </c>
      <c r="O1430" s="18" t="s">
        <v>50</v>
      </c>
      <c r="P1430" s="19">
        <v>45352</v>
      </c>
      <c r="Q1430" s="20">
        <v>0.65722999999999998</v>
      </c>
      <c r="R1430" s="21">
        <v>71429</v>
      </c>
      <c r="S1430" s="18" t="s">
        <v>41</v>
      </c>
      <c r="T1430" s="20">
        <v>212715.8567</v>
      </c>
      <c r="U1430" s="18" t="s">
        <v>31</v>
      </c>
      <c r="V1430" s="19">
        <v>45444</v>
      </c>
      <c r="W1430" s="18" t="s">
        <v>32</v>
      </c>
      <c r="X1430" s="19">
        <v>45376</v>
      </c>
      <c r="Y1430" s="18" t="s">
        <v>39</v>
      </c>
      <c r="Z1430" s="43" t="e">
        <f>TEXT([1]!Table64[[#This Row],[Order date]],"mmm-yyyy")</f>
        <v>#REF!</v>
      </c>
    </row>
    <row r="1431" spans="1:26" x14ac:dyDescent="0.3">
      <c r="A1431" s="22">
        <v>11430</v>
      </c>
      <c r="B1431" s="23">
        <v>6189</v>
      </c>
      <c r="C1431" s="23" t="s">
        <v>34</v>
      </c>
      <c r="D1431" s="24">
        <v>53633</v>
      </c>
      <c r="E1431" s="23">
        <v>23</v>
      </c>
      <c r="F1431" s="23" t="s">
        <v>46</v>
      </c>
      <c r="G1431" s="25">
        <v>45361</v>
      </c>
      <c r="H1431" s="24">
        <v>143899.45000000001</v>
      </c>
      <c r="I1431" s="26" t="s">
        <v>44</v>
      </c>
      <c r="J1431" s="15" t="s">
        <v>36</v>
      </c>
      <c r="K1431" s="15">
        <v>1298</v>
      </c>
      <c r="L1431" s="16">
        <v>45361</v>
      </c>
      <c r="M1431" s="17">
        <v>13</v>
      </c>
      <c r="N1431" s="27">
        <v>91430</v>
      </c>
      <c r="O1431" s="27" t="s">
        <v>37</v>
      </c>
      <c r="P1431" s="28">
        <v>45430</v>
      </c>
      <c r="Q1431" s="29">
        <v>0.57662999999999998</v>
      </c>
      <c r="R1431" s="30">
        <v>71430</v>
      </c>
      <c r="S1431" s="27" t="s">
        <v>41</v>
      </c>
      <c r="T1431" s="29">
        <v>141584.06990999999</v>
      </c>
      <c r="U1431" s="27" t="s">
        <v>42</v>
      </c>
      <c r="V1431" s="28">
        <v>45392</v>
      </c>
      <c r="W1431" s="27" t="s">
        <v>38</v>
      </c>
      <c r="X1431" s="28">
        <v>45376</v>
      </c>
      <c r="Y1431" s="27" t="s">
        <v>33</v>
      </c>
      <c r="Z1431" s="43" t="e">
        <f>TEXT([1]!Table64[[#This Row],[Order date]],"mmm-yyyy")</f>
        <v>#REF!</v>
      </c>
    </row>
    <row r="1432" spans="1:26" x14ac:dyDescent="0.3">
      <c r="A1432" s="10">
        <v>11431</v>
      </c>
      <c r="B1432" s="11">
        <v>5005</v>
      </c>
      <c r="C1432" s="11" t="s">
        <v>25</v>
      </c>
      <c r="D1432" s="12">
        <v>58397.4</v>
      </c>
      <c r="E1432" s="11">
        <v>84</v>
      </c>
      <c r="F1432" s="11" t="s">
        <v>26</v>
      </c>
      <c r="G1432" s="13">
        <v>45361</v>
      </c>
      <c r="H1432" s="12">
        <v>83101.98</v>
      </c>
      <c r="I1432" s="14" t="s">
        <v>44</v>
      </c>
      <c r="J1432" s="15" t="s">
        <v>36</v>
      </c>
      <c r="K1432" s="15">
        <v>461</v>
      </c>
      <c r="L1432" s="16">
        <v>45332</v>
      </c>
      <c r="M1432" s="17">
        <v>1</v>
      </c>
      <c r="N1432" s="18">
        <v>91431</v>
      </c>
      <c r="O1432" s="18" t="s">
        <v>40</v>
      </c>
      <c r="P1432" s="19">
        <v>45430</v>
      </c>
      <c r="Q1432" s="20">
        <v>0.78605999999999998</v>
      </c>
      <c r="R1432" s="21">
        <v>71431</v>
      </c>
      <c r="S1432" s="18" t="s">
        <v>45</v>
      </c>
      <c r="T1432" s="20">
        <v>165088.53745</v>
      </c>
      <c r="U1432" s="18" t="s">
        <v>48</v>
      </c>
      <c r="V1432" s="19">
        <v>45444</v>
      </c>
      <c r="W1432" s="18" t="s">
        <v>38</v>
      </c>
      <c r="X1432" s="19">
        <v>45384</v>
      </c>
      <c r="Y1432" s="18" t="s">
        <v>33</v>
      </c>
      <c r="Z1432" s="43" t="e">
        <f>TEXT([1]!Table64[[#This Row],[Order date]],"mmm-yyyy")</f>
        <v>#REF!</v>
      </c>
    </row>
    <row r="1433" spans="1:26" x14ac:dyDescent="0.3">
      <c r="A1433" s="22">
        <v>11432</v>
      </c>
      <c r="B1433" s="23">
        <v>5851</v>
      </c>
      <c r="C1433" s="23" t="s">
        <v>34</v>
      </c>
      <c r="D1433" s="24">
        <v>85575.1</v>
      </c>
      <c r="E1433" s="23">
        <v>15</v>
      </c>
      <c r="F1433" s="23" t="s">
        <v>43</v>
      </c>
      <c r="G1433" s="25">
        <v>45361</v>
      </c>
      <c r="H1433" s="24">
        <v>68303.45</v>
      </c>
      <c r="I1433" s="26" t="s">
        <v>44</v>
      </c>
      <c r="J1433" s="15" t="s">
        <v>28</v>
      </c>
      <c r="K1433" s="15">
        <v>784</v>
      </c>
      <c r="L1433" s="16">
        <v>45361</v>
      </c>
      <c r="M1433" s="17">
        <v>9</v>
      </c>
      <c r="N1433" s="27">
        <v>91432</v>
      </c>
      <c r="O1433" s="27" t="s">
        <v>37</v>
      </c>
      <c r="P1433" s="28">
        <v>45352</v>
      </c>
      <c r="Q1433" s="29">
        <v>0.13524</v>
      </c>
      <c r="R1433" s="30">
        <v>71432</v>
      </c>
      <c r="S1433" s="27" t="s">
        <v>41</v>
      </c>
      <c r="T1433" s="29">
        <v>113063.61990000001</v>
      </c>
      <c r="U1433" s="27" t="s">
        <v>42</v>
      </c>
      <c r="V1433" s="28">
        <v>45392</v>
      </c>
      <c r="W1433" s="27" t="s">
        <v>38</v>
      </c>
      <c r="X1433" s="28">
        <v>45376</v>
      </c>
      <c r="Y1433" s="27" t="s">
        <v>33</v>
      </c>
      <c r="Z1433" s="43" t="e">
        <f>TEXT([1]!Table64[[#This Row],[Order date]],"mmm-yyyy")</f>
        <v>#REF!</v>
      </c>
    </row>
    <row r="1434" spans="1:26" x14ac:dyDescent="0.3">
      <c r="A1434" s="10">
        <v>11433</v>
      </c>
      <c r="B1434" s="11">
        <v>6403</v>
      </c>
      <c r="C1434" s="11" t="s">
        <v>34</v>
      </c>
      <c r="D1434" s="12">
        <v>17475.599999999999</v>
      </c>
      <c r="E1434" s="11">
        <v>93</v>
      </c>
      <c r="F1434" s="11" t="s">
        <v>43</v>
      </c>
      <c r="G1434" s="13">
        <v>45337</v>
      </c>
      <c r="H1434" s="12">
        <v>179625.35</v>
      </c>
      <c r="I1434" s="14" t="s">
        <v>47</v>
      </c>
      <c r="J1434" s="15" t="s">
        <v>49</v>
      </c>
      <c r="K1434" s="15">
        <v>1030</v>
      </c>
      <c r="L1434" s="16">
        <v>45332</v>
      </c>
      <c r="M1434" s="17">
        <v>2</v>
      </c>
      <c r="N1434" s="18">
        <v>91433</v>
      </c>
      <c r="O1434" s="18" t="s">
        <v>50</v>
      </c>
      <c r="P1434" s="19">
        <v>45352</v>
      </c>
      <c r="Q1434" s="20">
        <v>0.94238</v>
      </c>
      <c r="R1434" s="21">
        <v>71433</v>
      </c>
      <c r="S1434" s="18" t="s">
        <v>41</v>
      </c>
      <c r="T1434" s="20">
        <v>151233.29879999999</v>
      </c>
      <c r="U1434" s="18" t="s">
        <v>48</v>
      </c>
      <c r="V1434" s="19">
        <v>45444</v>
      </c>
      <c r="W1434" s="18" t="s">
        <v>38</v>
      </c>
      <c r="X1434" s="19">
        <v>45376</v>
      </c>
      <c r="Y1434" s="18" t="s">
        <v>39</v>
      </c>
      <c r="Z1434" s="43" t="e">
        <f>TEXT([1]!Table64[[#This Row],[Order date]],"mmm-yyyy")</f>
        <v>#REF!</v>
      </c>
    </row>
    <row r="1435" spans="1:26" x14ac:dyDescent="0.3">
      <c r="A1435" s="22">
        <v>11434</v>
      </c>
      <c r="B1435" s="23">
        <v>5078</v>
      </c>
      <c r="C1435" s="23" t="s">
        <v>34</v>
      </c>
      <c r="D1435" s="24">
        <v>33673.29</v>
      </c>
      <c r="E1435" s="23">
        <v>8</v>
      </c>
      <c r="F1435" s="23" t="s">
        <v>46</v>
      </c>
      <c r="G1435" s="25">
        <v>45337</v>
      </c>
      <c r="H1435" s="24">
        <v>122524.18</v>
      </c>
      <c r="I1435" s="26" t="s">
        <v>47</v>
      </c>
      <c r="J1435" s="15" t="s">
        <v>36</v>
      </c>
      <c r="K1435" s="15">
        <v>167</v>
      </c>
      <c r="L1435" s="16">
        <v>45361</v>
      </c>
      <c r="M1435" s="17">
        <v>6</v>
      </c>
      <c r="N1435" s="27">
        <v>91434</v>
      </c>
      <c r="O1435" s="27" t="s">
        <v>40</v>
      </c>
      <c r="P1435" s="28">
        <v>45352</v>
      </c>
      <c r="Q1435" s="29">
        <v>0.18556</v>
      </c>
      <c r="R1435" s="30">
        <v>71434</v>
      </c>
      <c r="S1435" s="27" t="s">
        <v>41</v>
      </c>
      <c r="T1435" s="29">
        <v>135544.0043</v>
      </c>
      <c r="U1435" s="27" t="s">
        <v>48</v>
      </c>
      <c r="V1435" s="28">
        <v>45392</v>
      </c>
      <c r="W1435" s="27" t="s">
        <v>38</v>
      </c>
      <c r="X1435" s="28">
        <v>45384</v>
      </c>
      <c r="Y1435" s="27" t="s">
        <v>33</v>
      </c>
      <c r="Z1435" s="43" t="e">
        <f>TEXT([1]!Table64[[#This Row],[Order date]],"mmm-yyyy")</f>
        <v>#REF!</v>
      </c>
    </row>
    <row r="1436" spans="1:26" x14ac:dyDescent="0.3">
      <c r="A1436" s="10">
        <v>11435</v>
      </c>
      <c r="B1436" s="11">
        <v>6434</v>
      </c>
      <c r="C1436" s="11" t="s">
        <v>34</v>
      </c>
      <c r="D1436" s="12">
        <v>46130.04</v>
      </c>
      <c r="E1436" s="11">
        <v>41</v>
      </c>
      <c r="F1436" s="11" t="s">
        <v>26</v>
      </c>
      <c r="G1436" s="13">
        <v>45306</v>
      </c>
      <c r="H1436" s="12">
        <v>125858.36</v>
      </c>
      <c r="I1436" s="14" t="s">
        <v>27</v>
      </c>
      <c r="J1436" s="15" t="s">
        <v>49</v>
      </c>
      <c r="K1436" s="15">
        <v>531</v>
      </c>
      <c r="L1436" s="16">
        <v>45332</v>
      </c>
      <c r="M1436" s="17">
        <v>1</v>
      </c>
      <c r="N1436" s="18">
        <v>91435</v>
      </c>
      <c r="O1436" s="18" t="s">
        <v>40</v>
      </c>
      <c r="P1436" s="19">
        <v>45352</v>
      </c>
      <c r="Q1436" s="20">
        <v>0.70662000000000003</v>
      </c>
      <c r="R1436" s="21">
        <v>71435</v>
      </c>
      <c r="S1436" s="18" t="s">
        <v>41</v>
      </c>
      <c r="T1436" s="20">
        <v>141962.46720000001</v>
      </c>
      <c r="U1436" s="18" t="s">
        <v>31</v>
      </c>
      <c r="V1436" s="19">
        <v>45444</v>
      </c>
      <c r="W1436" s="18" t="s">
        <v>38</v>
      </c>
      <c r="X1436" s="19">
        <v>45384</v>
      </c>
      <c r="Y1436" s="18" t="s">
        <v>33</v>
      </c>
      <c r="Z1436" s="43" t="e">
        <f>TEXT([1]!Table64[[#This Row],[Order date]],"mmm-yyyy")</f>
        <v>#REF!</v>
      </c>
    </row>
    <row r="1437" spans="1:26" x14ac:dyDescent="0.3">
      <c r="A1437" s="22">
        <v>11436</v>
      </c>
      <c r="B1437" s="23">
        <v>5574</v>
      </c>
      <c r="C1437" s="23" t="s">
        <v>25</v>
      </c>
      <c r="D1437" s="24">
        <v>31131.69</v>
      </c>
      <c r="E1437" s="23">
        <v>19</v>
      </c>
      <c r="F1437" s="23" t="s">
        <v>46</v>
      </c>
      <c r="G1437" s="25">
        <v>45337</v>
      </c>
      <c r="H1437" s="24">
        <v>131583.46</v>
      </c>
      <c r="I1437" s="26" t="s">
        <v>27</v>
      </c>
      <c r="J1437" s="15" t="s">
        <v>28</v>
      </c>
      <c r="K1437" s="15">
        <v>241</v>
      </c>
      <c r="L1437" s="16">
        <v>45397</v>
      </c>
      <c r="M1437" s="17">
        <v>1</v>
      </c>
      <c r="N1437" s="27">
        <v>91436</v>
      </c>
      <c r="O1437" s="27" t="s">
        <v>29</v>
      </c>
      <c r="P1437" s="28">
        <v>45383</v>
      </c>
      <c r="Q1437" s="29">
        <v>0.22006000000000001</v>
      </c>
      <c r="R1437" s="30">
        <v>71436</v>
      </c>
      <c r="S1437" s="27" t="s">
        <v>45</v>
      </c>
      <c r="T1437" s="29">
        <v>65322.488299999997</v>
      </c>
      <c r="U1437" s="27" t="s">
        <v>31</v>
      </c>
      <c r="V1437" s="28">
        <v>45392</v>
      </c>
      <c r="W1437" s="27" t="s">
        <v>38</v>
      </c>
      <c r="X1437" s="28">
        <v>45376</v>
      </c>
      <c r="Y1437" s="27" t="s">
        <v>39</v>
      </c>
      <c r="Z1437" s="43" t="e">
        <f>TEXT([1]!Table64[[#This Row],[Order date]],"mmm-yyyy")</f>
        <v>#REF!</v>
      </c>
    </row>
    <row r="1438" spans="1:26" x14ac:dyDescent="0.3">
      <c r="A1438" s="10">
        <v>11437</v>
      </c>
      <c r="B1438" s="11">
        <v>5132</v>
      </c>
      <c r="C1438" s="11" t="s">
        <v>34</v>
      </c>
      <c r="D1438" s="12">
        <v>66001.7</v>
      </c>
      <c r="E1438" s="11">
        <v>46</v>
      </c>
      <c r="F1438" s="11" t="s">
        <v>46</v>
      </c>
      <c r="G1438" s="13">
        <v>45383</v>
      </c>
      <c r="H1438" s="12">
        <v>55859.67</v>
      </c>
      <c r="I1438" s="14" t="s">
        <v>27</v>
      </c>
      <c r="J1438" s="15" t="s">
        <v>49</v>
      </c>
      <c r="K1438" s="15">
        <v>640</v>
      </c>
      <c r="L1438" s="16">
        <v>45332</v>
      </c>
      <c r="M1438" s="17">
        <v>9</v>
      </c>
      <c r="N1438" s="18">
        <v>91437</v>
      </c>
      <c r="O1438" s="18" t="s">
        <v>29</v>
      </c>
      <c r="P1438" s="19">
        <v>45383</v>
      </c>
      <c r="Q1438" s="20">
        <v>0.89190999999999998</v>
      </c>
      <c r="R1438" s="21">
        <v>71437</v>
      </c>
      <c r="S1438" s="18" t="s">
        <v>41</v>
      </c>
      <c r="T1438" s="20">
        <v>208758.44560000001</v>
      </c>
      <c r="U1438" s="18" t="s">
        <v>48</v>
      </c>
      <c r="V1438" s="19">
        <v>45392</v>
      </c>
      <c r="W1438" s="18" t="s">
        <v>38</v>
      </c>
      <c r="X1438" s="19">
        <v>45376</v>
      </c>
      <c r="Y1438" s="18" t="s">
        <v>33</v>
      </c>
      <c r="Z1438" s="43" t="e">
        <f>TEXT([1]!Table64[[#This Row],[Order date]],"mmm-yyyy")</f>
        <v>#REF!</v>
      </c>
    </row>
    <row r="1439" spans="1:26" x14ac:dyDescent="0.3">
      <c r="A1439" s="22">
        <v>11438</v>
      </c>
      <c r="B1439" s="23">
        <v>5601</v>
      </c>
      <c r="C1439" s="23" t="s">
        <v>34</v>
      </c>
      <c r="D1439" s="24">
        <v>57701.15</v>
      </c>
      <c r="E1439" s="23">
        <v>28</v>
      </c>
      <c r="F1439" s="23" t="s">
        <v>35</v>
      </c>
      <c r="G1439" s="25">
        <v>45306</v>
      </c>
      <c r="H1439" s="24">
        <v>134673.35</v>
      </c>
      <c r="I1439" s="26" t="s">
        <v>44</v>
      </c>
      <c r="J1439" s="15" t="s">
        <v>36</v>
      </c>
      <c r="K1439" s="15">
        <v>639</v>
      </c>
      <c r="L1439" s="16">
        <v>45332</v>
      </c>
      <c r="M1439" s="17">
        <v>4</v>
      </c>
      <c r="N1439" s="27">
        <v>91438</v>
      </c>
      <c r="O1439" s="27" t="s">
        <v>37</v>
      </c>
      <c r="P1439" s="28">
        <v>45383</v>
      </c>
      <c r="Q1439" s="29">
        <v>0.55964000000000003</v>
      </c>
      <c r="R1439" s="30">
        <v>71438</v>
      </c>
      <c r="S1439" s="27" t="s">
        <v>45</v>
      </c>
      <c r="T1439" s="29">
        <v>113307.1306</v>
      </c>
      <c r="U1439" s="27" t="s">
        <v>42</v>
      </c>
      <c r="V1439" s="28">
        <v>45422</v>
      </c>
      <c r="W1439" s="27" t="s">
        <v>32</v>
      </c>
      <c r="X1439" s="28">
        <v>45384</v>
      </c>
      <c r="Y1439" s="27" t="s">
        <v>33</v>
      </c>
      <c r="Z1439" s="43" t="e">
        <f>TEXT([1]!Table64[[#This Row],[Order date]],"mmm-yyyy")</f>
        <v>#REF!</v>
      </c>
    </row>
    <row r="1440" spans="1:26" x14ac:dyDescent="0.3">
      <c r="A1440" s="10">
        <v>11439</v>
      </c>
      <c r="B1440" s="11">
        <v>6773</v>
      </c>
      <c r="C1440" s="11" t="s">
        <v>34</v>
      </c>
      <c r="D1440" s="12">
        <v>52043.63</v>
      </c>
      <c r="E1440" s="11">
        <v>91</v>
      </c>
      <c r="F1440" s="11" t="s">
        <v>46</v>
      </c>
      <c r="G1440" s="13">
        <v>45306</v>
      </c>
      <c r="H1440" s="12">
        <v>65816.929999999993</v>
      </c>
      <c r="I1440" s="14" t="s">
        <v>27</v>
      </c>
      <c r="J1440" s="15" t="s">
        <v>36</v>
      </c>
      <c r="K1440" s="15">
        <v>708</v>
      </c>
      <c r="L1440" s="16">
        <v>45332</v>
      </c>
      <c r="M1440" s="17">
        <v>9</v>
      </c>
      <c r="N1440" s="18">
        <v>91439</v>
      </c>
      <c r="O1440" s="18" t="s">
        <v>29</v>
      </c>
      <c r="P1440" s="19">
        <v>45430</v>
      </c>
      <c r="Q1440" s="20">
        <v>0.17405999999999999</v>
      </c>
      <c r="R1440" s="21">
        <v>71439</v>
      </c>
      <c r="S1440" s="18" t="s">
        <v>41</v>
      </c>
      <c r="T1440" s="20">
        <v>152929.9535</v>
      </c>
      <c r="U1440" s="18" t="s">
        <v>31</v>
      </c>
      <c r="V1440" s="19">
        <v>45444</v>
      </c>
      <c r="W1440" s="18" t="s">
        <v>38</v>
      </c>
      <c r="X1440" s="19">
        <v>45376</v>
      </c>
      <c r="Y1440" s="18" t="s">
        <v>33</v>
      </c>
      <c r="Z1440" s="43" t="e">
        <f>TEXT([1]!Table64[[#This Row],[Order date]],"mmm-yyyy")</f>
        <v>#REF!</v>
      </c>
    </row>
    <row r="1441" spans="1:26" x14ac:dyDescent="0.3">
      <c r="A1441" s="22">
        <v>11440</v>
      </c>
      <c r="B1441" s="23">
        <v>6066</v>
      </c>
      <c r="C1441" s="23" t="s">
        <v>34</v>
      </c>
      <c r="D1441" s="24">
        <v>84014.89</v>
      </c>
      <c r="E1441" s="23">
        <v>68</v>
      </c>
      <c r="F1441" s="23" t="s">
        <v>35</v>
      </c>
      <c r="G1441" s="25">
        <v>45383</v>
      </c>
      <c r="H1441" s="24">
        <v>44850.32</v>
      </c>
      <c r="I1441" s="26" t="s">
        <v>47</v>
      </c>
      <c r="J1441" s="15" t="s">
        <v>36</v>
      </c>
      <c r="K1441" s="15">
        <v>156</v>
      </c>
      <c r="L1441" s="16">
        <v>45361</v>
      </c>
      <c r="M1441" s="17">
        <v>11</v>
      </c>
      <c r="N1441" s="27">
        <v>91440</v>
      </c>
      <c r="O1441" s="27" t="s">
        <v>29</v>
      </c>
      <c r="P1441" s="28">
        <v>45352</v>
      </c>
      <c r="Q1441" s="29">
        <v>0.65505000000000002</v>
      </c>
      <c r="R1441" s="30">
        <v>71440</v>
      </c>
      <c r="S1441" s="27" t="s">
        <v>41</v>
      </c>
      <c r="T1441" s="29">
        <v>115827.05070000001</v>
      </c>
      <c r="U1441" s="27" t="s">
        <v>31</v>
      </c>
      <c r="V1441" s="28">
        <v>45392</v>
      </c>
      <c r="W1441" s="27" t="s">
        <v>38</v>
      </c>
      <c r="X1441" s="28">
        <v>45384</v>
      </c>
      <c r="Y1441" s="27" t="s">
        <v>33</v>
      </c>
      <c r="Z1441" s="43" t="e">
        <f>TEXT([1]!Table64[[#This Row],[Order date]],"mmm-yyyy")</f>
        <v>#REF!</v>
      </c>
    </row>
    <row r="1442" spans="1:26" x14ac:dyDescent="0.3">
      <c r="A1442" s="10">
        <v>11441</v>
      </c>
      <c r="B1442" s="11">
        <v>5089</v>
      </c>
      <c r="C1442" s="11" t="s">
        <v>34</v>
      </c>
      <c r="D1442" s="12">
        <v>52494.82</v>
      </c>
      <c r="E1442" s="11">
        <v>15</v>
      </c>
      <c r="F1442" s="11" t="s">
        <v>35</v>
      </c>
      <c r="G1442" s="13">
        <v>45306</v>
      </c>
      <c r="H1442" s="12">
        <v>26747.22</v>
      </c>
      <c r="I1442" s="14" t="s">
        <v>27</v>
      </c>
      <c r="J1442" s="15" t="s">
        <v>28</v>
      </c>
      <c r="K1442" s="15">
        <v>431</v>
      </c>
      <c r="L1442" s="16">
        <v>45397</v>
      </c>
      <c r="M1442" s="17">
        <v>5</v>
      </c>
      <c r="N1442" s="18">
        <v>91441</v>
      </c>
      <c r="O1442" s="18" t="s">
        <v>29</v>
      </c>
      <c r="P1442" s="19">
        <v>45383</v>
      </c>
      <c r="Q1442" s="20">
        <v>0.1082</v>
      </c>
      <c r="R1442" s="21">
        <v>71441</v>
      </c>
      <c r="S1442" s="18" t="s">
        <v>41</v>
      </c>
      <c r="T1442" s="20">
        <v>123001.3505</v>
      </c>
      <c r="U1442" s="18" t="s">
        <v>48</v>
      </c>
      <c r="V1442" s="19">
        <v>45444</v>
      </c>
      <c r="W1442" s="18" t="s">
        <v>32</v>
      </c>
      <c r="X1442" s="19">
        <v>45384</v>
      </c>
      <c r="Y1442" s="18" t="s">
        <v>33</v>
      </c>
      <c r="Z1442" s="43" t="e">
        <f>TEXT([1]!Table64[[#This Row],[Order date]],"mmm-yyyy")</f>
        <v>#REF!</v>
      </c>
    </row>
    <row r="1443" spans="1:26" x14ac:dyDescent="0.3">
      <c r="A1443" s="22">
        <v>11442</v>
      </c>
      <c r="B1443" s="23">
        <v>5402</v>
      </c>
      <c r="C1443" s="23" t="s">
        <v>34</v>
      </c>
      <c r="D1443" s="24">
        <v>20301.39</v>
      </c>
      <c r="E1443" s="23">
        <v>99</v>
      </c>
      <c r="F1443" s="23" t="s">
        <v>43</v>
      </c>
      <c r="G1443" s="25">
        <v>45337</v>
      </c>
      <c r="H1443" s="24">
        <v>63362.39</v>
      </c>
      <c r="I1443" s="26" t="s">
        <v>44</v>
      </c>
      <c r="J1443" s="15" t="s">
        <v>36</v>
      </c>
      <c r="K1443" s="15">
        <v>832</v>
      </c>
      <c r="L1443" s="16">
        <v>45361</v>
      </c>
      <c r="M1443" s="17">
        <v>7</v>
      </c>
      <c r="N1443" s="27">
        <v>91442</v>
      </c>
      <c r="O1443" s="27" t="s">
        <v>29</v>
      </c>
      <c r="P1443" s="28">
        <v>45352</v>
      </c>
      <c r="Q1443" s="29">
        <v>0.79842000000000002</v>
      </c>
      <c r="R1443" s="30">
        <v>71442</v>
      </c>
      <c r="S1443" s="27" t="s">
        <v>30</v>
      </c>
      <c r="T1443" s="29">
        <v>137203.1428</v>
      </c>
      <c r="U1443" s="27" t="s">
        <v>42</v>
      </c>
      <c r="V1443" s="28">
        <v>45392</v>
      </c>
      <c r="W1443" s="27" t="s">
        <v>38</v>
      </c>
      <c r="X1443" s="28">
        <v>45376</v>
      </c>
      <c r="Y1443" s="27" t="s">
        <v>33</v>
      </c>
      <c r="Z1443" s="43" t="e">
        <f>TEXT([1]!Table64[[#This Row],[Order date]],"mmm-yyyy")</f>
        <v>#REF!</v>
      </c>
    </row>
    <row r="1444" spans="1:26" x14ac:dyDescent="0.3">
      <c r="A1444" s="10">
        <v>11443</v>
      </c>
      <c r="B1444" s="11">
        <v>5296</v>
      </c>
      <c r="C1444" s="11" t="s">
        <v>34</v>
      </c>
      <c r="D1444" s="12">
        <v>55337.41</v>
      </c>
      <c r="E1444" s="11">
        <v>37</v>
      </c>
      <c r="F1444" s="11" t="s">
        <v>35</v>
      </c>
      <c r="G1444" s="13">
        <v>45361</v>
      </c>
      <c r="H1444" s="12">
        <v>75308.33</v>
      </c>
      <c r="I1444" s="14" t="s">
        <v>27</v>
      </c>
      <c r="J1444" s="15" t="s">
        <v>28</v>
      </c>
      <c r="K1444" s="15">
        <v>439</v>
      </c>
      <c r="L1444" s="16">
        <v>45361</v>
      </c>
      <c r="M1444" s="17">
        <v>1</v>
      </c>
      <c r="N1444" s="18">
        <v>91443</v>
      </c>
      <c r="O1444" s="18" t="s">
        <v>50</v>
      </c>
      <c r="P1444" s="19">
        <v>45352</v>
      </c>
      <c r="Q1444" s="20">
        <v>0.68552999999999997</v>
      </c>
      <c r="R1444" s="21">
        <v>71443</v>
      </c>
      <c r="S1444" s="18" t="s">
        <v>41</v>
      </c>
      <c r="T1444" s="20">
        <v>78782.252410000001</v>
      </c>
      <c r="U1444" s="18" t="s">
        <v>31</v>
      </c>
      <c r="V1444" s="19">
        <v>45422</v>
      </c>
      <c r="W1444" s="18" t="s">
        <v>38</v>
      </c>
      <c r="X1444" s="19">
        <v>45376</v>
      </c>
      <c r="Y1444" s="18" t="s">
        <v>33</v>
      </c>
      <c r="Z1444" s="43" t="e">
        <f>TEXT([1]!Table64[[#This Row],[Order date]],"mmm-yyyy")</f>
        <v>#REF!</v>
      </c>
    </row>
    <row r="1445" spans="1:26" x14ac:dyDescent="0.3">
      <c r="A1445" s="22">
        <v>11444</v>
      </c>
      <c r="B1445" s="23">
        <v>6864</v>
      </c>
      <c r="C1445" s="23" t="s">
        <v>34</v>
      </c>
      <c r="D1445" s="24">
        <v>24320.080000000002</v>
      </c>
      <c r="E1445" s="23">
        <v>1</v>
      </c>
      <c r="F1445" s="23" t="s">
        <v>35</v>
      </c>
      <c r="G1445" s="25">
        <v>45383</v>
      </c>
      <c r="H1445" s="24">
        <v>138852.13</v>
      </c>
      <c r="I1445" s="26" t="s">
        <v>44</v>
      </c>
      <c r="J1445" s="15" t="s">
        <v>49</v>
      </c>
      <c r="K1445" s="15">
        <v>293</v>
      </c>
      <c r="L1445" s="16">
        <v>45332</v>
      </c>
      <c r="M1445" s="17">
        <v>6</v>
      </c>
      <c r="N1445" s="27">
        <v>91444</v>
      </c>
      <c r="O1445" s="27" t="s">
        <v>50</v>
      </c>
      <c r="P1445" s="28">
        <v>45430</v>
      </c>
      <c r="Q1445" s="29">
        <v>0.29136000000000001</v>
      </c>
      <c r="R1445" s="30">
        <v>71444</v>
      </c>
      <c r="S1445" s="27" t="s">
        <v>41</v>
      </c>
      <c r="T1445" s="29">
        <v>194214.25779999999</v>
      </c>
      <c r="U1445" s="27" t="s">
        <v>31</v>
      </c>
      <c r="V1445" s="28">
        <v>45422</v>
      </c>
      <c r="W1445" s="27" t="s">
        <v>32</v>
      </c>
      <c r="X1445" s="28">
        <v>45376</v>
      </c>
      <c r="Y1445" s="27" t="s">
        <v>39</v>
      </c>
      <c r="Z1445" s="43" t="e">
        <f>TEXT([1]!Table64[[#This Row],[Order date]],"mmm-yyyy")</f>
        <v>#REF!</v>
      </c>
    </row>
    <row r="1446" spans="1:26" x14ac:dyDescent="0.3">
      <c r="A1446" s="10">
        <v>11445</v>
      </c>
      <c r="B1446" s="11">
        <v>6319</v>
      </c>
      <c r="C1446" s="11" t="s">
        <v>34</v>
      </c>
      <c r="D1446" s="12">
        <v>87098.28</v>
      </c>
      <c r="E1446" s="11">
        <v>67</v>
      </c>
      <c r="F1446" s="11" t="s">
        <v>43</v>
      </c>
      <c r="G1446" s="13">
        <v>45337</v>
      </c>
      <c r="H1446" s="12">
        <v>104937.78</v>
      </c>
      <c r="I1446" s="14" t="s">
        <v>44</v>
      </c>
      <c r="J1446" s="15" t="s">
        <v>36</v>
      </c>
      <c r="K1446" s="15">
        <v>634</v>
      </c>
      <c r="L1446" s="16">
        <v>45361</v>
      </c>
      <c r="M1446" s="17">
        <v>8</v>
      </c>
      <c r="N1446" s="18">
        <v>91445</v>
      </c>
      <c r="O1446" s="18" t="s">
        <v>29</v>
      </c>
      <c r="P1446" s="19">
        <v>45430</v>
      </c>
      <c r="Q1446" s="20">
        <v>0.43728</v>
      </c>
      <c r="R1446" s="21">
        <v>71445</v>
      </c>
      <c r="S1446" s="18" t="s">
        <v>30</v>
      </c>
      <c r="T1446" s="20">
        <v>191454.0871</v>
      </c>
      <c r="U1446" s="18" t="s">
        <v>42</v>
      </c>
      <c r="V1446" s="19">
        <v>45422</v>
      </c>
      <c r="W1446" s="18" t="s">
        <v>38</v>
      </c>
      <c r="X1446" s="19">
        <v>45376</v>
      </c>
      <c r="Y1446" s="18" t="s">
        <v>39</v>
      </c>
      <c r="Z1446" s="43" t="e">
        <f>TEXT([1]!Table64[[#This Row],[Order date]],"mmm-yyyy")</f>
        <v>#REF!</v>
      </c>
    </row>
    <row r="1447" spans="1:26" x14ac:dyDescent="0.3">
      <c r="A1447" s="22">
        <v>11446</v>
      </c>
      <c r="B1447" s="23">
        <v>5616</v>
      </c>
      <c r="C1447" s="23" t="s">
        <v>34</v>
      </c>
      <c r="D1447" s="24">
        <v>63308.82</v>
      </c>
      <c r="E1447" s="23">
        <v>24</v>
      </c>
      <c r="F1447" s="23" t="s">
        <v>46</v>
      </c>
      <c r="G1447" s="25">
        <v>45383</v>
      </c>
      <c r="H1447" s="24">
        <v>103178.98</v>
      </c>
      <c r="I1447" s="26" t="s">
        <v>44</v>
      </c>
      <c r="J1447" s="15" t="s">
        <v>36</v>
      </c>
      <c r="K1447" s="15">
        <v>918</v>
      </c>
      <c r="L1447" s="16">
        <v>45332</v>
      </c>
      <c r="M1447" s="17">
        <v>14</v>
      </c>
      <c r="N1447" s="27">
        <v>91446</v>
      </c>
      <c r="O1447" s="27" t="s">
        <v>37</v>
      </c>
      <c r="P1447" s="28">
        <v>45383</v>
      </c>
      <c r="Q1447" s="29">
        <v>0.10703</v>
      </c>
      <c r="R1447" s="30">
        <v>71446</v>
      </c>
      <c r="S1447" s="27" t="s">
        <v>30</v>
      </c>
      <c r="T1447" s="29">
        <v>153251.26699999999</v>
      </c>
      <c r="U1447" s="27" t="s">
        <v>31</v>
      </c>
      <c r="V1447" s="28">
        <v>45422</v>
      </c>
      <c r="W1447" s="27" t="s">
        <v>38</v>
      </c>
      <c r="X1447" s="28">
        <v>45376</v>
      </c>
      <c r="Y1447" s="27" t="s">
        <v>39</v>
      </c>
      <c r="Z1447" s="43" t="e">
        <f>TEXT([1]!Table64[[#This Row],[Order date]],"mmm-yyyy")</f>
        <v>#REF!</v>
      </c>
    </row>
    <row r="1448" spans="1:26" x14ac:dyDescent="0.3">
      <c r="A1448" s="10">
        <v>11447</v>
      </c>
      <c r="B1448" s="11">
        <v>6550</v>
      </c>
      <c r="C1448" s="11" t="s">
        <v>25</v>
      </c>
      <c r="D1448" s="12">
        <v>96550.98</v>
      </c>
      <c r="E1448" s="11">
        <v>27</v>
      </c>
      <c r="F1448" s="11" t="s">
        <v>26</v>
      </c>
      <c r="G1448" s="13">
        <v>45383</v>
      </c>
      <c r="H1448" s="12">
        <v>28739.25</v>
      </c>
      <c r="I1448" s="14" t="s">
        <v>44</v>
      </c>
      <c r="J1448" s="15" t="s">
        <v>36</v>
      </c>
      <c r="K1448" s="15">
        <v>517</v>
      </c>
      <c r="L1448" s="16">
        <v>45397</v>
      </c>
      <c r="M1448" s="17">
        <v>1</v>
      </c>
      <c r="N1448" s="18">
        <v>91447</v>
      </c>
      <c r="O1448" s="18" t="s">
        <v>50</v>
      </c>
      <c r="P1448" s="19">
        <v>45383</v>
      </c>
      <c r="Q1448" s="20">
        <v>0.72431999999999996</v>
      </c>
      <c r="R1448" s="21">
        <v>71447</v>
      </c>
      <c r="S1448" s="18" t="s">
        <v>45</v>
      </c>
      <c r="T1448" s="20">
        <v>122113.76927</v>
      </c>
      <c r="U1448" s="18" t="s">
        <v>42</v>
      </c>
      <c r="V1448" s="19">
        <v>45392</v>
      </c>
      <c r="W1448" s="18" t="s">
        <v>32</v>
      </c>
      <c r="X1448" s="19">
        <v>45376</v>
      </c>
      <c r="Y1448" s="18" t="s">
        <v>33</v>
      </c>
      <c r="Z1448" s="43" t="e">
        <f>TEXT([1]!Table64[[#This Row],[Order date]],"mmm-yyyy")</f>
        <v>#REF!</v>
      </c>
    </row>
    <row r="1449" spans="1:26" x14ac:dyDescent="0.3">
      <c r="A1449" s="22">
        <v>11448</v>
      </c>
      <c r="B1449" s="23">
        <v>5800</v>
      </c>
      <c r="C1449" s="23" t="s">
        <v>34</v>
      </c>
      <c r="D1449" s="24">
        <v>29256.93</v>
      </c>
      <c r="E1449" s="23">
        <v>40</v>
      </c>
      <c r="F1449" s="23" t="s">
        <v>26</v>
      </c>
      <c r="G1449" s="25">
        <v>45306</v>
      </c>
      <c r="H1449" s="24">
        <v>41990.35</v>
      </c>
      <c r="I1449" s="26" t="s">
        <v>44</v>
      </c>
      <c r="J1449" s="15" t="s">
        <v>49</v>
      </c>
      <c r="K1449" s="15">
        <v>915</v>
      </c>
      <c r="L1449" s="16">
        <v>45361</v>
      </c>
      <c r="M1449" s="17">
        <v>9</v>
      </c>
      <c r="N1449" s="27">
        <v>91448</v>
      </c>
      <c r="O1449" s="27" t="s">
        <v>29</v>
      </c>
      <c r="P1449" s="28">
        <v>45430</v>
      </c>
      <c r="Q1449" s="29">
        <v>0.39040000000000002</v>
      </c>
      <c r="R1449" s="30">
        <v>71448</v>
      </c>
      <c r="S1449" s="27" t="s">
        <v>41</v>
      </c>
      <c r="T1449" s="29">
        <v>111250.27220000001</v>
      </c>
      <c r="U1449" s="27" t="s">
        <v>48</v>
      </c>
      <c r="V1449" s="28">
        <v>45444</v>
      </c>
      <c r="W1449" s="27" t="s">
        <v>32</v>
      </c>
      <c r="X1449" s="28">
        <v>45376</v>
      </c>
      <c r="Y1449" s="27" t="s">
        <v>33</v>
      </c>
      <c r="Z1449" s="43" t="e">
        <f>TEXT([1]!Table64[[#This Row],[Order date]],"mmm-yyyy")</f>
        <v>#REF!</v>
      </c>
    </row>
    <row r="1450" spans="1:26" x14ac:dyDescent="0.3">
      <c r="A1450" s="10">
        <v>11449</v>
      </c>
      <c r="B1450" s="11">
        <v>6715</v>
      </c>
      <c r="C1450" s="11" t="s">
        <v>34</v>
      </c>
      <c r="D1450" s="12">
        <v>62495.49</v>
      </c>
      <c r="E1450" s="11">
        <v>63</v>
      </c>
      <c r="F1450" s="11" t="s">
        <v>26</v>
      </c>
      <c r="G1450" s="13">
        <v>45306</v>
      </c>
      <c r="H1450" s="12">
        <v>23103.63</v>
      </c>
      <c r="I1450" s="14" t="s">
        <v>47</v>
      </c>
      <c r="J1450" s="15" t="s">
        <v>36</v>
      </c>
      <c r="K1450" s="15">
        <v>983</v>
      </c>
      <c r="L1450" s="16">
        <v>45361</v>
      </c>
      <c r="M1450" s="17">
        <v>3</v>
      </c>
      <c r="N1450" s="18">
        <v>91449</v>
      </c>
      <c r="O1450" s="18" t="s">
        <v>50</v>
      </c>
      <c r="P1450" s="19">
        <v>45430</v>
      </c>
      <c r="Q1450" s="20">
        <v>0.61443000000000003</v>
      </c>
      <c r="R1450" s="21">
        <v>71449</v>
      </c>
      <c r="S1450" s="18" t="s">
        <v>41</v>
      </c>
      <c r="T1450" s="20">
        <v>219290.44349999999</v>
      </c>
      <c r="U1450" s="18" t="s">
        <v>31</v>
      </c>
      <c r="V1450" s="19">
        <v>45422</v>
      </c>
      <c r="W1450" s="18" t="s">
        <v>32</v>
      </c>
      <c r="X1450" s="19">
        <v>45376</v>
      </c>
      <c r="Y1450" s="18" t="s">
        <v>39</v>
      </c>
      <c r="Z1450" s="43" t="e">
        <f>TEXT([1]!Table64[[#This Row],[Order date]],"mmm-yyyy")</f>
        <v>#REF!</v>
      </c>
    </row>
    <row r="1451" spans="1:26" x14ac:dyDescent="0.3">
      <c r="A1451" s="22">
        <v>11450</v>
      </c>
      <c r="B1451" s="23">
        <v>6661</v>
      </c>
      <c r="C1451" s="23" t="s">
        <v>34</v>
      </c>
      <c r="D1451" s="24">
        <v>47262.16</v>
      </c>
      <c r="E1451" s="23">
        <v>61</v>
      </c>
      <c r="F1451" s="23" t="s">
        <v>46</v>
      </c>
      <c r="G1451" s="25">
        <v>45337</v>
      </c>
      <c r="H1451" s="24">
        <v>145155.6</v>
      </c>
      <c r="I1451" s="26" t="s">
        <v>27</v>
      </c>
      <c r="J1451" s="15" t="s">
        <v>28</v>
      </c>
      <c r="K1451" s="15">
        <v>1283</v>
      </c>
      <c r="L1451" s="16">
        <v>45361</v>
      </c>
      <c r="M1451" s="17">
        <v>1</v>
      </c>
      <c r="N1451" s="27">
        <v>91450</v>
      </c>
      <c r="O1451" s="27" t="s">
        <v>40</v>
      </c>
      <c r="P1451" s="28">
        <v>45352</v>
      </c>
      <c r="Q1451" s="29">
        <v>0.96104999999999996</v>
      </c>
      <c r="R1451" s="30">
        <v>71450</v>
      </c>
      <c r="S1451" s="27" t="s">
        <v>30</v>
      </c>
      <c r="T1451" s="29">
        <v>136120.73530999999</v>
      </c>
      <c r="U1451" s="27" t="s">
        <v>48</v>
      </c>
      <c r="V1451" s="28">
        <v>45422</v>
      </c>
      <c r="W1451" s="27" t="s">
        <v>32</v>
      </c>
      <c r="X1451" s="28">
        <v>45376</v>
      </c>
      <c r="Y1451" s="27" t="s">
        <v>33</v>
      </c>
      <c r="Z1451" s="43" t="e">
        <f>TEXT([1]!Table64[[#This Row],[Order date]],"mmm-yyyy")</f>
        <v>#REF!</v>
      </c>
    </row>
    <row r="1452" spans="1:26" x14ac:dyDescent="0.3">
      <c r="A1452" s="10">
        <v>11451</v>
      </c>
      <c r="B1452" s="11">
        <v>5422</v>
      </c>
      <c r="C1452" s="11" t="s">
        <v>34</v>
      </c>
      <c r="D1452" s="12">
        <v>70792.490000000005</v>
      </c>
      <c r="E1452" s="11">
        <v>36</v>
      </c>
      <c r="F1452" s="11" t="s">
        <v>35</v>
      </c>
      <c r="G1452" s="13">
        <v>45383</v>
      </c>
      <c r="H1452" s="12">
        <v>120085.43</v>
      </c>
      <c r="I1452" s="14" t="s">
        <v>44</v>
      </c>
      <c r="J1452" s="15" t="s">
        <v>49</v>
      </c>
      <c r="K1452" s="15">
        <v>653</v>
      </c>
      <c r="L1452" s="16">
        <v>45332</v>
      </c>
      <c r="M1452" s="17">
        <v>1</v>
      </c>
      <c r="N1452" s="18">
        <v>91451</v>
      </c>
      <c r="O1452" s="18" t="s">
        <v>50</v>
      </c>
      <c r="P1452" s="19">
        <v>45352</v>
      </c>
      <c r="Q1452" s="20">
        <v>0.36952000000000002</v>
      </c>
      <c r="R1452" s="21">
        <v>71451</v>
      </c>
      <c r="S1452" s="18" t="s">
        <v>30</v>
      </c>
      <c r="T1452" s="20">
        <v>85455.164499999999</v>
      </c>
      <c r="U1452" s="18" t="s">
        <v>42</v>
      </c>
      <c r="V1452" s="19">
        <v>45422</v>
      </c>
      <c r="W1452" s="18" t="s">
        <v>32</v>
      </c>
      <c r="X1452" s="19">
        <v>45376</v>
      </c>
      <c r="Y1452" s="18" t="s">
        <v>39</v>
      </c>
      <c r="Z1452" s="43" t="e">
        <f>TEXT([1]!Table64[[#This Row],[Order date]],"mmm-yyyy")</f>
        <v>#REF!</v>
      </c>
    </row>
    <row r="1453" spans="1:26" x14ac:dyDescent="0.3">
      <c r="A1453" s="22">
        <v>11452</v>
      </c>
      <c r="B1453" s="23">
        <v>6889</v>
      </c>
      <c r="C1453" s="23" t="s">
        <v>34</v>
      </c>
      <c r="D1453" s="24">
        <v>28825.1</v>
      </c>
      <c r="E1453" s="23">
        <v>98</v>
      </c>
      <c r="F1453" s="23" t="s">
        <v>26</v>
      </c>
      <c r="G1453" s="25">
        <v>45306</v>
      </c>
      <c r="H1453" s="24">
        <v>146917.45000000001</v>
      </c>
      <c r="I1453" s="26" t="s">
        <v>44</v>
      </c>
      <c r="J1453" s="15" t="s">
        <v>49</v>
      </c>
      <c r="K1453" s="15">
        <v>1064</v>
      </c>
      <c r="L1453" s="16">
        <v>45332</v>
      </c>
      <c r="M1453" s="17">
        <v>13</v>
      </c>
      <c r="N1453" s="27">
        <v>91452</v>
      </c>
      <c r="O1453" s="27" t="s">
        <v>50</v>
      </c>
      <c r="P1453" s="28">
        <v>45383</v>
      </c>
      <c r="Q1453" s="29">
        <v>0.99121000000000004</v>
      </c>
      <c r="R1453" s="30">
        <v>71452</v>
      </c>
      <c r="S1453" s="27" t="s">
        <v>41</v>
      </c>
      <c r="T1453" s="29">
        <v>175309.79889999999</v>
      </c>
      <c r="U1453" s="27" t="s">
        <v>48</v>
      </c>
      <c r="V1453" s="28">
        <v>45444</v>
      </c>
      <c r="W1453" s="27" t="s">
        <v>38</v>
      </c>
      <c r="X1453" s="28">
        <v>45376</v>
      </c>
      <c r="Y1453" s="27" t="s">
        <v>33</v>
      </c>
      <c r="Z1453" s="43" t="e">
        <f>TEXT([1]!Table64[[#This Row],[Order date]],"mmm-yyyy")</f>
        <v>#REF!</v>
      </c>
    </row>
    <row r="1454" spans="1:26" x14ac:dyDescent="0.3">
      <c r="A1454" s="10">
        <v>11453</v>
      </c>
      <c r="B1454" s="11">
        <v>6047</v>
      </c>
      <c r="C1454" s="11" t="s">
        <v>25</v>
      </c>
      <c r="D1454" s="12">
        <v>35882.9</v>
      </c>
      <c r="E1454" s="11">
        <v>93</v>
      </c>
      <c r="F1454" s="11" t="s">
        <v>46</v>
      </c>
      <c r="G1454" s="13">
        <v>45306</v>
      </c>
      <c r="H1454" s="12">
        <v>42259.94</v>
      </c>
      <c r="I1454" s="14" t="s">
        <v>44</v>
      </c>
      <c r="J1454" s="15" t="s">
        <v>49</v>
      </c>
      <c r="K1454" s="15">
        <v>1146</v>
      </c>
      <c r="L1454" s="16">
        <v>45361</v>
      </c>
      <c r="M1454" s="17">
        <v>14</v>
      </c>
      <c r="N1454" s="18">
        <v>91453</v>
      </c>
      <c r="O1454" s="18" t="s">
        <v>37</v>
      </c>
      <c r="P1454" s="19">
        <v>45383</v>
      </c>
      <c r="Q1454" s="20">
        <v>0.66946000000000006</v>
      </c>
      <c r="R1454" s="21">
        <v>71453</v>
      </c>
      <c r="S1454" s="18" t="s">
        <v>41</v>
      </c>
      <c r="T1454" s="20">
        <v>113054.2503</v>
      </c>
      <c r="U1454" s="18" t="s">
        <v>48</v>
      </c>
      <c r="V1454" s="19">
        <v>45392</v>
      </c>
      <c r="W1454" s="18" t="s">
        <v>32</v>
      </c>
      <c r="X1454" s="19">
        <v>45376</v>
      </c>
      <c r="Y1454" s="18" t="s">
        <v>33</v>
      </c>
      <c r="Z1454" s="43" t="e">
        <f>TEXT([1]!Table64[[#This Row],[Order date]],"mmm-yyyy")</f>
        <v>#REF!</v>
      </c>
    </row>
    <row r="1455" spans="1:26" x14ac:dyDescent="0.3">
      <c r="A1455" s="22">
        <v>11454</v>
      </c>
      <c r="B1455" s="23">
        <v>5575</v>
      </c>
      <c r="C1455" s="23" t="s">
        <v>34</v>
      </c>
      <c r="D1455" s="24">
        <v>30450.65</v>
      </c>
      <c r="E1455" s="23">
        <v>24</v>
      </c>
      <c r="F1455" s="23" t="s">
        <v>35</v>
      </c>
      <c r="G1455" s="25">
        <v>45383</v>
      </c>
      <c r="H1455" s="24">
        <v>42966.21</v>
      </c>
      <c r="I1455" s="26" t="s">
        <v>47</v>
      </c>
      <c r="J1455" s="15" t="s">
        <v>49</v>
      </c>
      <c r="K1455" s="15">
        <v>1382</v>
      </c>
      <c r="L1455" s="16">
        <v>45361</v>
      </c>
      <c r="M1455" s="17">
        <v>11</v>
      </c>
      <c r="N1455" s="27">
        <v>91454</v>
      </c>
      <c r="O1455" s="27" t="s">
        <v>50</v>
      </c>
      <c r="P1455" s="28">
        <v>45430</v>
      </c>
      <c r="Q1455" s="29">
        <v>0.31788</v>
      </c>
      <c r="R1455" s="30">
        <v>71454</v>
      </c>
      <c r="S1455" s="27" t="s">
        <v>30</v>
      </c>
      <c r="T1455" s="29">
        <v>109339.6795</v>
      </c>
      <c r="U1455" s="27" t="s">
        <v>48</v>
      </c>
      <c r="V1455" s="28">
        <v>45392</v>
      </c>
      <c r="W1455" s="27" t="s">
        <v>32</v>
      </c>
      <c r="X1455" s="28">
        <v>45376</v>
      </c>
      <c r="Y1455" s="27" t="s">
        <v>39</v>
      </c>
      <c r="Z1455" s="43" t="e">
        <f>TEXT([1]!Table64[[#This Row],[Order date]],"mmm-yyyy")</f>
        <v>#REF!</v>
      </c>
    </row>
    <row r="1456" spans="1:26" x14ac:dyDescent="0.3">
      <c r="A1456" s="10">
        <v>11455</v>
      </c>
      <c r="B1456" s="11">
        <v>5143</v>
      </c>
      <c r="C1456" s="11" t="s">
        <v>34</v>
      </c>
      <c r="D1456" s="12">
        <v>40578.25</v>
      </c>
      <c r="E1456" s="11">
        <v>24</v>
      </c>
      <c r="F1456" s="11" t="s">
        <v>43</v>
      </c>
      <c r="G1456" s="13">
        <v>45337</v>
      </c>
      <c r="H1456" s="12">
        <v>60535.55</v>
      </c>
      <c r="I1456" s="14" t="s">
        <v>47</v>
      </c>
      <c r="J1456" s="15" t="s">
        <v>49</v>
      </c>
      <c r="K1456" s="15">
        <v>909</v>
      </c>
      <c r="L1456" s="16">
        <v>45397</v>
      </c>
      <c r="M1456" s="17">
        <v>6</v>
      </c>
      <c r="N1456" s="18">
        <v>91455</v>
      </c>
      <c r="O1456" s="18" t="s">
        <v>37</v>
      </c>
      <c r="P1456" s="19">
        <v>45383</v>
      </c>
      <c r="Q1456" s="20">
        <v>0.49309999999999998</v>
      </c>
      <c r="R1456" s="21">
        <v>71455</v>
      </c>
      <c r="S1456" s="18" t="s">
        <v>41</v>
      </c>
      <c r="T1456" s="20">
        <v>116317.3456</v>
      </c>
      <c r="U1456" s="18" t="s">
        <v>42</v>
      </c>
      <c r="V1456" s="19">
        <v>45392</v>
      </c>
      <c r="W1456" s="18" t="s">
        <v>38</v>
      </c>
      <c r="X1456" s="19">
        <v>45384</v>
      </c>
      <c r="Y1456" s="18" t="s">
        <v>39</v>
      </c>
      <c r="Z1456" s="43" t="e">
        <f>TEXT([1]!Table64[[#This Row],[Order date]],"mmm-yyyy")</f>
        <v>#REF!</v>
      </c>
    </row>
    <row r="1457" spans="1:26" x14ac:dyDescent="0.3">
      <c r="A1457" s="22">
        <v>11456</v>
      </c>
      <c r="B1457" s="23">
        <v>5993</v>
      </c>
      <c r="C1457" s="23" t="s">
        <v>25</v>
      </c>
      <c r="D1457" s="24">
        <v>43099.63</v>
      </c>
      <c r="E1457" s="23">
        <v>4</v>
      </c>
      <c r="F1457" s="23" t="s">
        <v>26</v>
      </c>
      <c r="G1457" s="25">
        <v>45337</v>
      </c>
      <c r="H1457" s="24">
        <v>97371.45</v>
      </c>
      <c r="I1457" s="26" t="s">
        <v>44</v>
      </c>
      <c r="J1457" s="15" t="s">
        <v>28</v>
      </c>
      <c r="K1457" s="15">
        <v>1259</v>
      </c>
      <c r="L1457" s="16">
        <v>45397</v>
      </c>
      <c r="M1457" s="17">
        <v>11</v>
      </c>
      <c r="N1457" s="27">
        <v>91456</v>
      </c>
      <c r="O1457" s="27" t="s">
        <v>40</v>
      </c>
      <c r="P1457" s="28">
        <v>45352</v>
      </c>
      <c r="Q1457" s="29">
        <v>0.76641000000000004</v>
      </c>
      <c r="R1457" s="30">
        <v>71456</v>
      </c>
      <c r="S1457" s="27" t="s">
        <v>45</v>
      </c>
      <c r="T1457" s="29">
        <v>162923.90823</v>
      </c>
      <c r="U1457" s="27" t="s">
        <v>42</v>
      </c>
      <c r="V1457" s="28">
        <v>45392</v>
      </c>
      <c r="W1457" s="27" t="s">
        <v>38</v>
      </c>
      <c r="X1457" s="28">
        <v>45376</v>
      </c>
      <c r="Y1457" s="27" t="s">
        <v>33</v>
      </c>
      <c r="Z1457" s="43" t="e">
        <f>TEXT([1]!Table64[[#This Row],[Order date]],"mmm-yyyy")</f>
        <v>#REF!</v>
      </c>
    </row>
    <row r="1458" spans="1:26" x14ac:dyDescent="0.3">
      <c r="A1458" s="10">
        <v>11457</v>
      </c>
      <c r="B1458" s="11">
        <v>5665</v>
      </c>
      <c r="C1458" s="11" t="s">
        <v>34</v>
      </c>
      <c r="D1458" s="12">
        <v>46539.59</v>
      </c>
      <c r="E1458" s="11">
        <v>67</v>
      </c>
      <c r="F1458" s="11" t="s">
        <v>35</v>
      </c>
      <c r="G1458" s="13">
        <v>45383</v>
      </c>
      <c r="H1458" s="12">
        <v>69779.16</v>
      </c>
      <c r="I1458" s="14" t="s">
        <v>47</v>
      </c>
      <c r="J1458" s="15" t="s">
        <v>49</v>
      </c>
      <c r="K1458" s="15">
        <v>1326</v>
      </c>
      <c r="L1458" s="16">
        <v>45397</v>
      </c>
      <c r="M1458" s="17">
        <v>6</v>
      </c>
      <c r="N1458" s="18">
        <v>91457</v>
      </c>
      <c r="O1458" s="18" t="s">
        <v>29</v>
      </c>
      <c r="P1458" s="19">
        <v>45430</v>
      </c>
      <c r="Q1458" s="20">
        <v>0.50183</v>
      </c>
      <c r="R1458" s="21">
        <v>71457</v>
      </c>
      <c r="S1458" s="18" t="s">
        <v>30</v>
      </c>
      <c r="T1458" s="20">
        <v>50085.761420000003</v>
      </c>
      <c r="U1458" s="18" t="s">
        <v>42</v>
      </c>
      <c r="V1458" s="19">
        <v>45444</v>
      </c>
      <c r="W1458" s="18" t="s">
        <v>38</v>
      </c>
      <c r="X1458" s="19">
        <v>45376</v>
      </c>
      <c r="Y1458" s="18" t="s">
        <v>33</v>
      </c>
      <c r="Z1458" s="43" t="e">
        <f>TEXT([1]!Table64[[#This Row],[Order date]],"mmm-yyyy")</f>
        <v>#REF!</v>
      </c>
    </row>
    <row r="1459" spans="1:26" x14ac:dyDescent="0.3">
      <c r="A1459" s="22">
        <v>11458</v>
      </c>
      <c r="B1459" s="23">
        <v>5145</v>
      </c>
      <c r="C1459" s="23" t="s">
        <v>34</v>
      </c>
      <c r="D1459" s="24">
        <v>74628.429999999993</v>
      </c>
      <c r="E1459" s="23">
        <v>34</v>
      </c>
      <c r="F1459" s="23" t="s">
        <v>26</v>
      </c>
      <c r="G1459" s="25">
        <v>45337</v>
      </c>
      <c r="H1459" s="24">
        <v>168830.79</v>
      </c>
      <c r="I1459" s="26" t="s">
        <v>27</v>
      </c>
      <c r="J1459" s="15" t="s">
        <v>36</v>
      </c>
      <c r="K1459" s="15">
        <v>62</v>
      </c>
      <c r="L1459" s="16">
        <v>45397</v>
      </c>
      <c r="M1459" s="17">
        <v>1</v>
      </c>
      <c r="N1459" s="27">
        <v>91458</v>
      </c>
      <c r="O1459" s="27" t="s">
        <v>37</v>
      </c>
      <c r="P1459" s="28">
        <v>45352</v>
      </c>
      <c r="Q1459" s="29">
        <v>0.16166</v>
      </c>
      <c r="R1459" s="30">
        <v>71458</v>
      </c>
      <c r="S1459" s="27" t="s">
        <v>45</v>
      </c>
      <c r="T1459" s="29">
        <v>111290.67993</v>
      </c>
      <c r="U1459" s="27" t="s">
        <v>42</v>
      </c>
      <c r="V1459" s="28">
        <v>45444</v>
      </c>
      <c r="W1459" s="27" t="s">
        <v>38</v>
      </c>
      <c r="X1459" s="28">
        <v>45384</v>
      </c>
      <c r="Y1459" s="27" t="s">
        <v>39</v>
      </c>
      <c r="Z1459" s="43" t="e">
        <f>TEXT([1]!Table64[[#This Row],[Order date]],"mmm-yyyy")</f>
        <v>#REF!</v>
      </c>
    </row>
    <row r="1460" spans="1:26" x14ac:dyDescent="0.3">
      <c r="A1460" s="10">
        <v>11459</v>
      </c>
      <c r="B1460" s="11">
        <v>6249</v>
      </c>
      <c r="C1460" s="11" t="s">
        <v>34</v>
      </c>
      <c r="D1460" s="12">
        <v>28352.82</v>
      </c>
      <c r="E1460" s="11">
        <v>57</v>
      </c>
      <c r="F1460" s="11" t="s">
        <v>26</v>
      </c>
      <c r="G1460" s="13">
        <v>45306</v>
      </c>
      <c r="H1460" s="12">
        <v>85687.34</v>
      </c>
      <c r="I1460" s="14" t="s">
        <v>44</v>
      </c>
      <c r="J1460" s="15" t="s">
        <v>49</v>
      </c>
      <c r="K1460" s="15">
        <v>348</v>
      </c>
      <c r="L1460" s="16">
        <v>45397</v>
      </c>
      <c r="M1460" s="17">
        <v>14</v>
      </c>
      <c r="N1460" s="18">
        <v>91459</v>
      </c>
      <c r="O1460" s="18" t="s">
        <v>50</v>
      </c>
      <c r="P1460" s="19">
        <v>45430</v>
      </c>
      <c r="Q1460" s="20">
        <v>0.25174000000000002</v>
      </c>
      <c r="R1460" s="21">
        <v>71459</v>
      </c>
      <c r="S1460" s="18" t="s">
        <v>41</v>
      </c>
      <c r="T1460" s="20">
        <v>164778.46502999999</v>
      </c>
      <c r="U1460" s="18" t="s">
        <v>42</v>
      </c>
      <c r="V1460" s="19">
        <v>45444</v>
      </c>
      <c r="W1460" s="18" t="s">
        <v>38</v>
      </c>
      <c r="X1460" s="19">
        <v>45376</v>
      </c>
      <c r="Y1460" s="18" t="s">
        <v>39</v>
      </c>
      <c r="Z1460" s="43" t="e">
        <f>TEXT([1]!Table64[[#This Row],[Order date]],"mmm-yyyy")</f>
        <v>#REF!</v>
      </c>
    </row>
    <row r="1461" spans="1:26" x14ac:dyDescent="0.3">
      <c r="A1461" s="22">
        <v>11460</v>
      </c>
      <c r="B1461" s="23">
        <v>6007</v>
      </c>
      <c r="C1461" s="23" t="s">
        <v>34</v>
      </c>
      <c r="D1461" s="24">
        <v>42332.42</v>
      </c>
      <c r="E1461" s="23">
        <v>49</v>
      </c>
      <c r="F1461" s="23" t="s">
        <v>26</v>
      </c>
      <c r="G1461" s="25">
        <v>45383</v>
      </c>
      <c r="H1461" s="24">
        <v>27196.19</v>
      </c>
      <c r="I1461" s="26" t="s">
        <v>44</v>
      </c>
      <c r="J1461" s="15" t="s">
        <v>49</v>
      </c>
      <c r="K1461" s="15">
        <v>1149</v>
      </c>
      <c r="L1461" s="16">
        <v>45332</v>
      </c>
      <c r="M1461" s="17">
        <v>14</v>
      </c>
      <c r="N1461" s="27">
        <v>91460</v>
      </c>
      <c r="O1461" s="27" t="s">
        <v>50</v>
      </c>
      <c r="P1461" s="28">
        <v>45430</v>
      </c>
      <c r="Q1461" s="29">
        <v>0.81216999999999995</v>
      </c>
      <c r="R1461" s="30">
        <v>71460</v>
      </c>
      <c r="S1461" s="27" t="s">
        <v>45</v>
      </c>
      <c r="T1461" s="29">
        <v>193372.85316999999</v>
      </c>
      <c r="U1461" s="27" t="s">
        <v>31</v>
      </c>
      <c r="V1461" s="28">
        <v>45422</v>
      </c>
      <c r="W1461" s="27" t="s">
        <v>38</v>
      </c>
      <c r="X1461" s="28">
        <v>45376</v>
      </c>
      <c r="Y1461" s="27" t="s">
        <v>33</v>
      </c>
      <c r="Z1461" s="43" t="e">
        <f>TEXT([1]!Table64[[#This Row],[Order date]],"mmm-yyyy")</f>
        <v>#REF!</v>
      </c>
    </row>
    <row r="1462" spans="1:26" x14ac:dyDescent="0.3">
      <c r="A1462" s="10">
        <v>11461</v>
      </c>
      <c r="B1462" s="11">
        <v>5503</v>
      </c>
      <c r="C1462" s="11" t="s">
        <v>34</v>
      </c>
      <c r="D1462" s="12">
        <v>20195.560000000001</v>
      </c>
      <c r="E1462" s="11">
        <v>87</v>
      </c>
      <c r="F1462" s="11" t="s">
        <v>35</v>
      </c>
      <c r="G1462" s="13">
        <v>45306</v>
      </c>
      <c r="H1462" s="12">
        <v>59522.07</v>
      </c>
      <c r="I1462" s="14" t="s">
        <v>27</v>
      </c>
      <c r="J1462" s="15" t="s">
        <v>49</v>
      </c>
      <c r="K1462" s="15">
        <v>1124</v>
      </c>
      <c r="L1462" s="16">
        <v>45397</v>
      </c>
      <c r="M1462" s="17">
        <v>3</v>
      </c>
      <c r="N1462" s="18">
        <v>91461</v>
      </c>
      <c r="O1462" s="18" t="s">
        <v>37</v>
      </c>
      <c r="P1462" s="19">
        <v>45352</v>
      </c>
      <c r="Q1462" s="20">
        <v>0.68354000000000004</v>
      </c>
      <c r="R1462" s="21">
        <v>71461</v>
      </c>
      <c r="S1462" s="18" t="s">
        <v>41</v>
      </c>
      <c r="T1462" s="20">
        <v>92804.277879999994</v>
      </c>
      <c r="U1462" s="18" t="s">
        <v>31</v>
      </c>
      <c r="V1462" s="19">
        <v>45444</v>
      </c>
      <c r="W1462" s="18" t="s">
        <v>32</v>
      </c>
      <c r="X1462" s="19">
        <v>45384</v>
      </c>
      <c r="Y1462" s="18" t="s">
        <v>39</v>
      </c>
      <c r="Z1462" s="43" t="e">
        <f>TEXT([1]!Table64[[#This Row],[Order date]],"mmm-yyyy")</f>
        <v>#REF!</v>
      </c>
    </row>
    <row r="1463" spans="1:26" x14ac:dyDescent="0.3">
      <c r="A1463" s="22">
        <v>11462</v>
      </c>
      <c r="B1463" s="23">
        <v>6986</v>
      </c>
      <c r="C1463" s="23" t="s">
        <v>25</v>
      </c>
      <c r="D1463" s="24">
        <v>62968.22</v>
      </c>
      <c r="E1463" s="23">
        <v>53</v>
      </c>
      <c r="F1463" s="23" t="s">
        <v>46</v>
      </c>
      <c r="G1463" s="25">
        <v>45361</v>
      </c>
      <c r="H1463" s="24">
        <v>70451.350000000006</v>
      </c>
      <c r="I1463" s="26" t="s">
        <v>27</v>
      </c>
      <c r="J1463" s="15" t="s">
        <v>49</v>
      </c>
      <c r="K1463" s="15">
        <v>836</v>
      </c>
      <c r="L1463" s="16">
        <v>45397</v>
      </c>
      <c r="M1463" s="17">
        <v>7</v>
      </c>
      <c r="N1463" s="27">
        <v>91462</v>
      </c>
      <c r="O1463" s="27" t="s">
        <v>40</v>
      </c>
      <c r="P1463" s="28">
        <v>45383</v>
      </c>
      <c r="Q1463" s="29">
        <v>0.61284000000000005</v>
      </c>
      <c r="R1463" s="30">
        <v>71462</v>
      </c>
      <c r="S1463" s="27" t="s">
        <v>30</v>
      </c>
      <c r="T1463" s="29">
        <v>167049.06950000001</v>
      </c>
      <c r="U1463" s="27" t="s">
        <v>31</v>
      </c>
      <c r="V1463" s="28">
        <v>45392</v>
      </c>
      <c r="W1463" s="27" t="s">
        <v>38</v>
      </c>
      <c r="X1463" s="28">
        <v>45376</v>
      </c>
      <c r="Y1463" s="27" t="s">
        <v>39</v>
      </c>
      <c r="Z1463" s="43" t="e">
        <f>TEXT([1]!Table64[[#This Row],[Order date]],"mmm-yyyy")</f>
        <v>#REF!</v>
      </c>
    </row>
    <row r="1464" spans="1:26" x14ac:dyDescent="0.3">
      <c r="A1464" s="10">
        <v>11463</v>
      </c>
      <c r="B1464" s="11">
        <v>6998</v>
      </c>
      <c r="C1464" s="11" t="s">
        <v>25</v>
      </c>
      <c r="D1464" s="12">
        <v>41396.980000000003</v>
      </c>
      <c r="E1464" s="11">
        <v>23</v>
      </c>
      <c r="F1464" s="11" t="s">
        <v>35</v>
      </c>
      <c r="G1464" s="13">
        <v>45361</v>
      </c>
      <c r="H1464" s="12">
        <v>93653.59</v>
      </c>
      <c r="I1464" s="14" t="s">
        <v>27</v>
      </c>
      <c r="J1464" s="15" t="s">
        <v>49</v>
      </c>
      <c r="K1464" s="15">
        <v>198</v>
      </c>
      <c r="L1464" s="16">
        <v>45361</v>
      </c>
      <c r="M1464" s="17">
        <v>10</v>
      </c>
      <c r="N1464" s="18">
        <v>91463</v>
      </c>
      <c r="O1464" s="18" t="s">
        <v>29</v>
      </c>
      <c r="P1464" s="19">
        <v>45383</v>
      </c>
      <c r="Q1464" s="20">
        <v>0.25086000000000003</v>
      </c>
      <c r="R1464" s="21">
        <v>71463</v>
      </c>
      <c r="S1464" s="18" t="s">
        <v>45</v>
      </c>
      <c r="T1464" s="20">
        <v>142087.41656000001</v>
      </c>
      <c r="U1464" s="18" t="s">
        <v>48</v>
      </c>
      <c r="V1464" s="19">
        <v>45444</v>
      </c>
      <c r="W1464" s="18" t="s">
        <v>38</v>
      </c>
      <c r="X1464" s="19">
        <v>45384</v>
      </c>
      <c r="Y1464" s="18" t="s">
        <v>33</v>
      </c>
      <c r="Z1464" s="43" t="e">
        <f>TEXT([1]!Table64[[#This Row],[Order date]],"mmm-yyyy")</f>
        <v>#REF!</v>
      </c>
    </row>
    <row r="1465" spans="1:26" x14ac:dyDescent="0.3">
      <c r="A1465" s="22">
        <v>11464</v>
      </c>
      <c r="B1465" s="23">
        <v>5821</v>
      </c>
      <c r="C1465" s="23" t="s">
        <v>25</v>
      </c>
      <c r="D1465" s="24">
        <v>81625.73</v>
      </c>
      <c r="E1465" s="23">
        <v>69</v>
      </c>
      <c r="F1465" s="23" t="s">
        <v>26</v>
      </c>
      <c r="G1465" s="25">
        <v>45337</v>
      </c>
      <c r="H1465" s="24">
        <v>33549.449999999997</v>
      </c>
      <c r="I1465" s="26" t="s">
        <v>44</v>
      </c>
      <c r="J1465" s="15" t="s">
        <v>28</v>
      </c>
      <c r="K1465" s="15">
        <v>171</v>
      </c>
      <c r="L1465" s="16">
        <v>45332</v>
      </c>
      <c r="M1465" s="17">
        <v>3</v>
      </c>
      <c r="N1465" s="27">
        <v>91464</v>
      </c>
      <c r="O1465" s="27" t="s">
        <v>50</v>
      </c>
      <c r="P1465" s="28">
        <v>45383</v>
      </c>
      <c r="Q1465" s="29">
        <v>0.85397999999999996</v>
      </c>
      <c r="R1465" s="30">
        <v>71464</v>
      </c>
      <c r="S1465" s="27" t="s">
        <v>41</v>
      </c>
      <c r="T1465" s="29">
        <v>130540.5742</v>
      </c>
      <c r="U1465" s="27" t="s">
        <v>48</v>
      </c>
      <c r="V1465" s="28">
        <v>45422</v>
      </c>
      <c r="W1465" s="27" t="s">
        <v>38</v>
      </c>
      <c r="X1465" s="28">
        <v>45376</v>
      </c>
      <c r="Y1465" s="27" t="s">
        <v>33</v>
      </c>
      <c r="Z1465" s="43" t="e">
        <f>TEXT([1]!Table64[[#This Row],[Order date]],"mmm-yyyy")</f>
        <v>#REF!</v>
      </c>
    </row>
    <row r="1466" spans="1:26" x14ac:dyDescent="0.3">
      <c r="A1466" s="10">
        <v>11465</v>
      </c>
      <c r="B1466" s="11">
        <v>6640</v>
      </c>
      <c r="C1466" s="11" t="s">
        <v>34</v>
      </c>
      <c r="D1466" s="12">
        <v>21797.65</v>
      </c>
      <c r="E1466" s="11">
        <v>95</v>
      </c>
      <c r="F1466" s="11" t="s">
        <v>35</v>
      </c>
      <c r="G1466" s="13">
        <v>45361</v>
      </c>
      <c r="H1466" s="12">
        <v>111106.07</v>
      </c>
      <c r="I1466" s="14" t="s">
        <v>44</v>
      </c>
      <c r="J1466" s="15" t="s">
        <v>28</v>
      </c>
      <c r="K1466" s="15">
        <v>1284</v>
      </c>
      <c r="L1466" s="16">
        <v>45397</v>
      </c>
      <c r="M1466" s="17">
        <v>3</v>
      </c>
      <c r="N1466" s="18">
        <v>91465</v>
      </c>
      <c r="O1466" s="18" t="s">
        <v>40</v>
      </c>
      <c r="P1466" s="19">
        <v>45383</v>
      </c>
      <c r="Q1466" s="20">
        <v>0.96467000000000003</v>
      </c>
      <c r="R1466" s="21">
        <v>71465</v>
      </c>
      <c r="S1466" s="18" t="s">
        <v>41</v>
      </c>
      <c r="T1466" s="20">
        <v>130607.0327</v>
      </c>
      <c r="U1466" s="18" t="s">
        <v>42</v>
      </c>
      <c r="V1466" s="19">
        <v>45392</v>
      </c>
      <c r="W1466" s="18" t="s">
        <v>38</v>
      </c>
      <c r="X1466" s="19">
        <v>45376</v>
      </c>
      <c r="Y1466" s="18" t="s">
        <v>39</v>
      </c>
      <c r="Z1466" s="43" t="e">
        <f>TEXT([1]!Table64[[#This Row],[Order date]],"mmm-yyyy")</f>
        <v>#REF!</v>
      </c>
    </row>
    <row r="1467" spans="1:26" x14ac:dyDescent="0.3">
      <c r="A1467" s="22">
        <v>11466</v>
      </c>
      <c r="B1467" s="23">
        <v>5104</v>
      </c>
      <c r="C1467" s="23" t="s">
        <v>34</v>
      </c>
      <c r="D1467" s="24">
        <v>12345.91</v>
      </c>
      <c r="E1467" s="23">
        <v>53</v>
      </c>
      <c r="F1467" s="23" t="s">
        <v>43</v>
      </c>
      <c r="G1467" s="25">
        <v>45306</v>
      </c>
      <c r="H1467" s="24">
        <v>80898.38</v>
      </c>
      <c r="I1467" s="26" t="s">
        <v>44</v>
      </c>
      <c r="J1467" s="15" t="s">
        <v>49</v>
      </c>
      <c r="K1467" s="15">
        <v>1353</v>
      </c>
      <c r="L1467" s="16">
        <v>45397</v>
      </c>
      <c r="M1467" s="17">
        <v>3</v>
      </c>
      <c r="N1467" s="27">
        <v>91466</v>
      </c>
      <c r="O1467" s="27" t="s">
        <v>29</v>
      </c>
      <c r="P1467" s="28">
        <v>45352</v>
      </c>
      <c r="Q1467" s="29">
        <v>0.1368</v>
      </c>
      <c r="R1467" s="30">
        <v>71466</v>
      </c>
      <c r="S1467" s="27" t="s">
        <v>45</v>
      </c>
      <c r="T1467" s="29">
        <v>194395.43849999999</v>
      </c>
      <c r="U1467" s="27" t="s">
        <v>42</v>
      </c>
      <c r="V1467" s="28">
        <v>45444</v>
      </c>
      <c r="W1467" s="27" t="s">
        <v>38</v>
      </c>
      <c r="X1467" s="28">
        <v>45376</v>
      </c>
      <c r="Y1467" s="27" t="s">
        <v>39</v>
      </c>
      <c r="Z1467" s="43" t="e">
        <f>TEXT([1]!Table64[[#This Row],[Order date]],"mmm-yyyy")</f>
        <v>#REF!</v>
      </c>
    </row>
    <row r="1468" spans="1:26" x14ac:dyDescent="0.3">
      <c r="A1468" s="10">
        <v>11467</v>
      </c>
      <c r="B1468" s="11">
        <v>6971</v>
      </c>
      <c r="C1468" s="11" t="s">
        <v>34</v>
      </c>
      <c r="D1468" s="12">
        <v>30521.46</v>
      </c>
      <c r="E1468" s="11">
        <v>62</v>
      </c>
      <c r="F1468" s="11" t="s">
        <v>46</v>
      </c>
      <c r="G1468" s="13">
        <v>45361</v>
      </c>
      <c r="H1468" s="12">
        <v>148429.51999999999</v>
      </c>
      <c r="I1468" s="14" t="s">
        <v>27</v>
      </c>
      <c r="J1468" s="15" t="s">
        <v>28</v>
      </c>
      <c r="K1468" s="15">
        <v>587</v>
      </c>
      <c r="L1468" s="16">
        <v>45397</v>
      </c>
      <c r="M1468" s="17">
        <v>12</v>
      </c>
      <c r="N1468" s="18">
        <v>91467</v>
      </c>
      <c r="O1468" s="18" t="s">
        <v>29</v>
      </c>
      <c r="P1468" s="19">
        <v>45430</v>
      </c>
      <c r="Q1468" s="20">
        <v>0.17022999999999999</v>
      </c>
      <c r="R1468" s="21">
        <v>71467</v>
      </c>
      <c r="S1468" s="18" t="s">
        <v>30</v>
      </c>
      <c r="T1468" s="20">
        <v>163784.4051</v>
      </c>
      <c r="U1468" s="18" t="s">
        <v>31</v>
      </c>
      <c r="V1468" s="19">
        <v>45392</v>
      </c>
      <c r="W1468" s="18" t="s">
        <v>38</v>
      </c>
      <c r="X1468" s="19">
        <v>45376</v>
      </c>
      <c r="Y1468" s="18" t="s">
        <v>33</v>
      </c>
      <c r="Z1468" s="43" t="e">
        <f>TEXT([1]!Table64[[#This Row],[Order date]],"mmm-yyyy")</f>
        <v>#REF!</v>
      </c>
    </row>
    <row r="1469" spans="1:26" x14ac:dyDescent="0.3">
      <c r="A1469" s="22">
        <v>11468</v>
      </c>
      <c r="B1469" s="23">
        <v>6063</v>
      </c>
      <c r="C1469" s="23" t="s">
        <v>34</v>
      </c>
      <c r="D1469" s="24">
        <v>88173.58</v>
      </c>
      <c r="E1469" s="23">
        <v>41</v>
      </c>
      <c r="F1469" s="23" t="s">
        <v>35</v>
      </c>
      <c r="G1469" s="25">
        <v>45306</v>
      </c>
      <c r="H1469" s="24">
        <v>137984.26</v>
      </c>
      <c r="I1469" s="26" t="s">
        <v>27</v>
      </c>
      <c r="J1469" s="15" t="s">
        <v>36</v>
      </c>
      <c r="K1469" s="15">
        <v>1229</v>
      </c>
      <c r="L1469" s="16">
        <v>45361</v>
      </c>
      <c r="M1469" s="17">
        <v>7</v>
      </c>
      <c r="N1469" s="27">
        <v>91468</v>
      </c>
      <c r="O1469" s="27" t="s">
        <v>50</v>
      </c>
      <c r="P1469" s="28">
        <v>45352</v>
      </c>
      <c r="Q1469" s="29">
        <v>0.89624999999999999</v>
      </c>
      <c r="R1469" s="30">
        <v>71468</v>
      </c>
      <c r="S1469" s="27" t="s">
        <v>45</v>
      </c>
      <c r="T1469" s="29">
        <v>56853.0262</v>
      </c>
      <c r="U1469" s="27" t="s">
        <v>42</v>
      </c>
      <c r="V1469" s="28">
        <v>45392</v>
      </c>
      <c r="W1469" s="27" t="s">
        <v>38</v>
      </c>
      <c r="X1469" s="28">
        <v>45384</v>
      </c>
      <c r="Y1469" s="27" t="s">
        <v>39</v>
      </c>
      <c r="Z1469" s="43" t="e">
        <f>TEXT([1]!Table64[[#This Row],[Order date]],"mmm-yyyy")</f>
        <v>#REF!</v>
      </c>
    </row>
    <row r="1470" spans="1:26" x14ac:dyDescent="0.3">
      <c r="A1470" s="10">
        <v>11469</v>
      </c>
      <c r="B1470" s="11">
        <v>6971</v>
      </c>
      <c r="C1470" s="11" t="s">
        <v>25</v>
      </c>
      <c r="D1470" s="12">
        <v>94946.35</v>
      </c>
      <c r="E1470" s="11">
        <v>57</v>
      </c>
      <c r="F1470" s="11" t="s">
        <v>43</v>
      </c>
      <c r="G1470" s="13">
        <v>45337</v>
      </c>
      <c r="H1470" s="12">
        <v>146631.88</v>
      </c>
      <c r="I1470" s="14" t="s">
        <v>44</v>
      </c>
      <c r="J1470" s="15" t="s">
        <v>49</v>
      </c>
      <c r="K1470" s="15">
        <v>1311</v>
      </c>
      <c r="L1470" s="16">
        <v>45361</v>
      </c>
      <c r="M1470" s="17">
        <v>4</v>
      </c>
      <c r="N1470" s="18">
        <v>91469</v>
      </c>
      <c r="O1470" s="18" t="s">
        <v>37</v>
      </c>
      <c r="P1470" s="19">
        <v>45383</v>
      </c>
      <c r="Q1470" s="20">
        <v>0.83399999999999996</v>
      </c>
      <c r="R1470" s="21">
        <v>71469</v>
      </c>
      <c r="S1470" s="18" t="s">
        <v>41</v>
      </c>
      <c r="T1470" s="20">
        <v>171238.30040000001</v>
      </c>
      <c r="U1470" s="18" t="s">
        <v>48</v>
      </c>
      <c r="V1470" s="19">
        <v>45444</v>
      </c>
      <c r="W1470" s="18" t="s">
        <v>38</v>
      </c>
      <c r="X1470" s="19">
        <v>45376</v>
      </c>
      <c r="Y1470" s="18" t="s">
        <v>33</v>
      </c>
      <c r="Z1470" s="43" t="e">
        <f>TEXT([1]!Table64[[#This Row],[Order date]],"mmm-yyyy")</f>
        <v>#REF!</v>
      </c>
    </row>
    <row r="1471" spans="1:26" x14ac:dyDescent="0.3">
      <c r="A1471" s="22">
        <v>11470</v>
      </c>
      <c r="B1471" s="23">
        <v>5198</v>
      </c>
      <c r="C1471" s="23" t="s">
        <v>34</v>
      </c>
      <c r="D1471" s="24">
        <v>82484.36</v>
      </c>
      <c r="E1471" s="23">
        <v>60</v>
      </c>
      <c r="F1471" s="23" t="s">
        <v>46</v>
      </c>
      <c r="G1471" s="25">
        <v>45337</v>
      </c>
      <c r="H1471" s="24">
        <v>102841.34</v>
      </c>
      <c r="I1471" s="26" t="s">
        <v>47</v>
      </c>
      <c r="J1471" s="15" t="s">
        <v>36</v>
      </c>
      <c r="K1471" s="15">
        <v>425</v>
      </c>
      <c r="L1471" s="16">
        <v>45361</v>
      </c>
      <c r="M1471" s="17">
        <v>4</v>
      </c>
      <c r="N1471" s="27">
        <v>91470</v>
      </c>
      <c r="O1471" s="27" t="s">
        <v>50</v>
      </c>
      <c r="P1471" s="28">
        <v>45383</v>
      </c>
      <c r="Q1471" s="29">
        <v>0.65613999999999995</v>
      </c>
      <c r="R1471" s="30">
        <v>71470</v>
      </c>
      <c r="S1471" s="27" t="s">
        <v>45</v>
      </c>
      <c r="T1471" s="29">
        <v>57054.791620000004</v>
      </c>
      <c r="U1471" s="27" t="s">
        <v>42</v>
      </c>
      <c r="V1471" s="28">
        <v>45444</v>
      </c>
      <c r="W1471" s="27" t="s">
        <v>32</v>
      </c>
      <c r="X1471" s="28">
        <v>45384</v>
      </c>
      <c r="Y1471" s="27" t="s">
        <v>39</v>
      </c>
      <c r="Z1471" s="43" t="e">
        <f>TEXT([1]!Table64[[#This Row],[Order date]],"mmm-yyyy")</f>
        <v>#REF!</v>
      </c>
    </row>
    <row r="1472" spans="1:26" x14ac:dyDescent="0.3">
      <c r="A1472" s="10">
        <v>11471</v>
      </c>
      <c r="B1472" s="11">
        <v>6670</v>
      </c>
      <c r="C1472" s="11" t="s">
        <v>34</v>
      </c>
      <c r="D1472" s="12">
        <v>57435.78</v>
      </c>
      <c r="E1472" s="11">
        <v>54</v>
      </c>
      <c r="F1472" s="11" t="s">
        <v>43</v>
      </c>
      <c r="G1472" s="13">
        <v>45306</v>
      </c>
      <c r="H1472" s="12">
        <v>58774.37</v>
      </c>
      <c r="I1472" s="14" t="s">
        <v>44</v>
      </c>
      <c r="J1472" s="15" t="s">
        <v>36</v>
      </c>
      <c r="K1472" s="15">
        <v>131</v>
      </c>
      <c r="L1472" s="16">
        <v>45397</v>
      </c>
      <c r="M1472" s="17">
        <v>3</v>
      </c>
      <c r="N1472" s="18">
        <v>91471</v>
      </c>
      <c r="O1472" s="18" t="s">
        <v>50</v>
      </c>
      <c r="P1472" s="19">
        <v>45352</v>
      </c>
      <c r="Q1472" s="20">
        <v>0.95047000000000004</v>
      </c>
      <c r="R1472" s="21">
        <v>71471</v>
      </c>
      <c r="S1472" s="18" t="s">
        <v>45</v>
      </c>
      <c r="T1472" s="20">
        <v>184855.02960000001</v>
      </c>
      <c r="U1472" s="18" t="s">
        <v>31</v>
      </c>
      <c r="V1472" s="19">
        <v>45422</v>
      </c>
      <c r="W1472" s="18" t="s">
        <v>38</v>
      </c>
      <c r="X1472" s="19">
        <v>45376</v>
      </c>
      <c r="Y1472" s="18" t="s">
        <v>33</v>
      </c>
      <c r="Z1472" s="43" t="e">
        <f>TEXT([1]!Table64[[#This Row],[Order date]],"mmm-yyyy")</f>
        <v>#REF!</v>
      </c>
    </row>
    <row r="1473" spans="1:26" x14ac:dyDescent="0.3">
      <c r="A1473" s="22">
        <v>11472</v>
      </c>
      <c r="B1473" s="23">
        <v>5579</v>
      </c>
      <c r="C1473" s="23" t="s">
        <v>34</v>
      </c>
      <c r="D1473" s="24">
        <v>48572.55</v>
      </c>
      <c r="E1473" s="23">
        <v>70</v>
      </c>
      <c r="F1473" s="23" t="s">
        <v>46</v>
      </c>
      <c r="G1473" s="25">
        <v>45361</v>
      </c>
      <c r="H1473" s="24">
        <v>130185.54</v>
      </c>
      <c r="I1473" s="26" t="s">
        <v>27</v>
      </c>
      <c r="J1473" s="15" t="s">
        <v>49</v>
      </c>
      <c r="K1473" s="15">
        <v>541</v>
      </c>
      <c r="L1473" s="16">
        <v>45361</v>
      </c>
      <c r="M1473" s="17">
        <v>10</v>
      </c>
      <c r="N1473" s="27">
        <v>91472</v>
      </c>
      <c r="O1473" s="27" t="s">
        <v>50</v>
      </c>
      <c r="P1473" s="28">
        <v>45430</v>
      </c>
      <c r="Q1473" s="29">
        <v>0.68179000000000001</v>
      </c>
      <c r="R1473" s="30">
        <v>71472</v>
      </c>
      <c r="S1473" s="27" t="s">
        <v>30</v>
      </c>
      <c r="T1473" s="29">
        <v>151778.6679</v>
      </c>
      <c r="U1473" s="27" t="s">
        <v>42</v>
      </c>
      <c r="V1473" s="28">
        <v>45444</v>
      </c>
      <c r="W1473" s="27" t="s">
        <v>38</v>
      </c>
      <c r="X1473" s="28">
        <v>45376</v>
      </c>
      <c r="Y1473" s="27" t="s">
        <v>33</v>
      </c>
      <c r="Z1473" s="43" t="e">
        <f>TEXT([1]!Table64[[#This Row],[Order date]],"mmm-yyyy")</f>
        <v>#REF!</v>
      </c>
    </row>
    <row r="1474" spans="1:26" x14ac:dyDescent="0.3">
      <c r="A1474" s="10">
        <v>11473</v>
      </c>
      <c r="B1474" s="11">
        <v>5391</v>
      </c>
      <c r="C1474" s="11" t="s">
        <v>25</v>
      </c>
      <c r="D1474" s="12">
        <v>34524.04</v>
      </c>
      <c r="E1474" s="11">
        <v>57</v>
      </c>
      <c r="F1474" s="11" t="s">
        <v>35</v>
      </c>
      <c r="G1474" s="13">
        <v>45337</v>
      </c>
      <c r="H1474" s="12">
        <v>12857.24</v>
      </c>
      <c r="I1474" s="14" t="s">
        <v>44</v>
      </c>
      <c r="J1474" s="15" t="s">
        <v>36</v>
      </c>
      <c r="K1474" s="15">
        <v>405</v>
      </c>
      <c r="L1474" s="16">
        <v>45397</v>
      </c>
      <c r="M1474" s="17">
        <v>11</v>
      </c>
      <c r="N1474" s="18">
        <v>91473</v>
      </c>
      <c r="O1474" s="18" t="s">
        <v>40</v>
      </c>
      <c r="P1474" s="19">
        <v>45352</v>
      </c>
      <c r="Q1474" s="20">
        <v>0.29438999999999999</v>
      </c>
      <c r="R1474" s="21">
        <v>71473</v>
      </c>
      <c r="S1474" s="18" t="s">
        <v>45</v>
      </c>
      <c r="T1474" s="20">
        <v>119125.08905</v>
      </c>
      <c r="U1474" s="18" t="s">
        <v>48</v>
      </c>
      <c r="V1474" s="19">
        <v>45444</v>
      </c>
      <c r="W1474" s="18" t="s">
        <v>38</v>
      </c>
      <c r="X1474" s="19">
        <v>45376</v>
      </c>
      <c r="Y1474" s="18" t="s">
        <v>33</v>
      </c>
      <c r="Z1474" s="43" t="e">
        <f>TEXT([1]!Table64[[#This Row],[Order date]],"mmm-yyyy")</f>
        <v>#REF!</v>
      </c>
    </row>
    <row r="1475" spans="1:26" x14ac:dyDescent="0.3">
      <c r="A1475" s="22">
        <v>11474</v>
      </c>
      <c r="B1475" s="23">
        <v>6203</v>
      </c>
      <c r="C1475" s="23" t="s">
        <v>34</v>
      </c>
      <c r="D1475" s="24">
        <v>86768.56</v>
      </c>
      <c r="E1475" s="23">
        <v>10</v>
      </c>
      <c r="F1475" s="23" t="s">
        <v>43</v>
      </c>
      <c r="G1475" s="25">
        <v>45383</v>
      </c>
      <c r="H1475" s="24">
        <v>96326.36</v>
      </c>
      <c r="I1475" s="26" t="s">
        <v>27</v>
      </c>
      <c r="J1475" s="15" t="s">
        <v>36</v>
      </c>
      <c r="K1475" s="15">
        <v>974</v>
      </c>
      <c r="L1475" s="16">
        <v>45332</v>
      </c>
      <c r="M1475" s="17">
        <v>9</v>
      </c>
      <c r="N1475" s="27">
        <v>91474</v>
      </c>
      <c r="O1475" s="27" t="s">
        <v>37</v>
      </c>
      <c r="P1475" s="28">
        <v>45352</v>
      </c>
      <c r="Q1475" s="29">
        <v>0.75578000000000001</v>
      </c>
      <c r="R1475" s="30">
        <v>71474</v>
      </c>
      <c r="S1475" s="27" t="s">
        <v>41</v>
      </c>
      <c r="T1475" s="29">
        <v>158957.67360000001</v>
      </c>
      <c r="U1475" s="27" t="s">
        <v>31</v>
      </c>
      <c r="V1475" s="28">
        <v>45444</v>
      </c>
      <c r="W1475" s="27" t="s">
        <v>38</v>
      </c>
      <c r="X1475" s="28">
        <v>45376</v>
      </c>
      <c r="Y1475" s="27" t="s">
        <v>39</v>
      </c>
      <c r="Z1475" s="43" t="e">
        <f>TEXT([1]!Table64[[#This Row],[Order date]],"mmm-yyyy")</f>
        <v>#REF!</v>
      </c>
    </row>
    <row r="1476" spans="1:26" x14ac:dyDescent="0.3">
      <c r="A1476" s="10">
        <v>11475</v>
      </c>
      <c r="B1476" s="11">
        <v>6992</v>
      </c>
      <c r="C1476" s="11" t="s">
        <v>25</v>
      </c>
      <c r="D1476" s="12">
        <v>54312.42</v>
      </c>
      <c r="E1476" s="11">
        <v>40</v>
      </c>
      <c r="F1476" s="11" t="s">
        <v>26</v>
      </c>
      <c r="G1476" s="13">
        <v>45337</v>
      </c>
      <c r="H1476" s="12">
        <v>126413.78</v>
      </c>
      <c r="I1476" s="14" t="s">
        <v>47</v>
      </c>
      <c r="J1476" s="15" t="s">
        <v>36</v>
      </c>
      <c r="K1476" s="15">
        <v>1346</v>
      </c>
      <c r="L1476" s="16">
        <v>45397</v>
      </c>
      <c r="M1476" s="17">
        <v>2</v>
      </c>
      <c r="N1476" s="18">
        <v>91475</v>
      </c>
      <c r="O1476" s="18" t="s">
        <v>40</v>
      </c>
      <c r="P1476" s="19">
        <v>45352</v>
      </c>
      <c r="Q1476" s="20">
        <v>0.68113999999999997</v>
      </c>
      <c r="R1476" s="21">
        <v>71475</v>
      </c>
      <c r="S1476" s="18" t="s">
        <v>30</v>
      </c>
      <c r="T1476" s="20">
        <v>60442.572099999998</v>
      </c>
      <c r="U1476" s="18" t="s">
        <v>42</v>
      </c>
      <c r="V1476" s="19">
        <v>45392</v>
      </c>
      <c r="W1476" s="18" t="s">
        <v>32</v>
      </c>
      <c r="X1476" s="19">
        <v>45376</v>
      </c>
      <c r="Y1476" s="18" t="s">
        <v>39</v>
      </c>
      <c r="Z1476" s="43" t="e">
        <f>TEXT([1]!Table64[[#This Row],[Order date]],"mmm-yyyy")</f>
        <v>#REF!</v>
      </c>
    </row>
    <row r="1477" spans="1:26" x14ac:dyDescent="0.3">
      <c r="A1477" s="22">
        <v>11476</v>
      </c>
      <c r="B1477" s="23">
        <v>5554</v>
      </c>
      <c r="C1477" s="23" t="s">
        <v>34</v>
      </c>
      <c r="D1477" s="24">
        <v>60477.38</v>
      </c>
      <c r="E1477" s="23">
        <v>7</v>
      </c>
      <c r="F1477" s="23" t="s">
        <v>43</v>
      </c>
      <c r="G1477" s="25">
        <v>45361</v>
      </c>
      <c r="H1477" s="24">
        <v>16134.3</v>
      </c>
      <c r="I1477" s="26" t="s">
        <v>44</v>
      </c>
      <c r="J1477" s="15" t="s">
        <v>49</v>
      </c>
      <c r="K1477" s="15">
        <v>1117</v>
      </c>
      <c r="L1477" s="16">
        <v>45361</v>
      </c>
      <c r="M1477" s="17">
        <v>4</v>
      </c>
      <c r="N1477" s="27">
        <v>91476</v>
      </c>
      <c r="O1477" s="27" t="s">
        <v>50</v>
      </c>
      <c r="P1477" s="28">
        <v>45430</v>
      </c>
      <c r="Q1477" s="29">
        <v>0.98716999999999999</v>
      </c>
      <c r="R1477" s="30">
        <v>71476</v>
      </c>
      <c r="S1477" s="27" t="s">
        <v>41</v>
      </c>
      <c r="T1477" s="29">
        <v>52413.274279999998</v>
      </c>
      <c r="U1477" s="27" t="s">
        <v>48</v>
      </c>
      <c r="V1477" s="28">
        <v>45422</v>
      </c>
      <c r="W1477" s="27" t="s">
        <v>38</v>
      </c>
      <c r="X1477" s="28">
        <v>45384</v>
      </c>
      <c r="Y1477" s="27" t="s">
        <v>33</v>
      </c>
      <c r="Z1477" s="43" t="e">
        <f>TEXT([1]!Table64[[#This Row],[Order date]],"mmm-yyyy")</f>
        <v>#REF!</v>
      </c>
    </row>
    <row r="1478" spans="1:26" x14ac:dyDescent="0.3">
      <c r="A1478" s="10">
        <v>11477</v>
      </c>
      <c r="B1478" s="11">
        <v>6472</v>
      </c>
      <c r="C1478" s="11" t="s">
        <v>34</v>
      </c>
      <c r="D1478" s="12">
        <v>65292.19</v>
      </c>
      <c r="E1478" s="11">
        <v>38</v>
      </c>
      <c r="F1478" s="11" t="s">
        <v>46</v>
      </c>
      <c r="G1478" s="13">
        <v>45383</v>
      </c>
      <c r="H1478" s="12">
        <v>85789.24</v>
      </c>
      <c r="I1478" s="14" t="s">
        <v>44</v>
      </c>
      <c r="J1478" s="15" t="s">
        <v>49</v>
      </c>
      <c r="K1478" s="15">
        <v>1054</v>
      </c>
      <c r="L1478" s="16">
        <v>45332</v>
      </c>
      <c r="M1478" s="17">
        <v>8</v>
      </c>
      <c r="N1478" s="18">
        <v>91477</v>
      </c>
      <c r="O1478" s="18" t="s">
        <v>37</v>
      </c>
      <c r="P1478" s="19">
        <v>45352</v>
      </c>
      <c r="Q1478" s="20">
        <v>0.29250999999999999</v>
      </c>
      <c r="R1478" s="21">
        <v>71477</v>
      </c>
      <c r="S1478" s="18" t="s">
        <v>30</v>
      </c>
      <c r="T1478" s="20">
        <v>192992.8554</v>
      </c>
      <c r="U1478" s="18" t="s">
        <v>31</v>
      </c>
      <c r="V1478" s="19">
        <v>45392</v>
      </c>
      <c r="W1478" s="18" t="s">
        <v>38</v>
      </c>
      <c r="X1478" s="19">
        <v>45376</v>
      </c>
      <c r="Y1478" s="18" t="s">
        <v>33</v>
      </c>
      <c r="Z1478" s="43" t="e">
        <f>TEXT([1]!Table64[[#This Row],[Order date]],"mmm-yyyy")</f>
        <v>#REF!</v>
      </c>
    </row>
    <row r="1479" spans="1:26" x14ac:dyDescent="0.3">
      <c r="A1479" s="22">
        <v>11478</v>
      </c>
      <c r="B1479" s="23">
        <v>6524</v>
      </c>
      <c r="C1479" s="23" t="s">
        <v>34</v>
      </c>
      <c r="D1479" s="24">
        <v>14712.74</v>
      </c>
      <c r="E1479" s="23">
        <v>85</v>
      </c>
      <c r="F1479" s="23" t="s">
        <v>35</v>
      </c>
      <c r="G1479" s="25">
        <v>45361</v>
      </c>
      <c r="H1479" s="24">
        <v>176953.54</v>
      </c>
      <c r="I1479" s="26" t="s">
        <v>44</v>
      </c>
      <c r="J1479" s="15" t="s">
        <v>36</v>
      </c>
      <c r="K1479" s="15">
        <v>172</v>
      </c>
      <c r="L1479" s="16">
        <v>45397</v>
      </c>
      <c r="M1479" s="17">
        <v>6</v>
      </c>
      <c r="N1479" s="27">
        <v>91478</v>
      </c>
      <c r="O1479" s="27" t="s">
        <v>29</v>
      </c>
      <c r="P1479" s="28">
        <v>45352</v>
      </c>
      <c r="Q1479" s="29">
        <v>0.6381</v>
      </c>
      <c r="R1479" s="30">
        <v>71478</v>
      </c>
      <c r="S1479" s="27" t="s">
        <v>41</v>
      </c>
      <c r="T1479" s="29">
        <v>205147.0203</v>
      </c>
      <c r="U1479" s="27" t="s">
        <v>31</v>
      </c>
      <c r="V1479" s="28">
        <v>45444</v>
      </c>
      <c r="W1479" s="27" t="s">
        <v>38</v>
      </c>
      <c r="X1479" s="28">
        <v>45384</v>
      </c>
      <c r="Y1479" s="27" t="s">
        <v>33</v>
      </c>
      <c r="Z1479" s="43" t="e">
        <f>TEXT([1]!Table64[[#This Row],[Order date]],"mmm-yyyy")</f>
        <v>#REF!</v>
      </c>
    </row>
    <row r="1480" spans="1:26" x14ac:dyDescent="0.3">
      <c r="A1480" s="10">
        <v>11479</v>
      </c>
      <c r="B1480" s="11">
        <v>6039</v>
      </c>
      <c r="C1480" s="11" t="s">
        <v>34</v>
      </c>
      <c r="D1480" s="12">
        <v>21317.58</v>
      </c>
      <c r="E1480" s="11">
        <v>61</v>
      </c>
      <c r="F1480" s="11" t="s">
        <v>46</v>
      </c>
      <c r="G1480" s="13">
        <v>45306</v>
      </c>
      <c r="H1480" s="12">
        <v>12342.34</v>
      </c>
      <c r="I1480" s="14" t="s">
        <v>44</v>
      </c>
      <c r="J1480" s="15" t="s">
        <v>49</v>
      </c>
      <c r="K1480" s="15">
        <v>1422</v>
      </c>
      <c r="L1480" s="16">
        <v>45332</v>
      </c>
      <c r="M1480" s="17">
        <v>14</v>
      </c>
      <c r="N1480" s="18">
        <v>91479</v>
      </c>
      <c r="O1480" s="18" t="s">
        <v>37</v>
      </c>
      <c r="P1480" s="19">
        <v>45383</v>
      </c>
      <c r="Q1480" s="20">
        <v>0.80215000000000003</v>
      </c>
      <c r="R1480" s="21">
        <v>71479</v>
      </c>
      <c r="S1480" s="18" t="s">
        <v>41</v>
      </c>
      <c r="T1480" s="20">
        <v>139515.74249999999</v>
      </c>
      <c r="U1480" s="18" t="s">
        <v>48</v>
      </c>
      <c r="V1480" s="19">
        <v>45422</v>
      </c>
      <c r="W1480" s="18" t="s">
        <v>38</v>
      </c>
      <c r="X1480" s="19">
        <v>45384</v>
      </c>
      <c r="Y1480" s="18" t="s">
        <v>39</v>
      </c>
      <c r="Z1480" s="43" t="e">
        <f>TEXT([1]!Table64[[#This Row],[Order date]],"mmm-yyyy")</f>
        <v>#REF!</v>
      </c>
    </row>
    <row r="1481" spans="1:26" x14ac:dyDescent="0.3">
      <c r="A1481" s="22">
        <v>11480</v>
      </c>
      <c r="B1481" s="23">
        <v>6647</v>
      </c>
      <c r="C1481" s="23" t="s">
        <v>34</v>
      </c>
      <c r="D1481" s="24">
        <v>74921.47</v>
      </c>
      <c r="E1481" s="23">
        <v>84</v>
      </c>
      <c r="F1481" s="23" t="s">
        <v>43</v>
      </c>
      <c r="G1481" s="25">
        <v>45383</v>
      </c>
      <c r="H1481" s="24">
        <v>22297.54</v>
      </c>
      <c r="I1481" s="26" t="s">
        <v>44</v>
      </c>
      <c r="J1481" s="15" t="s">
        <v>49</v>
      </c>
      <c r="K1481" s="15">
        <v>757</v>
      </c>
      <c r="L1481" s="16">
        <v>45332</v>
      </c>
      <c r="M1481" s="17">
        <v>7</v>
      </c>
      <c r="N1481" s="27">
        <v>91480</v>
      </c>
      <c r="O1481" s="27" t="s">
        <v>50</v>
      </c>
      <c r="P1481" s="28">
        <v>45352</v>
      </c>
      <c r="Q1481" s="29">
        <v>0.40508</v>
      </c>
      <c r="R1481" s="30">
        <v>71480</v>
      </c>
      <c r="S1481" s="27" t="s">
        <v>41</v>
      </c>
      <c r="T1481" s="29">
        <v>115232.16039999999</v>
      </c>
      <c r="U1481" s="27" t="s">
        <v>42</v>
      </c>
      <c r="V1481" s="28">
        <v>45444</v>
      </c>
      <c r="W1481" s="27" t="s">
        <v>38</v>
      </c>
      <c r="X1481" s="28">
        <v>45376</v>
      </c>
      <c r="Y1481" s="27" t="s">
        <v>33</v>
      </c>
      <c r="Z1481" s="43" t="e">
        <f>TEXT([1]!Table64[[#This Row],[Order date]],"mmm-yyyy")</f>
        <v>#REF!</v>
      </c>
    </row>
    <row r="1482" spans="1:26" x14ac:dyDescent="0.3">
      <c r="A1482" s="10">
        <v>11481</v>
      </c>
      <c r="B1482" s="11">
        <v>6693</v>
      </c>
      <c r="C1482" s="11" t="s">
        <v>34</v>
      </c>
      <c r="D1482" s="12">
        <v>47027.46</v>
      </c>
      <c r="E1482" s="11">
        <v>3</v>
      </c>
      <c r="F1482" s="11" t="s">
        <v>43</v>
      </c>
      <c r="G1482" s="13">
        <v>45361</v>
      </c>
      <c r="H1482" s="12">
        <v>65611.45</v>
      </c>
      <c r="I1482" s="14" t="s">
        <v>27</v>
      </c>
      <c r="J1482" s="15" t="s">
        <v>36</v>
      </c>
      <c r="K1482" s="15">
        <v>379</v>
      </c>
      <c r="L1482" s="16">
        <v>45332</v>
      </c>
      <c r="M1482" s="17">
        <v>13</v>
      </c>
      <c r="N1482" s="18">
        <v>91481</v>
      </c>
      <c r="O1482" s="18" t="s">
        <v>37</v>
      </c>
      <c r="P1482" s="19">
        <v>45383</v>
      </c>
      <c r="Q1482" s="20">
        <v>0.44170999999999999</v>
      </c>
      <c r="R1482" s="21">
        <v>71481</v>
      </c>
      <c r="S1482" s="18" t="s">
        <v>45</v>
      </c>
      <c r="T1482" s="20">
        <v>175951.14244</v>
      </c>
      <c r="U1482" s="18" t="s">
        <v>42</v>
      </c>
      <c r="V1482" s="19">
        <v>45392</v>
      </c>
      <c r="W1482" s="18" t="s">
        <v>38</v>
      </c>
      <c r="X1482" s="19">
        <v>45376</v>
      </c>
      <c r="Y1482" s="18" t="s">
        <v>33</v>
      </c>
      <c r="Z1482" s="43" t="e">
        <f>TEXT([1]!Table64[[#This Row],[Order date]],"mmm-yyyy")</f>
        <v>#REF!</v>
      </c>
    </row>
    <row r="1483" spans="1:26" x14ac:dyDescent="0.3">
      <c r="A1483" s="22">
        <v>11482</v>
      </c>
      <c r="B1483" s="23">
        <v>6313</v>
      </c>
      <c r="C1483" s="23" t="s">
        <v>34</v>
      </c>
      <c r="D1483" s="24">
        <v>68262.87</v>
      </c>
      <c r="E1483" s="23">
        <v>51</v>
      </c>
      <c r="F1483" s="23" t="s">
        <v>26</v>
      </c>
      <c r="G1483" s="25">
        <v>45383</v>
      </c>
      <c r="H1483" s="24">
        <v>56965.23</v>
      </c>
      <c r="I1483" s="26" t="s">
        <v>44</v>
      </c>
      <c r="J1483" s="15" t="s">
        <v>49</v>
      </c>
      <c r="K1483" s="15">
        <v>1482</v>
      </c>
      <c r="L1483" s="16">
        <v>45397</v>
      </c>
      <c r="M1483" s="17">
        <v>7</v>
      </c>
      <c r="N1483" s="27">
        <v>91482</v>
      </c>
      <c r="O1483" s="27" t="s">
        <v>29</v>
      </c>
      <c r="P1483" s="28">
        <v>45383</v>
      </c>
      <c r="Q1483" s="29">
        <v>0.89910999999999996</v>
      </c>
      <c r="R1483" s="30">
        <v>71482</v>
      </c>
      <c r="S1483" s="27" t="s">
        <v>41</v>
      </c>
      <c r="T1483" s="29">
        <v>63018.624600000003</v>
      </c>
      <c r="U1483" s="27" t="s">
        <v>42</v>
      </c>
      <c r="V1483" s="28">
        <v>45392</v>
      </c>
      <c r="W1483" s="27" t="s">
        <v>38</v>
      </c>
      <c r="X1483" s="28">
        <v>45384</v>
      </c>
      <c r="Y1483" s="27" t="s">
        <v>33</v>
      </c>
      <c r="Z1483" s="43" t="e">
        <f>TEXT([1]!Table64[[#This Row],[Order date]],"mmm-yyyy")</f>
        <v>#REF!</v>
      </c>
    </row>
    <row r="1484" spans="1:26" x14ac:dyDescent="0.3">
      <c r="A1484" s="10">
        <v>11483</v>
      </c>
      <c r="B1484" s="11">
        <v>5478</v>
      </c>
      <c r="C1484" s="11" t="s">
        <v>34</v>
      </c>
      <c r="D1484" s="12">
        <v>34647.019999999997</v>
      </c>
      <c r="E1484" s="11">
        <v>86</v>
      </c>
      <c r="F1484" s="11" t="s">
        <v>35</v>
      </c>
      <c r="G1484" s="13">
        <v>45361</v>
      </c>
      <c r="H1484" s="12">
        <v>53367.96</v>
      </c>
      <c r="I1484" s="14" t="s">
        <v>44</v>
      </c>
      <c r="J1484" s="15" t="s">
        <v>28</v>
      </c>
      <c r="K1484" s="15">
        <v>1040</v>
      </c>
      <c r="L1484" s="16">
        <v>45361</v>
      </c>
      <c r="M1484" s="17">
        <v>2</v>
      </c>
      <c r="N1484" s="18">
        <v>91483</v>
      </c>
      <c r="O1484" s="18" t="s">
        <v>29</v>
      </c>
      <c r="P1484" s="19">
        <v>45383</v>
      </c>
      <c r="Q1484" s="20">
        <v>0.46378000000000003</v>
      </c>
      <c r="R1484" s="21">
        <v>71483</v>
      </c>
      <c r="S1484" s="18" t="s">
        <v>30</v>
      </c>
      <c r="T1484" s="20">
        <v>132082.20509999999</v>
      </c>
      <c r="U1484" s="18" t="s">
        <v>31</v>
      </c>
      <c r="V1484" s="19">
        <v>45444</v>
      </c>
      <c r="W1484" s="18" t="s">
        <v>38</v>
      </c>
      <c r="X1484" s="19">
        <v>45376</v>
      </c>
      <c r="Y1484" s="18" t="s">
        <v>33</v>
      </c>
      <c r="Z1484" s="43" t="e">
        <f>TEXT([1]!Table64[[#This Row],[Order date]],"mmm-yyyy")</f>
        <v>#REF!</v>
      </c>
    </row>
    <row r="1485" spans="1:26" x14ac:dyDescent="0.3">
      <c r="A1485" s="22">
        <v>11484</v>
      </c>
      <c r="B1485" s="23">
        <v>6255</v>
      </c>
      <c r="C1485" s="23" t="s">
        <v>34</v>
      </c>
      <c r="D1485" s="24">
        <v>77943.679999999993</v>
      </c>
      <c r="E1485" s="23">
        <v>47</v>
      </c>
      <c r="F1485" s="23" t="s">
        <v>35</v>
      </c>
      <c r="G1485" s="25">
        <v>45383</v>
      </c>
      <c r="H1485" s="24">
        <v>69436.789999999994</v>
      </c>
      <c r="I1485" s="26" t="s">
        <v>44</v>
      </c>
      <c r="J1485" s="15" t="s">
        <v>49</v>
      </c>
      <c r="K1485" s="15">
        <v>372</v>
      </c>
      <c r="L1485" s="16">
        <v>45397</v>
      </c>
      <c r="M1485" s="17">
        <v>4</v>
      </c>
      <c r="N1485" s="27">
        <v>91484</v>
      </c>
      <c r="O1485" s="27" t="s">
        <v>37</v>
      </c>
      <c r="P1485" s="28">
        <v>45430</v>
      </c>
      <c r="Q1485" s="29">
        <v>0.66225999999999996</v>
      </c>
      <c r="R1485" s="30">
        <v>71484</v>
      </c>
      <c r="S1485" s="27" t="s">
        <v>41</v>
      </c>
      <c r="T1485" s="29">
        <v>101955.18182</v>
      </c>
      <c r="U1485" s="27" t="s">
        <v>31</v>
      </c>
      <c r="V1485" s="28">
        <v>45422</v>
      </c>
      <c r="W1485" s="27" t="s">
        <v>32</v>
      </c>
      <c r="X1485" s="28">
        <v>45376</v>
      </c>
      <c r="Y1485" s="27" t="s">
        <v>39</v>
      </c>
      <c r="Z1485" s="43" t="e">
        <f>TEXT([1]!Table64[[#This Row],[Order date]],"mmm-yyyy")</f>
        <v>#REF!</v>
      </c>
    </row>
    <row r="1486" spans="1:26" x14ac:dyDescent="0.3">
      <c r="A1486" s="10">
        <v>11485</v>
      </c>
      <c r="B1486" s="11">
        <v>5923</v>
      </c>
      <c r="C1486" s="11" t="s">
        <v>34</v>
      </c>
      <c r="D1486" s="12">
        <v>41322.86</v>
      </c>
      <c r="E1486" s="11">
        <v>68</v>
      </c>
      <c r="F1486" s="11" t="s">
        <v>43</v>
      </c>
      <c r="G1486" s="13">
        <v>45361</v>
      </c>
      <c r="H1486" s="12">
        <v>19988.48</v>
      </c>
      <c r="I1486" s="14" t="s">
        <v>44</v>
      </c>
      <c r="J1486" s="15" t="s">
        <v>28</v>
      </c>
      <c r="K1486" s="15">
        <v>1184</v>
      </c>
      <c r="L1486" s="16">
        <v>45361</v>
      </c>
      <c r="M1486" s="17">
        <v>10</v>
      </c>
      <c r="N1486" s="18">
        <v>91485</v>
      </c>
      <c r="O1486" s="18" t="s">
        <v>29</v>
      </c>
      <c r="P1486" s="19">
        <v>45383</v>
      </c>
      <c r="Q1486" s="20">
        <v>0.90031000000000005</v>
      </c>
      <c r="R1486" s="21">
        <v>71485</v>
      </c>
      <c r="S1486" s="18" t="s">
        <v>30</v>
      </c>
      <c r="T1486" s="20">
        <v>140577.34930999999</v>
      </c>
      <c r="U1486" s="18" t="s">
        <v>42</v>
      </c>
      <c r="V1486" s="19">
        <v>45392</v>
      </c>
      <c r="W1486" s="18" t="s">
        <v>32</v>
      </c>
      <c r="X1486" s="19">
        <v>45376</v>
      </c>
      <c r="Y1486" s="18" t="s">
        <v>33</v>
      </c>
      <c r="Z1486" s="43" t="e">
        <f>TEXT([1]!Table64[[#This Row],[Order date]],"mmm-yyyy")</f>
        <v>#REF!</v>
      </c>
    </row>
    <row r="1487" spans="1:26" x14ac:dyDescent="0.3">
      <c r="A1487" s="22">
        <v>11486</v>
      </c>
      <c r="B1487" s="23">
        <v>5420</v>
      </c>
      <c r="C1487" s="23" t="s">
        <v>34</v>
      </c>
      <c r="D1487" s="24">
        <v>68575.78</v>
      </c>
      <c r="E1487" s="23">
        <v>92</v>
      </c>
      <c r="F1487" s="23" t="s">
        <v>35</v>
      </c>
      <c r="G1487" s="25">
        <v>45306</v>
      </c>
      <c r="H1487" s="24">
        <v>11537.99</v>
      </c>
      <c r="I1487" s="26" t="s">
        <v>44</v>
      </c>
      <c r="J1487" s="15" t="s">
        <v>36</v>
      </c>
      <c r="K1487" s="15">
        <v>819</v>
      </c>
      <c r="L1487" s="16">
        <v>45397</v>
      </c>
      <c r="M1487" s="17">
        <v>10</v>
      </c>
      <c r="N1487" s="27">
        <v>91486</v>
      </c>
      <c r="O1487" s="27" t="s">
        <v>40</v>
      </c>
      <c r="P1487" s="28">
        <v>45352</v>
      </c>
      <c r="Q1487" s="29">
        <v>0.28883999999999999</v>
      </c>
      <c r="R1487" s="30">
        <v>71486</v>
      </c>
      <c r="S1487" s="27" t="s">
        <v>41</v>
      </c>
      <c r="T1487" s="29">
        <v>186869.25422</v>
      </c>
      <c r="U1487" s="27" t="s">
        <v>31</v>
      </c>
      <c r="V1487" s="28">
        <v>45444</v>
      </c>
      <c r="W1487" s="27" t="s">
        <v>38</v>
      </c>
      <c r="X1487" s="28">
        <v>45376</v>
      </c>
      <c r="Y1487" s="27" t="s">
        <v>33</v>
      </c>
      <c r="Z1487" s="43" t="e">
        <f>TEXT([1]!Table64[[#This Row],[Order date]],"mmm-yyyy")</f>
        <v>#REF!</v>
      </c>
    </row>
    <row r="1488" spans="1:26" x14ac:dyDescent="0.3">
      <c r="A1488" s="10">
        <v>11487</v>
      </c>
      <c r="B1488" s="11">
        <v>5157</v>
      </c>
      <c r="C1488" s="11" t="s">
        <v>25</v>
      </c>
      <c r="D1488" s="12">
        <v>64861.57</v>
      </c>
      <c r="E1488" s="11">
        <v>76</v>
      </c>
      <c r="F1488" s="11" t="s">
        <v>26</v>
      </c>
      <c r="G1488" s="13">
        <v>45383</v>
      </c>
      <c r="H1488" s="12">
        <v>171343.44</v>
      </c>
      <c r="I1488" s="14" t="s">
        <v>27</v>
      </c>
      <c r="J1488" s="15" t="s">
        <v>49</v>
      </c>
      <c r="K1488" s="15">
        <v>1162</v>
      </c>
      <c r="L1488" s="16">
        <v>45397</v>
      </c>
      <c r="M1488" s="17">
        <v>6</v>
      </c>
      <c r="N1488" s="18">
        <v>91487</v>
      </c>
      <c r="O1488" s="18" t="s">
        <v>37</v>
      </c>
      <c r="P1488" s="19">
        <v>45352</v>
      </c>
      <c r="Q1488" s="20">
        <v>0.98368999999999995</v>
      </c>
      <c r="R1488" s="21">
        <v>71487</v>
      </c>
      <c r="S1488" s="18" t="s">
        <v>45</v>
      </c>
      <c r="T1488" s="20">
        <v>170450.58965000001</v>
      </c>
      <c r="U1488" s="18" t="s">
        <v>31</v>
      </c>
      <c r="V1488" s="19">
        <v>45444</v>
      </c>
      <c r="W1488" s="18" t="s">
        <v>38</v>
      </c>
      <c r="X1488" s="19">
        <v>45376</v>
      </c>
      <c r="Y1488" s="18" t="s">
        <v>33</v>
      </c>
      <c r="Z1488" s="43" t="e">
        <f>TEXT([1]!Table64[[#This Row],[Order date]],"mmm-yyyy")</f>
        <v>#REF!</v>
      </c>
    </row>
    <row r="1489" spans="1:26" x14ac:dyDescent="0.3">
      <c r="A1489" s="22">
        <v>11488</v>
      </c>
      <c r="B1489" s="23">
        <v>5550</v>
      </c>
      <c r="C1489" s="23" t="s">
        <v>34</v>
      </c>
      <c r="D1489" s="24">
        <v>52260.959999999999</v>
      </c>
      <c r="E1489" s="23">
        <v>38</v>
      </c>
      <c r="F1489" s="23" t="s">
        <v>46</v>
      </c>
      <c r="G1489" s="25">
        <v>45383</v>
      </c>
      <c r="H1489" s="24">
        <v>49840.71</v>
      </c>
      <c r="I1489" s="26" t="s">
        <v>44</v>
      </c>
      <c r="J1489" s="15" t="s">
        <v>36</v>
      </c>
      <c r="K1489" s="15">
        <v>482</v>
      </c>
      <c r="L1489" s="16">
        <v>45397</v>
      </c>
      <c r="M1489" s="17">
        <v>3</v>
      </c>
      <c r="N1489" s="27">
        <v>91488</v>
      </c>
      <c r="O1489" s="27" t="s">
        <v>29</v>
      </c>
      <c r="P1489" s="28">
        <v>45383</v>
      </c>
      <c r="Q1489" s="29">
        <v>0.73175999999999997</v>
      </c>
      <c r="R1489" s="30">
        <v>71488</v>
      </c>
      <c r="S1489" s="27" t="s">
        <v>41</v>
      </c>
      <c r="T1489" s="29">
        <v>175519.38453000001</v>
      </c>
      <c r="U1489" s="27" t="s">
        <v>48</v>
      </c>
      <c r="V1489" s="28">
        <v>45444</v>
      </c>
      <c r="W1489" s="27" t="s">
        <v>32</v>
      </c>
      <c r="X1489" s="28">
        <v>45376</v>
      </c>
      <c r="Y1489" s="27" t="s">
        <v>39</v>
      </c>
      <c r="Z1489" s="43" t="e">
        <f>TEXT([1]!Table64[[#This Row],[Order date]],"mmm-yyyy")</f>
        <v>#REF!</v>
      </c>
    </row>
    <row r="1490" spans="1:26" x14ac:dyDescent="0.3">
      <c r="A1490" s="10">
        <v>11489</v>
      </c>
      <c r="B1490" s="11">
        <v>6465</v>
      </c>
      <c r="C1490" s="11" t="s">
        <v>34</v>
      </c>
      <c r="D1490" s="12">
        <v>56963.39</v>
      </c>
      <c r="E1490" s="11">
        <v>36</v>
      </c>
      <c r="F1490" s="11" t="s">
        <v>35</v>
      </c>
      <c r="G1490" s="13">
        <v>45383</v>
      </c>
      <c r="H1490" s="12">
        <v>42911.73</v>
      </c>
      <c r="I1490" s="14" t="s">
        <v>44</v>
      </c>
      <c r="J1490" s="15" t="s">
        <v>36</v>
      </c>
      <c r="K1490" s="15">
        <v>759</v>
      </c>
      <c r="L1490" s="16">
        <v>45361</v>
      </c>
      <c r="M1490" s="17">
        <v>9</v>
      </c>
      <c r="N1490" s="18">
        <v>91489</v>
      </c>
      <c r="O1490" s="18" t="s">
        <v>29</v>
      </c>
      <c r="P1490" s="19">
        <v>45383</v>
      </c>
      <c r="Q1490" s="20">
        <v>0.54651000000000005</v>
      </c>
      <c r="R1490" s="21">
        <v>71489</v>
      </c>
      <c r="S1490" s="18" t="s">
        <v>41</v>
      </c>
      <c r="T1490" s="20">
        <v>77109.234700000001</v>
      </c>
      <c r="U1490" s="18" t="s">
        <v>42</v>
      </c>
      <c r="V1490" s="19">
        <v>45422</v>
      </c>
      <c r="W1490" s="18" t="s">
        <v>32</v>
      </c>
      <c r="X1490" s="19">
        <v>45376</v>
      </c>
      <c r="Y1490" s="18" t="s">
        <v>33</v>
      </c>
      <c r="Z1490" s="43" t="e">
        <f>TEXT([1]!Table64[[#This Row],[Order date]],"mmm-yyyy")</f>
        <v>#REF!</v>
      </c>
    </row>
    <row r="1491" spans="1:26" x14ac:dyDescent="0.3">
      <c r="A1491" s="22">
        <v>11490</v>
      </c>
      <c r="B1491" s="23">
        <v>6121</v>
      </c>
      <c r="C1491" s="23" t="s">
        <v>25</v>
      </c>
      <c r="D1491" s="24">
        <v>75652.740000000005</v>
      </c>
      <c r="E1491" s="23">
        <v>41</v>
      </c>
      <c r="F1491" s="23" t="s">
        <v>43</v>
      </c>
      <c r="G1491" s="25">
        <v>45383</v>
      </c>
      <c r="H1491" s="24">
        <v>98486.48</v>
      </c>
      <c r="I1491" s="26" t="s">
        <v>44</v>
      </c>
      <c r="J1491" s="15" t="s">
        <v>36</v>
      </c>
      <c r="K1491" s="15">
        <v>843</v>
      </c>
      <c r="L1491" s="16">
        <v>45397</v>
      </c>
      <c r="M1491" s="17">
        <v>13</v>
      </c>
      <c r="N1491" s="27">
        <v>91490</v>
      </c>
      <c r="O1491" s="27" t="s">
        <v>37</v>
      </c>
      <c r="P1491" s="28">
        <v>45352</v>
      </c>
      <c r="Q1491" s="29">
        <v>0.48782999999999999</v>
      </c>
      <c r="R1491" s="30">
        <v>71490</v>
      </c>
      <c r="S1491" s="27" t="s">
        <v>41</v>
      </c>
      <c r="T1491" s="29">
        <v>189323.79652999999</v>
      </c>
      <c r="U1491" s="27" t="s">
        <v>42</v>
      </c>
      <c r="V1491" s="28">
        <v>45444</v>
      </c>
      <c r="W1491" s="27" t="s">
        <v>38</v>
      </c>
      <c r="X1491" s="28">
        <v>45376</v>
      </c>
      <c r="Y1491" s="27" t="s">
        <v>39</v>
      </c>
      <c r="Z1491" s="43" t="e">
        <f>TEXT([1]!Table64[[#This Row],[Order date]],"mmm-yyyy")</f>
        <v>#REF!</v>
      </c>
    </row>
    <row r="1492" spans="1:26" x14ac:dyDescent="0.3">
      <c r="A1492" s="10">
        <v>11491</v>
      </c>
      <c r="B1492" s="11">
        <v>6021</v>
      </c>
      <c r="C1492" s="11" t="s">
        <v>34</v>
      </c>
      <c r="D1492" s="12">
        <v>42462.39</v>
      </c>
      <c r="E1492" s="11">
        <v>69</v>
      </c>
      <c r="F1492" s="11" t="s">
        <v>46</v>
      </c>
      <c r="G1492" s="13">
        <v>45306</v>
      </c>
      <c r="H1492" s="12">
        <v>36485.160000000003</v>
      </c>
      <c r="I1492" s="14" t="s">
        <v>27</v>
      </c>
      <c r="J1492" s="15" t="s">
        <v>36</v>
      </c>
      <c r="K1492" s="15">
        <v>761</v>
      </c>
      <c r="L1492" s="16">
        <v>45332</v>
      </c>
      <c r="M1492" s="17">
        <v>4</v>
      </c>
      <c r="N1492" s="18">
        <v>91491</v>
      </c>
      <c r="O1492" s="18" t="s">
        <v>40</v>
      </c>
      <c r="P1492" s="19">
        <v>45383</v>
      </c>
      <c r="Q1492" s="20">
        <v>0.95892999999999995</v>
      </c>
      <c r="R1492" s="21">
        <v>71491</v>
      </c>
      <c r="S1492" s="18" t="s">
        <v>41</v>
      </c>
      <c r="T1492" s="20">
        <v>171217.40591</v>
      </c>
      <c r="U1492" s="18" t="s">
        <v>42</v>
      </c>
      <c r="V1492" s="19">
        <v>45444</v>
      </c>
      <c r="W1492" s="18" t="s">
        <v>38</v>
      </c>
      <c r="X1492" s="19">
        <v>45376</v>
      </c>
      <c r="Y1492" s="18" t="s">
        <v>39</v>
      </c>
      <c r="Z1492" s="43" t="e">
        <f>TEXT([1]!Table64[[#This Row],[Order date]],"mmm-yyyy")</f>
        <v>#REF!</v>
      </c>
    </row>
    <row r="1493" spans="1:26" x14ac:dyDescent="0.3">
      <c r="A1493" s="22">
        <v>11492</v>
      </c>
      <c r="B1493" s="23">
        <v>5997</v>
      </c>
      <c r="C1493" s="23" t="s">
        <v>34</v>
      </c>
      <c r="D1493" s="24">
        <v>21114.73</v>
      </c>
      <c r="E1493" s="23">
        <v>13</v>
      </c>
      <c r="F1493" s="23" t="s">
        <v>46</v>
      </c>
      <c r="G1493" s="25">
        <v>45383</v>
      </c>
      <c r="H1493" s="24">
        <v>76096.19</v>
      </c>
      <c r="I1493" s="26" t="s">
        <v>47</v>
      </c>
      <c r="J1493" s="15" t="s">
        <v>36</v>
      </c>
      <c r="K1493" s="15">
        <v>1172</v>
      </c>
      <c r="L1493" s="16">
        <v>45397</v>
      </c>
      <c r="M1493" s="17">
        <v>10</v>
      </c>
      <c r="N1493" s="27">
        <v>91492</v>
      </c>
      <c r="O1493" s="27" t="s">
        <v>37</v>
      </c>
      <c r="P1493" s="28">
        <v>45430</v>
      </c>
      <c r="Q1493" s="29">
        <v>0.28515000000000001</v>
      </c>
      <c r="R1493" s="30">
        <v>71492</v>
      </c>
      <c r="S1493" s="27" t="s">
        <v>41</v>
      </c>
      <c r="T1493" s="29">
        <v>125315.1246</v>
      </c>
      <c r="U1493" s="27" t="s">
        <v>31</v>
      </c>
      <c r="V1493" s="28">
        <v>45392</v>
      </c>
      <c r="W1493" s="27" t="s">
        <v>38</v>
      </c>
      <c r="X1493" s="28">
        <v>45376</v>
      </c>
      <c r="Y1493" s="27" t="s">
        <v>33</v>
      </c>
      <c r="Z1493" s="43" t="e">
        <f>TEXT([1]!Table64[[#This Row],[Order date]],"mmm-yyyy")</f>
        <v>#REF!</v>
      </c>
    </row>
    <row r="1494" spans="1:26" x14ac:dyDescent="0.3">
      <c r="A1494" s="10">
        <v>11493</v>
      </c>
      <c r="B1494" s="11">
        <v>6435</v>
      </c>
      <c r="C1494" s="11" t="s">
        <v>25</v>
      </c>
      <c r="D1494" s="12">
        <v>21389.71</v>
      </c>
      <c r="E1494" s="11">
        <v>87</v>
      </c>
      <c r="F1494" s="11" t="s">
        <v>26</v>
      </c>
      <c r="G1494" s="13">
        <v>45337</v>
      </c>
      <c r="H1494" s="12">
        <v>38997.480000000003</v>
      </c>
      <c r="I1494" s="14" t="s">
        <v>44</v>
      </c>
      <c r="J1494" s="15" t="s">
        <v>49</v>
      </c>
      <c r="K1494" s="15">
        <v>588</v>
      </c>
      <c r="L1494" s="16">
        <v>45332</v>
      </c>
      <c r="M1494" s="17">
        <v>13</v>
      </c>
      <c r="N1494" s="18">
        <v>91493</v>
      </c>
      <c r="O1494" s="18" t="s">
        <v>29</v>
      </c>
      <c r="P1494" s="19">
        <v>45383</v>
      </c>
      <c r="Q1494" s="20">
        <v>0.38051000000000001</v>
      </c>
      <c r="R1494" s="21">
        <v>71493</v>
      </c>
      <c r="S1494" s="18" t="s">
        <v>41</v>
      </c>
      <c r="T1494" s="20">
        <v>203249.3916</v>
      </c>
      <c r="U1494" s="18" t="s">
        <v>31</v>
      </c>
      <c r="V1494" s="19">
        <v>45444</v>
      </c>
      <c r="W1494" s="18" t="s">
        <v>38</v>
      </c>
      <c r="X1494" s="19">
        <v>45376</v>
      </c>
      <c r="Y1494" s="18" t="s">
        <v>39</v>
      </c>
      <c r="Z1494" s="43" t="e">
        <f>TEXT([1]!Table64[[#This Row],[Order date]],"mmm-yyyy")</f>
        <v>#REF!</v>
      </c>
    </row>
    <row r="1495" spans="1:26" x14ac:dyDescent="0.3">
      <c r="A1495" s="22">
        <v>11494</v>
      </c>
      <c r="B1495" s="23">
        <v>5951</v>
      </c>
      <c r="C1495" s="23" t="s">
        <v>34</v>
      </c>
      <c r="D1495" s="24">
        <v>57555.51</v>
      </c>
      <c r="E1495" s="23">
        <v>58</v>
      </c>
      <c r="F1495" s="23" t="s">
        <v>43</v>
      </c>
      <c r="G1495" s="25">
        <v>45306</v>
      </c>
      <c r="H1495" s="24">
        <v>67601.86</v>
      </c>
      <c r="I1495" s="26" t="s">
        <v>44</v>
      </c>
      <c r="J1495" s="15" t="s">
        <v>28</v>
      </c>
      <c r="K1495" s="15">
        <v>650</v>
      </c>
      <c r="L1495" s="16">
        <v>45361</v>
      </c>
      <c r="M1495" s="17">
        <v>2</v>
      </c>
      <c r="N1495" s="27">
        <v>91494</v>
      </c>
      <c r="O1495" s="27" t="s">
        <v>37</v>
      </c>
      <c r="P1495" s="28">
        <v>45430</v>
      </c>
      <c r="Q1495" s="29">
        <v>0.37701000000000001</v>
      </c>
      <c r="R1495" s="30">
        <v>71494</v>
      </c>
      <c r="S1495" s="27" t="s">
        <v>45</v>
      </c>
      <c r="T1495" s="29">
        <v>117300.14780000001</v>
      </c>
      <c r="U1495" s="27" t="s">
        <v>31</v>
      </c>
      <c r="V1495" s="28">
        <v>45422</v>
      </c>
      <c r="W1495" s="27" t="s">
        <v>38</v>
      </c>
      <c r="X1495" s="28">
        <v>45376</v>
      </c>
      <c r="Y1495" s="27" t="s">
        <v>33</v>
      </c>
      <c r="Z1495" s="43" t="e">
        <f>TEXT([1]!Table64[[#This Row],[Order date]],"mmm-yyyy")</f>
        <v>#REF!</v>
      </c>
    </row>
    <row r="1496" spans="1:26" x14ac:dyDescent="0.3">
      <c r="A1496" s="10">
        <v>11495</v>
      </c>
      <c r="B1496" s="11">
        <v>5289</v>
      </c>
      <c r="C1496" s="11" t="s">
        <v>34</v>
      </c>
      <c r="D1496" s="12">
        <v>67438.679999999993</v>
      </c>
      <c r="E1496" s="11">
        <v>50</v>
      </c>
      <c r="F1496" s="11" t="s">
        <v>35</v>
      </c>
      <c r="G1496" s="13">
        <v>45337</v>
      </c>
      <c r="H1496" s="12">
        <v>81331.73</v>
      </c>
      <c r="I1496" s="14" t="s">
        <v>27</v>
      </c>
      <c r="J1496" s="15" t="s">
        <v>49</v>
      </c>
      <c r="K1496" s="15">
        <v>1219</v>
      </c>
      <c r="L1496" s="16">
        <v>45361</v>
      </c>
      <c r="M1496" s="17">
        <v>6</v>
      </c>
      <c r="N1496" s="18">
        <v>91495</v>
      </c>
      <c r="O1496" s="18" t="s">
        <v>29</v>
      </c>
      <c r="P1496" s="19">
        <v>45430</v>
      </c>
      <c r="Q1496" s="20">
        <v>0.36010999999999999</v>
      </c>
      <c r="R1496" s="21">
        <v>71495</v>
      </c>
      <c r="S1496" s="18" t="s">
        <v>45</v>
      </c>
      <c r="T1496" s="20">
        <v>59854.555439999996</v>
      </c>
      <c r="U1496" s="18" t="s">
        <v>42</v>
      </c>
      <c r="V1496" s="19">
        <v>45444</v>
      </c>
      <c r="W1496" s="18" t="s">
        <v>38</v>
      </c>
      <c r="X1496" s="19">
        <v>45376</v>
      </c>
      <c r="Y1496" s="18" t="s">
        <v>33</v>
      </c>
      <c r="Z1496" s="43" t="e">
        <f>TEXT([1]!Table64[[#This Row],[Order date]],"mmm-yyyy")</f>
        <v>#REF!</v>
      </c>
    </row>
    <row r="1497" spans="1:26" x14ac:dyDescent="0.3">
      <c r="A1497" s="22">
        <v>11496</v>
      </c>
      <c r="B1497" s="23">
        <v>6278</v>
      </c>
      <c r="C1497" s="23" t="s">
        <v>34</v>
      </c>
      <c r="D1497" s="24">
        <v>82424.3</v>
      </c>
      <c r="E1497" s="23">
        <v>30</v>
      </c>
      <c r="F1497" s="23" t="s">
        <v>43</v>
      </c>
      <c r="G1497" s="25">
        <v>45383</v>
      </c>
      <c r="H1497" s="24">
        <v>145084.96</v>
      </c>
      <c r="I1497" s="26" t="s">
        <v>27</v>
      </c>
      <c r="J1497" s="15" t="s">
        <v>49</v>
      </c>
      <c r="K1497" s="15">
        <v>306</v>
      </c>
      <c r="L1497" s="16">
        <v>45397</v>
      </c>
      <c r="M1497" s="17">
        <v>1</v>
      </c>
      <c r="N1497" s="27">
        <v>91496</v>
      </c>
      <c r="O1497" s="27" t="s">
        <v>50</v>
      </c>
      <c r="P1497" s="28">
        <v>45430</v>
      </c>
      <c r="Q1497" s="29">
        <v>0.52168000000000003</v>
      </c>
      <c r="R1497" s="30">
        <v>71496</v>
      </c>
      <c r="S1497" s="27" t="s">
        <v>41</v>
      </c>
      <c r="T1497" s="29">
        <v>130043.92836999999</v>
      </c>
      <c r="U1497" s="27" t="s">
        <v>31</v>
      </c>
      <c r="V1497" s="28">
        <v>45422</v>
      </c>
      <c r="W1497" s="27" t="s">
        <v>38</v>
      </c>
      <c r="X1497" s="28">
        <v>45376</v>
      </c>
      <c r="Y1497" s="27" t="s">
        <v>33</v>
      </c>
      <c r="Z1497" s="43" t="e">
        <f>TEXT([1]!Table64[[#This Row],[Order date]],"mmm-yyyy")</f>
        <v>#REF!</v>
      </c>
    </row>
    <row r="1498" spans="1:26" x14ac:dyDescent="0.3">
      <c r="A1498" s="10">
        <v>11497</v>
      </c>
      <c r="B1498" s="11">
        <v>5196</v>
      </c>
      <c r="C1498" s="11" t="s">
        <v>34</v>
      </c>
      <c r="D1498" s="12">
        <v>87422.01</v>
      </c>
      <c r="E1498" s="11">
        <v>62</v>
      </c>
      <c r="F1498" s="11" t="s">
        <v>46</v>
      </c>
      <c r="G1498" s="13">
        <v>45361</v>
      </c>
      <c r="H1498" s="12">
        <v>89259.16</v>
      </c>
      <c r="I1498" s="14" t="s">
        <v>27</v>
      </c>
      <c r="J1498" s="15" t="s">
        <v>49</v>
      </c>
      <c r="K1498" s="15">
        <v>1262</v>
      </c>
      <c r="L1498" s="16">
        <v>45397</v>
      </c>
      <c r="M1498" s="17">
        <v>6</v>
      </c>
      <c r="N1498" s="18">
        <v>91497</v>
      </c>
      <c r="O1498" s="18" t="s">
        <v>37</v>
      </c>
      <c r="P1498" s="19">
        <v>45383</v>
      </c>
      <c r="Q1498" s="20">
        <v>0.99026000000000003</v>
      </c>
      <c r="R1498" s="21">
        <v>71497</v>
      </c>
      <c r="S1498" s="18" t="s">
        <v>45</v>
      </c>
      <c r="T1498" s="20">
        <v>144026.7041</v>
      </c>
      <c r="U1498" s="18" t="s">
        <v>42</v>
      </c>
      <c r="V1498" s="19">
        <v>45444</v>
      </c>
      <c r="W1498" s="18" t="s">
        <v>38</v>
      </c>
      <c r="X1498" s="19">
        <v>45376</v>
      </c>
      <c r="Y1498" s="18" t="s">
        <v>33</v>
      </c>
      <c r="Z1498" s="43" t="e">
        <f>TEXT([1]!Table64[[#This Row],[Order date]],"mmm-yyyy")</f>
        <v>#REF!</v>
      </c>
    </row>
    <row r="1499" spans="1:26" x14ac:dyDescent="0.3">
      <c r="A1499" s="22">
        <v>11498</v>
      </c>
      <c r="B1499" s="23">
        <v>5598</v>
      </c>
      <c r="C1499" s="23" t="s">
        <v>34</v>
      </c>
      <c r="D1499" s="24">
        <v>27583.759999999998</v>
      </c>
      <c r="E1499" s="23">
        <v>25</v>
      </c>
      <c r="F1499" s="23" t="s">
        <v>43</v>
      </c>
      <c r="G1499" s="25">
        <v>45337</v>
      </c>
      <c r="H1499" s="24">
        <v>142081.12</v>
      </c>
      <c r="I1499" s="26" t="s">
        <v>44</v>
      </c>
      <c r="J1499" s="15" t="s">
        <v>49</v>
      </c>
      <c r="K1499" s="15">
        <v>1313</v>
      </c>
      <c r="L1499" s="16">
        <v>45397</v>
      </c>
      <c r="M1499" s="17">
        <v>13</v>
      </c>
      <c r="N1499" s="27">
        <v>91498</v>
      </c>
      <c r="O1499" s="27" t="s">
        <v>37</v>
      </c>
      <c r="P1499" s="28">
        <v>45430</v>
      </c>
      <c r="Q1499" s="29">
        <v>0.89990999999999999</v>
      </c>
      <c r="R1499" s="30">
        <v>71498</v>
      </c>
      <c r="S1499" s="27" t="s">
        <v>41</v>
      </c>
      <c r="T1499" s="29">
        <v>52351.955260000002</v>
      </c>
      <c r="U1499" s="27" t="s">
        <v>31</v>
      </c>
      <c r="V1499" s="28">
        <v>45444</v>
      </c>
      <c r="W1499" s="27" t="s">
        <v>38</v>
      </c>
      <c r="X1499" s="28">
        <v>45376</v>
      </c>
      <c r="Y1499" s="27" t="s">
        <v>33</v>
      </c>
      <c r="Z1499" s="43" t="e">
        <f>TEXT([1]!Table64[[#This Row],[Order date]],"mmm-yyyy")</f>
        <v>#REF!</v>
      </c>
    </row>
    <row r="1500" spans="1:26" x14ac:dyDescent="0.3">
      <c r="A1500" s="10">
        <v>11499</v>
      </c>
      <c r="B1500" s="11">
        <v>6858</v>
      </c>
      <c r="C1500" s="11" t="s">
        <v>34</v>
      </c>
      <c r="D1500" s="12">
        <v>92737.16</v>
      </c>
      <c r="E1500" s="11">
        <v>27</v>
      </c>
      <c r="F1500" s="11" t="s">
        <v>35</v>
      </c>
      <c r="G1500" s="13">
        <v>45383</v>
      </c>
      <c r="H1500" s="12">
        <v>20965.349999999999</v>
      </c>
      <c r="I1500" s="14" t="s">
        <v>44</v>
      </c>
      <c r="J1500" s="15" t="s">
        <v>28</v>
      </c>
      <c r="K1500" s="15">
        <v>920</v>
      </c>
      <c r="L1500" s="16">
        <v>45332</v>
      </c>
      <c r="M1500" s="17">
        <v>12</v>
      </c>
      <c r="N1500" s="18">
        <v>91499</v>
      </c>
      <c r="O1500" s="18" t="s">
        <v>29</v>
      </c>
      <c r="P1500" s="19">
        <v>45430</v>
      </c>
      <c r="Q1500" s="20">
        <v>0.39515</v>
      </c>
      <c r="R1500" s="21">
        <v>71499</v>
      </c>
      <c r="S1500" s="18" t="s">
        <v>41</v>
      </c>
      <c r="T1500" s="20">
        <v>206409.53659999999</v>
      </c>
      <c r="U1500" s="18" t="s">
        <v>42</v>
      </c>
      <c r="V1500" s="19">
        <v>45444</v>
      </c>
      <c r="W1500" s="18" t="s">
        <v>38</v>
      </c>
      <c r="X1500" s="19">
        <v>45376</v>
      </c>
      <c r="Y1500" s="18" t="s">
        <v>33</v>
      </c>
      <c r="Z1500" s="28" t="e">
        <f>TEXT([1]!Table64[[#This Row],[Order date]],"mmm-yyyy")</f>
        <v>#REF!</v>
      </c>
    </row>
    <row r="1501" spans="1:26" x14ac:dyDescent="0.3">
      <c r="A1501" s="31">
        <v>11500</v>
      </c>
      <c r="B1501" s="32">
        <v>6546</v>
      </c>
      <c r="C1501" s="32" t="s">
        <v>34</v>
      </c>
      <c r="D1501" s="33">
        <v>76518.2</v>
      </c>
      <c r="E1501" s="32">
        <v>51</v>
      </c>
      <c r="F1501" s="32" t="s">
        <v>35</v>
      </c>
      <c r="G1501" s="34">
        <v>45337</v>
      </c>
      <c r="H1501" s="33">
        <v>127261.12</v>
      </c>
      <c r="I1501" s="27" t="s">
        <v>47</v>
      </c>
      <c r="J1501" s="35" t="s">
        <v>49</v>
      </c>
      <c r="K1501" s="35">
        <v>948</v>
      </c>
      <c r="L1501" s="36">
        <v>45361</v>
      </c>
      <c r="M1501" s="37">
        <v>10</v>
      </c>
      <c r="N1501" s="27">
        <v>91500</v>
      </c>
      <c r="O1501" s="27" t="s">
        <v>29</v>
      </c>
      <c r="P1501" s="28">
        <v>45383</v>
      </c>
      <c r="Q1501" s="29">
        <v>0.48058000000000001</v>
      </c>
      <c r="R1501" s="30">
        <v>71500</v>
      </c>
      <c r="S1501" s="27" t="s">
        <v>45</v>
      </c>
      <c r="T1501" s="29">
        <v>158826.27239999999</v>
      </c>
      <c r="U1501" s="27" t="s">
        <v>48</v>
      </c>
      <c r="V1501" s="28">
        <v>45422</v>
      </c>
      <c r="W1501" s="27" t="s">
        <v>38</v>
      </c>
      <c r="X1501" s="28">
        <v>45376</v>
      </c>
      <c r="Y1501" s="27" t="s">
        <v>39</v>
      </c>
      <c r="Z1501" s="46" t="e">
        <f>TEXT([1]!Table64[[#This Row],[Order date]],"mmm-yyyy")</f>
        <v>#REF!</v>
      </c>
    </row>
  </sheetData>
  <conditionalFormatting sqref="A1:A1501">
    <cfRule type="duplicateValues" dxfId="2" priority="2"/>
    <cfRule type="duplicateValues" dxfId="1" priority="3"/>
  </conditionalFormatting>
  <conditionalFormatting sqref="R1:R1501">
    <cfRule type="duplicateValues" dxfId="0" priority="1"/>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Kareem basha Shaik</dc:creator>
  <cp:lastModifiedBy>Office</cp:lastModifiedBy>
  <dcterms:created xsi:type="dcterms:W3CDTF">2015-06-05T18:17:20Z</dcterms:created>
  <dcterms:modified xsi:type="dcterms:W3CDTF">2026-02-11T13:31:12Z</dcterms:modified>
</cp:coreProperties>
</file>